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rr\Downloads\"/>
    </mc:Choice>
  </mc:AlternateContent>
  <xr:revisionPtr revIDLastSave="0" documentId="13_ncr:1_{70BECE6C-06BB-4879-83E9-9472F7D07F67}" xr6:coauthVersionLast="47" xr6:coauthVersionMax="47" xr10:uidLastSave="{00000000-0000-0000-0000-000000000000}"/>
  <bookViews>
    <workbookView xWindow="-108" yWindow="-108" windowWidth="23256" windowHeight="12456" xr2:uid="{814C92F4-2E93-49E2-B159-C100D825DF61}"/>
  </bookViews>
  <sheets>
    <sheet name="CREDITOS DESGRAVAMEN" sheetId="1" r:id="rId1"/>
  </sheets>
  <definedNames>
    <definedName name="_xlnm._FilterDatabase" localSheetId="0" hidden="1">'CREDITOS DESGRAVAMEN'!$A$1:$AC$5030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3" i="1" l="1"/>
  <c r="AH10" i="1"/>
  <c r="AH11" i="1" s="1"/>
  <c r="AH9" i="1"/>
  <c r="AH7" i="1"/>
  <c r="AH6" i="1"/>
  <c r="AH5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tc={FBE76BE7-8562-4C2A-A92C-92829F057553}</author>
    <author>tc={03B4FCB0-51E0-4494-BC92-B2532B9C9F53}</author>
    <author>tc={F230891F-BAF6-4243-A4E7-938FC1ECB3A8}</author>
    <author>tc={20F8AA30-0464-42FB-B68F-AD00EF7FC269}</author>
    <author>tc={BC1BBFB5-E5B6-45AA-9576-4A801B95F32D}</author>
    <author>tc={4DC0CB27-8133-46D3-B0D8-FD98D244A627}</author>
    <author>tc={D508D931-9460-45D7-9143-2EC5F0868A8F}</author>
  </authors>
  <commentList>
    <comment ref="M1" authorId="0" shapeId="0" xr:uid="{FBE76BE7-8562-4C2A-A92C-92829F05755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INCLUIR CEROS SI EXISTEN AL INICIO DEL REGISTRO FORMATO TEXTO
NO PUEDE SER PERSONA JURIDICA</t>
      </text>
    </comment>
    <comment ref="O1" authorId="1" shapeId="0" xr:uid="{03B4FCB0-51E0-4494-BC92-B2532B9C9F5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FORMATO DD/MM/AA</t>
      </text>
    </comment>
    <comment ref="T1" authorId="2" shapeId="0" xr:uid="{F230891F-BAF6-4243-A4E7-938FC1ECB3A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FORMATO DD/MM/AA
</t>
      </text>
    </comment>
    <comment ref="U1" authorId="3" shapeId="0" xr:uid="{20F8AA30-0464-42FB-B68F-AD00EF7FC26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FORMATO DD/MM/AA
</t>
      </text>
    </comment>
    <comment ref="V1" authorId="4" shapeId="0" xr:uid="{BC1BBFB5-E5B6-45AA-9576-4A801B95F3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DEPENDE DEL NEGOCIO MENSUAL O ANUAL</t>
      </text>
    </comment>
    <comment ref="X1" authorId="5" shapeId="0" xr:uid="{4DC0CB27-8133-46D3-B0D8-FD98D244A62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DEPENDE DE LA NEGOCIACION
</t>
      </text>
    </comment>
    <comment ref="Y1" authorId="6" shapeId="0" xr:uid="{D508D931-9460-45D7-9143-2EC5F0868A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DEPENDE DEL NEGOCIO</t>
      </text>
    </comment>
  </commentList>
</comments>
</file>

<file path=xl/sharedStrings.xml><?xml version="1.0" encoding="utf-8"?>
<sst xmlns="http://schemas.openxmlformats.org/spreadsheetml/2006/main" count="66291" uniqueCount="6012">
  <si>
    <t>M</t>
  </si>
  <si>
    <t>N° Póliza</t>
  </si>
  <si>
    <t>Primer Apellido</t>
  </si>
  <si>
    <t>Segundo Apellido</t>
  </si>
  <si>
    <t>Número de Documento</t>
  </si>
  <si>
    <t>Fecha Nacimiento</t>
  </si>
  <si>
    <t>Número de Teléfono</t>
  </si>
  <si>
    <t>Email</t>
  </si>
  <si>
    <t>Plan</t>
  </si>
  <si>
    <t>Nacionalidad</t>
  </si>
  <si>
    <t>Primer Nombre</t>
  </si>
  <si>
    <t>Segundo Nombre</t>
  </si>
  <si>
    <t>RUC CANAL / COOPERATIVA</t>
  </si>
  <si>
    <t>DIRECCIÓN CANAL / COOPERATIVA</t>
  </si>
  <si>
    <t>TELÉFONO CANAL / COOPERATIVA</t>
  </si>
  <si>
    <t>CORREO CANAL / COOPERATIVA</t>
  </si>
  <si>
    <t>Fecha fin crédito</t>
  </si>
  <si>
    <t>Saldo Insoluto / Monto Original / Valor asegurado</t>
  </si>
  <si>
    <t>Prima Neta</t>
  </si>
  <si>
    <t>Fecha de inicio / Conceción crédito</t>
  </si>
  <si>
    <t>SEGUROS ATLANTIDA SA</t>
  </si>
  <si>
    <t>EKOPARK</t>
  </si>
  <si>
    <t>jcalala@segurosatlantida.ec</t>
  </si>
  <si>
    <t>Ecuatoriana</t>
  </si>
  <si>
    <t>26/12/1996</t>
  </si>
  <si>
    <t>16/04/1982</t>
  </si>
  <si>
    <t>26/09/1996</t>
  </si>
  <si>
    <t>18/05/1991</t>
  </si>
  <si>
    <t>17/07/1997</t>
  </si>
  <si>
    <t>08/07/1998</t>
  </si>
  <si>
    <t>08/04/1963</t>
  </si>
  <si>
    <t>09/01/1997</t>
  </si>
  <si>
    <t>05/08/1991</t>
  </si>
  <si>
    <t>29/05/1968</t>
  </si>
  <si>
    <t>23/11/1972</t>
  </si>
  <si>
    <t>24/08/1968</t>
  </si>
  <si>
    <t>06/05/1984</t>
  </si>
  <si>
    <t>15/04/1992</t>
  </si>
  <si>
    <t>06/11/1994</t>
  </si>
  <si>
    <t>21/12/2002</t>
  </si>
  <si>
    <t>16/11/1998</t>
  </si>
  <si>
    <t>17/01/1991</t>
  </si>
  <si>
    <t>28/03/2005</t>
  </si>
  <si>
    <t>13/05/1994</t>
  </si>
  <si>
    <t>13/11/1992</t>
  </si>
  <si>
    <t>31/10/1998</t>
  </si>
  <si>
    <t>24/05/1999</t>
  </si>
  <si>
    <t>14/11/2004</t>
  </si>
  <si>
    <t>14/04/2005</t>
  </si>
  <si>
    <t>23/09/1976</t>
  </si>
  <si>
    <t>08/12/1997</t>
  </si>
  <si>
    <t>03/01/1982</t>
  </si>
  <si>
    <t>09/09/1972</t>
  </si>
  <si>
    <t>19/05/1981</t>
  </si>
  <si>
    <t>13/10/1998</t>
  </si>
  <si>
    <t>02/04/1960</t>
  </si>
  <si>
    <t>10/01/1970</t>
  </si>
  <si>
    <t>26/08/1965</t>
  </si>
  <si>
    <t>14/02/2003</t>
  </si>
  <si>
    <t>26/04/1948</t>
  </si>
  <si>
    <t>21/04/1996</t>
  </si>
  <si>
    <t>02/08/2001</t>
  </si>
  <si>
    <t>09/12/1980</t>
  </si>
  <si>
    <t>11/09/1982</t>
  </si>
  <si>
    <t>31/03/2000</t>
  </si>
  <si>
    <t>13/01/1967</t>
  </si>
  <si>
    <t>15/05/1983</t>
  </si>
  <si>
    <t>25/01/1990</t>
  </si>
  <si>
    <t>16/12/1986</t>
  </si>
  <si>
    <t>20/12/1990</t>
  </si>
  <si>
    <t>10/04/2001</t>
  </si>
  <si>
    <t>02/06/1999</t>
  </si>
  <si>
    <t>27/05/2006</t>
  </si>
  <si>
    <t>08/07/1994</t>
  </si>
  <si>
    <t>27/01/2000</t>
  </si>
  <si>
    <t>09/05/1983</t>
  </si>
  <si>
    <t>19/01/2003</t>
  </si>
  <si>
    <t>30/08/1992</t>
  </si>
  <si>
    <t>17/05/1997</t>
  </si>
  <si>
    <t>04/02/1985</t>
  </si>
  <si>
    <t>19/08/1974</t>
  </si>
  <si>
    <t>08/04/1978</t>
  </si>
  <si>
    <t>20/04/1998</t>
  </si>
  <si>
    <t>11/05/1977</t>
  </si>
  <si>
    <t>05/12/1988</t>
  </si>
  <si>
    <t>11/08/1983</t>
  </si>
  <si>
    <t>26/04/1993</t>
  </si>
  <si>
    <t>17/01/1996</t>
  </si>
  <si>
    <t>14/07/1999</t>
  </si>
  <si>
    <t>12/02/1980</t>
  </si>
  <si>
    <t>02/11/1952</t>
  </si>
  <si>
    <t>08/09/1987</t>
  </si>
  <si>
    <t>06/10/2004</t>
  </si>
  <si>
    <t>15/07/1957</t>
  </si>
  <si>
    <t>26/12/1988</t>
  </si>
  <si>
    <t>23/04/1978</t>
  </si>
  <si>
    <t>10/12/1990</t>
  </si>
  <si>
    <t>16/06/1982</t>
  </si>
  <si>
    <t>05/07/1963</t>
  </si>
  <si>
    <t>22/04/1982</t>
  </si>
  <si>
    <t>28/08/1980</t>
  </si>
  <si>
    <t>11/05/1959</t>
  </si>
  <si>
    <t>24/09/1953</t>
  </si>
  <si>
    <t>01/01/2005</t>
  </si>
  <si>
    <t>01/05/1979</t>
  </si>
  <si>
    <t>20/08/1967</t>
  </si>
  <si>
    <t>08/05/1988</t>
  </si>
  <si>
    <t>20/08/1993</t>
  </si>
  <si>
    <t>02/05/2007</t>
  </si>
  <si>
    <t>13/12/1967</t>
  </si>
  <si>
    <t>19/10/1998</t>
  </si>
  <si>
    <t>30/04/1983</t>
  </si>
  <si>
    <t>06/02/1970</t>
  </si>
  <si>
    <t>26/01/2004</t>
  </si>
  <si>
    <t>25/01/1966</t>
  </si>
  <si>
    <t>06/02/1960</t>
  </si>
  <si>
    <t>11/06/1978</t>
  </si>
  <si>
    <t>28/04/1977</t>
  </si>
  <si>
    <t>02/06/1978</t>
  </si>
  <si>
    <t>05/11/1951</t>
  </si>
  <si>
    <t>04/08/1953</t>
  </si>
  <si>
    <t>15/05/1982</t>
  </si>
  <si>
    <t>10/05/1975</t>
  </si>
  <si>
    <t>22/03/2003</t>
  </si>
  <si>
    <t>02/10/1999</t>
  </si>
  <si>
    <t>25/04/1974</t>
  </si>
  <si>
    <t>22/11/1993</t>
  </si>
  <si>
    <t>02/10/1993</t>
  </si>
  <si>
    <t>02/02/1981</t>
  </si>
  <si>
    <t>30/06/1975</t>
  </si>
  <si>
    <t>01/08/1976</t>
  </si>
  <si>
    <t>10/12/1988</t>
  </si>
  <si>
    <t>07/08/2003</t>
  </si>
  <si>
    <t>16/06/1981</t>
  </si>
  <si>
    <t>14/07/1994</t>
  </si>
  <si>
    <t>10/10/1967</t>
  </si>
  <si>
    <t>24/08/1971</t>
  </si>
  <si>
    <t>18/07/1981</t>
  </si>
  <si>
    <t>10/10/1975</t>
  </si>
  <si>
    <t>18/03/2002</t>
  </si>
  <si>
    <t>03/01/2000</t>
  </si>
  <si>
    <t>28/10/2000</t>
  </si>
  <si>
    <t>09/10/1976</t>
  </si>
  <si>
    <t>21/12/2001</t>
  </si>
  <si>
    <t>11/01/1966</t>
  </si>
  <si>
    <t>26/03/1973</t>
  </si>
  <si>
    <t>09/09/1981</t>
  </si>
  <si>
    <t>23/03/1980</t>
  </si>
  <si>
    <t>23/07/1984</t>
  </si>
  <si>
    <t>23/11/1981</t>
  </si>
  <si>
    <t>13/11/1990</t>
  </si>
  <si>
    <t>11/11/1989</t>
  </si>
  <si>
    <t>08/02/1985</t>
  </si>
  <si>
    <t>19/07/1997</t>
  </si>
  <si>
    <t>14/07/1969</t>
  </si>
  <si>
    <t>24/02/1987</t>
  </si>
  <si>
    <t>15/04/2004</t>
  </si>
  <si>
    <t>22/11/1981</t>
  </si>
  <si>
    <t>08/07/1991</t>
  </si>
  <si>
    <t>18/10/1975</t>
  </si>
  <si>
    <t>22/10/1990</t>
  </si>
  <si>
    <t>20/04/1984</t>
  </si>
  <si>
    <t>09/06/1988</t>
  </si>
  <si>
    <t>20/02/2000</t>
  </si>
  <si>
    <t>08/06/1979</t>
  </si>
  <si>
    <t>22/08/1998</t>
  </si>
  <si>
    <t>19/03/2003</t>
  </si>
  <si>
    <t>28/05/1984</t>
  </si>
  <si>
    <t>17/04/1965</t>
  </si>
  <si>
    <t>18/05/1989</t>
  </si>
  <si>
    <t>02/10/2003</t>
  </si>
  <si>
    <t>19/01/2005</t>
  </si>
  <si>
    <t>20/08/1997</t>
  </si>
  <si>
    <t>06/02/1968</t>
  </si>
  <si>
    <t>17/08/2000</t>
  </si>
  <si>
    <t>03/05/1980</t>
  </si>
  <si>
    <t>31/07/1998</t>
  </si>
  <si>
    <t>27/07/1985</t>
  </si>
  <si>
    <t>12/10/1944</t>
  </si>
  <si>
    <t>11/12/1989</t>
  </si>
  <si>
    <t>12/09/1991</t>
  </si>
  <si>
    <t>07/08/1972</t>
  </si>
  <si>
    <t>26/11/2002</t>
  </si>
  <si>
    <t>15/02/1991</t>
  </si>
  <si>
    <t>21/02/1965</t>
  </si>
  <si>
    <t>06/08/1984</t>
  </si>
  <si>
    <t>03/12/1967</t>
  </si>
  <si>
    <t>28/11/1950</t>
  </si>
  <si>
    <t>27/06/1991</t>
  </si>
  <si>
    <t>18/01/1987</t>
  </si>
  <si>
    <t>12/12/1992</t>
  </si>
  <si>
    <t>17/12/2003</t>
  </si>
  <si>
    <t>27/03/2000</t>
  </si>
  <si>
    <t>25/05/1973</t>
  </si>
  <si>
    <t>05/01/1987</t>
  </si>
  <si>
    <t>09/04/1964</t>
  </si>
  <si>
    <t>26/10/1988</t>
  </si>
  <si>
    <t>15/05/2004</t>
  </si>
  <si>
    <t>19/03/2000</t>
  </si>
  <si>
    <t>10/11/1966</t>
  </si>
  <si>
    <t>14/06/1945</t>
  </si>
  <si>
    <t>05/04/1984</t>
  </si>
  <si>
    <t>22/08/1996</t>
  </si>
  <si>
    <t>02/05/1958</t>
  </si>
  <si>
    <t>30/06/1991</t>
  </si>
  <si>
    <t>25/02/1976</t>
  </si>
  <si>
    <t>25/02/1991</t>
  </si>
  <si>
    <t>10/06/1980</t>
  </si>
  <si>
    <t>02/04/1989</t>
  </si>
  <si>
    <t>24/12/1981</t>
  </si>
  <si>
    <t>20/03/1997</t>
  </si>
  <si>
    <t>23/09/1974</t>
  </si>
  <si>
    <t>26/08/2001</t>
  </si>
  <si>
    <t>25/05/2005</t>
  </si>
  <si>
    <t>08/06/1978</t>
  </si>
  <si>
    <t>02/09/1964</t>
  </si>
  <si>
    <t>24/11/1982</t>
  </si>
  <si>
    <t>06/06/2003</t>
  </si>
  <si>
    <t>10/08/1996</t>
  </si>
  <si>
    <t>21/03/2000</t>
  </si>
  <si>
    <t>17/11/2000</t>
  </si>
  <si>
    <t>05/11/1993</t>
  </si>
  <si>
    <t>23/12/1966</t>
  </si>
  <si>
    <t>13/09/1961</t>
  </si>
  <si>
    <t>26/05/1994</t>
  </si>
  <si>
    <t>01/06/1990</t>
  </si>
  <si>
    <t>03/04/1993</t>
  </si>
  <si>
    <t>12/07/1974</t>
  </si>
  <si>
    <t>09/11/1997</t>
  </si>
  <si>
    <t>13/10/1995</t>
  </si>
  <si>
    <t>08/01/1979</t>
  </si>
  <si>
    <t>23/12/1992</t>
  </si>
  <si>
    <t>15/02/2001</t>
  </si>
  <si>
    <t>19/04/1996</t>
  </si>
  <si>
    <t>23/01/1976</t>
  </si>
  <si>
    <t>28/03/1985</t>
  </si>
  <si>
    <t>25/02/1987</t>
  </si>
  <si>
    <t>10/07/2004</t>
  </si>
  <si>
    <t>28/11/1962</t>
  </si>
  <si>
    <t>22/10/1956</t>
  </si>
  <si>
    <t>28/09/1975</t>
  </si>
  <si>
    <t>07/12/1951</t>
  </si>
  <si>
    <t>29/05/1997</t>
  </si>
  <si>
    <t>04/03/1985</t>
  </si>
  <si>
    <t>23/04/2001</t>
  </si>
  <si>
    <t>26/01/1989</t>
  </si>
  <si>
    <t>18/07/1979</t>
  </si>
  <si>
    <t>17/12/1985</t>
  </si>
  <si>
    <t>09/05/1977</t>
  </si>
  <si>
    <t>06/05/1991</t>
  </si>
  <si>
    <t>23/04/1995</t>
  </si>
  <si>
    <t>20/12/1959</t>
  </si>
  <si>
    <t>31/05/1999</t>
  </si>
  <si>
    <t>25/04/1986</t>
  </si>
  <si>
    <t>28/11/1988</t>
  </si>
  <si>
    <t>04/04/1969</t>
  </si>
  <si>
    <t>18/07/1995</t>
  </si>
  <si>
    <t>12/05/1983</t>
  </si>
  <si>
    <t>05/08/1993</t>
  </si>
  <si>
    <t>09/01/1996</t>
  </si>
  <si>
    <t>08/10/1956</t>
  </si>
  <si>
    <t>07/01/1972</t>
  </si>
  <si>
    <t>13/09/1994</t>
  </si>
  <si>
    <t>01/02/1988</t>
  </si>
  <si>
    <t>08/04/1987</t>
  </si>
  <si>
    <t>06/10/1981</t>
  </si>
  <si>
    <t>19/08/2001</t>
  </si>
  <si>
    <t>28/11/1982</t>
  </si>
  <si>
    <t>30/05/1978</t>
  </si>
  <si>
    <t>04/11/1950</t>
  </si>
  <si>
    <t>28/12/1983</t>
  </si>
  <si>
    <t>22/10/1965</t>
  </si>
  <si>
    <t>07/06/1996</t>
  </si>
  <si>
    <t>11/12/1996</t>
  </si>
  <si>
    <t>24/11/2007</t>
  </si>
  <si>
    <t>16/12/1983</t>
  </si>
  <si>
    <t>21/02/2001</t>
  </si>
  <si>
    <t>12/09/2004</t>
  </si>
  <si>
    <t>24/01/2005</t>
  </si>
  <si>
    <t>28/09/1995</t>
  </si>
  <si>
    <t>20/01/1990</t>
  </si>
  <si>
    <t>08/07/1981</t>
  </si>
  <si>
    <t>13/03/1996</t>
  </si>
  <si>
    <t>28/05/1997</t>
  </si>
  <si>
    <t>21/07/1999</t>
  </si>
  <si>
    <t>24/09/1976</t>
  </si>
  <si>
    <t>21/05/1970</t>
  </si>
  <si>
    <t>30/05/1988</t>
  </si>
  <si>
    <t>08/02/2002</t>
  </si>
  <si>
    <t>23/09/1971</t>
  </si>
  <si>
    <t>18/08/1959</t>
  </si>
  <si>
    <t>05/04/1950</t>
  </si>
  <si>
    <t>17/07/1994</t>
  </si>
  <si>
    <t>13/06/1983</t>
  </si>
  <si>
    <t>13/12/2003</t>
  </si>
  <si>
    <t>21/10/1989</t>
  </si>
  <si>
    <t>10/06/1949</t>
  </si>
  <si>
    <t>07/07/1981</t>
  </si>
  <si>
    <t>28/05/1982</t>
  </si>
  <si>
    <t>16/10/1998</t>
  </si>
  <si>
    <t>07/05/1972</t>
  </si>
  <si>
    <t>24/06/1999</t>
  </si>
  <si>
    <t>12/04/1986</t>
  </si>
  <si>
    <t>23/06/1988</t>
  </si>
  <si>
    <t>20/12/1997</t>
  </si>
  <si>
    <t>28/07/1982</t>
  </si>
  <si>
    <t>05/04/1989</t>
  </si>
  <si>
    <t>08/07/1973</t>
  </si>
  <si>
    <t>02/09/1997</t>
  </si>
  <si>
    <t>06/12/1988</t>
  </si>
  <si>
    <t>31/07/1994</t>
  </si>
  <si>
    <t>10/08/1970</t>
  </si>
  <si>
    <t>23/06/1975</t>
  </si>
  <si>
    <t>25/07/1974</t>
  </si>
  <si>
    <t>10/07/1984</t>
  </si>
  <si>
    <t>21/11/2000</t>
  </si>
  <si>
    <t>17/10/2002</t>
  </si>
  <si>
    <t>21/07/1991</t>
  </si>
  <si>
    <t>10/07/1959</t>
  </si>
  <si>
    <t>19/02/1981</t>
  </si>
  <si>
    <t>19/10/1997</t>
  </si>
  <si>
    <t>11/09/1981</t>
  </si>
  <si>
    <t>06/09/1968</t>
  </si>
  <si>
    <t>09/06/1972</t>
  </si>
  <si>
    <t>18/11/1979</t>
  </si>
  <si>
    <t>26/06/1976</t>
  </si>
  <si>
    <t>31/05/1997</t>
  </si>
  <si>
    <t>23/08/1953</t>
  </si>
  <si>
    <t>01/11/1999</t>
  </si>
  <si>
    <t>02/07/1993</t>
  </si>
  <si>
    <t>23/02/1976</t>
  </si>
  <si>
    <t>14/04/2002</t>
  </si>
  <si>
    <t>06/08/1983</t>
  </si>
  <si>
    <t>09/10/1994</t>
  </si>
  <si>
    <t>20/04/1973</t>
  </si>
  <si>
    <t>29/04/1952</t>
  </si>
  <si>
    <t>02/12/1992</t>
  </si>
  <si>
    <t>06/04/1976</t>
  </si>
  <si>
    <t>02/08/1995</t>
  </si>
  <si>
    <t>14/12/1965</t>
  </si>
  <si>
    <t>05/04/2002</t>
  </si>
  <si>
    <t>20/07/1987</t>
  </si>
  <si>
    <t>02/04/2004</t>
  </si>
  <si>
    <t>06/08/1971</t>
  </si>
  <si>
    <t>28/12/1988</t>
  </si>
  <si>
    <t>06/05/2004</t>
  </si>
  <si>
    <t>15/10/1992</t>
  </si>
  <si>
    <t>07/02/1990</t>
  </si>
  <si>
    <t>01/09/1995</t>
  </si>
  <si>
    <t>13/05/1993</t>
  </si>
  <si>
    <t>27/02/1997</t>
  </si>
  <si>
    <t>03/02/1980</t>
  </si>
  <si>
    <t>26/05/1991</t>
  </si>
  <si>
    <t>07/04/1989</t>
  </si>
  <si>
    <t>22/08/2004</t>
  </si>
  <si>
    <t>10/08/2001</t>
  </si>
  <si>
    <t>17/08/1969</t>
  </si>
  <si>
    <t>05/12/1980</t>
  </si>
  <si>
    <t>26/10/1970</t>
  </si>
  <si>
    <t>26/10/1963</t>
  </si>
  <si>
    <t>28/08/1994</t>
  </si>
  <si>
    <t>01/08/1996</t>
  </si>
  <si>
    <t>30/06/1981</t>
  </si>
  <si>
    <t>31/08/1999</t>
  </si>
  <si>
    <t>28/08/1985</t>
  </si>
  <si>
    <t>26/10/2001</t>
  </si>
  <si>
    <t>07/09/2000</t>
  </si>
  <si>
    <t>25/08/1997</t>
  </si>
  <si>
    <t>12/11/1998</t>
  </si>
  <si>
    <t>24/02/2006</t>
  </si>
  <si>
    <t>30/07/2002</t>
  </si>
  <si>
    <t>14/01/1987</t>
  </si>
  <si>
    <t>24/09/1956</t>
  </si>
  <si>
    <t>01/04/1979</t>
  </si>
  <si>
    <t>16/05/2005</t>
  </si>
  <si>
    <t>11/11/1998</t>
  </si>
  <si>
    <t>18/12/1994</t>
  </si>
  <si>
    <t>22/11/1985</t>
  </si>
  <si>
    <t>12/12/1997</t>
  </si>
  <si>
    <t>16/09/1985</t>
  </si>
  <si>
    <t>06/06/1989</t>
  </si>
  <si>
    <t>21/05/1990</t>
  </si>
  <si>
    <t>14/09/1973</t>
  </si>
  <si>
    <t>11/11/1986</t>
  </si>
  <si>
    <t>07/01/1999</t>
  </si>
  <si>
    <t>24/05/1991</t>
  </si>
  <si>
    <t>02/01/1997</t>
  </si>
  <si>
    <t>14/03/1958</t>
  </si>
  <si>
    <t>27/01/2003</t>
  </si>
  <si>
    <t>11/02/1972</t>
  </si>
  <si>
    <t>24/06/1988</t>
  </si>
  <si>
    <t>03/02/1983</t>
  </si>
  <si>
    <t>11/04/1976</t>
  </si>
  <si>
    <t>24/04/1960</t>
  </si>
  <si>
    <t>29/05/1994</t>
  </si>
  <si>
    <t>04/07/1991</t>
  </si>
  <si>
    <t>09/05/1993</t>
  </si>
  <si>
    <t>20/01/1996</t>
  </si>
  <si>
    <t>27/10/1994</t>
  </si>
  <si>
    <t>29/10/2007</t>
  </si>
  <si>
    <t>12/11/1990</t>
  </si>
  <si>
    <t>22/01/1987</t>
  </si>
  <si>
    <t>17/10/1978</t>
  </si>
  <si>
    <t>28/11/1997</t>
  </si>
  <si>
    <t>05/05/2005</t>
  </si>
  <si>
    <t>19/11/1993</t>
  </si>
  <si>
    <t>28/05/1964</t>
  </si>
  <si>
    <t>04/09/1979</t>
  </si>
  <si>
    <t>28/05/1983</t>
  </si>
  <si>
    <t>23/12/1957</t>
  </si>
  <si>
    <t>06/12/1985</t>
  </si>
  <si>
    <t>11/08/1967</t>
  </si>
  <si>
    <t>20/06/1972</t>
  </si>
  <si>
    <t>04/04/1982</t>
  </si>
  <si>
    <t>20/03/1977</t>
  </si>
  <si>
    <t>20/01/1949</t>
  </si>
  <si>
    <t>06/04/1991</t>
  </si>
  <si>
    <t>04/09/1980</t>
  </si>
  <si>
    <t>01/02/1953</t>
  </si>
  <si>
    <t>25/09/1977</t>
  </si>
  <si>
    <t>30/01/1986</t>
  </si>
  <si>
    <t>11/08/1981</t>
  </si>
  <si>
    <t>27/11/1985</t>
  </si>
  <si>
    <t>10/09/1980</t>
  </si>
  <si>
    <t>09/10/1990</t>
  </si>
  <si>
    <t>08/03/2005</t>
  </si>
  <si>
    <t>14/02/1970</t>
  </si>
  <si>
    <t>04/04/2005</t>
  </si>
  <si>
    <t>01/07/1974</t>
  </si>
  <si>
    <t>10/11/1982</t>
  </si>
  <si>
    <t>31/08/2001</t>
  </si>
  <si>
    <t>11/12/1978</t>
  </si>
  <si>
    <t>10/10/1993</t>
  </si>
  <si>
    <t>11/04/1996</t>
  </si>
  <si>
    <t>17/08/1999</t>
  </si>
  <si>
    <t>15/12/1983</t>
  </si>
  <si>
    <t>16/06/1974</t>
  </si>
  <si>
    <t>09/03/1964</t>
  </si>
  <si>
    <t>15/01/2002</t>
  </si>
  <si>
    <t>20/04/1977</t>
  </si>
  <si>
    <t>06/06/1974</t>
  </si>
  <si>
    <t>22/06/2000</t>
  </si>
  <si>
    <t>15/11/1975</t>
  </si>
  <si>
    <t>02/01/1954</t>
  </si>
  <si>
    <t>02/09/1948</t>
  </si>
  <si>
    <t>19/10/2001</t>
  </si>
  <si>
    <t>30/10/1990</t>
  </si>
  <si>
    <t>11/10/1976</t>
  </si>
  <si>
    <t>08/01/2003</t>
  </si>
  <si>
    <t>12/10/2000</t>
  </si>
  <si>
    <t>24/05/1977</t>
  </si>
  <si>
    <t>21/09/2000</t>
  </si>
  <si>
    <t>01/02/1969</t>
  </si>
  <si>
    <t>30/11/1997</t>
  </si>
  <si>
    <t>07/07/2003</t>
  </si>
  <si>
    <t>21/09/1990</t>
  </si>
  <si>
    <t>05/12/1985</t>
  </si>
  <si>
    <t>10/05/1964</t>
  </si>
  <si>
    <t>16/04/1974</t>
  </si>
  <si>
    <t>30/10/1971</t>
  </si>
  <si>
    <t>09/02/1952</t>
  </si>
  <si>
    <t>18/10/1997</t>
  </si>
  <si>
    <t>24/09/2002</t>
  </si>
  <si>
    <t>15/11/1997</t>
  </si>
  <si>
    <t>10/09/1992</t>
  </si>
  <si>
    <t>23/06/2001</t>
  </si>
  <si>
    <t>15/06/1967</t>
  </si>
  <si>
    <t>13/04/2005</t>
  </si>
  <si>
    <t>05/01/1984</t>
  </si>
  <si>
    <t>15/06/1940</t>
  </si>
  <si>
    <t>29/08/1964</t>
  </si>
  <si>
    <t>10/09/1990</t>
  </si>
  <si>
    <t>29/08/1990</t>
  </si>
  <si>
    <t>31/03/1957</t>
  </si>
  <si>
    <t>14/08/1960</t>
  </si>
  <si>
    <t>13/02/1972</t>
  </si>
  <si>
    <t>19/09/1983</t>
  </si>
  <si>
    <t>07/05/1993</t>
  </si>
  <si>
    <t>08/10/2000</t>
  </si>
  <si>
    <t>28/02/1986</t>
  </si>
  <si>
    <t>26/04/2000</t>
  </si>
  <si>
    <t>30/01/1990</t>
  </si>
  <si>
    <t>22/08/1959</t>
  </si>
  <si>
    <t>01/02/1995</t>
  </si>
  <si>
    <t>19/04/1974</t>
  </si>
  <si>
    <t>26/02/1995</t>
  </si>
  <si>
    <t>22/06/1999</t>
  </si>
  <si>
    <t>16/02/1995</t>
  </si>
  <si>
    <t>02/12/1972</t>
  </si>
  <si>
    <t>24/04/1978</t>
  </si>
  <si>
    <t>01/04/1969</t>
  </si>
  <si>
    <t>28/12/1946</t>
  </si>
  <si>
    <t>06/03/1966</t>
  </si>
  <si>
    <t>14/02/1995</t>
  </si>
  <si>
    <t>22/12/1988</t>
  </si>
  <si>
    <t>03/08/1991</t>
  </si>
  <si>
    <t>09/06/1982</t>
  </si>
  <si>
    <t>12/03/2002</t>
  </si>
  <si>
    <t>18/01/1984</t>
  </si>
  <si>
    <t>23/01/1998</t>
  </si>
  <si>
    <t>14/09/1998</t>
  </si>
  <si>
    <t>01/01/1973</t>
  </si>
  <si>
    <t>01/04/2005</t>
  </si>
  <si>
    <t>01/10/1999</t>
  </si>
  <si>
    <t>03/10/1999</t>
  </si>
  <si>
    <t>15/04/1997</t>
  </si>
  <si>
    <t>04/11/1967</t>
  </si>
  <si>
    <t>24/06/1980</t>
  </si>
  <si>
    <t>07/05/1990</t>
  </si>
  <si>
    <t>19/06/1980</t>
  </si>
  <si>
    <t>14/04/1944</t>
  </si>
  <si>
    <t>24/04/2001</t>
  </si>
  <si>
    <t>04/03/1994</t>
  </si>
  <si>
    <t>28/03/2000</t>
  </si>
  <si>
    <t>13/05/1988</t>
  </si>
  <si>
    <t>16/08/1975</t>
  </si>
  <si>
    <t>01/03/1994</t>
  </si>
  <si>
    <t>02/07/1987</t>
  </si>
  <si>
    <t>04/04/2002</t>
  </si>
  <si>
    <t>09/09/1987</t>
  </si>
  <si>
    <t>07/08/1967</t>
  </si>
  <si>
    <t>09/04/1998</t>
  </si>
  <si>
    <t>16/04/1994</t>
  </si>
  <si>
    <t>16/10/1973</t>
  </si>
  <si>
    <t>16/04/1988</t>
  </si>
  <si>
    <t>23/01/2002</t>
  </si>
  <si>
    <t>02/10/1953</t>
  </si>
  <si>
    <t>03/11/1990</t>
  </si>
  <si>
    <t>20/05/1980</t>
  </si>
  <si>
    <t>26/09/2001</t>
  </si>
  <si>
    <t>30/11/1945</t>
  </si>
  <si>
    <t>07/10/2001</t>
  </si>
  <si>
    <t>13/08/1994</t>
  </si>
  <si>
    <t>01/07/1985</t>
  </si>
  <si>
    <t>19/03/1973</t>
  </si>
  <si>
    <t>13/03/1979</t>
  </si>
  <si>
    <t>07/08/1965</t>
  </si>
  <si>
    <t>15/03/1975</t>
  </si>
  <si>
    <t>11/09/1990</t>
  </si>
  <si>
    <t>10/12/1961</t>
  </si>
  <si>
    <t>26/02/1999</t>
  </si>
  <si>
    <t>05/04/1973</t>
  </si>
  <si>
    <t>28/11/1961</t>
  </si>
  <si>
    <t>10/12/1989</t>
  </si>
  <si>
    <t>08/12/2002</t>
  </si>
  <si>
    <t>20/12/1979</t>
  </si>
  <si>
    <t>17/02/2002</t>
  </si>
  <si>
    <t>14/10/1950</t>
  </si>
  <si>
    <t>25/11/1957</t>
  </si>
  <si>
    <t>08/08/2001</t>
  </si>
  <si>
    <t>21/03/1969</t>
  </si>
  <si>
    <t>28/12/1985</t>
  </si>
  <si>
    <t>17/06/2001</t>
  </si>
  <si>
    <t>12/05/1992</t>
  </si>
  <si>
    <t>02/01/1980</t>
  </si>
  <si>
    <t>13/08/1981</t>
  </si>
  <si>
    <t>02/09/1975</t>
  </si>
  <si>
    <t>29/03/1995</t>
  </si>
  <si>
    <t>08/12/1980</t>
  </si>
  <si>
    <t>29/03/1949</t>
  </si>
  <si>
    <t>05/11/1963</t>
  </si>
  <si>
    <t>10/05/1992</t>
  </si>
  <si>
    <t>24/08/1981</t>
  </si>
  <si>
    <t>06/03/1995</t>
  </si>
  <si>
    <t>05/03/1991</t>
  </si>
  <si>
    <t>11/03/1971</t>
  </si>
  <si>
    <t>12/01/1975</t>
  </si>
  <si>
    <t>02/03/1988</t>
  </si>
  <si>
    <t>19/03/1990</t>
  </si>
  <si>
    <t>28/12/1996</t>
  </si>
  <si>
    <t>22/04/1988</t>
  </si>
  <si>
    <t>16/10/2000</t>
  </si>
  <si>
    <t>20/02/1983</t>
  </si>
  <si>
    <t>05/05/1998</t>
  </si>
  <si>
    <t>05/05/1988</t>
  </si>
  <si>
    <t>12/02/1978</t>
  </si>
  <si>
    <t>28/05/2001</t>
  </si>
  <si>
    <t>13/05/2002</t>
  </si>
  <si>
    <t>30/03/1970</t>
  </si>
  <si>
    <t>30/10/1975</t>
  </si>
  <si>
    <t>18/09/1976</t>
  </si>
  <si>
    <t>02/09/1999</t>
  </si>
  <si>
    <t>04/02/1999</t>
  </si>
  <si>
    <t>22/02/1967</t>
  </si>
  <si>
    <t>22/07/1992</t>
  </si>
  <si>
    <t>05/01/1964</t>
  </si>
  <si>
    <t>30/06/1984</t>
  </si>
  <si>
    <t>10/11/1965</t>
  </si>
  <si>
    <t>30/10/2000</t>
  </si>
  <si>
    <t>29/01/1965</t>
  </si>
  <si>
    <t>17/05/1991</t>
  </si>
  <si>
    <t>22/04/1958</t>
  </si>
  <si>
    <t>20/07/1955</t>
  </si>
  <si>
    <t>08/09/1963</t>
  </si>
  <si>
    <t>13/12/1985</t>
  </si>
  <si>
    <t>18/06/1960</t>
  </si>
  <si>
    <t>05/12/1973</t>
  </si>
  <si>
    <t>22/01/1958</t>
  </si>
  <si>
    <t>10/02/1998</t>
  </si>
  <si>
    <t>19/10/1989</t>
  </si>
  <si>
    <t>09/04/1994</t>
  </si>
  <si>
    <t>17/04/1962</t>
  </si>
  <si>
    <t>26/02/2002</t>
  </si>
  <si>
    <t>15/01/1984</t>
  </si>
  <si>
    <t>10/01/2006</t>
  </si>
  <si>
    <t>26/01/1978</t>
  </si>
  <si>
    <t>09/03/1976</t>
  </si>
  <si>
    <t>10/11/1970</t>
  </si>
  <si>
    <t>29/04/1981</t>
  </si>
  <si>
    <t>11/12/1980</t>
  </si>
  <si>
    <t>07/04/1994</t>
  </si>
  <si>
    <t>06/11/1991</t>
  </si>
  <si>
    <t>17/12/1994</t>
  </si>
  <si>
    <t>18/05/1956</t>
  </si>
  <si>
    <t>05/07/1987</t>
  </si>
  <si>
    <t>04/04/1994</t>
  </si>
  <si>
    <t>13/12/1957</t>
  </si>
  <si>
    <t>12/04/1994</t>
  </si>
  <si>
    <t>31/07/2000</t>
  </si>
  <si>
    <t>28/10/1966</t>
  </si>
  <si>
    <t>31/08/1992</t>
  </si>
  <si>
    <t>25/10/1970</t>
  </si>
  <si>
    <t>17/06/1986</t>
  </si>
  <si>
    <t>28/03/2006</t>
  </si>
  <si>
    <t>14/08/2004</t>
  </si>
  <si>
    <t>18/01/1982</t>
  </si>
  <si>
    <t>04/09/1999</t>
  </si>
  <si>
    <t>18/03/1984</t>
  </si>
  <si>
    <t>23/06/1992</t>
  </si>
  <si>
    <t>11/06/1963</t>
  </si>
  <si>
    <t>08/02/1980</t>
  </si>
  <si>
    <t>28/07/1999</t>
  </si>
  <si>
    <t>14/11/1988</t>
  </si>
  <si>
    <t>22/05/1995</t>
  </si>
  <si>
    <t>08/12/1976</t>
  </si>
  <si>
    <t>19/07/1981</t>
  </si>
  <si>
    <t>16/10/1979</t>
  </si>
  <si>
    <t>24/05/2004</t>
  </si>
  <si>
    <t>18/11/1986</t>
  </si>
  <si>
    <t>08/04/1976</t>
  </si>
  <si>
    <t>30/01/1972</t>
  </si>
  <si>
    <t>22/03/1980</t>
  </si>
  <si>
    <t>04/05/1953</t>
  </si>
  <si>
    <t>28/12/1965</t>
  </si>
  <si>
    <t>26/05/1990</t>
  </si>
  <si>
    <t>15/01/1995</t>
  </si>
  <si>
    <t>18/04/2000</t>
  </si>
  <si>
    <t>30/05/1973</t>
  </si>
  <si>
    <t>06/05/1971</t>
  </si>
  <si>
    <t>26/12/1990</t>
  </si>
  <si>
    <t>08/03/1965</t>
  </si>
  <si>
    <t>03/05/1971</t>
  </si>
  <si>
    <t>29/02/1980</t>
  </si>
  <si>
    <t>10/07/1970</t>
  </si>
  <si>
    <t>05/01/1970</t>
  </si>
  <si>
    <t>19/03/1959</t>
  </si>
  <si>
    <t>02/09/1987</t>
  </si>
  <si>
    <t>16/12/1961</t>
  </si>
  <si>
    <t>07/12/1999</t>
  </si>
  <si>
    <t>04/12/1985</t>
  </si>
  <si>
    <t>15/12/2003</t>
  </si>
  <si>
    <t>09/12/1970</t>
  </si>
  <si>
    <t>04/07/1967</t>
  </si>
  <si>
    <t>01/01/1999</t>
  </si>
  <si>
    <t>23/08/1982</t>
  </si>
  <si>
    <t>16/02/2002</t>
  </si>
  <si>
    <t>04/04/1995</t>
  </si>
  <si>
    <t>24/06/2003</t>
  </si>
  <si>
    <t>20/05/1993</t>
  </si>
  <si>
    <t>08/06/1998</t>
  </si>
  <si>
    <t>02/12/1986</t>
  </si>
  <si>
    <t>22/04/1961</t>
  </si>
  <si>
    <t>28/12/1991</t>
  </si>
  <si>
    <t>25/11/1990</t>
  </si>
  <si>
    <t>29/11/1991</t>
  </si>
  <si>
    <t>20/10/1962</t>
  </si>
  <si>
    <t>19/12/1975</t>
  </si>
  <si>
    <t>08/03/1995</t>
  </si>
  <si>
    <t>23/05/1999</t>
  </si>
  <si>
    <t>27/06/1969</t>
  </si>
  <si>
    <t>01/02/1999</t>
  </si>
  <si>
    <t>05/05/1980</t>
  </si>
  <si>
    <t>01/07/1969</t>
  </si>
  <si>
    <t>03/09/1985</t>
  </si>
  <si>
    <t>26/07/1965</t>
  </si>
  <si>
    <t>03/05/1988</t>
  </si>
  <si>
    <t>30/07/1987</t>
  </si>
  <si>
    <t>17/04/1976</t>
  </si>
  <si>
    <t>15/08/1961</t>
  </si>
  <si>
    <t>13/07/1989</t>
  </si>
  <si>
    <t>02/02/2000</t>
  </si>
  <si>
    <t>18/07/1985</t>
  </si>
  <si>
    <t>13/07/2001</t>
  </si>
  <si>
    <t>24/05/1965</t>
  </si>
  <si>
    <t>01/05/2004</t>
  </si>
  <si>
    <t>04/10/1986</t>
  </si>
  <si>
    <t>09/08/1997</t>
  </si>
  <si>
    <t>31/07/1997</t>
  </si>
  <si>
    <t>17/09/1972</t>
  </si>
  <si>
    <t>21/03/1991</t>
  </si>
  <si>
    <t>09/06/1985</t>
  </si>
  <si>
    <t>17/01/1984</t>
  </si>
  <si>
    <t>30/08/1963</t>
  </si>
  <si>
    <t>29/03/1979</t>
  </si>
  <si>
    <t>27/05/1972</t>
  </si>
  <si>
    <t>22/07/1961</t>
  </si>
  <si>
    <t>12/07/1977</t>
  </si>
  <si>
    <t>16/08/1992</t>
  </si>
  <si>
    <t>09/09/1976</t>
  </si>
  <si>
    <t>02/12/1957</t>
  </si>
  <si>
    <t>07/07/1997</t>
  </si>
  <si>
    <t>09/06/1978</t>
  </si>
  <si>
    <t>08/05/2002</t>
  </si>
  <si>
    <t>04/09/1946</t>
  </si>
  <si>
    <t>15/04/1989</t>
  </si>
  <si>
    <t>11/12/1982</t>
  </si>
  <si>
    <t>13/07/2004</t>
  </si>
  <si>
    <t>13/08/1991</t>
  </si>
  <si>
    <t>20/12/1987</t>
  </si>
  <si>
    <t>15/08/1975</t>
  </si>
  <si>
    <t>18/10/1980</t>
  </si>
  <si>
    <t>09/06/1960</t>
  </si>
  <si>
    <t>21/02/1989</t>
  </si>
  <si>
    <t>30/12/1989</t>
  </si>
  <si>
    <t>18/06/1970</t>
  </si>
  <si>
    <t>12/07/1988</t>
  </si>
  <si>
    <t>12/02/1987</t>
  </si>
  <si>
    <t>15/09/1956</t>
  </si>
  <si>
    <t>25/06/1969</t>
  </si>
  <si>
    <t>05/01/1972</t>
  </si>
  <si>
    <t>26/02/1954</t>
  </si>
  <si>
    <t>01/09/1991</t>
  </si>
  <si>
    <t>15/03/1997</t>
  </si>
  <si>
    <t>17/03/1952</t>
  </si>
  <si>
    <t>02/03/2000</t>
  </si>
  <si>
    <t>01/01/2003</t>
  </si>
  <si>
    <t>12/02/1955</t>
  </si>
  <si>
    <t>20/08/2004</t>
  </si>
  <si>
    <t>23/08/1973</t>
  </si>
  <si>
    <t>11/04/1986</t>
  </si>
  <si>
    <t>27/03/1955</t>
  </si>
  <si>
    <t>26/07/1970</t>
  </si>
  <si>
    <t>18/03/1999</t>
  </si>
  <si>
    <t>03/06/1957</t>
  </si>
  <si>
    <t>05/04/1996</t>
  </si>
  <si>
    <t>14/05/1947</t>
  </si>
  <si>
    <t>26/05/1963</t>
  </si>
  <si>
    <t>23/02/1984</t>
  </si>
  <si>
    <t>12/05/1967</t>
  </si>
  <si>
    <t>08/01/1994</t>
  </si>
  <si>
    <t>30/10/1999</t>
  </si>
  <si>
    <t>22/06/1976</t>
  </si>
  <si>
    <t>23/08/1963</t>
  </si>
  <si>
    <t>16/02/1969</t>
  </si>
  <si>
    <t>14/07/2001</t>
  </si>
  <si>
    <t>29/08/1997</t>
  </si>
  <si>
    <t>18/07/1988</t>
  </si>
  <si>
    <t>27/09/1967</t>
  </si>
  <si>
    <t>12/06/1988</t>
  </si>
  <si>
    <t>07/02/1989</t>
  </si>
  <si>
    <t>04/11/1960</t>
  </si>
  <si>
    <t>03/04/1992</t>
  </si>
  <si>
    <t>10/12/1982</t>
  </si>
  <si>
    <t>04/03/1987</t>
  </si>
  <si>
    <t>24/12/1959</t>
  </si>
  <si>
    <t>23/09/1990</t>
  </si>
  <si>
    <t>13/06/1967</t>
  </si>
  <si>
    <t>21/10/1966</t>
  </si>
  <si>
    <t>28/07/1992</t>
  </si>
  <si>
    <t>29/11/1993</t>
  </si>
  <si>
    <t>01/10/1990</t>
  </si>
  <si>
    <t>08/02/2005</t>
  </si>
  <si>
    <t>16/06/2002</t>
  </si>
  <si>
    <t>14/01/1975</t>
  </si>
  <si>
    <t>03/05/1990</t>
  </si>
  <si>
    <t>19/04/1991</t>
  </si>
  <si>
    <t>12/01/1982</t>
  </si>
  <si>
    <t>10/03/2004</t>
  </si>
  <si>
    <t>22/10/1978</t>
  </si>
  <si>
    <t>02/06/1983</t>
  </si>
  <si>
    <t>14/05/2001</t>
  </si>
  <si>
    <t>18/10/1958</t>
  </si>
  <si>
    <t>11/08/1979</t>
  </si>
  <si>
    <t>22/10/2003</t>
  </si>
  <si>
    <t>29/10/1970</t>
  </si>
  <si>
    <t>10/12/1973</t>
  </si>
  <si>
    <t>25/02/1984</t>
  </si>
  <si>
    <t>01/09/1967</t>
  </si>
  <si>
    <t>13/06/1986</t>
  </si>
  <si>
    <t>08/03/1992</t>
  </si>
  <si>
    <t>18/01/1998</t>
  </si>
  <si>
    <t>20/10/1971</t>
  </si>
  <si>
    <t>29/07/1979</t>
  </si>
  <si>
    <t>29/11/1985</t>
  </si>
  <si>
    <t>03/02/1985</t>
  </si>
  <si>
    <t>06/07/1998</t>
  </si>
  <si>
    <t>30/12/1969</t>
  </si>
  <si>
    <t>01/02/1987</t>
  </si>
  <si>
    <t>14/10/1985</t>
  </si>
  <si>
    <t>19/11/2006</t>
  </si>
  <si>
    <t>30/05/1996</t>
  </si>
  <si>
    <t>27/04/1980</t>
  </si>
  <si>
    <t>14/10/1995</t>
  </si>
  <si>
    <t>30/06/2002</t>
  </si>
  <si>
    <t>14/05/1976</t>
  </si>
  <si>
    <t>11/12/2005</t>
  </si>
  <si>
    <t>08/10/1971</t>
  </si>
  <si>
    <t>21/07/1997</t>
  </si>
  <si>
    <t>27/12/2007</t>
  </si>
  <si>
    <t>20/06/1974</t>
  </si>
  <si>
    <t>28/05/1989</t>
  </si>
  <si>
    <t>20/06/1991</t>
  </si>
  <si>
    <t>26/03/1987</t>
  </si>
  <si>
    <t>06/04/1963</t>
  </si>
  <si>
    <t>27/10/1975</t>
  </si>
  <si>
    <t>03/08/1945</t>
  </si>
  <si>
    <t>20/10/2003</t>
  </si>
  <si>
    <t>24/08/1966</t>
  </si>
  <si>
    <t>26/08/1978</t>
  </si>
  <si>
    <t>15/03/1982</t>
  </si>
  <si>
    <t>07/08/1997</t>
  </si>
  <si>
    <t>08/06/1997</t>
  </si>
  <si>
    <t>26/11/2000</t>
  </si>
  <si>
    <t>19/05/1989</t>
  </si>
  <si>
    <t>30/01/2001</t>
  </si>
  <si>
    <t>30/04/1995</t>
  </si>
  <si>
    <t>12/05/2001</t>
  </si>
  <si>
    <t>18/06/1977</t>
  </si>
  <si>
    <t>31/08/1980</t>
  </si>
  <si>
    <t>18/03/2004</t>
  </si>
  <si>
    <t>11/08/1990</t>
  </si>
  <si>
    <t>25/02/1990</t>
  </si>
  <si>
    <t>18/11/1997</t>
  </si>
  <si>
    <t>27/05/2000</t>
  </si>
  <si>
    <t>20/04/2003</t>
  </si>
  <si>
    <t>18/09/1980</t>
  </si>
  <si>
    <t>01/08/1968</t>
  </si>
  <si>
    <t>08/03/2004</t>
  </si>
  <si>
    <t>08/05/1962</t>
  </si>
  <si>
    <t>08/12/1967</t>
  </si>
  <si>
    <t>20/04/1990</t>
  </si>
  <si>
    <t>07/05/1965</t>
  </si>
  <si>
    <t>03/11/1996</t>
  </si>
  <si>
    <t>15/04/1966</t>
  </si>
  <si>
    <t>01/01/1993</t>
  </si>
  <si>
    <t>29/04/1994</t>
  </si>
  <si>
    <t>20/05/1972</t>
  </si>
  <si>
    <t>15/06/1979</t>
  </si>
  <si>
    <t>20/01/1960</t>
  </si>
  <si>
    <t>14/02/1996</t>
  </si>
  <si>
    <t>04/01/1998</t>
  </si>
  <si>
    <t>14/07/1984</t>
  </si>
  <si>
    <t>16/12/1989</t>
  </si>
  <si>
    <t>05/05/2002</t>
  </si>
  <si>
    <t>01/01/1985</t>
  </si>
  <si>
    <t>28/04/2002</t>
  </si>
  <si>
    <t>04/07/1973</t>
  </si>
  <si>
    <t>11/08/1953</t>
  </si>
  <si>
    <t>24/09/1973</t>
  </si>
  <si>
    <t>25/11/1997</t>
  </si>
  <si>
    <t>25/09/1994</t>
  </si>
  <si>
    <t>15/05/1967</t>
  </si>
  <si>
    <t>18/01/1983</t>
  </si>
  <si>
    <t>14/04/1987</t>
  </si>
  <si>
    <t>30/10/1988</t>
  </si>
  <si>
    <t>28/11/1985</t>
  </si>
  <si>
    <t>18/08/1994</t>
  </si>
  <si>
    <t>15/12/1987</t>
  </si>
  <si>
    <t>05/12/1994</t>
  </si>
  <si>
    <t>08/08/1977</t>
  </si>
  <si>
    <t>24/11/1979</t>
  </si>
  <si>
    <t>12/01/1986</t>
  </si>
  <si>
    <t>23/09/2006</t>
  </si>
  <si>
    <t>13/03/1990</t>
  </si>
  <si>
    <t>20/12/1963</t>
  </si>
  <si>
    <t>16/05/1972</t>
  </si>
  <si>
    <t>29/10/2002</t>
  </si>
  <si>
    <t>05/07/2004</t>
  </si>
  <si>
    <t>29/04/2007</t>
  </si>
  <si>
    <t>10/10/1980</t>
  </si>
  <si>
    <t>03/01/1976</t>
  </si>
  <si>
    <t>22/07/1991</t>
  </si>
  <si>
    <t>15/07/1982</t>
  </si>
  <si>
    <t>28/06/1983</t>
  </si>
  <si>
    <t>11/06/2001</t>
  </si>
  <si>
    <t>06/11/1978</t>
  </si>
  <si>
    <t>31/08/1976</t>
  </si>
  <si>
    <t>12/12/1984</t>
  </si>
  <si>
    <t>27/06/1959</t>
  </si>
  <si>
    <t>05/11/1996</t>
  </si>
  <si>
    <t>20/11/1967</t>
  </si>
  <si>
    <t>25/08/1982</t>
  </si>
  <si>
    <t>14/12/1955</t>
  </si>
  <si>
    <t>21/10/1991</t>
  </si>
  <si>
    <t>09/08/1977</t>
  </si>
  <si>
    <t>25/06/2000</t>
  </si>
  <si>
    <t>31/03/1965</t>
  </si>
  <si>
    <t>01/05/1997</t>
  </si>
  <si>
    <t>02/12/1997</t>
  </si>
  <si>
    <t>09/02/1948</t>
  </si>
  <si>
    <t>02/08/1978</t>
  </si>
  <si>
    <t>28/06/1967</t>
  </si>
  <si>
    <t>24/02/2000</t>
  </si>
  <si>
    <t>24/05/1959</t>
  </si>
  <si>
    <t>21/02/1999</t>
  </si>
  <si>
    <t>04/09/1985</t>
  </si>
  <si>
    <t>15/12/1997</t>
  </si>
  <si>
    <t>12/05/2002</t>
  </si>
  <si>
    <t>04/09/1995</t>
  </si>
  <si>
    <t>21/01/1984</t>
  </si>
  <si>
    <t>21/04/1989</t>
  </si>
  <si>
    <t>20/05/2004</t>
  </si>
  <si>
    <t>24/03/1978</t>
  </si>
  <si>
    <t>16/03/1962</t>
  </si>
  <si>
    <t>19/07/1995</t>
  </si>
  <si>
    <t>10/08/2002</t>
  </si>
  <si>
    <t>16/06/1999</t>
  </si>
  <si>
    <t>31/05/1971</t>
  </si>
  <si>
    <t>09/04/1957</t>
  </si>
  <si>
    <t>26/09/2000</t>
  </si>
  <si>
    <t>12/11/1973</t>
  </si>
  <si>
    <t>24/06/1960</t>
  </si>
  <si>
    <t>17/09/1985</t>
  </si>
  <si>
    <t>03/03/1961</t>
  </si>
  <si>
    <t>29/04/1992</t>
  </si>
  <si>
    <t>19/12/1997</t>
  </si>
  <si>
    <t>09/10/1993</t>
  </si>
  <si>
    <t>03/02/1972</t>
  </si>
  <si>
    <t>08/06/2003</t>
  </si>
  <si>
    <t>25/05/1971</t>
  </si>
  <si>
    <t>20/08/1989</t>
  </si>
  <si>
    <t>17/10/1955</t>
  </si>
  <si>
    <t>20/11/1980</t>
  </si>
  <si>
    <t>01/05/1982</t>
  </si>
  <si>
    <t>20/11/1972</t>
  </si>
  <si>
    <t>08/08/2005</t>
  </si>
  <si>
    <t>14/10/1992</t>
  </si>
  <si>
    <t>05/12/2002</t>
  </si>
  <si>
    <t>16/06/1997</t>
  </si>
  <si>
    <t>19/06/1996</t>
  </si>
  <si>
    <t>07/11/2004</t>
  </si>
  <si>
    <t>16/09/2002</t>
  </si>
  <si>
    <t>10/04/1976</t>
  </si>
  <si>
    <t>06/01/1989</t>
  </si>
  <si>
    <t>01/07/1971</t>
  </si>
  <si>
    <t>27/09/1980</t>
  </si>
  <si>
    <t>16/05/2004</t>
  </si>
  <si>
    <t>10/11/2003</t>
  </si>
  <si>
    <t>05/06/1986</t>
  </si>
  <si>
    <t>25/11/2006</t>
  </si>
  <si>
    <t>19/09/1953</t>
  </si>
  <si>
    <t>20/12/1983</t>
  </si>
  <si>
    <t>20/07/1983</t>
  </si>
  <si>
    <t>20/11/1992</t>
  </si>
  <si>
    <t>06/12/1984</t>
  </si>
  <si>
    <t>21/07/2000</t>
  </si>
  <si>
    <t>07/02/2004</t>
  </si>
  <si>
    <t>04/05/1996</t>
  </si>
  <si>
    <t>15/09/2001</t>
  </si>
  <si>
    <t>16/06/1995</t>
  </si>
  <si>
    <t>24/10/1992</t>
  </si>
  <si>
    <t>02/12/1990</t>
  </si>
  <si>
    <t>27/09/1984</t>
  </si>
  <si>
    <t>10/01/1976</t>
  </si>
  <si>
    <t>27/06/1984</t>
  </si>
  <si>
    <t>01/04/1997</t>
  </si>
  <si>
    <t>04/02/2000</t>
  </si>
  <si>
    <t>15/12/1994</t>
  </si>
  <si>
    <t>09/07/1989</t>
  </si>
  <si>
    <t>07/09/1993</t>
  </si>
  <si>
    <t>08/03/1993</t>
  </si>
  <si>
    <t>09/06/1963</t>
  </si>
  <si>
    <t>28/02/1976</t>
  </si>
  <si>
    <t>27/04/1999</t>
  </si>
  <si>
    <t>15/01/1989</t>
  </si>
  <si>
    <t>25/01/1994</t>
  </si>
  <si>
    <t>19/03/1989</t>
  </si>
  <si>
    <t>05/06/1980</t>
  </si>
  <si>
    <t>15/06/2006</t>
  </si>
  <si>
    <t>25/11/1968</t>
  </si>
  <si>
    <t>06/09/1967</t>
  </si>
  <si>
    <t>11/07/1997</t>
  </si>
  <si>
    <t>08/05/1953</t>
  </si>
  <si>
    <t>06/10/1961</t>
  </si>
  <si>
    <t>06/05/1989</t>
  </si>
  <si>
    <t>28/06/1998</t>
  </si>
  <si>
    <t>05/10/1994</t>
  </si>
  <si>
    <t>20/08/1995</t>
  </si>
  <si>
    <t>01/06/1968</t>
  </si>
  <si>
    <t>03/10/1996</t>
  </si>
  <si>
    <t>10/06/1950</t>
  </si>
  <si>
    <t>15/12/1986</t>
  </si>
  <si>
    <t>15/03/1985</t>
  </si>
  <si>
    <t>24/02/1971</t>
  </si>
  <si>
    <t>17/10/1977</t>
  </si>
  <si>
    <t>28/04/2003</t>
  </si>
  <si>
    <t>18/03/1967</t>
  </si>
  <si>
    <t>30/07/1995</t>
  </si>
  <si>
    <t>04/01/1993</t>
  </si>
  <si>
    <t>04/12/1994</t>
  </si>
  <si>
    <t>20/11/1983</t>
  </si>
  <si>
    <t>17/09/1952</t>
  </si>
  <si>
    <t>06/08/1999</t>
  </si>
  <si>
    <t>03/06/1993</t>
  </si>
  <si>
    <t>14/01/1968</t>
  </si>
  <si>
    <t>20/10/1980</t>
  </si>
  <si>
    <t>24/06/1968</t>
  </si>
  <si>
    <t>01/03/1987</t>
  </si>
  <si>
    <t>29/03/1990</t>
  </si>
  <si>
    <t>27/03/2002</t>
  </si>
  <si>
    <t>08/02/1979</t>
  </si>
  <si>
    <t>04/07/1997</t>
  </si>
  <si>
    <t>28/11/2004</t>
  </si>
  <si>
    <t>09/07/1982</t>
  </si>
  <si>
    <t>02/11/1995</t>
  </si>
  <si>
    <t>04/02/1994</t>
  </si>
  <si>
    <t>29/12/1996</t>
  </si>
  <si>
    <t>11/06/1979</t>
  </si>
  <si>
    <t>14/06/1985</t>
  </si>
  <si>
    <t>12/12/1987</t>
  </si>
  <si>
    <t>09/07/1984</t>
  </si>
  <si>
    <t>26/02/1971</t>
  </si>
  <si>
    <t>08/02/1988</t>
  </si>
  <si>
    <t>05/09/1965</t>
  </si>
  <si>
    <t>26/11/2005</t>
  </si>
  <si>
    <t>11/05/2001</t>
  </si>
  <si>
    <t>17/05/1984</t>
  </si>
  <si>
    <t>22/03/2000</t>
  </si>
  <si>
    <t>26/05/1992</t>
  </si>
  <si>
    <t>01/01/1990</t>
  </si>
  <si>
    <t>22/01/2003</t>
  </si>
  <si>
    <t>12/07/1999</t>
  </si>
  <si>
    <t>11/06/1998</t>
  </si>
  <si>
    <t>24/09/2003</t>
  </si>
  <si>
    <t>19/08/1960</t>
  </si>
  <si>
    <t>30/10/2002</t>
  </si>
  <si>
    <t>06/01/1979</t>
  </si>
  <si>
    <t>16/08/1994</t>
  </si>
  <si>
    <t>24/08/1991</t>
  </si>
  <si>
    <t>24/05/2000</t>
  </si>
  <si>
    <t>23/03/1988</t>
  </si>
  <si>
    <t>03/11/1972</t>
  </si>
  <si>
    <t>19/10/1970</t>
  </si>
  <si>
    <t>09/02/1988</t>
  </si>
  <si>
    <t>20/08/1999</t>
  </si>
  <si>
    <t>22/04/1992</t>
  </si>
  <si>
    <t>30/01/1996</t>
  </si>
  <si>
    <t>19/07/1971</t>
  </si>
  <si>
    <t>13/01/1997</t>
  </si>
  <si>
    <t>03/03/2000</t>
  </si>
  <si>
    <t>18/10/2004</t>
  </si>
  <si>
    <t>21/12/1993</t>
  </si>
  <si>
    <t>09/11/1991</t>
  </si>
  <si>
    <t>15/10/1957</t>
  </si>
  <si>
    <t>08/03/1966</t>
  </si>
  <si>
    <t>28/05/1976</t>
  </si>
  <si>
    <t>06/04/1988</t>
  </si>
  <si>
    <t>15/01/1958</t>
  </si>
  <si>
    <t>15/03/1984</t>
  </si>
  <si>
    <t>27/09/1985</t>
  </si>
  <si>
    <t>01/02/1984</t>
  </si>
  <si>
    <t>18/06/1975</t>
  </si>
  <si>
    <t>04/01/1999</t>
  </si>
  <si>
    <t>07/11/1994</t>
  </si>
  <si>
    <t>03/12/2000</t>
  </si>
  <si>
    <t>02/01/1996</t>
  </si>
  <si>
    <t>01/11/1986</t>
  </si>
  <si>
    <t>23/03/1990</t>
  </si>
  <si>
    <t>20/09/1984</t>
  </si>
  <si>
    <t>08/07/1997</t>
  </si>
  <si>
    <t>01/04/1975</t>
  </si>
  <si>
    <t>28/09/1956</t>
  </si>
  <si>
    <t>02/11/2006</t>
  </si>
  <si>
    <t>02/11/1970</t>
  </si>
  <si>
    <t>16/09/1996</t>
  </si>
  <si>
    <t>17/02/1987</t>
  </si>
  <si>
    <t>21/02/1982</t>
  </si>
  <si>
    <t>05/12/1986</t>
  </si>
  <si>
    <t>19/09/2004</t>
  </si>
  <si>
    <t>17/04/2005</t>
  </si>
  <si>
    <t>26/10/1987</t>
  </si>
  <si>
    <t>17/09/1973</t>
  </si>
  <si>
    <t>10/07/1976</t>
  </si>
  <si>
    <t>16/03/1967</t>
  </si>
  <si>
    <t>03/09/1983</t>
  </si>
  <si>
    <t>20/05/1971</t>
  </si>
  <si>
    <t>26/03/1959</t>
  </si>
  <si>
    <t>02/07/1999</t>
  </si>
  <si>
    <t>12/12/1973</t>
  </si>
  <si>
    <t>16/05/1986</t>
  </si>
  <si>
    <t>12/10/1981</t>
  </si>
  <si>
    <t>25/07/1982</t>
  </si>
  <si>
    <t>15/10/1993</t>
  </si>
  <si>
    <t>12/09/1974</t>
  </si>
  <si>
    <t>18/05/1992</t>
  </si>
  <si>
    <t>25/08/1998</t>
  </si>
  <si>
    <t>19/11/1971</t>
  </si>
  <si>
    <t>27/08/1965</t>
  </si>
  <si>
    <t>21/06/2002</t>
  </si>
  <si>
    <t>22/05/2000</t>
  </si>
  <si>
    <t>29/12/1970</t>
  </si>
  <si>
    <t>22/08/1995</t>
  </si>
  <si>
    <t>26/05/1995</t>
  </si>
  <si>
    <t>29/12/1991</t>
  </si>
  <si>
    <t>06/03/1980</t>
  </si>
  <si>
    <t>23/06/1993</t>
  </si>
  <si>
    <t>14/01/2002</t>
  </si>
  <si>
    <t>26/01/1957</t>
  </si>
  <si>
    <t>10/08/1961</t>
  </si>
  <si>
    <t>01/01/1982</t>
  </si>
  <si>
    <t>18/05/1968</t>
  </si>
  <si>
    <t>28/11/1971</t>
  </si>
  <si>
    <t>26/11/1987</t>
  </si>
  <si>
    <t>06/11/1984</t>
  </si>
  <si>
    <t>09/08/2002</t>
  </si>
  <si>
    <t>05/09/1967</t>
  </si>
  <si>
    <t>03/01/2004</t>
  </si>
  <si>
    <t>02/07/1973</t>
  </si>
  <si>
    <t>20/04/1976</t>
  </si>
  <si>
    <t>11/04/1995</t>
  </si>
  <si>
    <t>21/02/1966</t>
  </si>
  <si>
    <t>16/10/1958</t>
  </si>
  <si>
    <t>10/02/1992</t>
  </si>
  <si>
    <t>04/08/1997</t>
  </si>
  <si>
    <t>24/07/1960</t>
  </si>
  <si>
    <t>06/01/2000</t>
  </si>
  <si>
    <t>26/01/1997</t>
  </si>
  <si>
    <t>27/01/1999</t>
  </si>
  <si>
    <t>04/11/1974</t>
  </si>
  <si>
    <t>20/04/1972</t>
  </si>
  <si>
    <t>01/08/1981</t>
  </si>
  <si>
    <t>06/07/1960</t>
  </si>
  <si>
    <t>23/07/1977</t>
  </si>
  <si>
    <t>25/05/2006</t>
  </si>
  <si>
    <t>28/12/1979</t>
  </si>
  <si>
    <t>29/01/1963</t>
  </si>
  <si>
    <t>03/11/2000</t>
  </si>
  <si>
    <t>15/07/1998</t>
  </si>
  <si>
    <t>08/05/1965</t>
  </si>
  <si>
    <t>09/12/1964</t>
  </si>
  <si>
    <t>18/06/1992</t>
  </si>
  <si>
    <t>26/08/1987</t>
  </si>
  <si>
    <t>31/12/1994</t>
  </si>
  <si>
    <t>31/03/1998</t>
  </si>
  <si>
    <t>30/08/2004</t>
  </si>
  <si>
    <t>02/05/1978</t>
  </si>
  <si>
    <t>12/11/1994</t>
  </si>
  <si>
    <t>22/05/1965</t>
  </si>
  <si>
    <t>12/05/1994</t>
  </si>
  <si>
    <t>05/08/1981</t>
  </si>
  <si>
    <t>24/06/1992</t>
  </si>
  <si>
    <t>13/08/1996</t>
  </si>
  <si>
    <t>17/12/1979</t>
  </si>
  <si>
    <t>20/06/1967</t>
  </si>
  <si>
    <t>01/02/1989</t>
  </si>
  <si>
    <t>02/08/1998</t>
  </si>
  <si>
    <t>10/08/1971</t>
  </si>
  <si>
    <t>06/11/2003</t>
  </si>
  <si>
    <t>10/01/1983</t>
  </si>
  <si>
    <t>13/04/2001</t>
  </si>
  <si>
    <t>04/05/1987</t>
  </si>
  <si>
    <t>08/08/1962</t>
  </si>
  <si>
    <t>30/10/1981</t>
  </si>
  <si>
    <t>20/10/1983</t>
  </si>
  <si>
    <t>23/09/1970</t>
  </si>
  <si>
    <t>23/09/1969</t>
  </si>
  <si>
    <t>24/12/1956</t>
  </si>
  <si>
    <t>11/06/1962</t>
  </si>
  <si>
    <t>30/07/1980</t>
  </si>
  <si>
    <t>15/05/1964</t>
  </si>
  <si>
    <t>26/05/2001</t>
  </si>
  <si>
    <t>15/08/1988</t>
  </si>
  <si>
    <t>14/10/1998</t>
  </si>
  <si>
    <t>15/09/1993</t>
  </si>
  <si>
    <t>11/04/2006</t>
  </si>
  <si>
    <t>07/04/1984</t>
  </si>
  <si>
    <t>12/02/1981</t>
  </si>
  <si>
    <t>27/09/1988</t>
  </si>
  <si>
    <t>21/11/1987</t>
  </si>
  <si>
    <t>18/03/2003</t>
  </si>
  <si>
    <t>20/05/1983</t>
  </si>
  <si>
    <t>20/07/1994</t>
  </si>
  <si>
    <t>04/04/1984</t>
  </si>
  <si>
    <t>27/05/1977</t>
  </si>
  <si>
    <t>24/02/1992</t>
  </si>
  <si>
    <t>28/12/1978</t>
  </si>
  <si>
    <t>05/01/2000</t>
  </si>
  <si>
    <t>04/12/1954</t>
  </si>
  <si>
    <t>13/07/1983</t>
  </si>
  <si>
    <t>15/07/1981</t>
  </si>
  <si>
    <t>25/03/1991</t>
  </si>
  <si>
    <t>02/02/1971</t>
  </si>
  <si>
    <t>25/11/1958</t>
  </si>
  <si>
    <t>01/09/1960</t>
  </si>
  <si>
    <t>20/06/2004</t>
  </si>
  <si>
    <t>30/10/1991</t>
  </si>
  <si>
    <t>24/08/1974</t>
  </si>
  <si>
    <t>15/04/1983</t>
  </si>
  <si>
    <t>18/04/1985</t>
  </si>
  <si>
    <t>16/10/1959</t>
  </si>
  <si>
    <t>05/07/1979</t>
  </si>
  <si>
    <t>18/01/1969</t>
  </si>
  <si>
    <t>22/12/1994</t>
  </si>
  <si>
    <t>08/08/1961</t>
  </si>
  <si>
    <t>25/11/1992</t>
  </si>
  <si>
    <t>31/07/2001</t>
  </si>
  <si>
    <t>28/12/1971</t>
  </si>
  <si>
    <t>08/02/1992</t>
  </si>
  <si>
    <t>10/11/1975</t>
  </si>
  <si>
    <t>29/02/2000</t>
  </si>
  <si>
    <t>28/11/1983</t>
  </si>
  <si>
    <t>13/05/1991</t>
  </si>
  <si>
    <t>22/02/1988</t>
  </si>
  <si>
    <t>30/08/1991</t>
  </si>
  <si>
    <t>25/08/1990</t>
  </si>
  <si>
    <t>07/10/2003</t>
  </si>
  <si>
    <t>19/01/1980</t>
  </si>
  <si>
    <t>27/03/1981</t>
  </si>
  <si>
    <t>30/09/1988</t>
  </si>
  <si>
    <t>25/06/1973</t>
  </si>
  <si>
    <t>14/11/1993</t>
  </si>
  <si>
    <t>30/04/2004</t>
  </si>
  <si>
    <t>07/11/1975</t>
  </si>
  <si>
    <t>03/11/1976</t>
  </si>
  <si>
    <t>23/03/2007</t>
  </si>
  <si>
    <t>12/05/1998</t>
  </si>
  <si>
    <t>15/07/2006</t>
  </si>
  <si>
    <t>17/01/2000</t>
  </si>
  <si>
    <t>07/05/2006</t>
  </si>
  <si>
    <t>26/04/1986</t>
  </si>
  <si>
    <t>17/03/1984</t>
  </si>
  <si>
    <t>06/08/1954</t>
  </si>
  <si>
    <t>08/06/1977</t>
  </si>
  <si>
    <t>01/10/1994</t>
  </si>
  <si>
    <t>08/12/1968</t>
  </si>
  <si>
    <t>13/10/2006</t>
  </si>
  <si>
    <t>24/09/1978</t>
  </si>
  <si>
    <t>18/08/1992</t>
  </si>
  <si>
    <t>22/12/1989</t>
  </si>
  <si>
    <t>03/11/1971</t>
  </si>
  <si>
    <t>04/02/1968</t>
  </si>
  <si>
    <t>15/03/1992</t>
  </si>
  <si>
    <t>01/11/1996</t>
  </si>
  <si>
    <t>31/08/1994</t>
  </si>
  <si>
    <t>15/07/1958</t>
  </si>
  <si>
    <t>01/11/2000</t>
  </si>
  <si>
    <t>29/12/1978</t>
  </si>
  <si>
    <t>22/02/1996</t>
  </si>
  <si>
    <t>13/07/1997</t>
  </si>
  <si>
    <t>17/02/1990</t>
  </si>
  <si>
    <t>02/12/1962</t>
  </si>
  <si>
    <t>31/07/1993</t>
  </si>
  <si>
    <t>17/01/1997</t>
  </si>
  <si>
    <t>03/05/1956</t>
  </si>
  <si>
    <t>29/10/1998</t>
  </si>
  <si>
    <t>01/05/1999</t>
  </si>
  <si>
    <t>29/04/1962</t>
  </si>
  <si>
    <t>11/12/1964</t>
  </si>
  <si>
    <t>07/06/1995</t>
  </si>
  <si>
    <t>22/09/1988</t>
  </si>
  <si>
    <t>26/03/1980</t>
  </si>
  <si>
    <t>03/02/1968</t>
  </si>
  <si>
    <t>26/11/1985</t>
  </si>
  <si>
    <t>04/03/1986</t>
  </si>
  <si>
    <t>26/05/1967</t>
  </si>
  <si>
    <t>05/07/1988</t>
  </si>
  <si>
    <t>18/05/1971</t>
  </si>
  <si>
    <t>06/12/2003</t>
  </si>
  <si>
    <t>03/11/2001</t>
  </si>
  <si>
    <t>08/02/1978</t>
  </si>
  <si>
    <t>26/07/2002</t>
  </si>
  <si>
    <t>22/09/1977</t>
  </si>
  <si>
    <t>30/06/1968</t>
  </si>
  <si>
    <t>23/11/1954</t>
  </si>
  <si>
    <t>10/11/1989</t>
  </si>
  <si>
    <t>01/07/2001</t>
  </si>
  <si>
    <t>02/09/2005</t>
  </si>
  <si>
    <t>18/07/1941</t>
  </si>
  <si>
    <t>27/01/2001</t>
  </si>
  <si>
    <t>19/06/2004</t>
  </si>
  <si>
    <t>29/07/1950</t>
  </si>
  <si>
    <t>30/10/1980</t>
  </si>
  <si>
    <t>06/03/1998</t>
  </si>
  <si>
    <t>22/08/1969</t>
  </si>
  <si>
    <t>07/05/1984</t>
  </si>
  <si>
    <t>10/04/1956</t>
  </si>
  <si>
    <t>22/10/1996</t>
  </si>
  <si>
    <t>10/02/1981</t>
  </si>
  <si>
    <t>12/02/1986</t>
  </si>
  <si>
    <t>07/11/1993</t>
  </si>
  <si>
    <t>10/08/1966</t>
  </si>
  <si>
    <t>04/11/1996</t>
  </si>
  <si>
    <t>25/01/1968</t>
  </si>
  <si>
    <t>01/08/2002</t>
  </si>
  <si>
    <t>11/05/1998</t>
  </si>
  <si>
    <t>10/09/1962</t>
  </si>
  <si>
    <t>21/03/1997</t>
  </si>
  <si>
    <t>14/12/1996</t>
  </si>
  <si>
    <t>06/12/2001</t>
  </si>
  <si>
    <t>29/09/1978</t>
  </si>
  <si>
    <t>08/06/1993</t>
  </si>
  <si>
    <t>11/07/1971</t>
  </si>
  <si>
    <t>31/10/1951</t>
  </si>
  <si>
    <t>13/07/1986</t>
  </si>
  <si>
    <t>26/02/1986</t>
  </si>
  <si>
    <t>27/06/2005</t>
  </si>
  <si>
    <t>03/07/1948</t>
  </si>
  <si>
    <t>17/05/1971</t>
  </si>
  <si>
    <t>20/11/1984</t>
  </si>
  <si>
    <t>20/03/1995</t>
  </si>
  <si>
    <t>10/04/2006</t>
  </si>
  <si>
    <t>02/02/1994</t>
  </si>
  <si>
    <t>21/12/1976</t>
  </si>
  <si>
    <t>13/10/1996</t>
  </si>
  <si>
    <t>21/08/1997</t>
  </si>
  <si>
    <t>14/02/1998</t>
  </si>
  <si>
    <t>14/08/2007</t>
  </si>
  <si>
    <t>02/05/1988</t>
  </si>
  <si>
    <t>08/03/2000</t>
  </si>
  <si>
    <t>17/09/1996</t>
  </si>
  <si>
    <t>16/06/1980</t>
  </si>
  <si>
    <t>04/05/1979</t>
  </si>
  <si>
    <t>01/10/1984</t>
  </si>
  <si>
    <t>24/09/1974</t>
  </si>
  <si>
    <t>24/11/1999</t>
  </si>
  <si>
    <t>03/10/1966</t>
  </si>
  <si>
    <t>04/03/1959</t>
  </si>
  <si>
    <t>15/04/2000</t>
  </si>
  <si>
    <t>20/02/1979</t>
  </si>
  <si>
    <t>18/12/1996</t>
  </si>
  <si>
    <t>21/01/1982</t>
  </si>
  <si>
    <t>20/09/1963</t>
  </si>
  <si>
    <t>26/09/2003</t>
  </si>
  <si>
    <t>12/07/1978</t>
  </si>
  <si>
    <t>01/12/1976</t>
  </si>
  <si>
    <t>15/11/1992</t>
  </si>
  <si>
    <t>18/10/1987</t>
  </si>
  <si>
    <t>30/09/2003</t>
  </si>
  <si>
    <t>22/03/2005</t>
  </si>
  <si>
    <t>06/03/1985</t>
  </si>
  <si>
    <t>05/05/1994</t>
  </si>
  <si>
    <t>16/05/1982</t>
  </si>
  <si>
    <t>24/11/1985</t>
  </si>
  <si>
    <t>03/03/1991</t>
  </si>
  <si>
    <t>02/12/1956</t>
  </si>
  <si>
    <t>07/09/1983</t>
  </si>
  <si>
    <t>03/05/2001</t>
  </si>
  <si>
    <t>23/01/1974</t>
  </si>
  <si>
    <t>10/11/1981</t>
  </si>
  <si>
    <t>29/12/1973</t>
  </si>
  <si>
    <t>14/01/2000</t>
  </si>
  <si>
    <t>28/06/1984</t>
  </si>
  <si>
    <t>19/09/2003</t>
  </si>
  <si>
    <t>11/06/1999</t>
  </si>
  <si>
    <t>01/09/1950</t>
  </si>
  <si>
    <t>10/04/1983</t>
  </si>
  <si>
    <t>15/02/1996</t>
  </si>
  <si>
    <t>20/11/1991</t>
  </si>
  <si>
    <t>11/03/1997</t>
  </si>
  <si>
    <t>20/09/1989</t>
  </si>
  <si>
    <t>28/06/2005</t>
  </si>
  <si>
    <t>03/09/2002</t>
  </si>
  <si>
    <t>10/03/1991</t>
  </si>
  <si>
    <t>29/08/1993</t>
  </si>
  <si>
    <t>13/12/1980</t>
  </si>
  <si>
    <t>06/03/1993</t>
  </si>
  <si>
    <t>15/03/1976</t>
  </si>
  <si>
    <t>11/03/1952</t>
  </si>
  <si>
    <t>27/09/1981</t>
  </si>
  <si>
    <t>08/02/1998</t>
  </si>
  <si>
    <t>01/05/1949</t>
  </si>
  <si>
    <t>06/02/2001</t>
  </si>
  <si>
    <t>28/07/1981</t>
  </si>
  <si>
    <t>22/01/1981</t>
  </si>
  <si>
    <t>16/06/1959</t>
  </si>
  <si>
    <t>03/09/1984</t>
  </si>
  <si>
    <t>17/11/1984</t>
  </si>
  <si>
    <t>01/08/1988</t>
  </si>
  <si>
    <t>03/11/1969</t>
  </si>
  <si>
    <t>12/08/1994</t>
  </si>
  <si>
    <t>14/06/2004</t>
  </si>
  <si>
    <t>18/06/2002</t>
  </si>
  <si>
    <t>04/08/1973</t>
  </si>
  <si>
    <t>22/09/1986</t>
  </si>
  <si>
    <t>03/03/1977</t>
  </si>
  <si>
    <t>29/10/1975</t>
  </si>
  <si>
    <t>11/11/1988</t>
  </si>
  <si>
    <t>25/03/1989</t>
  </si>
  <si>
    <t>16/10/1951</t>
  </si>
  <si>
    <t>13/06/1973</t>
  </si>
  <si>
    <t>15/11/1976</t>
  </si>
  <si>
    <t>16/11/1999</t>
  </si>
  <si>
    <t>21/01/1987</t>
  </si>
  <si>
    <t>10/03/2001</t>
  </si>
  <si>
    <t>18/04/1950</t>
  </si>
  <si>
    <t>24/12/1982</t>
  </si>
  <si>
    <t>10/07/1994</t>
  </si>
  <si>
    <t>05/03/1983</t>
  </si>
  <si>
    <t>31/10/2000</t>
  </si>
  <si>
    <t>22/07/1974</t>
  </si>
  <si>
    <t>19/12/1993</t>
  </si>
  <si>
    <t>29/06/1985</t>
  </si>
  <si>
    <t>01/06/1982</t>
  </si>
  <si>
    <t>08/11/2002</t>
  </si>
  <si>
    <t>07/01/1977</t>
  </si>
  <si>
    <t>22/11/1960</t>
  </si>
  <si>
    <t>13/12/1991</t>
  </si>
  <si>
    <t>05/05/1964</t>
  </si>
  <si>
    <t>24/07/1996</t>
  </si>
  <si>
    <t>02/02/1986</t>
  </si>
  <si>
    <t>01/12/1987</t>
  </si>
  <si>
    <t>18/02/1986</t>
  </si>
  <si>
    <t>20/03/1993</t>
  </si>
  <si>
    <t>05/09/1999</t>
  </si>
  <si>
    <t>11/08/1991</t>
  </si>
  <si>
    <t>01/02/1983</t>
  </si>
  <si>
    <t>21/09/1974</t>
  </si>
  <si>
    <t>23/03/1992</t>
  </si>
  <si>
    <t>16/07/2003</t>
  </si>
  <si>
    <t>12/08/1975</t>
  </si>
  <si>
    <t>07/03/1988</t>
  </si>
  <si>
    <t>11/05/2004</t>
  </si>
  <si>
    <t>11/03/2004</t>
  </si>
  <si>
    <t>26/12/1974</t>
  </si>
  <si>
    <t>19/04/1992</t>
  </si>
  <si>
    <t>16/04/2006</t>
  </si>
  <si>
    <t>07/07/1962</t>
  </si>
  <si>
    <t>28/03/2001</t>
  </si>
  <si>
    <t>23/02/1960</t>
  </si>
  <si>
    <t>16/08/1976</t>
  </si>
  <si>
    <t>08/10/1948</t>
  </si>
  <si>
    <t>06/02/2002</t>
  </si>
  <si>
    <t>02/08/1966</t>
  </si>
  <si>
    <t>02/02/1982</t>
  </si>
  <si>
    <t>20/09/1983</t>
  </si>
  <si>
    <t>24/05/1990</t>
  </si>
  <si>
    <t>01/02/1958</t>
  </si>
  <si>
    <t>10/08/1991</t>
  </si>
  <si>
    <t>26/08/1977</t>
  </si>
  <si>
    <t>09/03/1969</t>
  </si>
  <si>
    <t>11/02/1984</t>
  </si>
  <si>
    <t>18/06/1995</t>
  </si>
  <si>
    <t>27/07/1974</t>
  </si>
  <si>
    <t>25/12/1997</t>
  </si>
  <si>
    <t>18/06/1968</t>
  </si>
  <si>
    <t>19/04/1967</t>
  </si>
  <si>
    <t>19/02/1993</t>
  </si>
  <si>
    <t>13/11/1987</t>
  </si>
  <si>
    <t>12/04/1999</t>
  </si>
  <si>
    <t>12/01/1995</t>
  </si>
  <si>
    <t>28/12/1943</t>
  </si>
  <si>
    <t>23/10/1985</t>
  </si>
  <si>
    <t>14/12/2004</t>
  </si>
  <si>
    <t>07/10/1958</t>
  </si>
  <si>
    <t>12/02/1965</t>
  </si>
  <si>
    <t>22/02/1997</t>
  </si>
  <si>
    <t>03/01/1985</t>
  </si>
  <si>
    <t>18/08/1991</t>
  </si>
  <si>
    <t>03/12/1987</t>
  </si>
  <si>
    <t>12/10/1978</t>
  </si>
  <si>
    <t>15/03/1981</t>
  </si>
  <si>
    <t>10/11/1987</t>
  </si>
  <si>
    <t>31/05/1966</t>
  </si>
  <si>
    <t>13/08/1999</t>
  </si>
  <si>
    <t>02/08/1957</t>
  </si>
  <si>
    <t>07/06/2001</t>
  </si>
  <si>
    <t>12/03/2003</t>
  </si>
  <si>
    <t>09/05/1996</t>
  </si>
  <si>
    <t>30/11/1993</t>
  </si>
  <si>
    <t>07/08/1962</t>
  </si>
  <si>
    <t>29/10/1945</t>
  </si>
  <si>
    <t>25/09/1999</t>
  </si>
  <si>
    <t>13/09/1995</t>
  </si>
  <si>
    <t>08/12/1990</t>
  </si>
  <si>
    <t>03/04/2001</t>
  </si>
  <si>
    <t>21/07/1993</t>
  </si>
  <si>
    <t>27/06/1986</t>
  </si>
  <si>
    <t>20/09/1993</t>
  </si>
  <si>
    <t>26/07/1977</t>
  </si>
  <si>
    <t>03/06/2001</t>
  </si>
  <si>
    <t>31/10/1994</t>
  </si>
  <si>
    <t>18/08/1990</t>
  </si>
  <si>
    <t>03/01/1972</t>
  </si>
  <si>
    <t>27/01/1986</t>
  </si>
  <si>
    <t>04/11/1994</t>
  </si>
  <si>
    <t>04/02/2005</t>
  </si>
  <si>
    <t>17/07/1956</t>
  </si>
  <si>
    <t>19/04/1994</t>
  </si>
  <si>
    <t>13/07/1974</t>
  </si>
  <si>
    <t>09/05/1992</t>
  </si>
  <si>
    <t>19/01/1994</t>
  </si>
  <si>
    <t>22/11/1974</t>
  </si>
  <si>
    <t>21/12/1992</t>
  </si>
  <si>
    <t>18/11/1990</t>
  </si>
  <si>
    <t>15/09/1965</t>
  </si>
  <si>
    <t>08/10/1990</t>
  </si>
  <si>
    <t>20/04/1991</t>
  </si>
  <si>
    <t>13/07/1984</t>
  </si>
  <si>
    <t>10/02/1988</t>
  </si>
  <si>
    <t>09/08/1967</t>
  </si>
  <si>
    <t>18/06/1994</t>
  </si>
  <si>
    <t>19/09/1982</t>
  </si>
  <si>
    <t>10/01/1973</t>
  </si>
  <si>
    <t>06/10/2000</t>
  </si>
  <si>
    <t>02/01/1991</t>
  </si>
  <si>
    <t>18/11/1988</t>
  </si>
  <si>
    <t>02/04/1957</t>
  </si>
  <si>
    <t>19/10/1982</t>
  </si>
  <si>
    <t>16/12/1978</t>
  </si>
  <si>
    <t>26/06/1962</t>
  </si>
  <si>
    <t>21/11/1989</t>
  </si>
  <si>
    <t>21/06/1971</t>
  </si>
  <si>
    <t>18/07/1959</t>
  </si>
  <si>
    <t>10/06/1974</t>
  </si>
  <si>
    <t>21/08/1966</t>
  </si>
  <si>
    <t>18/09/1981</t>
  </si>
  <si>
    <t>17/11/1987</t>
  </si>
  <si>
    <t>03/05/1957</t>
  </si>
  <si>
    <t>29/07/2003</t>
  </si>
  <si>
    <t>10/05/1990</t>
  </si>
  <si>
    <t>07/11/1999</t>
  </si>
  <si>
    <t>15/09/1979</t>
  </si>
  <si>
    <t>02/04/2003</t>
  </si>
  <si>
    <t>18/06/1967</t>
  </si>
  <si>
    <t>12/10/2002</t>
  </si>
  <si>
    <t>09/03/1971</t>
  </si>
  <si>
    <t>21/10/1957</t>
  </si>
  <si>
    <t>16/09/1973</t>
  </si>
  <si>
    <t>20/06/1993</t>
  </si>
  <si>
    <t>09/07/1997</t>
  </si>
  <si>
    <t>13/04/2003</t>
  </si>
  <si>
    <t>15/02/2003</t>
  </si>
  <si>
    <t>20/09/1988</t>
  </si>
  <si>
    <t>17/11/1996</t>
  </si>
  <si>
    <t>27/10/1990</t>
  </si>
  <si>
    <t>18/12/1999</t>
  </si>
  <si>
    <t>13/11/1996</t>
  </si>
  <si>
    <t>20/01/1995</t>
  </si>
  <si>
    <t>11/06/1981</t>
  </si>
  <si>
    <t>18/10/1992</t>
  </si>
  <si>
    <t>21/05/1992</t>
  </si>
  <si>
    <t>11/11/1995</t>
  </si>
  <si>
    <t>27/03/1983</t>
  </si>
  <si>
    <t>04/01/1991</t>
  </si>
  <si>
    <t>20/02/1951</t>
  </si>
  <si>
    <t>13/08/1984</t>
  </si>
  <si>
    <t>04/05/1997</t>
  </si>
  <si>
    <t>14/04/1998</t>
  </si>
  <si>
    <t>15/06/1955</t>
  </si>
  <si>
    <t>12/03/1999</t>
  </si>
  <si>
    <t>02/11/1971</t>
  </si>
  <si>
    <t>15/09/1971</t>
  </si>
  <si>
    <t>31/07/1973</t>
  </si>
  <si>
    <t>30/07/1966</t>
  </si>
  <si>
    <t>06/11/1996</t>
  </si>
  <si>
    <t>29/11/1999</t>
  </si>
  <si>
    <t>07/10/1991</t>
  </si>
  <si>
    <t>27/05/1993</t>
  </si>
  <si>
    <t>22/03/2001</t>
  </si>
  <si>
    <t>03/09/1987</t>
  </si>
  <si>
    <t>27/11/1959</t>
  </si>
  <si>
    <t>22/01/1988</t>
  </si>
  <si>
    <t>30/05/1984</t>
  </si>
  <si>
    <t>13/12/1996</t>
  </si>
  <si>
    <t>09/10/2000</t>
  </si>
  <si>
    <t>14/10/1990</t>
  </si>
  <si>
    <t>25/11/1965</t>
  </si>
  <si>
    <t>23/11/2001</t>
  </si>
  <si>
    <t>19/09/1999</t>
  </si>
  <si>
    <t>28/10/1999</t>
  </si>
  <si>
    <t>24/02/1989</t>
  </si>
  <si>
    <t>21/04/1960</t>
  </si>
  <si>
    <t>15/09/1990</t>
  </si>
  <si>
    <t>13/05/1963</t>
  </si>
  <si>
    <t>12/05/1987</t>
  </si>
  <si>
    <t>26/08/1995</t>
  </si>
  <si>
    <t>17/04/2003</t>
  </si>
  <si>
    <t>17/07/1974</t>
  </si>
  <si>
    <t>19/04/1960</t>
  </si>
  <si>
    <t>09/12/1998</t>
  </si>
  <si>
    <t>04/12/1995</t>
  </si>
  <si>
    <t>10/07/1998</t>
  </si>
  <si>
    <t>28/10/1980</t>
  </si>
  <si>
    <t>23/04/1990</t>
  </si>
  <si>
    <t>29/03/1981</t>
  </si>
  <si>
    <t>28/02/1972</t>
  </si>
  <si>
    <t>03/05/1987</t>
  </si>
  <si>
    <t>16/07/1983</t>
  </si>
  <si>
    <t>27/02/1964</t>
  </si>
  <si>
    <t>30/07/1985</t>
  </si>
  <si>
    <t>29/01/1985</t>
  </si>
  <si>
    <t>04/10/1947</t>
  </si>
  <si>
    <t>18/09/1984</t>
  </si>
  <si>
    <t>27/05/1983</t>
  </si>
  <si>
    <t>04/05/1986</t>
  </si>
  <si>
    <t>21/08/1995</t>
  </si>
  <si>
    <t>20/01/1985</t>
  </si>
  <si>
    <t>15/09/1980</t>
  </si>
  <si>
    <t>30/12/1967</t>
  </si>
  <si>
    <t>18/01/2001</t>
  </si>
  <si>
    <t>13/07/1995</t>
  </si>
  <si>
    <t>27/12/1986</t>
  </si>
  <si>
    <t>28/10/1979</t>
  </si>
  <si>
    <t>19/10/1968</t>
  </si>
  <si>
    <t>01/11/1981</t>
  </si>
  <si>
    <t>24/02/1986</t>
  </si>
  <si>
    <t>16/10/1993</t>
  </si>
  <si>
    <t>11/03/2000</t>
  </si>
  <si>
    <t>06/08/1988</t>
  </si>
  <si>
    <t>29/10/1991</t>
  </si>
  <si>
    <t>25/05/1984</t>
  </si>
  <si>
    <t>03/02/1998</t>
  </si>
  <si>
    <t>10/05/1959</t>
  </si>
  <si>
    <t>05/07/1996</t>
  </si>
  <si>
    <t>25/04/1981</t>
  </si>
  <si>
    <t>14/10/1993</t>
  </si>
  <si>
    <t>28/08/1972</t>
  </si>
  <si>
    <t>20/07/1971</t>
  </si>
  <si>
    <t>19/08/1962</t>
  </si>
  <si>
    <t>01/08/1987</t>
  </si>
  <si>
    <t>02/03/1967</t>
  </si>
  <si>
    <t>18/03/1993</t>
  </si>
  <si>
    <t>01/07/1970</t>
  </si>
  <si>
    <t>15/09/1978</t>
  </si>
  <si>
    <t>29/11/1961</t>
  </si>
  <si>
    <t>24/06/1993</t>
  </si>
  <si>
    <t>04/10/1983</t>
  </si>
  <si>
    <t>15/01/1993</t>
  </si>
  <si>
    <t>03/08/1982</t>
  </si>
  <si>
    <t>02/07/1979</t>
  </si>
  <si>
    <t>13/01/1972</t>
  </si>
  <si>
    <t>04/04/1980</t>
  </si>
  <si>
    <t>25/04/1985</t>
  </si>
  <si>
    <t>23/10/1970</t>
  </si>
  <si>
    <t>10/10/1977</t>
  </si>
  <si>
    <t>12/11/1971</t>
  </si>
  <si>
    <t>13/08/1972</t>
  </si>
  <si>
    <t>03/10/1955</t>
  </si>
  <si>
    <t>30/11/1994</t>
  </si>
  <si>
    <t>20/03/1972</t>
  </si>
  <si>
    <t>13/03/1998</t>
  </si>
  <si>
    <t>19/11/1961</t>
  </si>
  <si>
    <t>09/08/1961</t>
  </si>
  <si>
    <t>03/05/1984</t>
  </si>
  <si>
    <t>12/08/1988</t>
  </si>
  <si>
    <t>24/08/1987</t>
  </si>
  <si>
    <t>12/11/1991</t>
  </si>
  <si>
    <t>13/04/1981</t>
  </si>
  <si>
    <t>09/07/1972</t>
  </si>
  <si>
    <t>15/05/2002</t>
  </si>
  <si>
    <t>27/01/1989</t>
  </si>
  <si>
    <t>07/12/1990</t>
  </si>
  <si>
    <t>13/06/1968</t>
  </si>
  <si>
    <t>11/10/1980</t>
  </si>
  <si>
    <t>17/06/2004</t>
  </si>
  <si>
    <t>10/01/1987</t>
  </si>
  <si>
    <t>30/06/2000</t>
  </si>
  <si>
    <t>24/11/2004</t>
  </si>
  <si>
    <t>09/09/1995</t>
  </si>
  <si>
    <t>22/08/1973</t>
  </si>
  <si>
    <t>28/11/2005</t>
  </si>
  <si>
    <t>05/10/1977</t>
  </si>
  <si>
    <t>15/05/1990</t>
  </si>
  <si>
    <t>04/06/1980</t>
  </si>
  <si>
    <t>30/10/1969</t>
  </si>
  <si>
    <t>15/02/1972</t>
  </si>
  <si>
    <t>01/12/1994</t>
  </si>
  <si>
    <t>20/01/1984</t>
  </si>
  <si>
    <t>08/10/1992</t>
  </si>
  <si>
    <t>19/04/2003</t>
  </si>
  <si>
    <t>10/09/1981</t>
  </si>
  <si>
    <t>14/02/1962</t>
  </si>
  <si>
    <t>13/03/1993</t>
  </si>
  <si>
    <t>12/02/2004</t>
  </si>
  <si>
    <t>23/09/2002</t>
  </si>
  <si>
    <t>19/03/1968</t>
  </si>
  <si>
    <t>22/10/1964</t>
  </si>
  <si>
    <t>04/10/1988</t>
  </si>
  <si>
    <t>15/01/1963</t>
  </si>
  <si>
    <t>07/01/1961</t>
  </si>
  <si>
    <t>08/08/1988</t>
  </si>
  <si>
    <t>14/01/1990</t>
  </si>
  <si>
    <t>26/10/1958</t>
  </si>
  <si>
    <t>25/09/1983</t>
  </si>
  <si>
    <t>03/06/1990</t>
  </si>
  <si>
    <t>05/01/1985</t>
  </si>
  <si>
    <t>15/02/1975</t>
  </si>
  <si>
    <t>16/10/1997</t>
  </si>
  <si>
    <t>21/01/1991</t>
  </si>
  <si>
    <t>27/03/1971</t>
  </si>
  <si>
    <t>25/02/1969</t>
  </si>
  <si>
    <t>12/09/1990</t>
  </si>
  <si>
    <t>11/06/2007</t>
  </si>
  <si>
    <t>25/07/1994</t>
  </si>
  <si>
    <t>23/11/1995</t>
  </si>
  <si>
    <t>06/05/1969</t>
  </si>
  <si>
    <t>31/03/1963</t>
  </si>
  <si>
    <t>12/09/1987</t>
  </si>
  <si>
    <t>18/09/1985</t>
  </si>
  <si>
    <t>05/10/2004</t>
  </si>
  <si>
    <t>16/03/1982</t>
  </si>
  <si>
    <t>30/03/1997</t>
  </si>
  <si>
    <t>29/04/1982</t>
  </si>
  <si>
    <t>06/02/1982</t>
  </si>
  <si>
    <t>13/11/1972</t>
  </si>
  <si>
    <t>01/01/1975</t>
  </si>
  <si>
    <t>06/02/1956</t>
  </si>
  <si>
    <t>09/12/1972</t>
  </si>
  <si>
    <t>21/08/1990</t>
  </si>
  <si>
    <t>25/07/1959</t>
  </si>
  <si>
    <t>11/10/1966</t>
  </si>
  <si>
    <t>11/01/1963</t>
  </si>
  <si>
    <t>20/10/1982</t>
  </si>
  <si>
    <t>04/02/1995</t>
  </si>
  <si>
    <t>03/10/1958</t>
  </si>
  <si>
    <t>15/07/1949</t>
  </si>
  <si>
    <t>23/05/1989</t>
  </si>
  <si>
    <t>20/04/2000</t>
  </si>
  <si>
    <t>18/03/1990</t>
  </si>
  <si>
    <t>09/10/1973</t>
  </si>
  <si>
    <t>06/10/1958</t>
  </si>
  <si>
    <t>12/12/1983</t>
  </si>
  <si>
    <t>03/02/1958</t>
  </si>
  <si>
    <t>11/12/1969</t>
  </si>
  <si>
    <t>08/09/1991</t>
  </si>
  <si>
    <t>24/12/1988</t>
  </si>
  <si>
    <t>15/01/1980</t>
  </si>
  <si>
    <t>28/07/2006</t>
  </si>
  <si>
    <t>25/12/2002</t>
  </si>
  <si>
    <t>25/01/1991</t>
  </si>
  <si>
    <t>12/01/1990</t>
  </si>
  <si>
    <t>14/04/1958</t>
  </si>
  <si>
    <t>02/12/1980</t>
  </si>
  <si>
    <t>13/06/1972</t>
  </si>
  <si>
    <t>02/11/1983</t>
  </si>
  <si>
    <t>20/01/1986</t>
  </si>
  <si>
    <t>02/04/1953</t>
  </si>
  <si>
    <t>24/09/1963</t>
  </si>
  <si>
    <t>29/06/1989</t>
  </si>
  <si>
    <t>09/01/1970</t>
  </si>
  <si>
    <t>14/04/1968</t>
  </si>
  <si>
    <t>15/07/1985</t>
  </si>
  <si>
    <t>24/12/1996</t>
  </si>
  <si>
    <t>15/02/1993</t>
  </si>
  <si>
    <t>13/05/1990</t>
  </si>
  <si>
    <t>19/04/1978</t>
  </si>
  <si>
    <t>17/11/2006</t>
  </si>
  <si>
    <t>04/02/1987</t>
  </si>
  <si>
    <t>08/08/1993</t>
  </si>
  <si>
    <t>07/09/1978</t>
  </si>
  <si>
    <t>02/07/1951</t>
  </si>
  <si>
    <t>02/07/1964</t>
  </si>
  <si>
    <t>10/10/1997</t>
  </si>
  <si>
    <t>24/04/1998</t>
  </si>
  <si>
    <t>27/12/1980</t>
  </si>
  <si>
    <t>24/11/1980</t>
  </si>
  <si>
    <t>27/09/1969</t>
  </si>
  <si>
    <t>12/01/1998</t>
  </si>
  <si>
    <t>04/08/1993</t>
  </si>
  <si>
    <t>25/04/1978</t>
  </si>
  <si>
    <t>19/03/1962</t>
  </si>
  <si>
    <t>19/06/1974</t>
  </si>
  <si>
    <t>03/08/2003</t>
  </si>
  <si>
    <t>08/02/1972</t>
  </si>
  <si>
    <t>06/08/1981</t>
  </si>
  <si>
    <t>21/03/2005</t>
  </si>
  <si>
    <t>04/02/1959</t>
  </si>
  <si>
    <t>24/01/1999</t>
  </si>
  <si>
    <t>07/09/1999</t>
  </si>
  <si>
    <t>06/03/1999</t>
  </si>
  <si>
    <t>24/11/1989</t>
  </si>
  <si>
    <t>02/09/1969</t>
  </si>
  <si>
    <t>07/10/2004</t>
  </si>
  <si>
    <t>01/05/1972</t>
  </si>
  <si>
    <t>24/02/1985</t>
  </si>
  <si>
    <t>18/01/1968</t>
  </si>
  <si>
    <t>04/09/1987</t>
  </si>
  <si>
    <t>01/08/1989</t>
  </si>
  <si>
    <t>06/07/1978</t>
  </si>
  <si>
    <t>20/03/1991</t>
  </si>
  <si>
    <t>26/07/1972</t>
  </si>
  <si>
    <t>27/01/1994</t>
  </si>
  <si>
    <t>09/05/1979</t>
  </si>
  <si>
    <t>12/03/1964</t>
  </si>
  <si>
    <t>08/06/2007</t>
  </si>
  <si>
    <t>02/05/2001</t>
  </si>
  <si>
    <t>20/09/1977</t>
  </si>
  <si>
    <t>19/09/1947</t>
  </si>
  <si>
    <t>16/05/1984</t>
  </si>
  <si>
    <t>14/07/1985</t>
  </si>
  <si>
    <t>31/07/1971</t>
  </si>
  <si>
    <t>04/04/1968</t>
  </si>
  <si>
    <t>26/10/1967</t>
  </si>
  <si>
    <t>10/03/1994</t>
  </si>
  <si>
    <t>03/09/1943</t>
  </si>
  <si>
    <t>23/03/1977</t>
  </si>
  <si>
    <t>18/03/1991</t>
  </si>
  <si>
    <t>21/10/1997</t>
  </si>
  <si>
    <t>02/05/1974</t>
  </si>
  <si>
    <t>24/07/1942</t>
  </si>
  <si>
    <t>08/04/1965</t>
  </si>
  <si>
    <t>19/05/2002</t>
  </si>
  <si>
    <t>06/11/2007</t>
  </si>
  <si>
    <t>09/12/1968</t>
  </si>
  <si>
    <t>08/09/1961</t>
  </si>
  <si>
    <t>18/10/2002</t>
  </si>
  <si>
    <t>15/06/1995</t>
  </si>
  <si>
    <t>17/12/1980</t>
  </si>
  <si>
    <t>05/06/1975</t>
  </si>
  <si>
    <t>25/11/1984</t>
  </si>
  <si>
    <t>18/03/1986</t>
  </si>
  <si>
    <t>13/03/1976</t>
  </si>
  <si>
    <t>03/02/1995</t>
  </si>
  <si>
    <t>24/03/1967</t>
  </si>
  <si>
    <t>21/06/2003</t>
  </si>
  <si>
    <t>21/11/1970</t>
  </si>
  <si>
    <t>16/06/1998</t>
  </si>
  <si>
    <t>14/12/2000</t>
  </si>
  <si>
    <t>28/08/1984</t>
  </si>
  <si>
    <t>02/09/1989</t>
  </si>
  <si>
    <t>14/03/1987</t>
  </si>
  <si>
    <t>06/09/1985</t>
  </si>
  <si>
    <t>19/05/1969</t>
  </si>
  <si>
    <t>24/10/1996</t>
  </si>
  <si>
    <t>22/06/1983</t>
  </si>
  <si>
    <t>12/09/2003</t>
  </si>
  <si>
    <t>23/07/1967</t>
  </si>
  <si>
    <t>01/11/1997</t>
  </si>
  <si>
    <t>12/01/1979</t>
  </si>
  <si>
    <t>25/09/1992</t>
  </si>
  <si>
    <t>10/01/1992</t>
  </si>
  <si>
    <t>01/11/1960</t>
  </si>
  <si>
    <t>26/11/1958</t>
  </si>
  <si>
    <t>04/10/2004</t>
  </si>
  <si>
    <t>26/11/2004</t>
  </si>
  <si>
    <t>04/06/2004</t>
  </si>
  <si>
    <t>25/05/1992</t>
  </si>
  <si>
    <t>02/06/2002</t>
  </si>
  <si>
    <t>19/07/1977</t>
  </si>
  <si>
    <t>19/09/1959</t>
  </si>
  <si>
    <t>04/08/1966</t>
  </si>
  <si>
    <t>26/10/1957</t>
  </si>
  <si>
    <t>02/06/1967</t>
  </si>
  <si>
    <t>13/01/1985</t>
  </si>
  <si>
    <t>04/06/2001</t>
  </si>
  <si>
    <t>10/12/1953</t>
  </si>
  <si>
    <t>15/11/1990</t>
  </si>
  <si>
    <t>15/10/1982</t>
  </si>
  <si>
    <t>14/10/1981</t>
  </si>
  <si>
    <t>19/09/2000</t>
  </si>
  <si>
    <t>12/12/2007</t>
  </si>
  <si>
    <t>04/06/1975</t>
  </si>
  <si>
    <t>16/07/1975</t>
  </si>
  <si>
    <t>19/07/1999</t>
  </si>
  <si>
    <t>10/02/1997</t>
  </si>
  <si>
    <t>06/07/1996</t>
  </si>
  <si>
    <t>06/12/2002</t>
  </si>
  <si>
    <t>12/04/2005</t>
  </si>
  <si>
    <t>22/05/2001</t>
  </si>
  <si>
    <t>04/01/1988</t>
  </si>
  <si>
    <t>11/09/1985</t>
  </si>
  <si>
    <t>14/03/1984</t>
  </si>
  <si>
    <t>12/03/2001</t>
  </si>
  <si>
    <t>16/06/2006</t>
  </si>
  <si>
    <t>25/02/1971</t>
  </si>
  <si>
    <t>05/03/1995</t>
  </si>
  <si>
    <t>27/05/2004</t>
  </si>
  <si>
    <t>18/06/1998</t>
  </si>
  <si>
    <t>22/06/1982</t>
  </si>
  <si>
    <t>10/06/1966</t>
  </si>
  <si>
    <t>21/05/1997</t>
  </si>
  <si>
    <t>23/04/1987</t>
  </si>
  <si>
    <t>27/07/1997</t>
  </si>
  <si>
    <t>19/04/1986</t>
  </si>
  <si>
    <t>29/05/1990</t>
  </si>
  <si>
    <t>01/10/1997</t>
  </si>
  <si>
    <t>23/04/1955</t>
  </si>
  <si>
    <t>06/03/1989</t>
  </si>
  <si>
    <t>12/05/1989</t>
  </si>
  <si>
    <t>23/04/1979</t>
  </si>
  <si>
    <t>18/04/1969</t>
  </si>
  <si>
    <t>11/10/1988</t>
  </si>
  <si>
    <t>01/10/1995</t>
  </si>
  <si>
    <t>26/10/1983</t>
  </si>
  <si>
    <t>13/07/1966</t>
  </si>
  <si>
    <t>03/01/1998</t>
  </si>
  <si>
    <t>25/07/1988</t>
  </si>
  <si>
    <t>06/12/1969</t>
  </si>
  <si>
    <t>01/10/1950</t>
  </si>
  <si>
    <t>10/07/1954</t>
  </si>
  <si>
    <t>14/11/1955</t>
  </si>
  <si>
    <t>02/11/1984</t>
  </si>
  <si>
    <t>08/11/1969</t>
  </si>
  <si>
    <t>15/12/1984</t>
  </si>
  <si>
    <t>23/12/1981</t>
  </si>
  <si>
    <t>22/09/1968</t>
  </si>
  <si>
    <t>03/04/1991</t>
  </si>
  <si>
    <t>14/11/1991</t>
  </si>
  <si>
    <t>01/09/1962</t>
  </si>
  <si>
    <t>01/12/1990</t>
  </si>
  <si>
    <t>30/10/1966</t>
  </si>
  <si>
    <t>30/06/1985</t>
  </si>
  <si>
    <t>23/06/1995</t>
  </si>
  <si>
    <t>23/12/1974</t>
  </si>
  <si>
    <t>28/10/1977</t>
  </si>
  <si>
    <t>18/02/1987</t>
  </si>
  <si>
    <t>07/08/1994</t>
  </si>
  <si>
    <t>15/03/1991</t>
  </si>
  <si>
    <t>17/05/2000</t>
  </si>
  <si>
    <t>12/12/1975</t>
  </si>
  <si>
    <t>03/03/1987</t>
  </si>
  <si>
    <t>27/08/1988</t>
  </si>
  <si>
    <t>28/03/1974</t>
  </si>
  <si>
    <t>13/04/1998</t>
  </si>
  <si>
    <t>21/05/1987</t>
  </si>
  <si>
    <t>16/09/1982</t>
  </si>
  <si>
    <t>30/07/1994</t>
  </si>
  <si>
    <t>23/12/1996</t>
  </si>
  <si>
    <t>28/07/1996</t>
  </si>
  <si>
    <t>09/05/2003</t>
  </si>
  <si>
    <t>30/11/1981</t>
  </si>
  <si>
    <t>05/05/1999</t>
  </si>
  <si>
    <t>19/12/1985</t>
  </si>
  <si>
    <t>10/05/2001</t>
  </si>
  <si>
    <t>16/11/1985</t>
  </si>
  <si>
    <t>17/01/1999</t>
  </si>
  <si>
    <t>09/09/2001</t>
  </si>
  <si>
    <t>16/10/1990</t>
  </si>
  <si>
    <t>27/10/2003</t>
  </si>
  <si>
    <t>06/09/2001</t>
  </si>
  <si>
    <t>23/01/2001</t>
  </si>
  <si>
    <t>25/03/2002</t>
  </si>
  <si>
    <t>15/05/1992</t>
  </si>
  <si>
    <t>10/05/1981</t>
  </si>
  <si>
    <t>15/02/1994</t>
  </si>
  <si>
    <t>04/02/1998</t>
  </si>
  <si>
    <t>29/09/1984</t>
  </si>
  <si>
    <t>05/11/1959</t>
  </si>
  <si>
    <t>11/08/1988</t>
  </si>
  <si>
    <t>26/05/1976</t>
  </si>
  <si>
    <t>18/01/1962</t>
  </si>
  <si>
    <t>05/04/1964</t>
  </si>
  <si>
    <t>18/03/1980</t>
  </si>
  <si>
    <t>23/07/1989</t>
  </si>
  <si>
    <t>08/05/1972</t>
  </si>
  <si>
    <t>23/05/1944</t>
  </si>
  <si>
    <t>16/08/2002</t>
  </si>
  <si>
    <t>20/12/1984</t>
  </si>
  <si>
    <t>17/12/1972</t>
  </si>
  <si>
    <t>11/03/1994</t>
  </si>
  <si>
    <t>24/10/1984</t>
  </si>
  <si>
    <t>12/07/1985</t>
  </si>
  <si>
    <t>11/06/1968</t>
  </si>
  <si>
    <t>21/05/1958</t>
  </si>
  <si>
    <t>29/01/1988</t>
  </si>
  <si>
    <t>14/03/1961</t>
  </si>
  <si>
    <t>03/08/1978</t>
  </si>
  <si>
    <t>16/07/1958</t>
  </si>
  <si>
    <t>30/12/1968</t>
  </si>
  <si>
    <t>17/03/1977</t>
  </si>
  <si>
    <t>01/02/1982</t>
  </si>
  <si>
    <t>28/06/1977</t>
  </si>
  <si>
    <t>25/11/1976</t>
  </si>
  <si>
    <t>14/12/2003</t>
  </si>
  <si>
    <t>10/05/1986</t>
  </si>
  <si>
    <t>20/06/1978</t>
  </si>
  <si>
    <t>25/01/1980</t>
  </si>
  <si>
    <t>21/11/1991</t>
  </si>
  <si>
    <t>10/03/1982</t>
  </si>
  <si>
    <t>03/02/1973</t>
  </si>
  <si>
    <t>08/09/1986</t>
  </si>
  <si>
    <t>15/03/1956</t>
  </si>
  <si>
    <t>15/10/1965</t>
  </si>
  <si>
    <t>08/08/2003</t>
  </si>
  <si>
    <t>30/08/1972</t>
  </si>
  <si>
    <t>20/11/2000</t>
  </si>
  <si>
    <t>26/06/1997</t>
  </si>
  <si>
    <t>24/12/1994</t>
  </si>
  <si>
    <t>17/01/1971</t>
  </si>
  <si>
    <t>01/06/1996</t>
  </si>
  <si>
    <t>14/11/1960</t>
  </si>
  <si>
    <t>08/08/1987</t>
  </si>
  <si>
    <t>31/08/1971</t>
  </si>
  <si>
    <t>29/04/2000</t>
  </si>
  <si>
    <t>22/03/1996</t>
  </si>
  <si>
    <t>28/11/1973</t>
  </si>
  <si>
    <t>24/10/2005</t>
  </si>
  <si>
    <t>23/08/1996</t>
  </si>
  <si>
    <t>25/06/1999</t>
  </si>
  <si>
    <t>29/03/1973</t>
  </si>
  <si>
    <t>19/07/1980</t>
  </si>
  <si>
    <t>07/05/1991</t>
  </si>
  <si>
    <t>19/01/1962</t>
  </si>
  <si>
    <t>01/03/1981</t>
  </si>
  <si>
    <t>28/05/1954</t>
  </si>
  <si>
    <t>01/02/2001</t>
  </si>
  <si>
    <t>23/04/1974</t>
  </si>
  <si>
    <t>01/02/1993</t>
  </si>
  <si>
    <t>20/03/2001</t>
  </si>
  <si>
    <t>10/04/1961</t>
  </si>
  <si>
    <t>07/01/1997</t>
  </si>
  <si>
    <t>24/08/2003</t>
  </si>
  <si>
    <t>13/11/1998</t>
  </si>
  <si>
    <t>16/08/1966</t>
  </si>
  <si>
    <t>03/06/1992</t>
  </si>
  <si>
    <t>17/08/1976</t>
  </si>
  <si>
    <t>27/12/1964</t>
  </si>
  <si>
    <t>01/03/1995</t>
  </si>
  <si>
    <t>02/03/1997</t>
  </si>
  <si>
    <t>25/11/2000</t>
  </si>
  <si>
    <t>03/10/1986</t>
  </si>
  <si>
    <t>22/12/1998</t>
  </si>
  <si>
    <t>31/10/1988</t>
  </si>
  <si>
    <t>18/05/1996</t>
  </si>
  <si>
    <t>17/04/1981</t>
  </si>
  <si>
    <t>01/10/1957</t>
  </si>
  <si>
    <t>12/12/1989</t>
  </si>
  <si>
    <t>15/12/1980</t>
  </si>
  <si>
    <t>27/10/1979</t>
  </si>
  <si>
    <t>10/01/1996</t>
  </si>
  <si>
    <t>16/09/1963</t>
  </si>
  <si>
    <t>06/06/1953</t>
  </si>
  <si>
    <t>13/06/1990</t>
  </si>
  <si>
    <t>25/12/1987</t>
  </si>
  <si>
    <t>06/03/1964</t>
  </si>
  <si>
    <t>15/09/1991</t>
  </si>
  <si>
    <t>05/12/1971</t>
  </si>
  <si>
    <t>21/03/1984</t>
  </si>
  <si>
    <t>08/08/1989</t>
  </si>
  <si>
    <t>30/04/1964</t>
  </si>
  <si>
    <t>10/11/1994</t>
  </si>
  <si>
    <t>15/03/2000</t>
  </si>
  <si>
    <t>21/02/1970</t>
  </si>
  <si>
    <t>20/04/2004</t>
  </si>
  <si>
    <t>04/12/1997</t>
  </si>
  <si>
    <t>01/04/1936</t>
  </si>
  <si>
    <t>12/10/1966</t>
  </si>
  <si>
    <t>16/08/1991</t>
  </si>
  <si>
    <t>06/11/1966</t>
  </si>
  <si>
    <t>25/01/1960</t>
  </si>
  <si>
    <t>01/04/2004</t>
  </si>
  <si>
    <t>10/12/1992</t>
  </si>
  <si>
    <t>01/07/1999</t>
  </si>
  <si>
    <t>20/04/1997</t>
  </si>
  <si>
    <t>05/08/1992</t>
  </si>
  <si>
    <t>05/08/1990</t>
  </si>
  <si>
    <t>27/12/1989</t>
  </si>
  <si>
    <t>01/08/1963</t>
  </si>
  <si>
    <t>09/07/1973</t>
  </si>
  <si>
    <t>14/01/1995</t>
  </si>
  <si>
    <t>19/07/1984</t>
  </si>
  <si>
    <t>16/07/1978</t>
  </si>
  <si>
    <t>24/06/1962</t>
  </si>
  <si>
    <t>20/12/1989</t>
  </si>
  <si>
    <t>12/12/2002</t>
  </si>
  <si>
    <t>07/06/1955</t>
  </si>
  <si>
    <t>23/03/1959</t>
  </si>
  <si>
    <t>12/02/1993</t>
  </si>
  <si>
    <t>24/06/1984</t>
  </si>
  <si>
    <t>28/11/1987</t>
  </si>
  <si>
    <t>18/08/2000</t>
  </si>
  <si>
    <t>11/01/1998</t>
  </si>
  <si>
    <t>10/01/1956</t>
  </si>
  <si>
    <t>01/06/1964</t>
  </si>
  <si>
    <t>01/03/1992</t>
  </si>
  <si>
    <t>07/08/1985</t>
  </si>
  <si>
    <t>15/03/1961</t>
  </si>
  <si>
    <t>14/06/1998</t>
  </si>
  <si>
    <t>15/06/1965</t>
  </si>
  <si>
    <t>03/01/1983</t>
  </si>
  <si>
    <t>23/03/1985</t>
  </si>
  <si>
    <t>12/09/1993</t>
  </si>
  <si>
    <t>21/07/1971</t>
  </si>
  <si>
    <t>22/04/2000</t>
  </si>
  <si>
    <t>08/04/1991</t>
  </si>
  <si>
    <t>21/02/2000</t>
  </si>
  <si>
    <t>22/12/1966</t>
  </si>
  <si>
    <t>28/06/1976</t>
  </si>
  <si>
    <t>12/09/1977</t>
  </si>
  <si>
    <t>23/10/1986</t>
  </si>
  <si>
    <t>27/08/1998</t>
  </si>
  <si>
    <t>15/05/1985</t>
  </si>
  <si>
    <t>04/10/1956</t>
  </si>
  <si>
    <t>03/10/1980</t>
  </si>
  <si>
    <t>18/10/1998</t>
  </si>
  <si>
    <t>23/01/1991</t>
  </si>
  <si>
    <t>15/07/1986</t>
  </si>
  <si>
    <t>09/02/1975</t>
  </si>
  <si>
    <t>15/06/1953</t>
  </si>
  <si>
    <t>10/10/2002</t>
  </si>
  <si>
    <t>14/11/1984</t>
  </si>
  <si>
    <t>02/09/1992</t>
  </si>
  <si>
    <t>06/12/1957</t>
  </si>
  <si>
    <t>08/06/1970</t>
  </si>
  <si>
    <t>11/08/1995</t>
  </si>
  <si>
    <t>28/01/1965</t>
  </si>
  <si>
    <t>08/06/1995</t>
  </si>
  <si>
    <t>09/08/1996</t>
  </si>
  <si>
    <t>02/07/1975</t>
  </si>
  <si>
    <t>14/02/1994</t>
  </si>
  <si>
    <t>08/02/2000</t>
  </si>
  <si>
    <t>11/09/1964</t>
  </si>
  <si>
    <t>30/06/1988</t>
  </si>
  <si>
    <t>28/04/1987</t>
  </si>
  <si>
    <t>02/10/2004</t>
  </si>
  <si>
    <t>07/11/1960</t>
  </si>
  <si>
    <t>13/10/1986</t>
  </si>
  <si>
    <t>28/10/1994</t>
  </si>
  <si>
    <t>06/10/1990</t>
  </si>
  <si>
    <t>21/06/2006</t>
  </si>
  <si>
    <t>15/08/1983</t>
  </si>
  <si>
    <t>16/05/1996</t>
  </si>
  <si>
    <t>21/08/2005</t>
  </si>
  <si>
    <t>22/05/1984</t>
  </si>
  <si>
    <t>16/07/1957</t>
  </si>
  <si>
    <t>19/02/1985</t>
  </si>
  <si>
    <t>18/07/1980</t>
  </si>
  <si>
    <t>01/11/1983</t>
  </si>
  <si>
    <t>22/09/1980</t>
  </si>
  <si>
    <t>06/04/2006</t>
  </si>
  <si>
    <t>10/01/1955</t>
  </si>
  <si>
    <t>15/12/1953</t>
  </si>
  <si>
    <t>31/07/2002</t>
  </si>
  <si>
    <t>18/04/1989</t>
  </si>
  <si>
    <t>17/06/1992</t>
  </si>
  <si>
    <t>24/12/2001</t>
  </si>
  <si>
    <t>23/11/1999</t>
  </si>
  <si>
    <t>21/03/1961</t>
  </si>
  <si>
    <t>26/10/2005</t>
  </si>
  <si>
    <t>30/08/2002</t>
  </si>
  <si>
    <t>03/11/1985</t>
  </si>
  <si>
    <t>06/12/1975</t>
  </si>
  <si>
    <t>17/02/1993</t>
  </si>
  <si>
    <t>29/01/2001</t>
  </si>
  <si>
    <t>08/03/1969</t>
  </si>
  <si>
    <t>17/03/1986</t>
  </si>
  <si>
    <t>16/10/1988</t>
  </si>
  <si>
    <t>05/11/1966</t>
  </si>
  <si>
    <t>02/05/1979</t>
  </si>
  <si>
    <t>06/09/2004</t>
  </si>
  <si>
    <t>12/08/1983</t>
  </si>
  <si>
    <t>12/12/1996</t>
  </si>
  <si>
    <t>05/07/1995</t>
  </si>
  <si>
    <t>11/05/1999</t>
  </si>
  <si>
    <t>13/03/2004</t>
  </si>
  <si>
    <t>02/02/1990</t>
  </si>
  <si>
    <t>27/08/1987</t>
  </si>
  <si>
    <t>07/03/1970</t>
  </si>
  <si>
    <t>22/12/1978</t>
  </si>
  <si>
    <t>04/03/1998</t>
  </si>
  <si>
    <t>20/01/1975</t>
  </si>
  <si>
    <t>17/03/2004</t>
  </si>
  <si>
    <t>20/02/2006</t>
  </si>
  <si>
    <t>18/07/1989</t>
  </si>
  <si>
    <t>21/09/1989</t>
  </si>
  <si>
    <t>27/06/1995</t>
  </si>
  <si>
    <t>01/06/1998</t>
  </si>
  <si>
    <t>14/10/2005</t>
  </si>
  <si>
    <t>20/08/1980</t>
  </si>
  <si>
    <t>12/01/2005</t>
  </si>
  <si>
    <t>20/08/1981</t>
  </si>
  <si>
    <t>11/12/1976</t>
  </si>
  <si>
    <t>21/10/1977</t>
  </si>
  <si>
    <t>26/07/2004</t>
  </si>
  <si>
    <t>27/04/2002</t>
  </si>
  <si>
    <t>22/05/1990</t>
  </si>
  <si>
    <t>19/09/1972</t>
  </si>
  <si>
    <t>10/04/1975</t>
  </si>
  <si>
    <t>13/08/1977</t>
  </si>
  <si>
    <t>24/10/1965</t>
  </si>
  <si>
    <t>18/10/1976</t>
  </si>
  <si>
    <t>09/01/1940</t>
  </si>
  <si>
    <t>04/03/1980</t>
  </si>
  <si>
    <t>15/05/1969</t>
  </si>
  <si>
    <t>11/05/1952</t>
  </si>
  <si>
    <t>04/04/1992</t>
  </si>
  <si>
    <t>18/11/1981</t>
  </si>
  <si>
    <t>07/09/1996</t>
  </si>
  <si>
    <t>17/09/2004</t>
  </si>
  <si>
    <t>06/11/2001</t>
  </si>
  <si>
    <t>08/10/1960</t>
  </si>
  <si>
    <t>19/02/1969</t>
  </si>
  <si>
    <t>02/03/1983</t>
  </si>
  <si>
    <t>24/11/1998</t>
  </si>
  <si>
    <t>20/06/1968</t>
  </si>
  <si>
    <t>18/01/1986</t>
  </si>
  <si>
    <t>16/06/2004</t>
  </si>
  <si>
    <t>20/01/1988</t>
  </si>
  <si>
    <t>15/09/1977</t>
  </si>
  <si>
    <t>25/04/1999</t>
  </si>
  <si>
    <t>01/03/1988</t>
  </si>
  <si>
    <t>30/12/1998</t>
  </si>
  <si>
    <t>18/09/1979</t>
  </si>
  <si>
    <t>15/08/2000</t>
  </si>
  <si>
    <t>03/04/1985</t>
  </si>
  <si>
    <t>25/03/1984</t>
  </si>
  <si>
    <t>01/07/1998</t>
  </si>
  <si>
    <t>20/06/1984</t>
  </si>
  <si>
    <t>12/08/1964</t>
  </si>
  <si>
    <t>12/01/1980</t>
  </si>
  <si>
    <t>28/10/1981</t>
  </si>
  <si>
    <t>22/04/1977</t>
  </si>
  <si>
    <t>30/08/1999</t>
  </si>
  <si>
    <t>19/05/2006</t>
  </si>
  <si>
    <t>04/12/1983</t>
  </si>
  <si>
    <t>09/04/1956</t>
  </si>
  <si>
    <t>17/01/2004</t>
  </si>
  <si>
    <t>20/12/1998</t>
  </si>
  <si>
    <t>21/11/1977</t>
  </si>
  <si>
    <t>11/06/1984</t>
  </si>
  <si>
    <t>28/12/1963</t>
  </si>
  <si>
    <t>22/12/1947</t>
  </si>
  <si>
    <t>12/05/2003</t>
  </si>
  <si>
    <t>30/11/1996</t>
  </si>
  <si>
    <t>13/12/1974</t>
  </si>
  <si>
    <t>06/06/1993</t>
  </si>
  <si>
    <t>31/03/2006</t>
  </si>
  <si>
    <t>11/04/1969</t>
  </si>
  <si>
    <t>08/05/1983</t>
  </si>
  <si>
    <t>14/04/1989</t>
  </si>
  <si>
    <t>06/12/1999</t>
  </si>
  <si>
    <t>12/06/2003</t>
  </si>
  <si>
    <t>08/08/2004</t>
  </si>
  <si>
    <t>11/07/1979</t>
  </si>
  <si>
    <t>11/01/2005</t>
  </si>
  <si>
    <t>24/10/1971</t>
  </si>
  <si>
    <t>11/10/1971</t>
  </si>
  <si>
    <t>05/07/1992</t>
  </si>
  <si>
    <t>27/06/1962</t>
  </si>
  <si>
    <t>15/12/1966</t>
  </si>
  <si>
    <t>03/10/1982</t>
  </si>
  <si>
    <t>19/08/2002</t>
  </si>
  <si>
    <t>12/03/1981</t>
  </si>
  <si>
    <t>05/02/1977</t>
  </si>
  <si>
    <t>06/04/1982</t>
  </si>
  <si>
    <t>17/04/2001</t>
  </si>
  <si>
    <t>10/06/1998</t>
  </si>
  <si>
    <t>16/12/1968</t>
  </si>
  <si>
    <t>21/03/1988</t>
  </si>
  <si>
    <t>26/04/1983</t>
  </si>
  <si>
    <t>24/12/1977</t>
  </si>
  <si>
    <t>14/12/1989</t>
  </si>
  <si>
    <t>23/02/1986</t>
  </si>
  <si>
    <t>27/09/1983</t>
  </si>
  <si>
    <t>10/11/1961</t>
  </si>
  <si>
    <t>08/06/1992</t>
  </si>
  <si>
    <t>12/12/1988</t>
  </si>
  <si>
    <t>11/11/1969</t>
  </si>
  <si>
    <t>27/02/1990</t>
  </si>
  <si>
    <t>24/02/1952</t>
  </si>
  <si>
    <t>22/09/1993</t>
  </si>
  <si>
    <t>08/10/1984</t>
  </si>
  <si>
    <t>09/10/1998</t>
  </si>
  <si>
    <t>24/09/1970</t>
  </si>
  <si>
    <t>07/11/1996</t>
  </si>
  <si>
    <t>25/05/1958</t>
  </si>
  <si>
    <t>11/11/1964</t>
  </si>
  <si>
    <t>28/04/1992</t>
  </si>
  <si>
    <t>25/10/1983</t>
  </si>
  <si>
    <t>10/07/1991</t>
  </si>
  <si>
    <t>17/02/2004</t>
  </si>
  <si>
    <t>06/07/1955</t>
  </si>
  <si>
    <t>07/06/1999</t>
  </si>
  <si>
    <t>16/09/1975</t>
  </si>
  <si>
    <t>08/12/1984</t>
  </si>
  <si>
    <t>02/08/1986</t>
  </si>
  <si>
    <t>17/06/1977</t>
  </si>
  <si>
    <t>26/07/1992</t>
  </si>
  <si>
    <t>28/07/1971</t>
  </si>
  <si>
    <t>24/01/2000</t>
  </si>
  <si>
    <t>28/12/1980</t>
  </si>
  <si>
    <t>14/11/2001</t>
  </si>
  <si>
    <t>22/01/1992</t>
  </si>
  <si>
    <t>16/04/1955</t>
  </si>
  <si>
    <t>14/03/1982</t>
  </si>
  <si>
    <t>16/08/1978</t>
  </si>
  <si>
    <t>21/09/2003</t>
  </si>
  <si>
    <t>10/09/1988</t>
  </si>
  <si>
    <t>10/08/1946</t>
  </si>
  <si>
    <t>12/11/2001</t>
  </si>
  <si>
    <t>20/09/1979</t>
  </si>
  <si>
    <t>30/09/1990</t>
  </si>
  <si>
    <t>14/09/1974</t>
  </si>
  <si>
    <t>19/11/1991</t>
  </si>
  <si>
    <t>13/03/2007</t>
  </si>
  <si>
    <t>06/04/2004</t>
  </si>
  <si>
    <t>08/09/1994</t>
  </si>
  <si>
    <t>04/07/1978</t>
  </si>
  <si>
    <t>20/01/1973</t>
  </si>
  <si>
    <t>20/07/1985</t>
  </si>
  <si>
    <t>13/11/1973</t>
  </si>
  <si>
    <t>18/05/1998</t>
  </si>
  <si>
    <t>05/02/1987</t>
  </si>
  <si>
    <t>06/07/2002</t>
  </si>
  <si>
    <t>15/03/2004</t>
  </si>
  <si>
    <t>01/01/2004</t>
  </si>
  <si>
    <t>28/11/1947</t>
  </si>
  <si>
    <t>24/12/1974</t>
  </si>
  <si>
    <t>13/12/1973</t>
  </si>
  <si>
    <t>29/07/1966</t>
  </si>
  <si>
    <t>19/11/2002</t>
  </si>
  <si>
    <t>14/08/2002</t>
  </si>
  <si>
    <t>30/04/1978</t>
  </si>
  <si>
    <t>30/12/1993</t>
  </si>
  <si>
    <t>23/02/1969</t>
  </si>
  <si>
    <t>06/07/1994</t>
  </si>
  <si>
    <t>18/11/1954</t>
  </si>
  <si>
    <t>15/10/1978</t>
  </si>
  <si>
    <t>30/12/2000</t>
  </si>
  <si>
    <t>10/01/1966</t>
  </si>
  <si>
    <t>07/02/1979</t>
  </si>
  <si>
    <t>26/11/1984</t>
  </si>
  <si>
    <t>19/06/2005</t>
  </si>
  <si>
    <t>12/03/1996</t>
  </si>
  <si>
    <t>25/07/2004</t>
  </si>
  <si>
    <t>02/03/1985</t>
  </si>
  <si>
    <t>02/12/1987</t>
  </si>
  <si>
    <t>14/11/1977</t>
  </si>
  <si>
    <t>16/10/1968</t>
  </si>
  <si>
    <t>12/01/1972</t>
  </si>
  <si>
    <t>14/12/1984</t>
  </si>
  <si>
    <t>20/06/1988</t>
  </si>
  <si>
    <t>13/11/2001</t>
  </si>
  <si>
    <t>05/05/1991</t>
  </si>
  <si>
    <t>17/09/1976</t>
  </si>
  <si>
    <t>03/09/1988</t>
  </si>
  <si>
    <t>20/05/2002</t>
  </si>
  <si>
    <t>13/04/1963</t>
  </si>
  <si>
    <t>15/06/1987</t>
  </si>
  <si>
    <t>19/02/2000</t>
  </si>
  <si>
    <t>26/12/1997</t>
  </si>
  <si>
    <t>04/11/1987</t>
  </si>
  <si>
    <t>11/06/1993</t>
  </si>
  <si>
    <t>01/10/1992</t>
  </si>
  <si>
    <t>19/06/1992</t>
  </si>
  <si>
    <t>16/11/1958</t>
  </si>
  <si>
    <t>25/12/1955</t>
  </si>
  <si>
    <t>19/05/1996</t>
  </si>
  <si>
    <t>01/01/1986</t>
  </si>
  <si>
    <t>28/03/2003</t>
  </si>
  <si>
    <t>29/06/1946</t>
  </si>
  <si>
    <t>08/01/1961</t>
  </si>
  <si>
    <t>20/11/1987</t>
  </si>
  <si>
    <t>18/08/1983</t>
  </si>
  <si>
    <t>05/07/1956</t>
  </si>
  <si>
    <t>25/08/1949</t>
  </si>
  <si>
    <t>05/08/1995</t>
  </si>
  <si>
    <t>26/10/1965</t>
  </si>
  <si>
    <t>21/03/1955</t>
  </si>
  <si>
    <t>01/06/1976</t>
  </si>
  <si>
    <t>21/06/1985</t>
  </si>
  <si>
    <t>10/02/1977</t>
  </si>
  <si>
    <t>08/01/2006</t>
  </si>
  <si>
    <t>11/10/1970</t>
  </si>
  <si>
    <t>20/11/1950</t>
  </si>
  <si>
    <t>20/05/1994</t>
  </si>
  <si>
    <t>22/08/1975</t>
  </si>
  <si>
    <t>03/04/1999</t>
  </si>
  <si>
    <t>10/08/1962</t>
  </si>
  <si>
    <t>01/05/1991</t>
  </si>
  <si>
    <t>23/12/2001</t>
  </si>
  <si>
    <t>10/10/1951</t>
  </si>
  <si>
    <t>06/10/2003</t>
  </si>
  <si>
    <t>09/05/2007</t>
  </si>
  <si>
    <t>26/01/1956</t>
  </si>
  <si>
    <t>11/02/2001</t>
  </si>
  <si>
    <t>15/06/1975</t>
  </si>
  <si>
    <t>31/12/1999</t>
  </si>
  <si>
    <t>18/12/1983</t>
  </si>
  <si>
    <t>27/01/1953</t>
  </si>
  <si>
    <t>18/10/1991</t>
  </si>
  <si>
    <t>02/06/1962</t>
  </si>
  <si>
    <t>30/10/1996</t>
  </si>
  <si>
    <t>16/05/1992</t>
  </si>
  <si>
    <t>22/11/1941</t>
  </si>
  <si>
    <t>22/05/1956</t>
  </si>
  <si>
    <t>30/06/1997</t>
  </si>
  <si>
    <t>18/11/1987</t>
  </si>
  <si>
    <t>02/10/1991</t>
  </si>
  <si>
    <t>25/09/1985</t>
  </si>
  <si>
    <t>08/12/1960</t>
  </si>
  <si>
    <t>13/06/2005</t>
  </si>
  <si>
    <t>24/06/1977</t>
  </si>
  <si>
    <t>09/01/1964</t>
  </si>
  <si>
    <t>06/09/1951</t>
  </si>
  <si>
    <t>26/06/1979</t>
  </si>
  <si>
    <t>25/07/1995</t>
  </si>
  <si>
    <t>03/04/1966</t>
  </si>
  <si>
    <t>25/06/1991</t>
  </si>
  <si>
    <t>25/06/1967</t>
  </si>
  <si>
    <t>25/05/1994</t>
  </si>
  <si>
    <t>21/01/1994</t>
  </si>
  <si>
    <t>24/03/2001</t>
  </si>
  <si>
    <t>31/05/1984</t>
  </si>
  <si>
    <t>17/03/1995</t>
  </si>
  <si>
    <t>24/07/1959</t>
  </si>
  <si>
    <t>11/01/2001</t>
  </si>
  <si>
    <t>16/07/1979</t>
  </si>
  <si>
    <t>19/11/1970</t>
  </si>
  <si>
    <t>10/04/1992</t>
  </si>
  <si>
    <t>16/02/1973</t>
  </si>
  <si>
    <t>10/07/1985</t>
  </si>
  <si>
    <t>20/05/1990</t>
  </si>
  <si>
    <t>12/08/1997</t>
  </si>
  <si>
    <t>18/03/1974</t>
  </si>
  <si>
    <t>27/09/1994</t>
  </si>
  <si>
    <t>15/12/1977</t>
  </si>
  <si>
    <t>24/08/1975</t>
  </si>
  <si>
    <t>16/12/1985</t>
  </si>
  <si>
    <t>10/01/1991</t>
  </si>
  <si>
    <t>30/05/1992</t>
  </si>
  <si>
    <t>21/04/1969</t>
  </si>
  <si>
    <t>25/07/1999</t>
  </si>
  <si>
    <t>26/07/1975</t>
  </si>
  <si>
    <t>13/11/2000</t>
  </si>
  <si>
    <t>16/06/1972</t>
  </si>
  <si>
    <t>06/03/1982</t>
  </si>
  <si>
    <t>21/11/2001</t>
  </si>
  <si>
    <t>10/07/1993</t>
  </si>
  <si>
    <t>21/10/1994</t>
  </si>
  <si>
    <t>12/08/1968</t>
  </si>
  <si>
    <t>12/02/1960</t>
  </si>
  <si>
    <t>07/07/1968</t>
  </si>
  <si>
    <t>20/11/1979</t>
  </si>
  <si>
    <t>10/07/1972</t>
  </si>
  <si>
    <t>14/08/1986</t>
  </si>
  <si>
    <t>25/04/1994</t>
  </si>
  <si>
    <t>02/09/1982</t>
  </si>
  <si>
    <t>21/04/2000</t>
  </si>
  <si>
    <t>17/03/1967</t>
  </si>
  <si>
    <t>14/12/1985</t>
  </si>
  <si>
    <t>29/08/1994</t>
  </si>
  <si>
    <t>18/04/2001</t>
  </si>
  <si>
    <t>19/10/2002</t>
  </si>
  <si>
    <t>16/06/1976</t>
  </si>
  <si>
    <t>30/05/1983</t>
  </si>
  <si>
    <t>12/04/1982</t>
  </si>
  <si>
    <t>20/05/1952</t>
  </si>
  <si>
    <t>07/03/1976</t>
  </si>
  <si>
    <t>07/11/1992</t>
  </si>
  <si>
    <t>11/06/2003</t>
  </si>
  <si>
    <t>11/08/2000</t>
  </si>
  <si>
    <t>30/10/1978</t>
  </si>
  <si>
    <t>21/12/1986</t>
  </si>
  <si>
    <t>01/11/1975</t>
  </si>
  <si>
    <t>20/12/1991</t>
  </si>
  <si>
    <t>10/07/1997</t>
  </si>
  <si>
    <t>12/04/1977</t>
  </si>
  <si>
    <t>28/12/1977</t>
  </si>
  <si>
    <t>20/02/1997</t>
  </si>
  <si>
    <t>19/04/1982</t>
  </si>
  <si>
    <t>19/08/1996</t>
  </si>
  <si>
    <t>21/05/2003</t>
  </si>
  <si>
    <t>10/05/1997</t>
  </si>
  <si>
    <t>24/06/1994</t>
  </si>
  <si>
    <t>12/12/1957</t>
  </si>
  <si>
    <t>08/04/2002</t>
  </si>
  <si>
    <t>16/02/1980</t>
  </si>
  <si>
    <t>27/10/1989</t>
  </si>
  <si>
    <t>05/06/1982</t>
  </si>
  <si>
    <t>14/09/2005</t>
  </si>
  <si>
    <t>06/04/1975</t>
  </si>
  <si>
    <t>11/06/1971</t>
  </si>
  <si>
    <t>02/05/1989</t>
  </si>
  <si>
    <t>12/02/1961</t>
  </si>
  <si>
    <t>29/12/1993</t>
  </si>
  <si>
    <t>19/09/1985</t>
  </si>
  <si>
    <t>15/01/1999</t>
  </si>
  <si>
    <t>11/07/1966</t>
  </si>
  <si>
    <t>25/06/1990</t>
  </si>
  <si>
    <t>06/12/1954</t>
  </si>
  <si>
    <t>29/10/1994</t>
  </si>
  <si>
    <t>11/10/1984</t>
  </si>
  <si>
    <t>27/11/1970</t>
  </si>
  <si>
    <t>16/08/1999</t>
  </si>
  <si>
    <t>22/08/1958</t>
  </si>
  <si>
    <t>25/05/1990</t>
  </si>
  <si>
    <t>03/12/1980</t>
  </si>
  <si>
    <t>21/02/1971</t>
  </si>
  <si>
    <t>02/12/1968</t>
  </si>
  <si>
    <t>03/09/1981</t>
  </si>
  <si>
    <t>13/03/1963</t>
  </si>
  <si>
    <t>07/11/2003</t>
  </si>
  <si>
    <t>10/06/1972</t>
  </si>
  <si>
    <t>29/06/1996</t>
  </si>
  <si>
    <t>04/01/1997</t>
  </si>
  <si>
    <t>10/08/1994</t>
  </si>
  <si>
    <t>15/12/1985</t>
  </si>
  <si>
    <t>12/10/1976</t>
  </si>
  <si>
    <t>17/07/1985</t>
  </si>
  <si>
    <t>20/07/1992</t>
  </si>
  <si>
    <t>26/10/1986</t>
  </si>
  <si>
    <t>27/08/1957</t>
  </si>
  <si>
    <t>24/10/1988</t>
  </si>
  <si>
    <t>22/02/1993</t>
  </si>
  <si>
    <t>11/11/1980</t>
  </si>
  <si>
    <t>26/03/1963</t>
  </si>
  <si>
    <t>24/02/1995</t>
  </si>
  <si>
    <t>30/11/2004</t>
  </si>
  <si>
    <t>08/09/1978</t>
  </si>
  <si>
    <t>18/02/1957</t>
  </si>
  <si>
    <t>11/07/1996</t>
  </si>
  <si>
    <t>02/01/1975</t>
  </si>
  <si>
    <t>08/03/1981</t>
  </si>
  <si>
    <t>02/09/1978</t>
  </si>
  <si>
    <t>15/12/1996</t>
  </si>
  <si>
    <t>14/05/1973</t>
  </si>
  <si>
    <t>14/07/2003</t>
  </si>
  <si>
    <t>31/10/1987</t>
  </si>
  <si>
    <t>03/12/1957</t>
  </si>
  <si>
    <t>20/05/1991</t>
  </si>
  <si>
    <t>15/11/1973</t>
  </si>
  <si>
    <t>22/03/1961</t>
  </si>
  <si>
    <t>25/09/1957</t>
  </si>
  <si>
    <t>04/04/1985</t>
  </si>
  <si>
    <t>19/12/1983</t>
  </si>
  <si>
    <t>14/08/1994</t>
  </si>
  <si>
    <t>22/06/1980</t>
  </si>
  <si>
    <t>01/12/1960</t>
  </si>
  <si>
    <t>21/06/1997</t>
  </si>
  <si>
    <t>28/07/1990</t>
  </si>
  <si>
    <t>29/03/2000</t>
  </si>
  <si>
    <t>07/08/1990</t>
  </si>
  <si>
    <t>08/01/1991</t>
  </si>
  <si>
    <t>01/07/1976</t>
  </si>
  <si>
    <t>29/06/1984</t>
  </si>
  <si>
    <t>01/10/1981</t>
  </si>
  <si>
    <t>11/01/1970</t>
  </si>
  <si>
    <t>02/11/1997</t>
  </si>
  <si>
    <t>14/02/1988</t>
  </si>
  <si>
    <t>10/12/1996</t>
  </si>
  <si>
    <t>22/10/1995</t>
  </si>
  <si>
    <t>14/12/2002</t>
  </si>
  <si>
    <t>12/12/2005</t>
  </si>
  <si>
    <t>07/03/1997</t>
  </si>
  <si>
    <t>12/01/1954</t>
  </si>
  <si>
    <t>25/02/1972</t>
  </si>
  <si>
    <t>27/02/1998</t>
  </si>
  <si>
    <t>05/11/1977</t>
  </si>
  <si>
    <t>08/09/1992</t>
  </si>
  <si>
    <t>30/01/1971</t>
  </si>
  <si>
    <t>07/03/1983</t>
  </si>
  <si>
    <t>08/06/1956</t>
  </si>
  <si>
    <t>10/03/1959</t>
  </si>
  <si>
    <t>03/12/1961</t>
  </si>
  <si>
    <t>17/06/1988</t>
  </si>
  <si>
    <t>16/07/1998</t>
  </si>
  <si>
    <t>09/01/1998</t>
  </si>
  <si>
    <t>28/04/1999</t>
  </si>
  <si>
    <t>10/08/1987</t>
  </si>
  <si>
    <t>04/03/1997</t>
  </si>
  <si>
    <t>12/05/1953</t>
  </si>
  <si>
    <t>21/02/1990</t>
  </si>
  <si>
    <t>08/08/1974</t>
  </si>
  <si>
    <t>14/11/1978</t>
  </si>
  <si>
    <t>16/01/1964</t>
  </si>
  <si>
    <t>22/02/1985</t>
  </si>
  <si>
    <t>18/11/1976</t>
  </si>
  <si>
    <t>25/06/1960</t>
  </si>
  <si>
    <t>29/05/1992</t>
  </si>
  <si>
    <t>15/01/1985</t>
  </si>
  <si>
    <t>11/08/1985</t>
  </si>
  <si>
    <t>21/11/1997</t>
  </si>
  <si>
    <t>19/09/1964</t>
  </si>
  <si>
    <t>12/02/1982</t>
  </si>
  <si>
    <t>21/02/1977</t>
  </si>
  <si>
    <t>19/04/1990</t>
  </si>
  <si>
    <t>30/05/1954</t>
  </si>
  <si>
    <t>03/05/1998</t>
  </si>
  <si>
    <t>20/02/1988</t>
  </si>
  <si>
    <t>16/12/1952</t>
  </si>
  <si>
    <t>27/11/1963</t>
  </si>
  <si>
    <t>19/11/1998</t>
  </si>
  <si>
    <t>22/05/1972</t>
  </si>
  <si>
    <t>26/06/1977</t>
  </si>
  <si>
    <t>09/10/1972</t>
  </si>
  <si>
    <t>17/12/1950</t>
  </si>
  <si>
    <t>16/09/1993</t>
  </si>
  <si>
    <t>20/09/1991</t>
  </si>
  <si>
    <t>23/08/1994</t>
  </si>
  <si>
    <t>09/03/1997</t>
  </si>
  <si>
    <t>28/04/1980</t>
  </si>
  <si>
    <t>22/06/1981</t>
  </si>
  <si>
    <t>29/06/1978</t>
  </si>
  <si>
    <t>21/01/1971</t>
  </si>
  <si>
    <t>18/11/1970</t>
  </si>
  <si>
    <t>25/07/1996</t>
  </si>
  <si>
    <t>20/09/1999</t>
  </si>
  <si>
    <t>28/11/2003</t>
  </si>
  <si>
    <t>22/05/1978</t>
  </si>
  <si>
    <t>08/07/1957</t>
  </si>
  <si>
    <t>31/05/1983</t>
  </si>
  <si>
    <t>15/11/1974</t>
  </si>
  <si>
    <t>20/01/1983</t>
  </si>
  <si>
    <t>01/09/1998</t>
  </si>
  <si>
    <t>20/02/1977</t>
  </si>
  <si>
    <t>17/08/2004</t>
  </si>
  <si>
    <t>10/09/1994</t>
  </si>
  <si>
    <t>22/05/1974</t>
  </si>
  <si>
    <t>14/08/1988</t>
  </si>
  <si>
    <t>19/05/1958</t>
  </si>
  <si>
    <t>26/04/1974</t>
  </si>
  <si>
    <t>19/12/1964</t>
  </si>
  <si>
    <t>02/12/1967</t>
  </si>
  <si>
    <t>24/08/1976</t>
  </si>
  <si>
    <t>05/05/1978</t>
  </si>
  <si>
    <t>09/06/1970</t>
  </si>
  <si>
    <t>04/08/1989</t>
  </si>
  <si>
    <t>14/11/1980</t>
  </si>
  <si>
    <t>05/06/1987</t>
  </si>
  <si>
    <t>17/03/1958</t>
  </si>
  <si>
    <t>29/01/1951</t>
  </si>
  <si>
    <t>04/11/2001</t>
  </si>
  <si>
    <t>21/06/1983</t>
  </si>
  <si>
    <t>14/04/1965</t>
  </si>
  <si>
    <t>06/02/1983</t>
  </si>
  <si>
    <t>11/07/1986</t>
  </si>
  <si>
    <t>20/02/1986</t>
  </si>
  <si>
    <t>11/02/1982</t>
  </si>
  <si>
    <t>06/01/1955</t>
  </si>
  <si>
    <t>13/07/1940</t>
  </si>
  <si>
    <t>22/06/1985</t>
  </si>
  <si>
    <t>25/12/1994</t>
  </si>
  <si>
    <t>05/09/1969</t>
  </si>
  <si>
    <t>04/12/2003</t>
  </si>
  <si>
    <t>13/04/1999</t>
  </si>
  <si>
    <t>25/04/2003</t>
  </si>
  <si>
    <t>16/07/2002</t>
  </si>
  <si>
    <t>25/10/1989</t>
  </si>
  <si>
    <t>23/10/1981</t>
  </si>
  <si>
    <t>27/06/1982</t>
  </si>
  <si>
    <t>27/06/1970</t>
  </si>
  <si>
    <t>25/01/1979</t>
  </si>
  <si>
    <t>07/05/1995</t>
  </si>
  <si>
    <t>06/06/1964</t>
  </si>
  <si>
    <t>08/07/2000</t>
  </si>
  <si>
    <t>15/06/1993</t>
  </si>
  <si>
    <t>13/02/1975</t>
  </si>
  <si>
    <t>11/12/1991</t>
  </si>
  <si>
    <t>30/10/1982</t>
  </si>
  <si>
    <t>12/01/1962</t>
  </si>
  <si>
    <t>23/06/1987</t>
  </si>
  <si>
    <t>08/11/1971</t>
  </si>
  <si>
    <t>02/10/1988</t>
  </si>
  <si>
    <t>12/12/1982</t>
  </si>
  <si>
    <t>01/01/1974</t>
  </si>
  <si>
    <t>08/02/1997</t>
  </si>
  <si>
    <t>18/05/2002</t>
  </si>
  <si>
    <t>01/09/1994</t>
  </si>
  <si>
    <t>20/11/1997</t>
  </si>
  <si>
    <t>30/03/1996</t>
  </si>
  <si>
    <t>15/08/1957</t>
  </si>
  <si>
    <t>04/10/1979</t>
  </si>
  <si>
    <t>24/02/2002</t>
  </si>
  <si>
    <t>12/05/1977</t>
  </si>
  <si>
    <t>11/01/1983</t>
  </si>
  <si>
    <t>24/07/2006</t>
  </si>
  <si>
    <t>26/04/1987</t>
  </si>
  <si>
    <t>08/08/1975</t>
  </si>
  <si>
    <t>31/07/1980</t>
  </si>
  <si>
    <t>21/04/1994</t>
  </si>
  <si>
    <t>25/07/1986</t>
  </si>
  <si>
    <t>30/08/1971</t>
  </si>
  <si>
    <t>10/05/2000</t>
  </si>
  <si>
    <t>01/01/1981</t>
  </si>
  <si>
    <t>10/01/1977</t>
  </si>
  <si>
    <t>15/11/1996</t>
  </si>
  <si>
    <t>28/02/1995</t>
  </si>
  <si>
    <t>14/08/1967</t>
  </si>
  <si>
    <t>09/04/1983</t>
  </si>
  <si>
    <t>08/07/1980</t>
  </si>
  <si>
    <t>20/03/1998</t>
  </si>
  <si>
    <t>11/10/1989</t>
  </si>
  <si>
    <t>04/09/1984</t>
  </si>
  <si>
    <t>31/12/2003</t>
  </si>
  <si>
    <t>18/02/1984</t>
  </si>
  <si>
    <t>20/03/2000</t>
  </si>
  <si>
    <t>19/11/1999</t>
  </si>
  <si>
    <t>21/10/1992</t>
  </si>
  <si>
    <t>08/11/2004</t>
  </si>
  <si>
    <t>31/01/1989</t>
  </si>
  <si>
    <t>21/04/2001</t>
  </si>
  <si>
    <t>06/10/1964</t>
  </si>
  <si>
    <t>06/12/1991</t>
  </si>
  <si>
    <t>18/09/1997</t>
  </si>
  <si>
    <t>20/11/2006</t>
  </si>
  <si>
    <t>18/10/1973</t>
  </si>
  <si>
    <t>09/01/1983</t>
  </si>
  <si>
    <t>30/01/1977</t>
  </si>
  <si>
    <t>20/09/1985</t>
  </si>
  <si>
    <t>01/06/1973</t>
  </si>
  <si>
    <t>23/12/1960</t>
  </si>
  <si>
    <t>05/11/1972</t>
  </si>
  <si>
    <t>06/07/1974</t>
  </si>
  <si>
    <t>16/11/1990</t>
  </si>
  <si>
    <t>11/12/1997</t>
  </si>
  <si>
    <t>25/08/1956</t>
  </si>
  <si>
    <t>04/01/1965</t>
  </si>
  <si>
    <t>23/07/1994</t>
  </si>
  <si>
    <t>06/02/1959</t>
  </si>
  <si>
    <t>17/08/1971</t>
  </si>
  <si>
    <t>17/06/1985</t>
  </si>
  <si>
    <t>05/02/1996</t>
  </si>
  <si>
    <t>30/03/1980</t>
  </si>
  <si>
    <t>06/02/2000</t>
  </si>
  <si>
    <t>07/01/1974</t>
  </si>
  <si>
    <t>06/09/1997</t>
  </si>
  <si>
    <t>29/01/1964</t>
  </si>
  <si>
    <t>12/04/1983</t>
  </si>
  <si>
    <t>04/03/1966</t>
  </si>
  <si>
    <t>29/08/1976</t>
  </si>
  <si>
    <t>14/09/1993</t>
  </si>
  <si>
    <t>01/08/1970</t>
  </si>
  <si>
    <t>11/08/1980</t>
  </si>
  <si>
    <t>06/11/1982</t>
  </si>
  <si>
    <t>12/02/1998</t>
  </si>
  <si>
    <t>23/12/1961</t>
  </si>
  <si>
    <t>19/06/1972</t>
  </si>
  <si>
    <t>09/03/1962</t>
  </si>
  <si>
    <t>05/07/1989</t>
  </si>
  <si>
    <t>22/06/1990</t>
  </si>
  <si>
    <t>15/10/1994</t>
  </si>
  <si>
    <t>21/06/1967</t>
  </si>
  <si>
    <t>19/05/2003</t>
  </si>
  <si>
    <t>22/04/1991</t>
  </si>
  <si>
    <t>07/10/1996</t>
  </si>
  <si>
    <t>10/05/1994</t>
  </si>
  <si>
    <t>24/11/1972</t>
  </si>
  <si>
    <t>01/10/2002</t>
  </si>
  <si>
    <t>26/12/1985</t>
  </si>
  <si>
    <t>29/10/1984</t>
  </si>
  <si>
    <t>23/10/1996</t>
  </si>
  <si>
    <t>07/02/1997</t>
  </si>
  <si>
    <t>12/12/2000</t>
  </si>
  <si>
    <t>01/02/2000</t>
  </si>
  <si>
    <t>14/03/2001</t>
  </si>
  <si>
    <t>01/07/1953</t>
  </si>
  <si>
    <t>05/04/1985</t>
  </si>
  <si>
    <t>10/06/1947</t>
  </si>
  <si>
    <t>16/02/1989</t>
  </si>
  <si>
    <t>09/07/2003</t>
  </si>
  <si>
    <t>03/04/2005</t>
  </si>
  <si>
    <t>21/06/1995</t>
  </si>
  <si>
    <t>03/08/1957</t>
  </si>
  <si>
    <t>05/11/1999</t>
  </si>
  <si>
    <t>26/02/1964</t>
  </si>
  <si>
    <t>17/02/1984</t>
  </si>
  <si>
    <t>03/03/1981</t>
  </si>
  <si>
    <t>06/07/1988</t>
  </si>
  <si>
    <t>30/08/1951</t>
  </si>
  <si>
    <t>29/11/1984</t>
  </si>
  <si>
    <t>20/07/1988</t>
  </si>
  <si>
    <t>10/05/1987</t>
  </si>
  <si>
    <t>22/08/2003</t>
  </si>
  <si>
    <t>16/03/1957</t>
  </si>
  <si>
    <t>13/05/2006</t>
  </si>
  <si>
    <t>23/02/2001</t>
  </si>
  <si>
    <t>02/12/1993</t>
  </si>
  <si>
    <t>09/08/2004</t>
  </si>
  <si>
    <t>04/04/1996</t>
  </si>
  <si>
    <t>17/02/2003</t>
  </si>
  <si>
    <t>07/05/2000</t>
  </si>
  <si>
    <t>01/02/1964</t>
  </si>
  <si>
    <t>05/06/1978</t>
  </si>
  <si>
    <t>20/12/2000</t>
  </si>
  <si>
    <t>26/10/1991</t>
  </si>
  <si>
    <t>17/03/1998</t>
  </si>
  <si>
    <t>30/10/1983</t>
  </si>
  <si>
    <t>15/09/1987</t>
  </si>
  <si>
    <t>05/07/2002</t>
  </si>
  <si>
    <t>22/05/1992</t>
  </si>
  <si>
    <t>30/04/1989</t>
  </si>
  <si>
    <t>03/03/1993</t>
  </si>
  <si>
    <t>27/04/2003</t>
  </si>
  <si>
    <t>01/08/1992</t>
  </si>
  <si>
    <t>23/09/1962</t>
  </si>
  <si>
    <t>22/11/1976</t>
  </si>
  <si>
    <t>01/11/1957</t>
  </si>
  <si>
    <t>02/07/1996</t>
  </si>
  <si>
    <t>30/01/1992</t>
  </si>
  <si>
    <t>09/12/1984</t>
  </si>
  <si>
    <t>27/11/2004</t>
  </si>
  <si>
    <t>29/11/1965</t>
  </si>
  <si>
    <t>24/05/1998</t>
  </si>
  <si>
    <t>19/05/1985</t>
  </si>
  <si>
    <t>17/11/1961</t>
  </si>
  <si>
    <t>08/07/1989</t>
  </si>
  <si>
    <t>19/03/1994</t>
  </si>
  <si>
    <t>10/07/1973</t>
  </si>
  <si>
    <t>27/02/1969</t>
  </si>
  <si>
    <t>08/07/1965</t>
  </si>
  <si>
    <t>13/07/1975</t>
  </si>
  <si>
    <t>07/02/1983</t>
  </si>
  <si>
    <t>26/03/1967</t>
  </si>
  <si>
    <t>20/07/1961</t>
  </si>
  <si>
    <t>10/07/1963</t>
  </si>
  <si>
    <t>23/03/1987</t>
  </si>
  <si>
    <t>04/11/2004</t>
  </si>
  <si>
    <t>25/06/1981</t>
  </si>
  <si>
    <t>19/11/1976</t>
  </si>
  <si>
    <t>12/11/1984</t>
  </si>
  <si>
    <t>24/11/2003</t>
  </si>
  <si>
    <t>10/08/2004</t>
  </si>
  <si>
    <t>10/10/2001</t>
  </si>
  <si>
    <t>11/01/1991</t>
  </si>
  <si>
    <t>17/04/1996</t>
  </si>
  <si>
    <t>30/12/1982</t>
  </si>
  <si>
    <t>26/02/1987</t>
  </si>
  <si>
    <t>21/07/1968</t>
  </si>
  <si>
    <t>03/03/1982</t>
  </si>
  <si>
    <t>25/06/1986</t>
  </si>
  <si>
    <t>21/09/1957</t>
  </si>
  <si>
    <t>19/06/2001</t>
  </si>
  <si>
    <t>05/08/1973</t>
  </si>
  <si>
    <t>17/02/1989</t>
  </si>
  <si>
    <t>16/03/1997</t>
  </si>
  <si>
    <t>14/09/1961</t>
  </si>
  <si>
    <t>01/10/1955</t>
  </si>
  <si>
    <t>22/09/1995</t>
  </si>
  <si>
    <t>14/04/1961</t>
  </si>
  <si>
    <t>07/06/1991</t>
  </si>
  <si>
    <t>01/09/1988</t>
  </si>
  <si>
    <t>27/07/1987</t>
  </si>
  <si>
    <t>05/07/1986</t>
  </si>
  <si>
    <t>15/01/1972</t>
  </si>
  <si>
    <t>10/02/1985</t>
  </si>
  <si>
    <t>23/02/1977</t>
  </si>
  <si>
    <t>28/04/1969</t>
  </si>
  <si>
    <t>11/09/1970</t>
  </si>
  <si>
    <t>22/04/1967</t>
  </si>
  <si>
    <t>04/05/1938</t>
  </si>
  <si>
    <t>30/11/1951</t>
  </si>
  <si>
    <t>17/02/1961</t>
  </si>
  <si>
    <t>06/06/1994</t>
  </si>
  <si>
    <t>19/06/1965</t>
  </si>
  <si>
    <t>18/02/1974</t>
  </si>
  <si>
    <t>01/04/2000</t>
  </si>
  <si>
    <t>12/03/1990</t>
  </si>
  <si>
    <t>09/09/1957</t>
  </si>
  <si>
    <t>29/08/1989</t>
  </si>
  <si>
    <t>30/09/1992</t>
  </si>
  <si>
    <t>08/11/2003</t>
  </si>
  <si>
    <t>09/02/1999</t>
  </si>
  <si>
    <t>01/06/1975</t>
  </si>
  <si>
    <t>19/07/1978</t>
  </si>
  <si>
    <t>24/05/1962</t>
  </si>
  <si>
    <t>14/03/1972</t>
  </si>
  <si>
    <t>18/01/1991</t>
  </si>
  <si>
    <t>25/04/2001</t>
  </si>
  <si>
    <t>10/07/1987</t>
  </si>
  <si>
    <t>01/01/1971</t>
  </si>
  <si>
    <t>10/07/2003</t>
  </si>
  <si>
    <t>23/08/2004</t>
  </si>
  <si>
    <t>14/12/1969</t>
  </si>
  <si>
    <t>20/09/1967</t>
  </si>
  <si>
    <t>07/10/1983</t>
  </si>
  <si>
    <t>29/03/1963</t>
  </si>
  <si>
    <t>06/05/1980</t>
  </si>
  <si>
    <t>19/11/1977</t>
  </si>
  <si>
    <t>19/10/1972</t>
  </si>
  <si>
    <t>30/03/1995</t>
  </si>
  <si>
    <t>22/01/1989</t>
  </si>
  <si>
    <t>07/08/1977</t>
  </si>
  <si>
    <t>11/10/2005</t>
  </si>
  <si>
    <t>01/06/1980</t>
  </si>
  <si>
    <t>26/08/1994</t>
  </si>
  <si>
    <t>08/11/1984</t>
  </si>
  <si>
    <t>28/08/1995</t>
  </si>
  <si>
    <t>06/10/1985</t>
  </si>
  <si>
    <t>22/09/1994</t>
  </si>
  <si>
    <t>11/04/2003</t>
  </si>
  <si>
    <t>15/11/1969</t>
  </si>
  <si>
    <t>01/06/1967</t>
  </si>
  <si>
    <t>16/02/1947</t>
  </si>
  <si>
    <t>19/09/1963</t>
  </si>
  <si>
    <t>14/04/1995</t>
  </si>
  <si>
    <t>21/09/1982</t>
  </si>
  <si>
    <t>04/11/1993</t>
  </si>
  <si>
    <t>16/07/2005</t>
  </si>
  <si>
    <t>17/07/1950</t>
  </si>
  <si>
    <t>16/04/2005</t>
  </si>
  <si>
    <t>14/09/1958</t>
  </si>
  <si>
    <t>19/07/1986</t>
  </si>
  <si>
    <t>28/01/1976</t>
  </si>
  <si>
    <t>13/09/1993</t>
  </si>
  <si>
    <t>11/11/1996</t>
  </si>
  <si>
    <t>13/05/1984</t>
  </si>
  <si>
    <t>06/04/1981</t>
  </si>
  <si>
    <t>12/05/1974</t>
  </si>
  <si>
    <t>26/03/2002</t>
  </si>
  <si>
    <t>20/10/1984</t>
  </si>
  <si>
    <t>08/12/1999</t>
  </si>
  <si>
    <t>25/09/2005</t>
  </si>
  <si>
    <t>07/07/1959</t>
  </si>
  <si>
    <t>21/01/1955</t>
  </si>
  <si>
    <t>23/06/1999</t>
  </si>
  <si>
    <t>25/08/1983</t>
  </si>
  <si>
    <t>29/08/1991</t>
  </si>
  <si>
    <t>10/09/1975</t>
  </si>
  <si>
    <t>02/01/1978</t>
  </si>
  <si>
    <t>06/09/1981</t>
  </si>
  <si>
    <t>03/11/1975</t>
  </si>
  <si>
    <t>12/12/1970</t>
  </si>
  <si>
    <t>14/11/1998</t>
  </si>
  <si>
    <t>03/09/1979</t>
  </si>
  <si>
    <t>11/07/1965</t>
  </si>
  <si>
    <t>01/10/1987</t>
  </si>
  <si>
    <t>01/01/2000</t>
  </si>
  <si>
    <t>12/06/1967</t>
  </si>
  <si>
    <t>19/02/1962</t>
  </si>
  <si>
    <t>22/02/1968</t>
  </si>
  <si>
    <t>05/05/1997</t>
  </si>
  <si>
    <t>02/10/1950</t>
  </si>
  <si>
    <t>17/08/1974</t>
  </si>
  <si>
    <t>19/10/1987</t>
  </si>
  <si>
    <t>27/01/2004</t>
  </si>
  <si>
    <t>25/10/1985</t>
  </si>
  <si>
    <t>18/04/1981</t>
  </si>
  <si>
    <t>30/08/1997</t>
  </si>
  <si>
    <t>07/01/2003</t>
  </si>
  <si>
    <t>14/07/1941</t>
  </si>
  <si>
    <t>05/09/1992</t>
  </si>
  <si>
    <t>17/10/1951</t>
  </si>
  <si>
    <t>13/12/1994</t>
  </si>
  <si>
    <t>07/05/1975</t>
  </si>
  <si>
    <t>21/05/2005</t>
  </si>
  <si>
    <t>04/07/2000</t>
  </si>
  <si>
    <t>05/11/1979</t>
  </si>
  <si>
    <t>13/06/1979</t>
  </si>
  <si>
    <t>10/01/1969</t>
  </si>
  <si>
    <t>22/10/1963</t>
  </si>
  <si>
    <t>06/02/1987</t>
  </si>
  <si>
    <t>21/06/1992</t>
  </si>
  <si>
    <t>29/11/2003</t>
  </si>
  <si>
    <t>16/06/1992</t>
  </si>
  <si>
    <t>11/02/1968</t>
  </si>
  <si>
    <t>03/03/1969</t>
  </si>
  <si>
    <t>03/02/2000</t>
  </si>
  <si>
    <t>23/12/1973</t>
  </si>
  <si>
    <t>23/06/1952</t>
  </si>
  <si>
    <t>28/10/1991</t>
  </si>
  <si>
    <t>14/12/1987</t>
  </si>
  <si>
    <t>16/01/1989</t>
  </si>
  <si>
    <t>03/10/1990</t>
  </si>
  <si>
    <t>21/12/1970</t>
  </si>
  <si>
    <t>07/11/1984</t>
  </si>
  <si>
    <t>25/12/2005</t>
  </si>
  <si>
    <t>16/08/1971</t>
  </si>
  <si>
    <t>03/10/2002</t>
  </si>
  <si>
    <t>10/08/1985</t>
  </si>
  <si>
    <t>15/02/1999</t>
  </si>
  <si>
    <t>25/06/1994</t>
  </si>
  <si>
    <t>08/05/1976</t>
  </si>
  <si>
    <t>21/10/1985</t>
  </si>
  <si>
    <t>13/06/1963</t>
  </si>
  <si>
    <t>30/03/1959</t>
  </si>
  <si>
    <t>11/01/1984</t>
  </si>
  <si>
    <t>08/03/2002</t>
  </si>
  <si>
    <t>18/12/2001</t>
  </si>
  <si>
    <t>26/02/1993</t>
  </si>
  <si>
    <t>11/07/1981</t>
  </si>
  <si>
    <t>22/01/1978</t>
  </si>
  <si>
    <t>28/11/1968</t>
  </si>
  <si>
    <t>15/10/1987</t>
  </si>
  <si>
    <t>20/12/1953</t>
  </si>
  <si>
    <t>24/07/1950</t>
  </si>
  <si>
    <t>03/01/1994</t>
  </si>
  <si>
    <t>22/01/1986</t>
  </si>
  <si>
    <t>13/11/1957</t>
  </si>
  <si>
    <t>19/01/2004</t>
  </si>
  <si>
    <t>01/10/1978</t>
  </si>
  <si>
    <t>17/05/2003</t>
  </si>
  <si>
    <t>20/11/2004</t>
  </si>
  <si>
    <t>20/01/1994</t>
  </si>
  <si>
    <t>17/07/2005</t>
  </si>
  <si>
    <t>21/01/1992</t>
  </si>
  <si>
    <t>11/04/1998</t>
  </si>
  <si>
    <t>30/06/1994</t>
  </si>
  <si>
    <t>10/04/1990</t>
  </si>
  <si>
    <t>18/10/1963</t>
  </si>
  <si>
    <t>02/02/1983</t>
  </si>
  <si>
    <t>25/02/1983</t>
  </si>
  <si>
    <t>23/04/1982</t>
  </si>
  <si>
    <t>12/12/1998</t>
  </si>
  <si>
    <t>22/08/2000</t>
  </si>
  <si>
    <t>10/01/1986</t>
  </si>
  <si>
    <t>01/12/1996</t>
  </si>
  <si>
    <t>25/10/1975</t>
  </si>
  <si>
    <t>11/02/1971</t>
  </si>
  <si>
    <t>29/11/1970</t>
  </si>
  <si>
    <t>01/03/1964</t>
  </si>
  <si>
    <t>09/04/1972</t>
  </si>
  <si>
    <t>30/12/1983</t>
  </si>
  <si>
    <t>01/11/1989</t>
  </si>
  <si>
    <t>27/04/1963</t>
  </si>
  <si>
    <t>05/07/1978</t>
  </si>
  <si>
    <t>31/01/1993</t>
  </si>
  <si>
    <t>01/01/1995</t>
  </si>
  <si>
    <t>12/12/1991</t>
  </si>
  <si>
    <t>17/07/1969</t>
  </si>
  <si>
    <t>24/04/1958</t>
  </si>
  <si>
    <t>30/06/1961</t>
  </si>
  <si>
    <t>16/08/1993</t>
  </si>
  <si>
    <t>15/10/1971</t>
  </si>
  <si>
    <t>26/10/1995</t>
  </si>
  <si>
    <t>23/05/1976</t>
  </si>
  <si>
    <t>23/02/1988</t>
  </si>
  <si>
    <t>22/02/1986</t>
  </si>
  <si>
    <t>09/04/1978</t>
  </si>
  <si>
    <t>20/11/2005</t>
  </si>
  <si>
    <t>04/11/1983</t>
  </si>
  <si>
    <t>10/05/1998</t>
  </si>
  <si>
    <t>12/08/2002</t>
  </si>
  <si>
    <t>31/01/1990</t>
  </si>
  <si>
    <t>25/02/2002</t>
  </si>
  <si>
    <t>05/03/2004</t>
  </si>
  <si>
    <t>26/02/1989</t>
  </si>
  <si>
    <t>04/02/1980</t>
  </si>
  <si>
    <t>20/05/1977</t>
  </si>
  <si>
    <t>01/01/1979</t>
  </si>
  <si>
    <t>15/07/1976</t>
  </si>
  <si>
    <t>15/06/1964</t>
  </si>
  <si>
    <t>04/04/1979</t>
  </si>
  <si>
    <t>12/11/1982</t>
  </si>
  <si>
    <t>25/10/2000</t>
  </si>
  <si>
    <t>11/01/1990</t>
  </si>
  <si>
    <t>29/01/2000</t>
  </si>
  <si>
    <t>26/10/1992</t>
  </si>
  <si>
    <t>18/12/1975</t>
  </si>
  <si>
    <t>07/12/1973</t>
  </si>
  <si>
    <t>17/03/2006</t>
  </si>
  <si>
    <t>17/02/1992</t>
  </si>
  <si>
    <t>04/08/1992</t>
  </si>
  <si>
    <t>03/02/1981</t>
  </si>
  <si>
    <t>28/04/1957</t>
  </si>
  <si>
    <t>28/11/2006</t>
  </si>
  <si>
    <t>10/12/1956</t>
  </si>
  <si>
    <t>18/09/2006</t>
  </si>
  <si>
    <t>22/02/1973</t>
  </si>
  <si>
    <t>20/02/1957</t>
  </si>
  <si>
    <t>07/12/1966</t>
  </si>
  <si>
    <t>05/06/1964</t>
  </si>
  <si>
    <t>04/11/1986</t>
  </si>
  <si>
    <t>25/09/1991</t>
  </si>
  <si>
    <t>17/10/1999</t>
  </si>
  <si>
    <t>27/12/1973</t>
  </si>
  <si>
    <t>14/11/1999</t>
  </si>
  <si>
    <t>12/05/1976</t>
  </si>
  <si>
    <t>03/10/2005</t>
  </si>
  <si>
    <t>18/11/1955</t>
  </si>
  <si>
    <t>24/04/1993</t>
  </si>
  <si>
    <t>24/11/1990</t>
  </si>
  <si>
    <t>05/06/1998</t>
  </si>
  <si>
    <t>23/04/1962</t>
  </si>
  <si>
    <t>17/05/1965</t>
  </si>
  <si>
    <t>14/02/1965</t>
  </si>
  <si>
    <t>27/12/1988</t>
  </si>
  <si>
    <t>04/12/1979</t>
  </si>
  <si>
    <t>04/08/1957</t>
  </si>
  <si>
    <t>22/06/1960</t>
  </si>
  <si>
    <t>07/01/1983</t>
  </si>
  <si>
    <t>07/06/1944</t>
  </si>
  <si>
    <t>01/12/1974</t>
  </si>
  <si>
    <t>13/09/2004</t>
  </si>
  <si>
    <t>07/07/1966</t>
  </si>
  <si>
    <t>26/01/1961</t>
  </si>
  <si>
    <t>22/07/2006</t>
  </si>
  <si>
    <t>31/05/2001</t>
  </si>
  <si>
    <t>16/05/1974</t>
  </si>
  <si>
    <t>26/12/1995</t>
  </si>
  <si>
    <t>24/07/2002</t>
  </si>
  <si>
    <t>17/03/1997</t>
  </si>
  <si>
    <t>30/06/2001</t>
  </si>
  <si>
    <t>29/10/1993</t>
  </si>
  <si>
    <t>19/09/1976</t>
  </si>
  <si>
    <t>17/01/1983</t>
  </si>
  <si>
    <t>29/03/1992</t>
  </si>
  <si>
    <t>02/06/1957</t>
  </si>
  <si>
    <t>12/09/1996</t>
  </si>
  <si>
    <t>14/07/1983</t>
  </si>
  <si>
    <t>29/10/1982</t>
  </si>
  <si>
    <t>14/10/1958</t>
  </si>
  <si>
    <t>17/07/2004</t>
  </si>
  <si>
    <t>28/07/1995</t>
  </si>
  <si>
    <t>30/08/1970</t>
  </si>
  <si>
    <t>17/04/1960</t>
  </si>
  <si>
    <t>18/02/1977</t>
  </si>
  <si>
    <t>02/05/1997</t>
  </si>
  <si>
    <t>13/02/1959</t>
  </si>
  <si>
    <t>28/03/1969</t>
  </si>
  <si>
    <t>13/08/1997</t>
  </si>
  <si>
    <t>27/09/1970</t>
  </si>
  <si>
    <t>24/09/1989</t>
  </si>
  <si>
    <t>11/06/1988</t>
  </si>
  <si>
    <t>28/09/1983</t>
  </si>
  <si>
    <t>10/04/2000</t>
  </si>
  <si>
    <t>03/02/1945</t>
  </si>
  <si>
    <t>09/08/1988</t>
  </si>
  <si>
    <t>01/10/1959</t>
  </si>
  <si>
    <t>25/11/1967</t>
  </si>
  <si>
    <t>10/12/1995</t>
  </si>
  <si>
    <t>01/03/1969</t>
  </si>
  <si>
    <t>18/04/1999</t>
  </si>
  <si>
    <t>13/11/1979</t>
  </si>
  <si>
    <t>27/01/1985</t>
  </si>
  <si>
    <t>12/10/1962</t>
  </si>
  <si>
    <t>05/02/1992</t>
  </si>
  <si>
    <t>06/09/2003</t>
  </si>
  <si>
    <t>17/01/1982</t>
  </si>
  <si>
    <t>06/05/1985</t>
  </si>
  <si>
    <t>29/11/1996</t>
  </si>
  <si>
    <t>04/01/1995</t>
  </si>
  <si>
    <t>27/06/1985</t>
  </si>
  <si>
    <t>21/02/1986</t>
  </si>
  <si>
    <t>21/11/1971</t>
  </si>
  <si>
    <t>23/01/2000</t>
  </si>
  <si>
    <t>28/04/2001</t>
  </si>
  <si>
    <t>17/02/1979</t>
  </si>
  <si>
    <t>25/03/1977</t>
  </si>
  <si>
    <t>08/05/1999</t>
  </si>
  <si>
    <t>11/09/1987</t>
  </si>
  <si>
    <t>22/05/1961</t>
  </si>
  <si>
    <t>17/03/1983</t>
  </si>
  <si>
    <t>25/04/1962</t>
  </si>
  <si>
    <t>30/08/1987</t>
  </si>
  <si>
    <t>05/02/2000</t>
  </si>
  <si>
    <t>17/01/2007</t>
  </si>
  <si>
    <t>06/11/1988</t>
  </si>
  <si>
    <t>25/12/1992</t>
  </si>
  <si>
    <t>17/06/1968</t>
  </si>
  <si>
    <t>15/12/1970</t>
  </si>
  <si>
    <t>06/01/1990</t>
  </si>
  <si>
    <t>21/07/1964</t>
  </si>
  <si>
    <t>03/02/1994</t>
  </si>
  <si>
    <t>30/08/2001</t>
  </si>
  <si>
    <t>04/10/1967</t>
  </si>
  <si>
    <t>24/09/1962</t>
  </si>
  <si>
    <t>04/01/1954</t>
  </si>
  <si>
    <t>04/07/1972</t>
  </si>
  <si>
    <t>07/04/2006</t>
  </si>
  <si>
    <t>07/07/2001</t>
  </si>
  <si>
    <t>14/07/1989</t>
  </si>
  <si>
    <t>27/06/2007</t>
  </si>
  <si>
    <t>24/02/1960</t>
  </si>
  <si>
    <t>31/01/1992</t>
  </si>
  <si>
    <t>14/06/1988</t>
  </si>
  <si>
    <t>08/09/2001</t>
  </si>
  <si>
    <t>15/10/1991</t>
  </si>
  <si>
    <t>21/08/1980</t>
  </si>
  <si>
    <t>04/02/1970</t>
  </si>
  <si>
    <t>31/10/1964</t>
  </si>
  <si>
    <t>14/01/2005</t>
  </si>
  <si>
    <t>25/08/1988</t>
  </si>
  <si>
    <t>18/02/1988</t>
  </si>
  <si>
    <t>28/04/1994</t>
  </si>
  <si>
    <t>10/11/1995</t>
  </si>
  <si>
    <t>22/08/1988</t>
  </si>
  <si>
    <t>05/09/1962</t>
  </si>
  <si>
    <t>23/11/1993</t>
  </si>
  <si>
    <t>03/11/1988</t>
  </si>
  <si>
    <t>20/08/1955</t>
  </si>
  <si>
    <t>21/03/1979</t>
  </si>
  <si>
    <t>21/02/1963</t>
  </si>
  <si>
    <t>22/11/1992</t>
  </si>
  <si>
    <t>13/01/1983</t>
  </si>
  <si>
    <t>27/08/1972</t>
  </si>
  <si>
    <t>19/12/1990</t>
  </si>
  <si>
    <t>18/08/1966</t>
  </si>
  <si>
    <t>11/08/1982</t>
  </si>
  <si>
    <t>23/01/1981</t>
  </si>
  <si>
    <t>26/01/1983</t>
  </si>
  <si>
    <t>23/09/1988</t>
  </si>
  <si>
    <t>05/11/2005</t>
  </si>
  <si>
    <t>25/04/1972</t>
  </si>
  <si>
    <t>06/07/1982</t>
  </si>
  <si>
    <t>31/12/1985</t>
  </si>
  <si>
    <t>08/07/2002</t>
  </si>
  <si>
    <t>01/12/1995</t>
  </si>
  <si>
    <t>29/05/2002</t>
  </si>
  <si>
    <t>18/03/1998</t>
  </si>
  <si>
    <t>06/02/1986</t>
  </si>
  <si>
    <t>29/10/1987</t>
  </si>
  <si>
    <t>07/01/1994</t>
  </si>
  <si>
    <t>20/09/2004</t>
  </si>
  <si>
    <t>08/02/1983</t>
  </si>
  <si>
    <t>28/05/1977</t>
  </si>
  <si>
    <t>29/09/1999</t>
  </si>
  <si>
    <t>10/09/2002</t>
  </si>
  <si>
    <t>24/03/1976</t>
  </si>
  <si>
    <t>26/09/1964</t>
  </si>
  <si>
    <t>07/05/1967</t>
  </si>
  <si>
    <t>20/06/2000</t>
  </si>
  <si>
    <t>26/10/1956</t>
  </si>
  <si>
    <t>18/11/1972</t>
  </si>
  <si>
    <t>15/05/1948</t>
  </si>
  <si>
    <t>06/10/1987</t>
  </si>
  <si>
    <t>02/08/1994</t>
  </si>
  <si>
    <t>17/03/1991</t>
  </si>
  <si>
    <t>10/03/1992</t>
  </si>
  <si>
    <t>05/09/1990</t>
  </si>
  <si>
    <t>06/07/1984</t>
  </si>
  <si>
    <t>10/09/1984</t>
  </si>
  <si>
    <t>19/03/2001</t>
  </si>
  <si>
    <t>17/08/2005</t>
  </si>
  <si>
    <t>24/01/1997</t>
  </si>
  <si>
    <t>11/08/1996</t>
  </si>
  <si>
    <t>23/02/1993</t>
  </si>
  <si>
    <t>26/04/1968</t>
  </si>
  <si>
    <t>08/04/1999</t>
  </si>
  <si>
    <t>27/12/1979</t>
  </si>
  <si>
    <t>21/07/1984</t>
  </si>
  <si>
    <t>22/09/1972</t>
  </si>
  <si>
    <t>18/04/1988</t>
  </si>
  <si>
    <t>29/04/2002</t>
  </si>
  <si>
    <t>05/11/1998</t>
  </si>
  <si>
    <t>26/07/1996</t>
  </si>
  <si>
    <t>11/06/1996</t>
  </si>
  <si>
    <t>22/12/2003</t>
  </si>
  <si>
    <t>07/03/1974</t>
  </si>
  <si>
    <t>11/06/1955</t>
  </si>
  <si>
    <t>22/02/1984</t>
  </si>
  <si>
    <t>22/03/1948</t>
  </si>
  <si>
    <t>16/05/1985</t>
  </si>
  <si>
    <t>18/07/1990</t>
  </si>
  <si>
    <t>18/03/1979</t>
  </si>
  <si>
    <t>25/10/1984</t>
  </si>
  <si>
    <t>20/11/1989</t>
  </si>
  <si>
    <t>28/05/1996</t>
  </si>
  <si>
    <t>26/09/1981</t>
  </si>
  <si>
    <t>18/01/2002</t>
  </si>
  <si>
    <t>17/02/1996</t>
  </si>
  <si>
    <t>28/10/1993</t>
  </si>
  <si>
    <t>07/10/1982</t>
  </si>
  <si>
    <t>24/01/1954</t>
  </si>
  <si>
    <t>08/05/1971</t>
  </si>
  <si>
    <t>18/05/1984</t>
  </si>
  <si>
    <t>30/05/1979</t>
  </si>
  <si>
    <t>17/09/1997</t>
  </si>
  <si>
    <t>29/05/1984</t>
  </si>
  <si>
    <t>30/11/2000</t>
  </si>
  <si>
    <t>23/04/2002</t>
  </si>
  <si>
    <t>05/06/1985</t>
  </si>
  <si>
    <t>09/11/1966</t>
  </si>
  <si>
    <t>25/03/1995</t>
  </si>
  <si>
    <t>09/04/1993</t>
  </si>
  <si>
    <t>12/07/1998</t>
  </si>
  <si>
    <t>10/09/1972</t>
  </si>
  <si>
    <t>28/08/2004</t>
  </si>
  <si>
    <t>02/12/1949</t>
  </si>
  <si>
    <t>16/03/1956</t>
  </si>
  <si>
    <t>24/02/1997</t>
  </si>
  <si>
    <t>10/08/1965</t>
  </si>
  <si>
    <t>20/01/1981</t>
  </si>
  <si>
    <t>17/07/1996</t>
  </si>
  <si>
    <t>02/07/1998</t>
  </si>
  <si>
    <t>07/07/1989</t>
  </si>
  <si>
    <t>04/01/1982</t>
  </si>
  <si>
    <t>12/11/1988</t>
  </si>
  <si>
    <t>29/04/1985</t>
  </si>
  <si>
    <t>14/11/2006</t>
  </si>
  <si>
    <t>24/01/1964</t>
  </si>
  <si>
    <t>01/03/1991</t>
  </si>
  <si>
    <t>28/08/2002</t>
  </si>
  <si>
    <t>03/10/1971</t>
  </si>
  <si>
    <t>03/03/1963</t>
  </si>
  <si>
    <t>10/08/1969</t>
  </si>
  <si>
    <t>29/03/1984</t>
  </si>
  <si>
    <t>03/11/2006</t>
  </si>
  <si>
    <t>03/09/1968</t>
  </si>
  <si>
    <t>03/07/1984</t>
  </si>
  <si>
    <t>06/11/2002</t>
  </si>
  <si>
    <t>22/07/1971</t>
  </si>
  <si>
    <t>17/01/1979</t>
  </si>
  <si>
    <t>18/03/1968</t>
  </si>
  <si>
    <t>03/09/1996</t>
  </si>
  <si>
    <t>06/01/1962</t>
  </si>
  <si>
    <t>28/03/1977</t>
  </si>
  <si>
    <t>07/05/1981</t>
  </si>
  <si>
    <t>02/07/1980</t>
  </si>
  <si>
    <t>01/07/1975</t>
  </si>
  <si>
    <t>05/01/1999</t>
  </si>
  <si>
    <t>20/04/1958</t>
  </si>
  <si>
    <t>29/09/1981</t>
  </si>
  <si>
    <t>12/07/1944</t>
  </si>
  <si>
    <t>16/01/1952</t>
  </si>
  <si>
    <t>24/05/1974</t>
  </si>
  <si>
    <t>28/05/1995</t>
  </si>
  <si>
    <t>17/02/1980</t>
  </si>
  <si>
    <t>03/04/1981</t>
  </si>
  <si>
    <t>15/01/1997</t>
  </si>
  <si>
    <t>15/08/1986</t>
  </si>
  <si>
    <t>24/11/1988</t>
  </si>
  <si>
    <t>01/03/1982</t>
  </si>
  <si>
    <t>04/07/1987</t>
  </si>
  <si>
    <t>25/11/2004</t>
  </si>
  <si>
    <t>12/01/1985</t>
  </si>
  <si>
    <t>23/09/1981</t>
  </si>
  <si>
    <t>10/01/2003</t>
  </si>
  <si>
    <t>25/01/1983</t>
  </si>
  <si>
    <t>06/08/2000</t>
  </si>
  <si>
    <t>14/11/1982</t>
  </si>
  <si>
    <t>19/06/1966</t>
  </si>
  <si>
    <t>01/11/1976</t>
  </si>
  <si>
    <t>13/08/1998</t>
  </si>
  <si>
    <t>04/01/1987</t>
  </si>
  <si>
    <t>31/08/1974</t>
  </si>
  <si>
    <t>08/04/1996</t>
  </si>
  <si>
    <t>01/12/2001</t>
  </si>
  <si>
    <t>07/01/1987</t>
  </si>
  <si>
    <t>01/03/2004</t>
  </si>
  <si>
    <t>14/05/1965</t>
  </si>
  <si>
    <t>12/08/2005</t>
  </si>
  <si>
    <t>27/09/1974</t>
  </si>
  <si>
    <t>25/05/2002</t>
  </si>
  <si>
    <t>15/05/1979</t>
  </si>
  <si>
    <t>20/10/1994</t>
  </si>
  <si>
    <t>22/06/1957</t>
  </si>
  <si>
    <t>28/05/1990</t>
  </si>
  <si>
    <t>14/08/1983</t>
  </si>
  <si>
    <t>07/10/1984</t>
  </si>
  <si>
    <t>19/03/1993</t>
  </si>
  <si>
    <t>28/06/1996</t>
  </si>
  <si>
    <t>14/09/2001</t>
  </si>
  <si>
    <t>27/03/2003</t>
  </si>
  <si>
    <t>02/04/2006</t>
  </si>
  <si>
    <t>03/08/1981</t>
  </si>
  <si>
    <t>05/05/1967</t>
  </si>
  <si>
    <t>28/12/1998</t>
  </si>
  <si>
    <t>29/05/2004</t>
  </si>
  <si>
    <t>20/10/1961</t>
  </si>
  <si>
    <t>18/07/1999</t>
  </si>
  <si>
    <t>27/08/1953</t>
  </si>
  <si>
    <t>07/06/2004</t>
  </si>
  <si>
    <t>19/11/2003</t>
  </si>
  <si>
    <t>06/12/1965</t>
  </si>
  <si>
    <t>02/03/1986</t>
  </si>
  <si>
    <t>04/10/1992</t>
  </si>
  <si>
    <t>04/07/1986</t>
  </si>
  <si>
    <t>26/08/1998</t>
  </si>
  <si>
    <t>28/02/2001</t>
  </si>
  <si>
    <t>20/06/1994</t>
  </si>
  <si>
    <t>10/02/1969</t>
  </si>
  <si>
    <t>16/03/1985</t>
  </si>
  <si>
    <t>08/07/1988</t>
  </si>
  <si>
    <t>24/05/1986</t>
  </si>
  <si>
    <t>18/06/1990</t>
  </si>
  <si>
    <t>11/10/1996</t>
  </si>
  <si>
    <t>14/12/1994</t>
  </si>
  <si>
    <t>15/06/1970</t>
  </si>
  <si>
    <t>28/10/1961</t>
  </si>
  <si>
    <t>20/10/1969</t>
  </si>
  <si>
    <t>03/07/1986</t>
  </si>
  <si>
    <t>09/07/1992</t>
  </si>
  <si>
    <t>02/11/2002</t>
  </si>
  <si>
    <t>08/01/1980</t>
  </si>
  <si>
    <t>22/09/2005</t>
  </si>
  <si>
    <t>24/02/1998</t>
  </si>
  <si>
    <t>12/05/1970</t>
  </si>
  <si>
    <t>13/04/1995</t>
  </si>
  <si>
    <t>02/01/1986</t>
  </si>
  <si>
    <t>08/05/1977</t>
  </si>
  <si>
    <t>23/09/1975</t>
  </si>
  <si>
    <t>03/12/1991</t>
  </si>
  <si>
    <t>31/08/1998</t>
  </si>
  <si>
    <t>16/07/1989</t>
  </si>
  <si>
    <t>22/05/2006</t>
  </si>
  <si>
    <t>10/09/1968</t>
  </si>
  <si>
    <t>01/08/2004</t>
  </si>
  <si>
    <t>01/12/1968</t>
  </si>
  <si>
    <t>10/04/1998</t>
  </si>
  <si>
    <t>10/07/2006</t>
  </si>
  <si>
    <t>13/11/1978</t>
  </si>
  <si>
    <t>08/10/2001</t>
  </si>
  <si>
    <t>24/05/1969</t>
  </si>
  <si>
    <t>19/09/2002</t>
  </si>
  <si>
    <t>26/12/2000</t>
  </si>
  <si>
    <t>04/10/1997</t>
  </si>
  <si>
    <t>20/06/1992</t>
  </si>
  <si>
    <t>19/05/1992</t>
  </si>
  <si>
    <t>10/08/1967</t>
  </si>
  <si>
    <t>08/11/1941</t>
  </si>
  <si>
    <t>21/09/1984</t>
  </si>
  <si>
    <t>15/03/1974</t>
  </si>
  <si>
    <t>01/03/1978</t>
  </si>
  <si>
    <t>30/07/1997</t>
  </si>
  <si>
    <t>05/05/1992</t>
  </si>
  <si>
    <t>15/03/1980</t>
  </si>
  <si>
    <t>12/05/1995</t>
  </si>
  <si>
    <t>23/03/1972</t>
  </si>
  <si>
    <t>12/01/2002</t>
  </si>
  <si>
    <t>21/11/1993</t>
  </si>
  <si>
    <t>04/10/1961</t>
  </si>
  <si>
    <t>22/08/1999</t>
  </si>
  <si>
    <t>30/12/1987</t>
  </si>
  <si>
    <t>15/03/1994</t>
  </si>
  <si>
    <t>25/04/1956</t>
  </si>
  <si>
    <t>17/08/1961</t>
  </si>
  <si>
    <t>10/12/1972</t>
  </si>
  <si>
    <t>14/12/1986</t>
  </si>
  <si>
    <t>18/11/1978</t>
  </si>
  <si>
    <t>14/12/1971</t>
  </si>
  <si>
    <t>11/03/2002</t>
  </si>
  <si>
    <t>20/02/1980</t>
  </si>
  <si>
    <t>03/05/1963</t>
  </si>
  <si>
    <t>14/02/1991</t>
  </si>
  <si>
    <t>15/09/1999</t>
  </si>
  <si>
    <t>30/07/2000</t>
  </si>
  <si>
    <t>07/06/1974</t>
  </si>
  <si>
    <t>22/06/1972</t>
  </si>
  <si>
    <t>07/10/1988</t>
  </si>
  <si>
    <t>12/12/1981</t>
  </si>
  <si>
    <t>16/09/1998</t>
  </si>
  <si>
    <t>28/01/1968</t>
  </si>
  <si>
    <t>27/02/1996</t>
  </si>
  <si>
    <t>07/06/1990</t>
  </si>
  <si>
    <t>30/10/1987</t>
  </si>
  <si>
    <t>22/11/1979</t>
  </si>
  <si>
    <t>18/07/1997</t>
  </si>
  <si>
    <t>27/08/1980</t>
  </si>
  <si>
    <t>07/11/1955</t>
  </si>
  <si>
    <t>24/04/1979</t>
  </si>
  <si>
    <t>21/07/1985</t>
  </si>
  <si>
    <t>01/08/1986</t>
  </si>
  <si>
    <t>28/12/1959</t>
  </si>
  <si>
    <t>25/11/1956</t>
  </si>
  <si>
    <t>28/10/1960</t>
  </si>
  <si>
    <t>08/04/1962</t>
  </si>
  <si>
    <t>29/09/1994</t>
  </si>
  <si>
    <t>01/07/1992</t>
  </si>
  <si>
    <t>17/04/1952</t>
  </si>
  <si>
    <t>20/06/1954</t>
  </si>
  <si>
    <t>26/11/1991</t>
  </si>
  <si>
    <t>08/08/1991</t>
  </si>
  <si>
    <t>14/09/1988</t>
  </si>
  <si>
    <t>18/07/1986</t>
  </si>
  <si>
    <t>18/01/1976</t>
  </si>
  <si>
    <t>24/10/1976</t>
  </si>
  <si>
    <t>14/10/1965</t>
  </si>
  <si>
    <t>13/01/2005</t>
  </si>
  <si>
    <t>14/02/1985</t>
  </si>
  <si>
    <t>10/08/2003</t>
  </si>
  <si>
    <t>31/12/1998</t>
  </si>
  <si>
    <t>19/06/1971</t>
  </si>
  <si>
    <t>28/10/1998</t>
  </si>
  <si>
    <t>06/10/2002</t>
  </si>
  <si>
    <t>02/04/1972</t>
  </si>
  <si>
    <t>22/12/1985</t>
  </si>
  <si>
    <t>13/08/1966</t>
  </si>
  <si>
    <t>11/11/1972</t>
  </si>
  <si>
    <t>16/04/1993</t>
  </si>
  <si>
    <t>23/08/1955</t>
  </si>
  <si>
    <t>27/08/1993</t>
  </si>
  <si>
    <t>09/07/1994</t>
  </si>
  <si>
    <t>15/04/1962</t>
  </si>
  <si>
    <t>11/05/1945</t>
  </si>
  <si>
    <t>02/04/2005</t>
  </si>
  <si>
    <t>30/05/1967</t>
  </si>
  <si>
    <t>16/08/1972</t>
  </si>
  <si>
    <t>26/08/1983</t>
  </si>
  <si>
    <t>19/02/1992</t>
  </si>
  <si>
    <t>19/06/1990</t>
  </si>
  <si>
    <t>20/07/1966</t>
  </si>
  <si>
    <t>21/03/1995</t>
  </si>
  <si>
    <t>08/06/1983</t>
  </si>
  <si>
    <t>08/05/1992</t>
  </si>
  <si>
    <t>14/10/1970</t>
  </si>
  <si>
    <t>26/09/1973</t>
  </si>
  <si>
    <t>05/04/1977</t>
  </si>
  <si>
    <t>18/07/1960</t>
  </si>
  <si>
    <t>29/03/2004</t>
  </si>
  <si>
    <t>08/07/1964</t>
  </si>
  <si>
    <t>09/05/1982</t>
  </si>
  <si>
    <t>11/04/1991</t>
  </si>
  <si>
    <t>25/08/1999</t>
  </si>
  <si>
    <t>08/08/2000</t>
  </si>
  <si>
    <t>27/02/1994</t>
  </si>
  <si>
    <t>12/11/1947</t>
  </si>
  <si>
    <t>08/09/1995</t>
  </si>
  <si>
    <t>24/12/1997</t>
  </si>
  <si>
    <t>30/09/2000</t>
  </si>
  <si>
    <t>16/04/2007</t>
  </si>
  <si>
    <t>16/11/1971</t>
  </si>
  <si>
    <t>07/07/2000</t>
  </si>
  <si>
    <t>15/02/1997</t>
  </si>
  <si>
    <t>15/09/1974</t>
  </si>
  <si>
    <t>22/07/2001</t>
  </si>
  <si>
    <t>04/09/1973</t>
  </si>
  <si>
    <t>06/04/1983</t>
  </si>
  <si>
    <t>29/05/1998</t>
  </si>
  <si>
    <t>12/02/2000</t>
  </si>
  <si>
    <t>18/11/2004</t>
  </si>
  <si>
    <t>22/09/1992</t>
  </si>
  <si>
    <t>31/01/1991</t>
  </si>
  <si>
    <t>05/12/1998</t>
  </si>
  <si>
    <t>08/10/2003</t>
  </si>
  <si>
    <t>05/03/2001</t>
  </si>
  <si>
    <t>24/02/1982</t>
  </si>
  <si>
    <t>26/04/1962</t>
  </si>
  <si>
    <t>03/08/1973</t>
  </si>
  <si>
    <t>29/05/1983</t>
  </si>
  <si>
    <t>04/06/1995</t>
  </si>
  <si>
    <t>30/07/1999</t>
  </si>
  <si>
    <t>03/04/1965</t>
  </si>
  <si>
    <t>02/11/1974</t>
  </si>
  <si>
    <t>16/01/1967</t>
  </si>
  <si>
    <t>15/08/1981</t>
  </si>
  <si>
    <t>15/06/1998</t>
  </si>
  <si>
    <t>17/08/1993</t>
  </si>
  <si>
    <t>12/03/1983</t>
  </si>
  <si>
    <t>24/08/1993</t>
  </si>
  <si>
    <t>09/03/1989</t>
  </si>
  <si>
    <t>02/05/1973</t>
  </si>
  <si>
    <t>16/07/1982</t>
  </si>
  <si>
    <t>10/08/1986</t>
  </si>
  <si>
    <t>30/08/1960</t>
  </si>
  <si>
    <t>07/09/1977</t>
  </si>
  <si>
    <t>25/08/1991</t>
  </si>
  <si>
    <t>22/04/1945</t>
  </si>
  <si>
    <t>02/10/2006</t>
  </si>
  <si>
    <t>07/07/1992</t>
  </si>
  <si>
    <t>07/04/1951</t>
  </si>
  <si>
    <t>14/02/1978</t>
  </si>
  <si>
    <t>12/01/2003</t>
  </si>
  <si>
    <t>09/08/1980</t>
  </si>
  <si>
    <t>09/01/1984</t>
  </si>
  <si>
    <t>03/06/1988</t>
  </si>
  <si>
    <t>26/12/2001</t>
  </si>
  <si>
    <t>26/08/1959</t>
  </si>
  <si>
    <t>20/12/2005</t>
  </si>
  <si>
    <t>28/09/1994</t>
  </si>
  <si>
    <t>12/05/1956</t>
  </si>
  <si>
    <t>01/03/2007</t>
  </si>
  <si>
    <t>26/08/2004</t>
  </si>
  <si>
    <t>01/12/1998</t>
  </si>
  <si>
    <t>12/08/1973</t>
  </si>
  <si>
    <t>11/03/1968</t>
  </si>
  <si>
    <t>27/12/1975</t>
  </si>
  <si>
    <t>03/03/1965</t>
  </si>
  <si>
    <t>20/11/1951</t>
  </si>
  <si>
    <t>08/07/1971</t>
  </si>
  <si>
    <t>17/06/1996</t>
  </si>
  <si>
    <t>22/10/1992</t>
  </si>
  <si>
    <t>20/08/1984</t>
  </si>
  <si>
    <t>25/01/2006</t>
  </si>
  <si>
    <t>15/07/1990</t>
  </si>
  <si>
    <t>26/09/1976</t>
  </si>
  <si>
    <t>08/12/1977</t>
  </si>
  <si>
    <t>03/02/1996</t>
  </si>
  <si>
    <t>13/12/1988</t>
  </si>
  <si>
    <t>22/01/2000</t>
  </si>
  <si>
    <t>17/06/1997</t>
  </si>
  <si>
    <t>05/03/1993</t>
  </si>
  <si>
    <t>04/12/1998</t>
  </si>
  <si>
    <t>25/02/2005</t>
  </si>
  <si>
    <t>30/05/2006</t>
  </si>
  <si>
    <t>18/02/1955</t>
  </si>
  <si>
    <t>25/10/1968</t>
  </si>
  <si>
    <t>18/11/1975</t>
  </si>
  <si>
    <t>20/11/1993</t>
  </si>
  <si>
    <t>11/03/1962</t>
  </si>
  <si>
    <t>30/12/1978</t>
  </si>
  <si>
    <t>29/08/1999</t>
  </si>
  <si>
    <t>08/10/1989</t>
  </si>
  <si>
    <t>29/03/1971</t>
  </si>
  <si>
    <t>22/09/1966</t>
  </si>
  <si>
    <t>08/08/1968</t>
  </si>
  <si>
    <t>05/05/1965</t>
  </si>
  <si>
    <t>01/11/1987</t>
  </si>
  <si>
    <t>06/11/1986</t>
  </si>
  <si>
    <t>22/03/2002</t>
  </si>
  <si>
    <t>10/04/1987</t>
  </si>
  <si>
    <t>02/04/1984</t>
  </si>
  <si>
    <t>15/12/1981</t>
  </si>
  <si>
    <t>05/02/1971</t>
  </si>
  <si>
    <t>20/03/1974</t>
  </si>
  <si>
    <t>15/08/1993</t>
  </si>
  <si>
    <t>20/01/1970</t>
  </si>
  <si>
    <t>13/06/1989</t>
  </si>
  <si>
    <t>20/09/1998</t>
  </si>
  <si>
    <t>18/09/2002</t>
  </si>
  <si>
    <t>20/09/1987</t>
  </si>
  <si>
    <t>07/11/1982</t>
  </si>
  <si>
    <t>12/09/1979</t>
  </si>
  <si>
    <t>03/01/1970</t>
  </si>
  <si>
    <t>27/02/1970</t>
  </si>
  <si>
    <t>08/09/1958</t>
  </si>
  <si>
    <t>20/11/1978</t>
  </si>
  <si>
    <t>22/11/1994</t>
  </si>
  <si>
    <t>29/12/1997</t>
  </si>
  <si>
    <t>18/01/1989</t>
  </si>
  <si>
    <t>18/02/1968</t>
  </si>
  <si>
    <t>18/04/1984</t>
  </si>
  <si>
    <t>21/04/1999</t>
  </si>
  <si>
    <t>28/05/1987</t>
  </si>
  <si>
    <t>17/11/1997</t>
  </si>
  <si>
    <t>10/02/2005</t>
  </si>
  <si>
    <t>28/09/1979</t>
  </si>
  <si>
    <t>25/04/1966</t>
  </si>
  <si>
    <t>03/03/2002</t>
  </si>
  <si>
    <t>28/12/1947</t>
  </si>
  <si>
    <t>20/07/2007</t>
  </si>
  <si>
    <t>14/04/2004</t>
  </si>
  <si>
    <t>05/09/1981</t>
  </si>
  <si>
    <t>22/09/2002</t>
  </si>
  <si>
    <t>09/05/2001</t>
  </si>
  <si>
    <t>06/08/1982</t>
  </si>
  <si>
    <t>29/12/2002</t>
  </si>
  <si>
    <t>24/11/1975</t>
  </si>
  <si>
    <t>21/02/1975</t>
  </si>
  <si>
    <t>06/05/1990</t>
  </si>
  <si>
    <t>05/08/1984</t>
  </si>
  <si>
    <t>29/06/1970</t>
  </si>
  <si>
    <t>28/10/1975</t>
  </si>
  <si>
    <t>17/04/2002</t>
  </si>
  <si>
    <t>20/06/1996</t>
  </si>
  <si>
    <t>14/08/1974</t>
  </si>
  <si>
    <t>24/03/2006</t>
  </si>
  <si>
    <t>06/09/1979</t>
  </si>
  <si>
    <t>14/06/1984</t>
  </si>
  <si>
    <t>13/08/1979</t>
  </si>
  <si>
    <t>23/02/1985</t>
  </si>
  <si>
    <t>15/04/2001</t>
  </si>
  <si>
    <t>09/10/1983</t>
  </si>
  <si>
    <t>17/07/2006</t>
  </si>
  <si>
    <t>28/10/2003</t>
  </si>
  <si>
    <t>09/01/2006</t>
  </si>
  <si>
    <t>13/11/1980</t>
  </si>
  <si>
    <t>04/06/1973</t>
  </si>
  <si>
    <t>15/06/1976</t>
  </si>
  <si>
    <t>09/05/1964</t>
  </si>
  <si>
    <t>08/12/1970</t>
  </si>
  <si>
    <t>31/12/1977</t>
  </si>
  <si>
    <t>11/06/1959</t>
  </si>
  <si>
    <t>08/03/1980</t>
  </si>
  <si>
    <t>18/08/1961</t>
  </si>
  <si>
    <t>10/11/1968</t>
  </si>
  <si>
    <t>24/09/1984</t>
  </si>
  <si>
    <t>04/03/1970</t>
  </si>
  <si>
    <t>30/03/1992</t>
  </si>
  <si>
    <t>29/06/1998</t>
  </si>
  <si>
    <t>11/10/2002</t>
  </si>
  <si>
    <t>10/09/1956</t>
  </si>
  <si>
    <t>30/03/1978</t>
  </si>
  <si>
    <t>16/07/2000</t>
  </si>
  <si>
    <t>27/04/1991</t>
  </si>
  <si>
    <t>17/03/1968</t>
  </si>
  <si>
    <t>10/02/1953</t>
  </si>
  <si>
    <t>28/05/1965</t>
  </si>
  <si>
    <t>30/09/1981</t>
  </si>
  <si>
    <t>30/03/1998</t>
  </si>
  <si>
    <t>05/05/1987</t>
  </si>
  <si>
    <t>13/04/1973</t>
  </si>
  <si>
    <t>23/08/1958</t>
  </si>
  <si>
    <t>05/02/2004</t>
  </si>
  <si>
    <t>06/09/2002</t>
  </si>
  <si>
    <t>03/04/1976</t>
  </si>
  <si>
    <t>13/01/2004</t>
  </si>
  <si>
    <t>01/05/1973</t>
  </si>
  <si>
    <t>15/07/1993</t>
  </si>
  <si>
    <t>20/03/1985</t>
  </si>
  <si>
    <t>27/02/2007</t>
  </si>
  <si>
    <t>31/05/1985</t>
  </si>
  <si>
    <t>13/12/1992</t>
  </si>
  <si>
    <t>12/12/1999</t>
  </si>
  <si>
    <t>17/11/1993</t>
  </si>
  <si>
    <t>22/07/1993</t>
  </si>
  <si>
    <t>15/03/1989</t>
  </si>
  <si>
    <t>07/06/1954</t>
  </si>
  <si>
    <t>03/09/1990</t>
  </si>
  <si>
    <t>18/01/1974</t>
  </si>
  <si>
    <t>01/04/1981</t>
  </si>
  <si>
    <t>02/07/2004</t>
  </si>
  <si>
    <t>21/05/2001</t>
  </si>
  <si>
    <t>08/03/1987</t>
  </si>
  <si>
    <t>27/08/2005</t>
  </si>
  <si>
    <t>22/09/2000</t>
  </si>
  <si>
    <t>29/12/1979</t>
  </si>
  <si>
    <t>27/05/1980</t>
  </si>
  <si>
    <t>13/05/1980</t>
  </si>
  <si>
    <t>07/06/1985</t>
  </si>
  <si>
    <t>22/03/1973</t>
  </si>
  <si>
    <t>31/01/2004</t>
  </si>
  <si>
    <t>05/04/2003</t>
  </si>
  <si>
    <t>09/05/1962</t>
  </si>
  <si>
    <t>20/08/2000</t>
  </si>
  <si>
    <t>07/05/1996</t>
  </si>
  <si>
    <t>01/05/2001</t>
  </si>
  <si>
    <t>11/05/1984</t>
  </si>
  <si>
    <t>01/12/1983</t>
  </si>
  <si>
    <t>25/12/1974</t>
  </si>
  <si>
    <t>10/06/1961</t>
  </si>
  <si>
    <t>28/08/1970</t>
  </si>
  <si>
    <t>09/02/1996</t>
  </si>
  <si>
    <t>03/06/1965</t>
  </si>
  <si>
    <t>22/05/2004</t>
  </si>
  <si>
    <t>15/10/1997</t>
  </si>
  <si>
    <t>08/11/1970</t>
  </si>
  <si>
    <t>31/01/1985</t>
  </si>
  <si>
    <t>08/11/1989</t>
  </si>
  <si>
    <t>10/01/1981</t>
  </si>
  <si>
    <t>19/05/1967</t>
  </si>
  <si>
    <t>25/05/1997</t>
  </si>
  <si>
    <t>07/08/1986</t>
  </si>
  <si>
    <t>09/09/1991</t>
  </si>
  <si>
    <t>26/11/1955</t>
  </si>
  <si>
    <t>02/10/1990</t>
  </si>
  <si>
    <t>18/11/1968</t>
  </si>
  <si>
    <t>30/05/1962</t>
  </si>
  <si>
    <t>14/01/1978</t>
  </si>
  <si>
    <t>29/08/1992</t>
  </si>
  <si>
    <t>28/01/1955</t>
  </si>
  <si>
    <t>13/06/1984</t>
  </si>
  <si>
    <t>08/07/1993</t>
  </si>
  <si>
    <t>23/12/1982</t>
  </si>
  <si>
    <t>22/10/2007</t>
  </si>
  <si>
    <t>13/03/1967</t>
  </si>
  <si>
    <t>24/03/1965</t>
  </si>
  <si>
    <t>13/10/1962</t>
  </si>
  <si>
    <t>20/11/1957</t>
  </si>
  <si>
    <t>06/03/1956</t>
  </si>
  <si>
    <t>11/04/1980</t>
  </si>
  <si>
    <t>08/08/1992</t>
  </si>
  <si>
    <t>23/01/2003</t>
  </si>
  <si>
    <t>21/04/1986</t>
  </si>
  <si>
    <t>22/11/1962</t>
  </si>
  <si>
    <t>11/12/1977</t>
  </si>
  <si>
    <t>15/02/1966</t>
  </si>
  <si>
    <t>06/01/1981</t>
  </si>
  <si>
    <t>06/08/1977</t>
  </si>
  <si>
    <t>21/07/1967</t>
  </si>
  <si>
    <t>20/08/1972</t>
  </si>
  <si>
    <t>27/05/1970</t>
  </si>
  <si>
    <t>09/08/1990</t>
  </si>
  <si>
    <t>09/04/1979</t>
  </si>
  <si>
    <t>09/02/1992</t>
  </si>
  <si>
    <t>21/01/1963</t>
  </si>
  <si>
    <t>26/06/2007</t>
  </si>
  <si>
    <t>31/03/1997</t>
  </si>
  <si>
    <t>07/04/1998</t>
  </si>
  <si>
    <t>29/05/2000</t>
  </si>
  <si>
    <t>23/04/1971</t>
  </si>
  <si>
    <t>11/11/1961</t>
  </si>
  <si>
    <t>30/04/1988</t>
  </si>
  <si>
    <t>15/12/1989</t>
  </si>
  <si>
    <t>13/12/2004</t>
  </si>
  <si>
    <t>11/02/1986</t>
  </si>
  <si>
    <t>10/04/1991</t>
  </si>
  <si>
    <t>14/11/1975</t>
  </si>
  <si>
    <t>13/03/2002</t>
  </si>
  <si>
    <t>05/08/1989</t>
  </si>
  <si>
    <t>16/06/1994</t>
  </si>
  <si>
    <t>24/10/1973</t>
  </si>
  <si>
    <t>09/03/1963</t>
  </si>
  <si>
    <t>18/04/1968</t>
  </si>
  <si>
    <t>16/09/1972</t>
  </si>
  <si>
    <t>02/07/1971</t>
  </si>
  <si>
    <t>21/08/1989</t>
  </si>
  <si>
    <t>18/11/1982</t>
  </si>
  <si>
    <t>25/11/1978</t>
  </si>
  <si>
    <t>18/12/1972</t>
  </si>
  <si>
    <t>27/04/1994</t>
  </si>
  <si>
    <t>06/01/1970</t>
  </si>
  <si>
    <t>10/11/1996</t>
  </si>
  <si>
    <t>05/06/1971</t>
  </si>
  <si>
    <t>22/01/1953</t>
  </si>
  <si>
    <t>20/06/1995</t>
  </si>
  <si>
    <t>29/11/1964</t>
  </si>
  <si>
    <t>07/04/1996</t>
  </si>
  <si>
    <t>15/11/1972</t>
  </si>
  <si>
    <t>25/10/1978</t>
  </si>
  <si>
    <t>25/05/1981</t>
  </si>
  <si>
    <t>08/07/1970</t>
  </si>
  <si>
    <t>18/11/1995</t>
  </si>
  <si>
    <t>24/04/1967</t>
  </si>
  <si>
    <t>01/04/1982</t>
  </si>
  <si>
    <t>15/09/1985</t>
  </si>
  <si>
    <t>26/06/1986</t>
  </si>
  <si>
    <t>09/11/1976</t>
  </si>
  <si>
    <t>24/09/1983</t>
  </si>
  <si>
    <t>20/01/1992</t>
  </si>
  <si>
    <t>22/02/1990</t>
  </si>
  <si>
    <t>F</t>
  </si>
  <si>
    <t>ABAD</t>
  </si>
  <si>
    <t>ABARCA</t>
  </si>
  <si>
    <t>ACEVEDO</t>
  </si>
  <si>
    <t>AGUILAR</t>
  </si>
  <si>
    <t>AGUIRRE</t>
  </si>
  <si>
    <t>AGURTO</t>
  </si>
  <si>
    <t>ALBARRACIN</t>
  </si>
  <si>
    <t xml:space="preserve">ALBARRACIN </t>
  </si>
  <si>
    <t>ALCIVAR</t>
  </si>
  <si>
    <t>ALDAS</t>
  </si>
  <si>
    <t>ALFARO</t>
  </si>
  <si>
    <t xml:space="preserve">ALLAICA </t>
  </si>
  <si>
    <t>ALVARADO</t>
  </si>
  <si>
    <t xml:space="preserve">ALVARADO </t>
  </si>
  <si>
    <t>ALVAREZ</t>
  </si>
  <si>
    <t xml:space="preserve">ALVAREZ </t>
  </si>
  <si>
    <t>ALVARRACIN</t>
  </si>
  <si>
    <t xml:space="preserve">ALVARRACIN </t>
  </si>
  <si>
    <t>AMAY</t>
  </si>
  <si>
    <t>AMAYA</t>
  </si>
  <si>
    <t>AMENDAÑO</t>
  </si>
  <si>
    <t>ANCHUNDIA</t>
  </si>
  <si>
    <t>ANDI</t>
  </si>
  <si>
    <t>ANDRADE</t>
  </si>
  <si>
    <t>ANGAMARCA</t>
  </si>
  <si>
    <t xml:space="preserve">ANGAMARCA </t>
  </si>
  <si>
    <t>AOÑA</t>
  </si>
  <si>
    <t>APOLO</t>
  </si>
  <si>
    <t>APONTE</t>
  </si>
  <si>
    <t>ARANDA</t>
  </si>
  <si>
    <t>ARCE</t>
  </si>
  <si>
    <t>ARCENTALES</t>
  </si>
  <si>
    <t>AREBALO</t>
  </si>
  <si>
    <t xml:space="preserve">AREBALO </t>
  </si>
  <si>
    <t>ARELLANO</t>
  </si>
  <si>
    <t>AREVALO</t>
  </si>
  <si>
    <t xml:space="preserve">AREVALO </t>
  </si>
  <si>
    <t>ARGUDO</t>
  </si>
  <si>
    <t>ARIAS</t>
  </si>
  <si>
    <t xml:space="preserve">ARIAS </t>
  </si>
  <si>
    <t>ARICHABALA</t>
  </si>
  <si>
    <t>ARICHAVALA</t>
  </si>
  <si>
    <t xml:space="preserve">ARICHAVALA </t>
  </si>
  <si>
    <t>ARIZABALA</t>
  </si>
  <si>
    <t xml:space="preserve">ARIZABALA </t>
  </si>
  <si>
    <t>ARIZAGA</t>
  </si>
  <si>
    <t>ARMIJOS</t>
  </si>
  <si>
    <t>ARPI</t>
  </si>
  <si>
    <t>ARSENTALES</t>
  </si>
  <si>
    <t>ARTEAGA</t>
  </si>
  <si>
    <t>ASANZA</t>
  </si>
  <si>
    <t>ASTUDILLO</t>
  </si>
  <si>
    <t>ATARIGUANA</t>
  </si>
  <si>
    <t>ATIENCIA</t>
  </si>
  <si>
    <t>AUCAPIÑA</t>
  </si>
  <si>
    <t>AUCAY</t>
  </si>
  <si>
    <t>AVECICHA</t>
  </si>
  <si>
    <t>AVECILLAS</t>
  </si>
  <si>
    <t xml:space="preserve">AVECILLAS </t>
  </si>
  <si>
    <t>AVEROS</t>
  </si>
  <si>
    <t>AVILA</t>
  </si>
  <si>
    <t xml:space="preserve">AVILA </t>
  </si>
  <si>
    <t>AYABACA</t>
  </si>
  <si>
    <t>AYALA</t>
  </si>
  <si>
    <t xml:space="preserve">AYALA </t>
  </si>
  <si>
    <t xml:space="preserve">AYNAGUANO </t>
  </si>
  <si>
    <t>AYORA</t>
  </si>
  <si>
    <t>AZANZA</t>
  </si>
  <si>
    <t>AZAS</t>
  </si>
  <si>
    <t>BACILIO</t>
  </si>
  <si>
    <t>BACUILIMA</t>
  </si>
  <si>
    <t>BAJAÑA</t>
  </si>
  <si>
    <t>BALAREZO</t>
  </si>
  <si>
    <t>BALBUCA</t>
  </si>
  <si>
    <t xml:space="preserve">BALBUCA </t>
  </si>
  <si>
    <t>BALCAZAR</t>
  </si>
  <si>
    <t xml:space="preserve">BALCAZAR </t>
  </si>
  <si>
    <t>BALLA</t>
  </si>
  <si>
    <t>BANEGAS</t>
  </si>
  <si>
    <t xml:space="preserve">BANEGAS </t>
  </si>
  <si>
    <t>BAÑO</t>
  </si>
  <si>
    <t xml:space="preserve">BAQUE </t>
  </si>
  <si>
    <t>BAQUERIZO</t>
  </si>
  <si>
    <t>BARBECHO</t>
  </si>
  <si>
    <t>BARONA</t>
  </si>
  <si>
    <t>BARRERA</t>
  </si>
  <si>
    <t>BARRETO</t>
  </si>
  <si>
    <t xml:space="preserve">BARRETO </t>
  </si>
  <si>
    <t>BARROS</t>
  </si>
  <si>
    <t>BARZALLO</t>
  </si>
  <si>
    <t xml:space="preserve">BARZALLO </t>
  </si>
  <si>
    <t>BASURTO</t>
  </si>
  <si>
    <t>BATALLAS</t>
  </si>
  <si>
    <t>BENALCAZAR</t>
  </si>
  <si>
    <t>BENAVIDES</t>
  </si>
  <si>
    <t>BENITEZ</t>
  </si>
  <si>
    <t>BERENGUEL</t>
  </si>
  <si>
    <t>BERMEO</t>
  </si>
  <si>
    <t xml:space="preserve">BERMEO </t>
  </si>
  <si>
    <t>BERNAL</t>
  </si>
  <si>
    <t>BERRUZ</t>
  </si>
  <si>
    <t>BLANDIN</t>
  </si>
  <si>
    <t xml:space="preserve">BLANDIN </t>
  </si>
  <si>
    <t>BOCONSACA</t>
  </si>
  <si>
    <t>BOCONZACA</t>
  </si>
  <si>
    <t xml:space="preserve">BOCONZACA </t>
  </si>
  <si>
    <t>BONE</t>
  </si>
  <si>
    <t>BONELLI</t>
  </si>
  <si>
    <t>BONI</t>
  </si>
  <si>
    <t>BONILLA</t>
  </si>
  <si>
    <t xml:space="preserve">BONILLA </t>
  </si>
  <si>
    <t>BORJA</t>
  </si>
  <si>
    <t xml:space="preserve">BORJA </t>
  </si>
  <si>
    <t>BRAVO</t>
  </si>
  <si>
    <t>BRITO</t>
  </si>
  <si>
    <t xml:space="preserve">BRITO </t>
  </si>
  <si>
    <t>BUELE</t>
  </si>
  <si>
    <t>BUENO</t>
  </si>
  <si>
    <t>BUESTAN</t>
  </si>
  <si>
    <t xml:space="preserve">BUESTAN </t>
  </si>
  <si>
    <t>BURGOS</t>
  </si>
  <si>
    <t>BUSTAMANTE</t>
  </si>
  <si>
    <t>BUSTOS</t>
  </si>
  <si>
    <t>CABRERA</t>
  </si>
  <si>
    <t xml:space="preserve">CABRERA </t>
  </si>
  <si>
    <t>CACERES</t>
  </si>
  <si>
    <t>CAGUA</t>
  </si>
  <si>
    <t>CAGUANA</t>
  </si>
  <si>
    <t>CAICEDO</t>
  </si>
  <si>
    <t>CAISAGUANO</t>
  </si>
  <si>
    <t>CAJAMARCA</t>
  </si>
  <si>
    <t xml:space="preserve">CAJAMARCA </t>
  </si>
  <si>
    <t>CAJAS</t>
  </si>
  <si>
    <t xml:space="preserve">CAJILEMA </t>
  </si>
  <si>
    <t>CALAPIÑA</t>
  </si>
  <si>
    <t>CALDERON</t>
  </si>
  <si>
    <t xml:space="preserve">CALDERON </t>
  </si>
  <si>
    <t>CALI</t>
  </si>
  <si>
    <t xml:space="preserve">CALI </t>
  </si>
  <si>
    <t>CALLE</t>
  </si>
  <si>
    <t xml:space="preserve">CALLE </t>
  </si>
  <si>
    <t>CAMBISACA</t>
  </si>
  <si>
    <t>CAMBIZACA</t>
  </si>
  <si>
    <t>CAMPOVERDE</t>
  </si>
  <si>
    <t xml:space="preserve">CAMPOVERDE </t>
  </si>
  <si>
    <t>CANDO</t>
  </si>
  <si>
    <t xml:space="preserve">CANDO </t>
  </si>
  <si>
    <t>CANO</t>
  </si>
  <si>
    <t>CANTOS</t>
  </si>
  <si>
    <t>CAÑAR</t>
  </si>
  <si>
    <t>CAPA</t>
  </si>
  <si>
    <t>CAPON</t>
  </si>
  <si>
    <t>CARABAJO</t>
  </si>
  <si>
    <t xml:space="preserve">CARABAJO </t>
  </si>
  <si>
    <t>CARCHI</t>
  </si>
  <si>
    <t>CARCHIPULLA</t>
  </si>
  <si>
    <t>CARDENAS</t>
  </si>
  <si>
    <t xml:space="preserve">CARDENAS </t>
  </si>
  <si>
    <t>CARDENAZ</t>
  </si>
  <si>
    <t xml:space="preserve">CARDENAZ </t>
  </si>
  <si>
    <t>CARINGAMA</t>
  </si>
  <si>
    <t>CARRANZA</t>
  </si>
  <si>
    <t>CARREÑO</t>
  </si>
  <si>
    <t xml:space="preserve">CARREÑO </t>
  </si>
  <si>
    <t>CASAL</t>
  </si>
  <si>
    <t>CASTILLO</t>
  </si>
  <si>
    <t xml:space="preserve">CASTILLO </t>
  </si>
  <si>
    <t>CASTRO</t>
  </si>
  <si>
    <t xml:space="preserve">CASTRO </t>
  </si>
  <si>
    <t xml:space="preserve">CASUAL </t>
  </si>
  <si>
    <t>CAYAMBE</t>
  </si>
  <si>
    <t>CEDEÑO</t>
  </si>
  <si>
    <t xml:space="preserve">CEDEÑO </t>
  </si>
  <si>
    <t>CEDILLO</t>
  </si>
  <si>
    <t>CELORIO</t>
  </si>
  <si>
    <t>CENTENO</t>
  </si>
  <si>
    <t xml:space="preserve">CENTENO </t>
  </si>
  <si>
    <t>CEREZO</t>
  </si>
  <si>
    <t>CEVALLOS</t>
  </si>
  <si>
    <t xml:space="preserve">CEVALLOS </t>
  </si>
  <si>
    <t>CEVILLA</t>
  </si>
  <si>
    <t>CHACA</t>
  </si>
  <si>
    <t xml:space="preserve">CHACHA </t>
  </si>
  <si>
    <t>CHACON</t>
  </si>
  <si>
    <t xml:space="preserve">CHACON </t>
  </si>
  <si>
    <t>CHALCO</t>
  </si>
  <si>
    <t xml:space="preserve">CHALCO </t>
  </si>
  <si>
    <t>CHALEN</t>
  </si>
  <si>
    <t>CHAMAIDAN</t>
  </si>
  <si>
    <t>CHAMBA</t>
  </si>
  <si>
    <t>CHANATAXI</t>
  </si>
  <si>
    <t>CHANG</t>
  </si>
  <si>
    <t>CHANGO</t>
  </si>
  <si>
    <t>CHAUCA</t>
  </si>
  <si>
    <t>CHAVEZ</t>
  </si>
  <si>
    <t>CHECA</t>
  </si>
  <si>
    <t xml:space="preserve">CHEVEZ </t>
  </si>
  <si>
    <t>CHICA</t>
  </si>
  <si>
    <t>CHICO</t>
  </si>
  <si>
    <t>CHILAMA</t>
  </si>
  <si>
    <t>CHILLOGALLI</t>
  </si>
  <si>
    <t>CHILLOGALLO</t>
  </si>
  <si>
    <t xml:space="preserve">CHILLOGALLO </t>
  </si>
  <si>
    <t>CHIMBO</t>
  </si>
  <si>
    <t>CHIRIAP</t>
  </si>
  <si>
    <t>CHITACAPA</t>
  </si>
  <si>
    <t>CHOCHO</t>
  </si>
  <si>
    <t>CHOCO</t>
  </si>
  <si>
    <t>CHOEZ</t>
  </si>
  <si>
    <t>CHORO</t>
  </si>
  <si>
    <t>CHUCHO</t>
  </si>
  <si>
    <t>CHUCINO</t>
  </si>
  <si>
    <t>CHUNZHO</t>
  </si>
  <si>
    <t>CHUÑIR</t>
  </si>
  <si>
    <t>CHUP</t>
  </si>
  <si>
    <t>CHUQUI</t>
  </si>
  <si>
    <t>CHUSINO</t>
  </si>
  <si>
    <t xml:space="preserve">CHUSINO </t>
  </si>
  <si>
    <t>CHUVA</t>
  </si>
  <si>
    <t>CHUYA</t>
  </si>
  <si>
    <t>COBOS</t>
  </si>
  <si>
    <t xml:space="preserve">COBOS </t>
  </si>
  <si>
    <t>COCHANCELA</t>
  </si>
  <si>
    <t>COCHANSELA</t>
  </si>
  <si>
    <t>COELLAR</t>
  </si>
  <si>
    <t>COELLO</t>
  </si>
  <si>
    <t>CONCE</t>
  </si>
  <si>
    <t>CONDO</t>
  </si>
  <si>
    <t>CONTRERAS</t>
  </si>
  <si>
    <t>CORAISACA</t>
  </si>
  <si>
    <t xml:space="preserve">CORAISACA </t>
  </si>
  <si>
    <t xml:space="preserve">CORAIZACA </t>
  </si>
  <si>
    <t>CORAL</t>
  </si>
  <si>
    <t>CORDERO</t>
  </si>
  <si>
    <t xml:space="preserve">CORDERO </t>
  </si>
  <si>
    <t>CORDOVA</t>
  </si>
  <si>
    <t xml:space="preserve">CORDOVA </t>
  </si>
  <si>
    <t>CORNEJO</t>
  </si>
  <si>
    <t>CORONEL</t>
  </si>
  <si>
    <t xml:space="preserve">CORONEL </t>
  </si>
  <si>
    <t>CORRAL</t>
  </si>
  <si>
    <t>CORRALES</t>
  </si>
  <si>
    <t>CORREA</t>
  </si>
  <si>
    <t>CORTE</t>
  </si>
  <si>
    <t xml:space="preserve">CORTE </t>
  </si>
  <si>
    <t>CORTEZ</t>
  </si>
  <si>
    <t>CRESPO</t>
  </si>
  <si>
    <t>CRIOLLO</t>
  </si>
  <si>
    <t xml:space="preserve">CRIOLLO </t>
  </si>
  <si>
    <t>CRUZ</t>
  </si>
  <si>
    <t>CUENCA</t>
  </si>
  <si>
    <t xml:space="preserve">CUENCA </t>
  </si>
  <si>
    <t>CUERO</t>
  </si>
  <si>
    <t xml:space="preserve">CUEVA </t>
  </si>
  <si>
    <t>CUJI</t>
  </si>
  <si>
    <t xml:space="preserve">CUJI </t>
  </si>
  <si>
    <t>CURILLO</t>
  </si>
  <si>
    <t>CUSCO</t>
  </si>
  <si>
    <t>CUZCO</t>
  </si>
  <si>
    <t>DAMIÁN</t>
  </si>
  <si>
    <t>DE LA CRUZ</t>
  </si>
  <si>
    <t>DELEG</t>
  </si>
  <si>
    <t>DELGADO</t>
  </si>
  <si>
    <t xml:space="preserve">DELGADO </t>
  </si>
  <si>
    <t>DESTRUGE</t>
  </si>
  <si>
    <t>DIAZ</t>
  </si>
  <si>
    <t>DOMINGUEZ</t>
  </si>
  <si>
    <t>DUCHIMAZA</t>
  </si>
  <si>
    <t xml:space="preserve">DUCHIMAZA </t>
  </si>
  <si>
    <t>DUMAGUALA</t>
  </si>
  <si>
    <t>DURAN</t>
  </si>
  <si>
    <t>DUTA</t>
  </si>
  <si>
    <t>DUTAN</t>
  </si>
  <si>
    <t>ENCALADA</t>
  </si>
  <si>
    <t xml:space="preserve">ENCALADA </t>
  </si>
  <si>
    <t>ENRIQUEZ</t>
  </si>
  <si>
    <t>ENTSAKUA</t>
  </si>
  <si>
    <t>ESCANDON</t>
  </si>
  <si>
    <t>ESPAÑA</t>
  </si>
  <si>
    <t>ESPINOZA</t>
  </si>
  <si>
    <t xml:space="preserve">ESPINOZA </t>
  </si>
  <si>
    <t>ESTACIO</t>
  </si>
  <si>
    <t>ESTRADA</t>
  </si>
  <si>
    <t>ESTRELLA</t>
  </si>
  <si>
    <t>FAICAN</t>
  </si>
  <si>
    <t>FAJARDO</t>
  </si>
  <si>
    <t xml:space="preserve">FAJARDO </t>
  </si>
  <si>
    <t>FALCONEZ</t>
  </si>
  <si>
    <t>FARES</t>
  </si>
  <si>
    <t>FAREZ</t>
  </si>
  <si>
    <t xml:space="preserve">FAREZ </t>
  </si>
  <si>
    <t>FARFAN</t>
  </si>
  <si>
    <t xml:space="preserve">FARFAN </t>
  </si>
  <si>
    <t>FEREÑO</t>
  </si>
  <si>
    <t>FERNANDEZ</t>
  </si>
  <si>
    <t xml:space="preserve">FERNANDEZ </t>
  </si>
  <si>
    <t>FERRIN</t>
  </si>
  <si>
    <t xml:space="preserve">FISCHERT </t>
  </si>
  <si>
    <t>FLORES</t>
  </si>
  <si>
    <t>FOSTER</t>
  </si>
  <si>
    <t>FRANCO</t>
  </si>
  <si>
    <t xml:space="preserve">FRANCO </t>
  </si>
  <si>
    <t>FREIRE</t>
  </si>
  <si>
    <t>FRIAS</t>
  </si>
  <si>
    <t>GAGUANCELA</t>
  </si>
  <si>
    <t>GAIBOR</t>
  </si>
  <si>
    <t>GALÁN</t>
  </si>
  <si>
    <t>GALARZA</t>
  </si>
  <si>
    <t xml:space="preserve">GALARZA </t>
  </si>
  <si>
    <t>GALIANO</t>
  </si>
  <si>
    <t>GALINDO</t>
  </si>
  <si>
    <t>GALLEGO</t>
  </si>
  <si>
    <t>GALLO</t>
  </si>
  <si>
    <t>GAÑAN</t>
  </si>
  <si>
    <t>GARATE</t>
  </si>
  <si>
    <t>GARAY</t>
  </si>
  <si>
    <t>GARCIA</t>
  </si>
  <si>
    <t>GARNICA</t>
  </si>
  <si>
    <t>GARRIDO</t>
  </si>
  <si>
    <t>GARZON</t>
  </si>
  <si>
    <t>GIL</t>
  </si>
  <si>
    <t>GIRALDO</t>
  </si>
  <si>
    <t>GIRON</t>
  </si>
  <si>
    <t>GOMEZ</t>
  </si>
  <si>
    <t xml:space="preserve">GOMEZ </t>
  </si>
  <si>
    <t>GOMEZCOELLO</t>
  </si>
  <si>
    <t xml:space="preserve">GOMEZCOELLO </t>
  </si>
  <si>
    <t>GONZALES</t>
  </si>
  <si>
    <t>GONZALEZ</t>
  </si>
  <si>
    <t xml:space="preserve">GONZALEZ </t>
  </si>
  <si>
    <t>GORDILLO</t>
  </si>
  <si>
    <t xml:space="preserve">GORDILLO </t>
  </si>
  <si>
    <t>GOYES</t>
  </si>
  <si>
    <t>GRANDA</t>
  </si>
  <si>
    <t>GRANJA</t>
  </si>
  <si>
    <t>GREFA</t>
  </si>
  <si>
    <t>GUACHICHULCA</t>
  </si>
  <si>
    <t>GUAILLAS</t>
  </si>
  <si>
    <t>GUAILLAZACA</t>
  </si>
  <si>
    <t>GUALLPA</t>
  </si>
  <si>
    <t>GUALPA</t>
  </si>
  <si>
    <t>GUAMAN</t>
  </si>
  <si>
    <t xml:space="preserve">GUAMAN </t>
  </si>
  <si>
    <t>GUAMANTARI</t>
  </si>
  <si>
    <t>GUANOQUIZA</t>
  </si>
  <si>
    <t>GUANUQUIZA</t>
  </si>
  <si>
    <t>GUAPISACA</t>
  </si>
  <si>
    <t>GUAPUCAL</t>
  </si>
  <si>
    <t>GUARACA</t>
  </si>
  <si>
    <t xml:space="preserve">GUARACA </t>
  </si>
  <si>
    <t>GUARQUILA</t>
  </si>
  <si>
    <t>GUARTATANGA</t>
  </si>
  <si>
    <t>GUARTAZACA</t>
  </si>
  <si>
    <t xml:space="preserve">GUARTAZACA </t>
  </si>
  <si>
    <t>GUAYARA</t>
  </si>
  <si>
    <t>GUAYAS</t>
  </si>
  <si>
    <t>GUAYLLAZACA</t>
  </si>
  <si>
    <t>GUAZHCO</t>
  </si>
  <si>
    <t>GUERRA</t>
  </si>
  <si>
    <t>GUERRERO</t>
  </si>
  <si>
    <t xml:space="preserve">GUERRERO </t>
  </si>
  <si>
    <t>GUILLEN</t>
  </si>
  <si>
    <t xml:space="preserve">GUILLEN </t>
  </si>
  <si>
    <t>GUNCAY</t>
  </si>
  <si>
    <t>GUSHQUI</t>
  </si>
  <si>
    <t>GUTAMA</t>
  </si>
  <si>
    <t xml:space="preserve">GUTAMA </t>
  </si>
  <si>
    <t>GUTIERRES</t>
  </si>
  <si>
    <t>GUZHÑAY</t>
  </si>
  <si>
    <t>GUZMAN</t>
  </si>
  <si>
    <t xml:space="preserve">GUZMAN </t>
  </si>
  <si>
    <t>HARO</t>
  </si>
  <si>
    <t xml:space="preserve">HERAS </t>
  </si>
  <si>
    <t>HEREDIA</t>
  </si>
  <si>
    <t xml:space="preserve">HEREDIA </t>
  </si>
  <si>
    <t>HERNANDEZ</t>
  </si>
  <si>
    <t>HERRERA</t>
  </si>
  <si>
    <t>HONORES</t>
  </si>
  <si>
    <t>HUAMBIO</t>
  </si>
  <si>
    <t>HUANGA</t>
  </si>
  <si>
    <t>HUAYLLAZACA</t>
  </si>
  <si>
    <t xml:space="preserve">HUAYLLAZACA </t>
  </si>
  <si>
    <t>HURTADO</t>
  </si>
  <si>
    <t xml:space="preserve">HURTADO </t>
  </si>
  <si>
    <t>IDROVO</t>
  </si>
  <si>
    <t>IGLESIAS</t>
  </si>
  <si>
    <t>IJISAM</t>
  </si>
  <si>
    <t>ILLARES</t>
  </si>
  <si>
    <t>ILLESCAS</t>
  </si>
  <si>
    <t>INGA</t>
  </si>
  <si>
    <t>INTRIAGO</t>
  </si>
  <si>
    <t>IÑIGUEZ</t>
  </si>
  <si>
    <t xml:space="preserve">IÑIGUEZ </t>
  </si>
  <si>
    <t>IZQUIERDO</t>
  </si>
  <si>
    <t xml:space="preserve">IZQUIERDO </t>
  </si>
  <si>
    <t>JACHERO</t>
  </si>
  <si>
    <t>JACOME</t>
  </si>
  <si>
    <t xml:space="preserve">JACOME </t>
  </si>
  <si>
    <t>JADAN</t>
  </si>
  <si>
    <t xml:space="preserve">JADAN </t>
  </si>
  <si>
    <t>JAIME</t>
  </si>
  <si>
    <t>JANETA</t>
  </si>
  <si>
    <t>JARA</t>
  </si>
  <si>
    <t xml:space="preserve">JARA </t>
  </si>
  <si>
    <t>JARAMILLO</t>
  </si>
  <si>
    <t>JARRIN</t>
  </si>
  <si>
    <t>JARRO</t>
  </si>
  <si>
    <t>JAYA</t>
  </si>
  <si>
    <t xml:space="preserve">JAYA </t>
  </si>
  <si>
    <t>JIMENEZ</t>
  </si>
  <si>
    <t xml:space="preserve">JIMENEZ </t>
  </si>
  <si>
    <t>JUCA</t>
  </si>
  <si>
    <t>JUELA</t>
  </si>
  <si>
    <t xml:space="preserve">JUELA </t>
  </si>
  <si>
    <t>JUMBO</t>
  </si>
  <si>
    <t>KAJECH</t>
  </si>
  <si>
    <t>LALBAY</t>
  </si>
  <si>
    <t>LALVAY</t>
  </si>
  <si>
    <t>LANCHI</t>
  </si>
  <si>
    <t>LANDI</t>
  </si>
  <si>
    <t xml:space="preserve">LANDI </t>
  </si>
  <si>
    <t>LANDY</t>
  </si>
  <si>
    <t>LARA</t>
  </si>
  <si>
    <t xml:space="preserve">LARA </t>
  </si>
  <si>
    <t>LARGO</t>
  </si>
  <si>
    <t>LASCANO</t>
  </si>
  <si>
    <t>LASSO</t>
  </si>
  <si>
    <t>LAVANDA</t>
  </si>
  <si>
    <t>LAZO</t>
  </si>
  <si>
    <t xml:space="preserve">LAZO </t>
  </si>
  <si>
    <t>LEDESMA</t>
  </si>
  <si>
    <t>LEMA</t>
  </si>
  <si>
    <t xml:space="preserve">LEMA </t>
  </si>
  <si>
    <t>LEON</t>
  </si>
  <si>
    <t xml:space="preserve">LEON </t>
  </si>
  <si>
    <t>LESCANO</t>
  </si>
  <si>
    <t>LINDAO</t>
  </si>
  <si>
    <t>LINO</t>
  </si>
  <si>
    <t>LITUMA</t>
  </si>
  <si>
    <t xml:space="preserve">LITUMA </t>
  </si>
  <si>
    <t>LLANOS</t>
  </si>
  <si>
    <t>LLIGUICOTA</t>
  </si>
  <si>
    <t>LLIGUIN</t>
  </si>
  <si>
    <t xml:space="preserve">LLIGUIN </t>
  </si>
  <si>
    <t>LLIVICHUZCA</t>
  </si>
  <si>
    <t xml:space="preserve">LLIVICHUZCA </t>
  </si>
  <si>
    <t>LLIVICHUZHCA</t>
  </si>
  <si>
    <t>LLIVICURA</t>
  </si>
  <si>
    <t xml:space="preserve">LLIVICURA </t>
  </si>
  <si>
    <t>LLIVIGAÑAY</t>
  </si>
  <si>
    <t>LLIVIZACA</t>
  </si>
  <si>
    <t xml:space="preserve">LLIVIZACA </t>
  </si>
  <si>
    <t>LLUISUPA</t>
  </si>
  <si>
    <t>LOJA</t>
  </si>
  <si>
    <t>LOJANO</t>
  </si>
  <si>
    <t xml:space="preserve">LOJANO </t>
  </si>
  <si>
    <t>LOMBAIDA</t>
  </si>
  <si>
    <t>LOPEZ</t>
  </si>
  <si>
    <t xml:space="preserve">LOPEZ </t>
  </si>
  <si>
    <t xml:space="preserve">LOPEZ  </t>
  </si>
  <si>
    <t>LOZADO</t>
  </si>
  <si>
    <t>LOZANO</t>
  </si>
  <si>
    <t xml:space="preserve">LOZANO </t>
  </si>
  <si>
    <t>LUCAS</t>
  </si>
  <si>
    <t>LUCERO</t>
  </si>
  <si>
    <t xml:space="preserve">LUCERO </t>
  </si>
  <si>
    <t>LUDIZACA</t>
  </si>
  <si>
    <t xml:space="preserve">LUDIZACA </t>
  </si>
  <si>
    <t>LUGMAÑA</t>
  </si>
  <si>
    <t>LUNA</t>
  </si>
  <si>
    <t xml:space="preserve">LUNA </t>
  </si>
  <si>
    <t>LUPERCIO</t>
  </si>
  <si>
    <t>LUZURIAGA</t>
  </si>
  <si>
    <t xml:space="preserve">MACANCELA </t>
  </si>
  <si>
    <t>MACAO</t>
  </si>
  <si>
    <t xml:space="preserve">MACAO </t>
  </si>
  <si>
    <t>MACAS</t>
  </si>
  <si>
    <t xml:space="preserve">MACAS </t>
  </si>
  <si>
    <t>MACHUCA</t>
  </si>
  <si>
    <t>MACIAS</t>
  </si>
  <si>
    <t xml:space="preserve">MACIAS </t>
  </si>
  <si>
    <t>MAESTRE</t>
  </si>
  <si>
    <t>MAGALLANES</t>
  </si>
  <si>
    <t xml:space="preserve">MAHECHA </t>
  </si>
  <si>
    <t>MAITA</t>
  </si>
  <si>
    <t>MALAGON</t>
  </si>
  <si>
    <t>MALDONADO</t>
  </si>
  <si>
    <t xml:space="preserve">MALDONADO </t>
  </si>
  <si>
    <t>MALLA</t>
  </si>
  <si>
    <t xml:space="preserve">MALLA </t>
  </si>
  <si>
    <t>MALO</t>
  </si>
  <si>
    <t>MANOSALVAS</t>
  </si>
  <si>
    <t>MANZO</t>
  </si>
  <si>
    <t>MARCA</t>
  </si>
  <si>
    <t xml:space="preserve">MARCA </t>
  </si>
  <si>
    <t>MARCILLO</t>
  </si>
  <si>
    <t>MARIN</t>
  </si>
  <si>
    <t xml:space="preserve">MARIN </t>
  </si>
  <si>
    <t>MARIÑO</t>
  </si>
  <si>
    <t>MARMOLEJO</t>
  </si>
  <si>
    <t>MARQUEZ</t>
  </si>
  <si>
    <t>MARTINEZ</t>
  </si>
  <si>
    <t>MASSA</t>
  </si>
  <si>
    <t xml:space="preserve">MATAILO </t>
  </si>
  <si>
    <t>MATUTE</t>
  </si>
  <si>
    <t xml:space="preserve">MATUTE </t>
  </si>
  <si>
    <t>MAURAD</t>
  </si>
  <si>
    <t xml:space="preserve">MAURAD </t>
  </si>
  <si>
    <t>MAURAT</t>
  </si>
  <si>
    <t>MAXI</t>
  </si>
  <si>
    <t>MAYANCELA</t>
  </si>
  <si>
    <t>MEDINA</t>
  </si>
  <si>
    <t xml:space="preserve">MEDINA </t>
  </si>
  <si>
    <t>MEJIA</t>
  </si>
  <si>
    <t>MENDEZ</t>
  </si>
  <si>
    <t xml:space="preserve">MENDEZ </t>
  </si>
  <si>
    <t>MENDIA</t>
  </si>
  <si>
    <t>MENDIETA</t>
  </si>
  <si>
    <t>MENDOZA</t>
  </si>
  <si>
    <t xml:space="preserve">MENDOZA </t>
  </si>
  <si>
    <t>MENESES</t>
  </si>
  <si>
    <t>MERCHAN</t>
  </si>
  <si>
    <t xml:space="preserve">MERCHAN </t>
  </si>
  <si>
    <t>MERIZALDE</t>
  </si>
  <si>
    <t>MEZA</t>
  </si>
  <si>
    <t>MIELES</t>
  </si>
  <si>
    <t>MILES</t>
  </si>
  <si>
    <t>MINCHALA</t>
  </si>
  <si>
    <t>MINGO</t>
  </si>
  <si>
    <t>MIÑARCAJA</t>
  </si>
  <si>
    <t>MIRANDA</t>
  </si>
  <si>
    <t xml:space="preserve">MOGROVEJO </t>
  </si>
  <si>
    <t>MOINA</t>
  </si>
  <si>
    <t>MOLINA</t>
  </si>
  <si>
    <t xml:space="preserve">MOLINA </t>
  </si>
  <si>
    <t>MONTAÑO</t>
  </si>
  <si>
    <t>MONTENEGRO</t>
  </si>
  <si>
    <t>MONTERO</t>
  </si>
  <si>
    <t>MONTES</t>
  </si>
  <si>
    <t xml:space="preserve">MONTES </t>
  </si>
  <si>
    <t>MONTESDEOCA</t>
  </si>
  <si>
    <t>MONTOYA</t>
  </si>
  <si>
    <t xml:space="preserve">MONTOYA </t>
  </si>
  <si>
    <t>MORA</t>
  </si>
  <si>
    <t xml:space="preserve">MORA </t>
  </si>
  <si>
    <t>MORALES</t>
  </si>
  <si>
    <t>MOREIRA</t>
  </si>
  <si>
    <t>MORENO</t>
  </si>
  <si>
    <t xml:space="preserve">MORENO </t>
  </si>
  <si>
    <t>MOROCHO</t>
  </si>
  <si>
    <t xml:space="preserve">MOROCHO </t>
  </si>
  <si>
    <t>MORQUECHO</t>
  </si>
  <si>
    <t>MOSCOSO</t>
  </si>
  <si>
    <t>MOSQUERA</t>
  </si>
  <si>
    <t xml:space="preserve">MOSQUERA </t>
  </si>
  <si>
    <t>MUICELA</t>
  </si>
  <si>
    <t>MUÑOZ</t>
  </si>
  <si>
    <t xml:space="preserve">MUÑOZ </t>
  </si>
  <si>
    <t>MURILLO</t>
  </si>
  <si>
    <t>MUY</t>
  </si>
  <si>
    <t xml:space="preserve">MUY </t>
  </si>
  <si>
    <t>MUYCELA</t>
  </si>
  <si>
    <t>NARANJO</t>
  </si>
  <si>
    <t xml:space="preserve">NARANJO </t>
  </si>
  <si>
    <t>NARVAEZ</t>
  </si>
  <si>
    <t xml:space="preserve">NARVAEZ </t>
  </si>
  <si>
    <t>NAULA</t>
  </si>
  <si>
    <t>NAVARRETE</t>
  </si>
  <si>
    <t>NEIRA</t>
  </si>
  <si>
    <t>NIETO</t>
  </si>
  <si>
    <t>NIEVES</t>
  </si>
  <si>
    <t>NIVELO</t>
  </si>
  <si>
    <t xml:space="preserve">NIVELO </t>
  </si>
  <si>
    <t xml:space="preserve">NIVICELA </t>
  </si>
  <si>
    <t>NOBOA</t>
  </si>
  <si>
    <t>NUGRA</t>
  </si>
  <si>
    <t>ÑAUTA</t>
  </si>
  <si>
    <t>OBANDO</t>
  </si>
  <si>
    <t>OCAMPO</t>
  </si>
  <si>
    <t>OCHOA</t>
  </si>
  <si>
    <t xml:space="preserve">OCHOA </t>
  </si>
  <si>
    <t>OJEDA</t>
  </si>
  <si>
    <t>OLALLA</t>
  </si>
  <si>
    <t>ONCE</t>
  </si>
  <si>
    <t>ONTANEDA</t>
  </si>
  <si>
    <t>ONTANO</t>
  </si>
  <si>
    <t>ORDOÑEZ</t>
  </si>
  <si>
    <t>ORELLANA</t>
  </si>
  <si>
    <t xml:space="preserve">ORELLANA </t>
  </si>
  <si>
    <t>OROZCO</t>
  </si>
  <si>
    <t>ORTEGA</t>
  </si>
  <si>
    <t xml:space="preserve">ORTEGA </t>
  </si>
  <si>
    <t>ORTIZ</t>
  </si>
  <si>
    <t>ORTUÑO</t>
  </si>
  <si>
    <t>OTABALO</t>
  </si>
  <si>
    <t>OTAVALO</t>
  </si>
  <si>
    <t>PACHAR</t>
  </si>
  <si>
    <t xml:space="preserve">PACHAR </t>
  </si>
  <si>
    <t>PACHECO</t>
  </si>
  <si>
    <t xml:space="preserve">PACHECO </t>
  </si>
  <si>
    <t xml:space="preserve">PACHECO  </t>
  </si>
  <si>
    <t>PADILLA</t>
  </si>
  <si>
    <t>PADRON</t>
  </si>
  <si>
    <t>PAGUAY</t>
  </si>
  <si>
    <t>PAIDA</t>
  </si>
  <si>
    <t>PALACIOS</t>
  </si>
  <si>
    <t>PALLCHISACA</t>
  </si>
  <si>
    <t>PALMA</t>
  </si>
  <si>
    <t>PALOMEQUE</t>
  </si>
  <si>
    <t>PALOMIÑO</t>
  </si>
  <si>
    <t>PALTA</t>
  </si>
  <si>
    <t>PALTAZACA</t>
  </si>
  <si>
    <t>PANAMA</t>
  </si>
  <si>
    <t>PANDO</t>
  </si>
  <si>
    <t>PAREDES</t>
  </si>
  <si>
    <t>PARRA</t>
  </si>
  <si>
    <t>PATIÑO</t>
  </si>
  <si>
    <t>PAUCAR</t>
  </si>
  <si>
    <t xml:space="preserve">PAUCAR </t>
  </si>
  <si>
    <t>PAUTA</t>
  </si>
  <si>
    <t>PAUTE</t>
  </si>
  <si>
    <t>PAVAÑA</t>
  </si>
  <si>
    <t>PAZMIÑO</t>
  </si>
  <si>
    <t>PELAEZ</t>
  </si>
  <si>
    <t xml:space="preserve">PELAEZ </t>
  </si>
  <si>
    <t>PEÑA</t>
  </si>
  <si>
    <t>PEÑAFIEL</t>
  </si>
  <si>
    <t>PEÑALOZA</t>
  </si>
  <si>
    <t>PEÑARANDA</t>
  </si>
  <si>
    <t xml:space="preserve">PEÑARANDA </t>
  </si>
  <si>
    <t>PEÑARRETA</t>
  </si>
  <si>
    <t>PERALTA</t>
  </si>
  <si>
    <t>PEREZ</t>
  </si>
  <si>
    <t xml:space="preserve">PEREZ </t>
  </si>
  <si>
    <t>PESANTEZ</t>
  </si>
  <si>
    <t>PESO</t>
  </si>
  <si>
    <t>PICON</t>
  </si>
  <si>
    <t>PIEDRA</t>
  </si>
  <si>
    <t>PIGUAVE</t>
  </si>
  <si>
    <t>PILLAGA</t>
  </si>
  <si>
    <t>PILLAJO</t>
  </si>
  <si>
    <t>PILLCO</t>
  </si>
  <si>
    <t>PINCAY</t>
  </si>
  <si>
    <t>PINDO</t>
  </si>
  <si>
    <t>PINDUISACA</t>
  </si>
  <si>
    <t>PINEDA</t>
  </si>
  <si>
    <t>PINGUIL</t>
  </si>
  <si>
    <t>PINTADO</t>
  </si>
  <si>
    <t>PIÑA</t>
  </si>
  <si>
    <t xml:space="preserve">PIÑA </t>
  </si>
  <si>
    <t>PIZARRO</t>
  </si>
  <si>
    <t xml:space="preserve">PIZARRO </t>
  </si>
  <si>
    <t>PLACENCIA</t>
  </si>
  <si>
    <t>PLASENCIA</t>
  </si>
  <si>
    <t>PLAZA</t>
  </si>
  <si>
    <t>PLUAS</t>
  </si>
  <si>
    <t>PONCE</t>
  </si>
  <si>
    <t xml:space="preserve">PONCE </t>
  </si>
  <si>
    <t>PORTILLA</t>
  </si>
  <si>
    <t>PORTILLO</t>
  </si>
  <si>
    <t>PORTOVIEJO</t>
  </si>
  <si>
    <t xml:space="preserve">PORTOVIEJO </t>
  </si>
  <si>
    <t>POSLIGUA</t>
  </si>
  <si>
    <t xml:space="preserve">POVEDA </t>
  </si>
  <si>
    <t>PRAGA</t>
  </si>
  <si>
    <t xml:space="preserve">PRECIADO </t>
  </si>
  <si>
    <t>PRIETO</t>
  </si>
  <si>
    <t>PROCEL</t>
  </si>
  <si>
    <t>PUCHA</t>
  </si>
  <si>
    <t>PUENTE</t>
  </si>
  <si>
    <t>PUGO</t>
  </si>
  <si>
    <t>PUIN</t>
  </si>
  <si>
    <t>PULLA</t>
  </si>
  <si>
    <t>PUNIN</t>
  </si>
  <si>
    <t xml:space="preserve">PUNIN </t>
  </si>
  <si>
    <t>QUEZADA</t>
  </si>
  <si>
    <t xml:space="preserve">QUEZADA </t>
  </si>
  <si>
    <t>QUICHIMBO</t>
  </si>
  <si>
    <t xml:space="preserve">QUICHIMBO </t>
  </si>
  <si>
    <t>QUIJIJE</t>
  </si>
  <si>
    <t>QUILLAY</t>
  </si>
  <si>
    <t>QUILLE</t>
  </si>
  <si>
    <t>QUIMI</t>
  </si>
  <si>
    <t>QUIMIS</t>
  </si>
  <si>
    <t>QUINCHE</t>
  </si>
  <si>
    <t>QUINCHI</t>
  </si>
  <si>
    <t>QUINDE</t>
  </si>
  <si>
    <t>QUINTERO</t>
  </si>
  <si>
    <t>QUINTEROS</t>
  </si>
  <si>
    <t>QUINTUÑA</t>
  </si>
  <si>
    <t>QUIÑONEZ</t>
  </si>
  <si>
    <t>QUIROGA</t>
  </si>
  <si>
    <t>QUIROZ</t>
  </si>
  <si>
    <t>QUITO</t>
  </si>
  <si>
    <t>QUITUISACA</t>
  </si>
  <si>
    <t>QUITUIZACA</t>
  </si>
  <si>
    <t xml:space="preserve">QUITUIZACA </t>
  </si>
  <si>
    <t>QUIZHPE</t>
  </si>
  <si>
    <t>QUIZHPI</t>
  </si>
  <si>
    <t>RAIBAN</t>
  </si>
  <si>
    <t xml:space="preserve">RAIBAN </t>
  </si>
  <si>
    <t>RAMIREZ</t>
  </si>
  <si>
    <t xml:space="preserve">RAMIREZ </t>
  </si>
  <si>
    <t>RAMON</t>
  </si>
  <si>
    <t>RAMOS</t>
  </si>
  <si>
    <t>REINOSO</t>
  </si>
  <si>
    <t xml:space="preserve">REINOSO </t>
  </si>
  <si>
    <t>REINOZO</t>
  </si>
  <si>
    <t>REMACHE</t>
  </si>
  <si>
    <t xml:space="preserve">REMACHE </t>
  </si>
  <si>
    <t>REQUEJO</t>
  </si>
  <si>
    <t>REYES</t>
  </si>
  <si>
    <t>RIERA</t>
  </si>
  <si>
    <t xml:space="preserve">RIERA </t>
  </si>
  <si>
    <t xml:space="preserve">RIOFRIO </t>
  </si>
  <si>
    <t>RIOS</t>
  </si>
  <si>
    <t xml:space="preserve">RIOS </t>
  </si>
  <si>
    <t>RIVAS</t>
  </si>
  <si>
    <t>RIVERA</t>
  </si>
  <si>
    <t xml:space="preserve">RIVERA </t>
  </si>
  <si>
    <t>ROBLES</t>
  </si>
  <si>
    <t xml:space="preserve">ROBLES </t>
  </si>
  <si>
    <t>ROCANO</t>
  </si>
  <si>
    <t xml:space="preserve">ROCANO </t>
  </si>
  <si>
    <t>RODAS</t>
  </si>
  <si>
    <t xml:space="preserve">RODAS </t>
  </si>
  <si>
    <t>RODRIGUEZ</t>
  </si>
  <si>
    <t xml:space="preserve">RODRIGUEZ </t>
  </si>
  <si>
    <t>ROJAS</t>
  </si>
  <si>
    <t>ROLDAN</t>
  </si>
  <si>
    <t>ROMAN</t>
  </si>
  <si>
    <t>ROMERO</t>
  </si>
  <si>
    <t xml:space="preserve">ROMERO </t>
  </si>
  <si>
    <t>ROSALES</t>
  </si>
  <si>
    <t>ROSARIO</t>
  </si>
  <si>
    <t>RUEDA</t>
  </si>
  <si>
    <t>RUILOVA</t>
  </si>
  <si>
    <t>RUIZ</t>
  </si>
  <si>
    <t xml:space="preserve">RUIZ </t>
  </si>
  <si>
    <t>SACA</t>
  </si>
  <si>
    <t>SACOTO</t>
  </si>
  <si>
    <t>SACTA</t>
  </si>
  <si>
    <t>SAGAL</t>
  </si>
  <si>
    <t>SAGBAY</t>
  </si>
  <si>
    <t xml:space="preserve">SAGBAY </t>
  </si>
  <si>
    <t>SAGUAY</t>
  </si>
  <si>
    <t>SALAMEA</t>
  </si>
  <si>
    <t>SALAS</t>
  </si>
  <si>
    <t>SALAZAR</t>
  </si>
  <si>
    <t xml:space="preserve">SALAZAR </t>
  </si>
  <si>
    <t>SALINAS</t>
  </si>
  <si>
    <t xml:space="preserve">SALINAS </t>
  </si>
  <si>
    <t>SALTO</t>
  </si>
  <si>
    <t>SALTOS</t>
  </si>
  <si>
    <t>SAMANIEGO</t>
  </si>
  <si>
    <t xml:space="preserve">SAMANIEGO </t>
  </si>
  <si>
    <t>SANANGO</t>
  </si>
  <si>
    <t>SANCHEZ</t>
  </si>
  <si>
    <t xml:space="preserve">SANCHEZ </t>
  </si>
  <si>
    <t>SANCHO</t>
  </si>
  <si>
    <t>SANGURIMA</t>
  </si>
  <si>
    <t>SANMARTIN</t>
  </si>
  <si>
    <t xml:space="preserve">SANMARTIN </t>
  </si>
  <si>
    <t>SANTANA</t>
  </si>
  <si>
    <t xml:space="preserve">SANTILLAN </t>
  </si>
  <si>
    <t>SAPATANGA</t>
  </si>
  <si>
    <t>SAQUICELA</t>
  </si>
  <si>
    <t xml:space="preserve">SAQUICELA </t>
  </si>
  <si>
    <t>SARANGO</t>
  </si>
  <si>
    <t>SARI</t>
  </si>
  <si>
    <t>SARMIENTO</t>
  </si>
  <si>
    <t xml:space="preserve">SARMIENTO </t>
  </si>
  <si>
    <t>SAUCE</t>
  </si>
  <si>
    <t>SEGARRA</t>
  </si>
  <si>
    <t>SEGOVIA</t>
  </si>
  <si>
    <t xml:space="preserve">SEGOVIA </t>
  </si>
  <si>
    <t>SEMPERTEGUI</t>
  </si>
  <si>
    <t>SERRANO</t>
  </si>
  <si>
    <t xml:space="preserve">SERRANO </t>
  </si>
  <si>
    <t>SEVILLA</t>
  </si>
  <si>
    <t>SHIBRI</t>
  </si>
  <si>
    <t xml:space="preserve">SHIRAPA </t>
  </si>
  <si>
    <t xml:space="preserve">SIAVICHAY </t>
  </si>
  <si>
    <t>SIBRI</t>
  </si>
  <si>
    <t>SICHA</t>
  </si>
  <si>
    <t xml:space="preserve">SICHA </t>
  </si>
  <si>
    <t>SIGCHO</t>
  </si>
  <si>
    <t>SIGUA</t>
  </si>
  <si>
    <t>SIGUENCIA</t>
  </si>
  <si>
    <t>SIGUENZA</t>
  </si>
  <si>
    <t xml:space="preserve">SIGUENZA </t>
  </si>
  <si>
    <t>SILVA</t>
  </si>
  <si>
    <t>SINCHI</t>
  </si>
  <si>
    <t xml:space="preserve">SINCHI </t>
  </si>
  <si>
    <t>SISALIMA</t>
  </si>
  <si>
    <t xml:space="preserve">SISALIMA </t>
  </si>
  <si>
    <t>SOBREVILLA</t>
  </si>
  <si>
    <t>SOLANO</t>
  </si>
  <si>
    <t>SOLIS</t>
  </si>
  <si>
    <t>SOLORZANO</t>
  </si>
  <si>
    <t>SOPLA</t>
  </si>
  <si>
    <t>SUAREZ</t>
  </si>
  <si>
    <t xml:space="preserve">SUAREZ </t>
  </si>
  <si>
    <t>SUCONOTA</t>
  </si>
  <si>
    <t>SUCUZHAÑAY</t>
  </si>
  <si>
    <t>SUMBA</t>
  </si>
  <si>
    <t xml:space="preserve">SUMBA </t>
  </si>
  <si>
    <t>SUÑIGA</t>
  </si>
  <si>
    <t>SUPLIGUICHA</t>
  </si>
  <si>
    <t>SUQUI</t>
  </si>
  <si>
    <t>SUQUILANDA</t>
  </si>
  <si>
    <t xml:space="preserve">SUQUINAGUA </t>
  </si>
  <si>
    <t>SUSCAL</t>
  </si>
  <si>
    <t>TACURI</t>
  </si>
  <si>
    <t xml:space="preserve">TACURI </t>
  </si>
  <si>
    <t>TADAY</t>
  </si>
  <si>
    <t xml:space="preserve">TADAY </t>
  </si>
  <si>
    <t>TAMA</t>
  </si>
  <si>
    <t>TAMAY</t>
  </si>
  <si>
    <t>TAMAYO</t>
  </si>
  <si>
    <t>TANCHIN</t>
  </si>
  <si>
    <t>TAPIA</t>
  </si>
  <si>
    <t xml:space="preserve">TAPIA </t>
  </si>
  <si>
    <t>TEJEDOR</t>
  </si>
  <si>
    <t>TELLO</t>
  </si>
  <si>
    <t xml:space="preserve">TELLO </t>
  </si>
  <si>
    <t>TENECELA</t>
  </si>
  <si>
    <t>TENECOTA</t>
  </si>
  <si>
    <t>TENEMAZA</t>
  </si>
  <si>
    <t>TENESACA</t>
  </si>
  <si>
    <t>TENORIO</t>
  </si>
  <si>
    <t>TEPAN</t>
  </si>
  <si>
    <t>TIBI</t>
  </si>
  <si>
    <t>TIERRA</t>
  </si>
  <si>
    <t>TIGRE</t>
  </si>
  <si>
    <t xml:space="preserve">TIGRE </t>
  </si>
  <si>
    <t>TINOCO</t>
  </si>
  <si>
    <t xml:space="preserve">TOALA </t>
  </si>
  <si>
    <t>TOALONGO</t>
  </si>
  <si>
    <t>TOLEDO</t>
  </si>
  <si>
    <t>TOMALA</t>
  </si>
  <si>
    <t xml:space="preserve">TOMALA </t>
  </si>
  <si>
    <t>TOMIN</t>
  </si>
  <si>
    <t>TONATO</t>
  </si>
  <si>
    <t>TORAL</t>
  </si>
  <si>
    <t>TORRES</t>
  </si>
  <si>
    <t xml:space="preserve">TORRES </t>
  </si>
  <si>
    <t>TREJO</t>
  </si>
  <si>
    <t xml:space="preserve">TRELLES </t>
  </si>
  <si>
    <t>TSUINK</t>
  </si>
  <si>
    <t>TUBA</t>
  </si>
  <si>
    <t>TUZA</t>
  </si>
  <si>
    <t>UCHO</t>
  </si>
  <si>
    <t>ULLAGUARI</t>
  </si>
  <si>
    <t>ULLOA</t>
  </si>
  <si>
    <t xml:space="preserve">ULLOA </t>
  </si>
  <si>
    <t>ULQUIANGO</t>
  </si>
  <si>
    <t>URDIALES</t>
  </si>
  <si>
    <t xml:space="preserve">URDIALES </t>
  </si>
  <si>
    <t>URDIALEZ</t>
  </si>
  <si>
    <t>URGILES</t>
  </si>
  <si>
    <t>URUCHIMA</t>
  </si>
  <si>
    <t>UVIJINDIA</t>
  </si>
  <si>
    <t>UYAGUARI</t>
  </si>
  <si>
    <t>UZHO</t>
  </si>
  <si>
    <t xml:space="preserve">UZHO </t>
  </si>
  <si>
    <t>VACA</t>
  </si>
  <si>
    <t>VALDEZ</t>
  </si>
  <si>
    <t xml:space="preserve">VALDEZ </t>
  </si>
  <si>
    <t>VALDIVIESO</t>
  </si>
  <si>
    <t>VALDIVIEZO</t>
  </si>
  <si>
    <t>VALENCIA</t>
  </si>
  <si>
    <t>VALERO</t>
  </si>
  <si>
    <t>VALLADAREZ</t>
  </si>
  <si>
    <t>VALVERDE</t>
  </si>
  <si>
    <t>VANEGAS</t>
  </si>
  <si>
    <t xml:space="preserve">VANEGAS </t>
  </si>
  <si>
    <t>VARGAS</t>
  </si>
  <si>
    <t>VASCO</t>
  </si>
  <si>
    <t>VASQUEZ</t>
  </si>
  <si>
    <t xml:space="preserve">VASQUEZ </t>
  </si>
  <si>
    <t>VAZQUEZ</t>
  </si>
  <si>
    <t xml:space="preserve">VAZQUEZ </t>
  </si>
  <si>
    <t>VEGA</t>
  </si>
  <si>
    <t>VELASCO</t>
  </si>
  <si>
    <t>VELASQUEZ</t>
  </si>
  <si>
    <t>VELESACA</t>
  </si>
  <si>
    <t>VELEZ</t>
  </si>
  <si>
    <t xml:space="preserve">VELEZ </t>
  </si>
  <si>
    <t>VELIZ</t>
  </si>
  <si>
    <t>VERA</t>
  </si>
  <si>
    <t xml:space="preserve">VERA </t>
  </si>
  <si>
    <t>VERDUGO</t>
  </si>
  <si>
    <t>VICUÑA</t>
  </si>
  <si>
    <t>VILELA</t>
  </si>
  <si>
    <t>VILLA</t>
  </si>
  <si>
    <t xml:space="preserve">VILLA </t>
  </si>
  <si>
    <t>VILLALTA</t>
  </si>
  <si>
    <t xml:space="preserve">VILLALTA </t>
  </si>
  <si>
    <t>VILLALVA</t>
  </si>
  <si>
    <t>VILLANUEVA</t>
  </si>
  <si>
    <t>VILLAVICENCIO</t>
  </si>
  <si>
    <t xml:space="preserve">VILLAVICENCIO </t>
  </si>
  <si>
    <t>VILLON</t>
  </si>
  <si>
    <t>VINTIMILLA</t>
  </si>
  <si>
    <t xml:space="preserve">VINTIMILLA </t>
  </si>
  <si>
    <t xml:space="preserve">VINUEZA </t>
  </si>
  <si>
    <t>VIÑAN</t>
  </si>
  <si>
    <t>VIVAR</t>
  </si>
  <si>
    <t>VIZHÑAY</t>
  </si>
  <si>
    <t>VIZÑAY</t>
  </si>
  <si>
    <t>WARUSH</t>
  </si>
  <si>
    <t>WATINK</t>
  </si>
  <si>
    <t>WAZHIMA</t>
  </si>
  <si>
    <t>WEBSTER</t>
  </si>
  <si>
    <t xml:space="preserve">WILCHES </t>
  </si>
  <si>
    <t xml:space="preserve">YAGUAL </t>
  </si>
  <si>
    <t>YAGUAR</t>
  </si>
  <si>
    <t>YANAYACO</t>
  </si>
  <si>
    <t>YANEZ</t>
  </si>
  <si>
    <t>YANZA</t>
  </si>
  <si>
    <t>YARI</t>
  </si>
  <si>
    <t>YELA</t>
  </si>
  <si>
    <t>YEPEZ</t>
  </si>
  <si>
    <t>YUMICEBA</t>
  </si>
  <si>
    <t>YUNGA</t>
  </si>
  <si>
    <t xml:space="preserve">YUNGA </t>
  </si>
  <si>
    <t>YUNGAIZACA</t>
  </si>
  <si>
    <t>YUQUILIMA</t>
  </si>
  <si>
    <t>ZACECA</t>
  </si>
  <si>
    <t>ZAMBRANO</t>
  </si>
  <si>
    <t>ZAMORA</t>
  </si>
  <si>
    <t xml:space="preserve">ZAMORA </t>
  </si>
  <si>
    <t>ZARI</t>
  </si>
  <si>
    <t>ZARUMA</t>
  </si>
  <si>
    <t>ZEA</t>
  </si>
  <si>
    <t>ZEAS</t>
  </si>
  <si>
    <t>ZHAGÑAY</t>
  </si>
  <si>
    <t>ZHICAY</t>
  </si>
  <si>
    <t xml:space="preserve">ZHICAY </t>
  </si>
  <si>
    <t>ZHIMINAICELA</t>
  </si>
  <si>
    <t>ZHINGRE</t>
  </si>
  <si>
    <t>ZHINGRI</t>
  </si>
  <si>
    <t>ZHININ</t>
  </si>
  <si>
    <t>ZHISPON</t>
  </si>
  <si>
    <t xml:space="preserve">ZHISPON </t>
  </si>
  <si>
    <t>ZHUCUZHANAY</t>
  </si>
  <si>
    <t>ZHUCUZHAÑAY</t>
  </si>
  <si>
    <t>ZHUMI</t>
  </si>
  <si>
    <t>ZHUNIO</t>
  </si>
  <si>
    <t>ZHUÑIO</t>
  </si>
  <si>
    <t>ZORRILLA</t>
  </si>
  <si>
    <t>ZUMBA</t>
  </si>
  <si>
    <t>ZUÑIGA</t>
  </si>
  <si>
    <t xml:space="preserve">ZUÑIGA </t>
  </si>
  <si>
    <t>QUESADA</t>
  </si>
  <si>
    <t>LARRIVA</t>
  </si>
  <si>
    <t>GUANGA</t>
  </si>
  <si>
    <t xml:space="preserve">CARANQUI </t>
  </si>
  <si>
    <t xml:space="preserve">ARGUDO </t>
  </si>
  <si>
    <t>ZHINDON</t>
  </si>
  <si>
    <t>SANTACRUZ</t>
  </si>
  <si>
    <t>MOGROVEJO</t>
  </si>
  <si>
    <t>ZHAGUI</t>
  </si>
  <si>
    <t>JERVES</t>
  </si>
  <si>
    <t>HUANCA</t>
  </si>
  <si>
    <t>PROAÑO</t>
  </si>
  <si>
    <t>CRISTOBAL</t>
  </si>
  <si>
    <t>PARDO</t>
  </si>
  <si>
    <t>AVENDAÑO</t>
  </si>
  <si>
    <t>POZO</t>
  </si>
  <si>
    <t xml:space="preserve"> CAMPOVERDE</t>
  </si>
  <si>
    <t>TROYA</t>
  </si>
  <si>
    <t>CAMPOZANO</t>
  </si>
  <si>
    <t xml:space="preserve">CHARCO </t>
  </si>
  <si>
    <t>GUARTAN</t>
  </si>
  <si>
    <t>PACHA</t>
  </si>
  <si>
    <t>BIJAI</t>
  </si>
  <si>
    <t>CHIRAU</t>
  </si>
  <si>
    <t>GUADALUPE</t>
  </si>
  <si>
    <t xml:space="preserve">VILLAMAR </t>
  </si>
  <si>
    <t>ACURIA</t>
  </si>
  <si>
    <t>CARRERA</t>
  </si>
  <si>
    <t>MARCATOMA</t>
  </si>
  <si>
    <t>CUMBE</t>
  </si>
  <si>
    <t>CULCAY</t>
  </si>
  <si>
    <t>BUENAÑO</t>
  </si>
  <si>
    <t>DUGLLAY</t>
  </si>
  <si>
    <t>CANELOS</t>
  </si>
  <si>
    <t xml:space="preserve">REINO </t>
  </si>
  <si>
    <t>.</t>
  </si>
  <si>
    <t xml:space="preserve">BARRERA </t>
  </si>
  <si>
    <t>BAUTISTA</t>
  </si>
  <si>
    <t>SERPA</t>
  </si>
  <si>
    <t xml:space="preserve">COELLAR </t>
  </si>
  <si>
    <t xml:space="preserve"> QUINDE </t>
  </si>
  <si>
    <t xml:space="preserve">QUINDE </t>
  </si>
  <si>
    <t>DIEGO</t>
  </si>
  <si>
    <t>BRIONES</t>
  </si>
  <si>
    <t xml:space="preserve">ORDOÑEZ </t>
  </si>
  <si>
    <t>VERDEZOTO</t>
  </si>
  <si>
    <t>MAYORGA</t>
  </si>
  <si>
    <t>BLACIO</t>
  </si>
  <si>
    <t>BECERRA</t>
  </si>
  <si>
    <t>BURY</t>
  </si>
  <si>
    <t>CARRION</t>
  </si>
  <si>
    <t xml:space="preserve">CHAVEZ </t>
  </si>
  <si>
    <t xml:space="preserve">URDIALEZ </t>
  </si>
  <si>
    <t xml:space="preserve">ORTIZ </t>
  </si>
  <si>
    <t>SALDAÑA</t>
  </si>
  <si>
    <t>MAQUILON</t>
  </si>
  <si>
    <t>SAQUICARAY</t>
  </si>
  <si>
    <t>MESA</t>
  </si>
  <si>
    <t>TOAQUIZA</t>
  </si>
  <si>
    <t>PUMA</t>
  </si>
  <si>
    <t>LUSERO</t>
  </si>
  <si>
    <t>ABRIL</t>
  </si>
  <si>
    <t>GAVILANEZ</t>
  </si>
  <si>
    <t>RIVADENEIRA</t>
  </si>
  <si>
    <t xml:space="preserve">ARIZAGA </t>
  </si>
  <si>
    <t>SEMINARIO</t>
  </si>
  <si>
    <t>ULLAURI</t>
  </si>
  <si>
    <t>VELECELA</t>
  </si>
  <si>
    <t>CHUCHUCA</t>
  </si>
  <si>
    <t>REA</t>
  </si>
  <si>
    <t xml:space="preserve">PALLAROSO </t>
  </si>
  <si>
    <t>TENEZACA</t>
  </si>
  <si>
    <t>WILCHIS</t>
  </si>
  <si>
    <t>HIDALGO</t>
  </si>
  <si>
    <t>ALVEAR</t>
  </si>
  <si>
    <t>MUZHA</t>
  </si>
  <si>
    <t>QUINDI</t>
  </si>
  <si>
    <t>GUARTASACA</t>
  </si>
  <si>
    <t>JOSE</t>
  </si>
  <si>
    <t>COYAGO</t>
  </si>
  <si>
    <t>TUQUIÑAHUI</t>
  </si>
  <si>
    <t>CATANI</t>
  </si>
  <si>
    <t xml:space="preserve">ZHINGRI </t>
  </si>
  <si>
    <t>REQUENES</t>
  </si>
  <si>
    <t>CAMBI</t>
  </si>
  <si>
    <t>PEÑAHERRERA</t>
  </si>
  <si>
    <t>NELIDA</t>
  </si>
  <si>
    <t>IGNACIO</t>
  </si>
  <si>
    <t>ARTURO</t>
  </si>
  <si>
    <t>CARLOS</t>
  </si>
  <si>
    <t>ENRIQUE</t>
  </si>
  <si>
    <t>BERNARDO</t>
  </si>
  <si>
    <t>TERESA</t>
  </si>
  <si>
    <t>BLANCA</t>
  </si>
  <si>
    <t>NEPTALI</t>
  </si>
  <si>
    <t>MARGARITA</t>
  </si>
  <si>
    <t>EUCLIDES</t>
  </si>
  <si>
    <t>MELINA</t>
  </si>
  <si>
    <t>ANTHONELLA</t>
  </si>
  <si>
    <t>MARIA</t>
  </si>
  <si>
    <t>EUGENIA</t>
  </si>
  <si>
    <t>JUAN</t>
  </si>
  <si>
    <t>FRANCISCO</t>
  </si>
  <si>
    <t>EDDY</t>
  </si>
  <si>
    <t>ALFREDO</t>
  </si>
  <si>
    <t>JACINTO</t>
  </si>
  <si>
    <t>JHONNY</t>
  </si>
  <si>
    <t>XAVIER</t>
  </si>
  <si>
    <t>YOLANDA</t>
  </si>
  <si>
    <t>HERNAN</t>
  </si>
  <si>
    <t>GABRIEL</t>
  </si>
  <si>
    <t>DAVID</t>
  </si>
  <si>
    <t>ENCARNACION</t>
  </si>
  <si>
    <t>CANDIDA</t>
  </si>
  <si>
    <t>JANETH</t>
  </si>
  <si>
    <t>LUIS</t>
  </si>
  <si>
    <t>ANDRES</t>
  </si>
  <si>
    <t>ANGELICA</t>
  </si>
  <si>
    <t>DAYANNA</t>
  </si>
  <si>
    <t>ISMAEL</t>
  </si>
  <si>
    <t>ALEJANDRO</t>
  </si>
  <si>
    <t>NATALY</t>
  </si>
  <si>
    <t>PAOLA</t>
  </si>
  <si>
    <t>CARLA</t>
  </si>
  <si>
    <t>ESTEFANIA</t>
  </si>
  <si>
    <t>SELENA</t>
  </si>
  <si>
    <t>MARIBEL</t>
  </si>
  <si>
    <t>CHRISTIAN</t>
  </si>
  <si>
    <t>CLAUDIO</t>
  </si>
  <si>
    <t>ROGELIO</t>
  </si>
  <si>
    <t>NATHALY</t>
  </si>
  <si>
    <t>TAHIS</t>
  </si>
  <si>
    <t>NOAH</t>
  </si>
  <si>
    <t>SANTIAGO</t>
  </si>
  <si>
    <t>JONNATHAN</t>
  </si>
  <si>
    <t>MERCEDES</t>
  </si>
  <si>
    <t>DOLORES</t>
  </si>
  <si>
    <t>CRISTHIAN</t>
  </si>
  <si>
    <t>FERNANDO</t>
  </si>
  <si>
    <t>PAUL</t>
  </si>
  <si>
    <t>FREDDY</t>
  </si>
  <si>
    <t>OSWALDO</t>
  </si>
  <si>
    <t>PRICILA</t>
  </si>
  <si>
    <t>FERNANDA</t>
  </si>
  <si>
    <t>KLEBER</t>
  </si>
  <si>
    <t>WASHINGTON</t>
  </si>
  <si>
    <t>NUBE</t>
  </si>
  <si>
    <t>PATRICIA</t>
  </si>
  <si>
    <t>LUISA</t>
  </si>
  <si>
    <t>ZONIA</t>
  </si>
  <si>
    <t>MARLENE</t>
  </si>
  <si>
    <t>VALENTINO</t>
  </si>
  <si>
    <t>ELVIA</t>
  </si>
  <si>
    <t>JUDITH</t>
  </si>
  <si>
    <t>CARMEN</t>
  </si>
  <si>
    <t>SANDRA</t>
  </si>
  <si>
    <t>LUCIA</t>
  </si>
  <si>
    <t>JESUS</t>
  </si>
  <si>
    <t>ZULAY</t>
  </si>
  <si>
    <t>NELLY</t>
  </si>
  <si>
    <t>OLIVA</t>
  </si>
  <si>
    <t>JENNY</t>
  </si>
  <si>
    <t>FABIOLA</t>
  </si>
  <si>
    <t>MIGUEL</t>
  </si>
  <si>
    <t>ANGEL</t>
  </si>
  <si>
    <t>POLIVIO</t>
  </si>
  <si>
    <t>ANA</t>
  </si>
  <si>
    <t>VALERIA</t>
  </si>
  <si>
    <t>ESTEBAN</t>
  </si>
  <si>
    <t>MATEO</t>
  </si>
  <si>
    <t>ELIANA</t>
  </si>
  <si>
    <t>PEDRO</t>
  </si>
  <si>
    <t>KAREN</t>
  </si>
  <si>
    <t>ALEJANDRA</t>
  </si>
  <si>
    <t>ROSA</t>
  </si>
  <si>
    <t>NAYELY</t>
  </si>
  <si>
    <t>ADRIAN</t>
  </si>
  <si>
    <t>MARCIA</t>
  </si>
  <si>
    <t>ASUCENA</t>
  </si>
  <si>
    <t>SONIA</t>
  </si>
  <si>
    <t>GLORIA</t>
  </si>
  <si>
    <t>ESTHELA</t>
  </si>
  <si>
    <t>OMAR</t>
  </si>
  <si>
    <t>ANTHONY</t>
  </si>
  <si>
    <t>CARMITA</t>
  </si>
  <si>
    <t>ADELAIDA</t>
  </si>
  <si>
    <t>SOFIA</t>
  </si>
  <si>
    <t>ALEXANDRA</t>
  </si>
  <si>
    <t>PAULINA</t>
  </si>
  <si>
    <t>ELIZABETH</t>
  </si>
  <si>
    <t>ULISES</t>
  </si>
  <si>
    <t>MARICELA</t>
  </si>
  <si>
    <t>JORGE</t>
  </si>
  <si>
    <t>ALCHIVAL</t>
  </si>
  <si>
    <t>ROMINA</t>
  </si>
  <si>
    <t>DEL</t>
  </si>
  <si>
    <t>CISNE</t>
  </si>
  <si>
    <t>DENNIS</t>
  </si>
  <si>
    <t>BOLIVAR</t>
  </si>
  <si>
    <t>MARCO</t>
  </si>
  <si>
    <t>HUMBERTO</t>
  </si>
  <si>
    <t>LAUTARO</t>
  </si>
  <si>
    <t>FRANKLIN</t>
  </si>
  <si>
    <t>GENARO</t>
  </si>
  <si>
    <t>ELENA</t>
  </si>
  <si>
    <t>CECILIA</t>
  </si>
  <si>
    <t>NESTOR</t>
  </si>
  <si>
    <t>GEOVANY</t>
  </si>
  <si>
    <t>MARIO</t>
  </si>
  <si>
    <t>ALFONSO</t>
  </si>
  <si>
    <t>LIZBETH</t>
  </si>
  <si>
    <t>KLEVER</t>
  </si>
  <si>
    <t>MAURICIO</t>
  </si>
  <si>
    <t>MANUEL</t>
  </si>
  <si>
    <t>WILMER</t>
  </si>
  <si>
    <t>ALONSO</t>
  </si>
  <si>
    <t>FABIAN</t>
  </si>
  <si>
    <t>LISARDO</t>
  </si>
  <si>
    <t>LOURDES</t>
  </si>
  <si>
    <t>NARCISA</t>
  </si>
  <si>
    <t>NANCI</t>
  </si>
  <si>
    <t>GARDENIA</t>
  </si>
  <si>
    <t>DAMARIS</t>
  </si>
  <si>
    <t>VIVIANA</t>
  </si>
  <si>
    <t>PATRICIO</t>
  </si>
  <si>
    <t>RUTH</t>
  </si>
  <si>
    <t>ESMERALDA</t>
  </si>
  <si>
    <t>EDUARDO</t>
  </si>
  <si>
    <t>VINICIO</t>
  </si>
  <si>
    <t>ANTONIO</t>
  </si>
  <si>
    <t>ZOILA</t>
  </si>
  <si>
    <t>RAFAEL</t>
  </si>
  <si>
    <t>LUZ</t>
  </si>
  <si>
    <t>ERIKA</t>
  </si>
  <si>
    <t>JANNINA</t>
  </si>
  <si>
    <t>ROCIO</t>
  </si>
  <si>
    <t>CRISTHIN</t>
  </si>
  <si>
    <t>CORALIA</t>
  </si>
  <si>
    <t>DEIFILIO</t>
  </si>
  <si>
    <t>REINALDO</t>
  </si>
  <si>
    <t>EUSTELA</t>
  </si>
  <si>
    <t>ERICK</t>
  </si>
  <si>
    <t>AMPARITO</t>
  </si>
  <si>
    <t>DE</t>
  </si>
  <si>
    <t>JESSICA</t>
  </si>
  <si>
    <t>REMIGIO</t>
  </si>
  <si>
    <t>GONZALO</t>
  </si>
  <si>
    <t>GLADIZ</t>
  </si>
  <si>
    <t>ERMELINDA</t>
  </si>
  <si>
    <t>ITALO</t>
  </si>
  <si>
    <t>MAXIMILIANO</t>
  </si>
  <si>
    <t>WILSON</t>
  </si>
  <si>
    <t>SAMUEL</t>
  </si>
  <si>
    <t>DAISY</t>
  </si>
  <si>
    <t>CAROLINA</t>
  </si>
  <si>
    <t>SALOME</t>
  </si>
  <si>
    <t>GRACIELA</t>
  </si>
  <si>
    <t>JANET</t>
  </si>
  <si>
    <t>BRAULIO</t>
  </si>
  <si>
    <t>VICTORIANO</t>
  </si>
  <si>
    <t>ADRIANA</t>
  </si>
  <si>
    <t>MONICA</t>
  </si>
  <si>
    <t>PRISCILA</t>
  </si>
  <si>
    <t>HENRY</t>
  </si>
  <si>
    <t>MATIAS</t>
  </si>
  <si>
    <t>TERESITA</t>
  </si>
  <si>
    <t>PAULETH</t>
  </si>
  <si>
    <t>IMELDA</t>
  </si>
  <si>
    <t>PAULO</t>
  </si>
  <si>
    <t>NICOLAS</t>
  </si>
  <si>
    <t>CESAR</t>
  </si>
  <si>
    <t>ALEX</t>
  </si>
  <si>
    <t>FREDI</t>
  </si>
  <si>
    <t>ARMANDO</t>
  </si>
  <si>
    <t>ANDREA</t>
  </si>
  <si>
    <t>MELISSA</t>
  </si>
  <si>
    <t>FAUSTO</t>
  </si>
  <si>
    <t>GIOVANNI</t>
  </si>
  <si>
    <t>LISSET</t>
  </si>
  <si>
    <t>DENISSE</t>
  </si>
  <si>
    <t>DIGNA</t>
  </si>
  <si>
    <t>GUSTAVO</t>
  </si>
  <si>
    <t>ISABEL</t>
  </si>
  <si>
    <t>LAURO</t>
  </si>
  <si>
    <t>KARINA</t>
  </si>
  <si>
    <t>TEDDY</t>
  </si>
  <si>
    <t>ROBERTO</t>
  </si>
  <si>
    <t>ISRAEL</t>
  </si>
  <si>
    <t>BEATRIZ</t>
  </si>
  <si>
    <t>SENAIDA</t>
  </si>
  <si>
    <t>ISAVEL</t>
  </si>
  <si>
    <t>ARMELIA</t>
  </si>
  <si>
    <t>SECUNDINO</t>
  </si>
  <si>
    <t>CRISTINA</t>
  </si>
  <si>
    <t>GABRIELA</t>
  </si>
  <si>
    <t>DORIS</t>
  </si>
  <si>
    <t>MARISOL</t>
  </si>
  <si>
    <t>DIMAS</t>
  </si>
  <si>
    <t>JAVIER</t>
  </si>
  <si>
    <t>GUIDO</t>
  </si>
  <si>
    <t>EVERALDO</t>
  </si>
  <si>
    <t>ELSA</t>
  </si>
  <si>
    <t>JANNETH</t>
  </si>
  <si>
    <t>LUCIANO</t>
  </si>
  <si>
    <t>CRISTIAN</t>
  </si>
  <si>
    <t>ANGELA</t>
  </si>
  <si>
    <t>MAX</t>
  </si>
  <si>
    <t>RAFAELA</t>
  </si>
  <si>
    <t>JULIA</t>
  </si>
  <si>
    <t>CARMINA</t>
  </si>
  <si>
    <t>JOHANA</t>
  </si>
  <si>
    <t>MARIANA</t>
  </si>
  <si>
    <t>JEFFERSON</t>
  </si>
  <si>
    <t>NORMA</t>
  </si>
  <si>
    <t>JOSELINE</t>
  </si>
  <si>
    <t>BRYAM</t>
  </si>
  <si>
    <t>FIDEL</t>
  </si>
  <si>
    <t>MARUJA</t>
  </si>
  <si>
    <t>DIANA</t>
  </si>
  <si>
    <t>MARCELA</t>
  </si>
  <si>
    <t>JOHANNA</t>
  </si>
  <si>
    <t>MILTON</t>
  </si>
  <si>
    <t>WILLIAM</t>
  </si>
  <si>
    <t>LIGIA</t>
  </si>
  <si>
    <t>FREDY</t>
  </si>
  <si>
    <t>MYRIAM</t>
  </si>
  <si>
    <t>EDGAR</t>
  </si>
  <si>
    <t>GEOVANNY</t>
  </si>
  <si>
    <t>ALECSANDRA</t>
  </si>
  <si>
    <t>LILIANA</t>
  </si>
  <si>
    <t>LAURA</t>
  </si>
  <si>
    <t>PABLO</t>
  </si>
  <si>
    <t>RITA</t>
  </si>
  <si>
    <t>MAGALY</t>
  </si>
  <si>
    <t>LISSETH</t>
  </si>
  <si>
    <t>IRENE</t>
  </si>
  <si>
    <t>OLGA</t>
  </si>
  <si>
    <t>AZUCENA</t>
  </si>
  <si>
    <t>ESPERANZA</t>
  </si>
  <si>
    <t>BELGICA</t>
  </si>
  <si>
    <t>NAPOLEON</t>
  </si>
  <si>
    <t>RODRIGO</t>
  </si>
  <si>
    <t>DILAN</t>
  </si>
  <si>
    <t>ROMEL</t>
  </si>
  <si>
    <t>VICTORIA</t>
  </si>
  <si>
    <t>NATHALIA</t>
  </si>
  <si>
    <t>DANIELA</t>
  </si>
  <si>
    <t>FLORIAM</t>
  </si>
  <si>
    <t>MARCELO</t>
  </si>
  <si>
    <t>NILIAN</t>
  </si>
  <si>
    <t>SILVANA</t>
  </si>
  <si>
    <t>LUCILA</t>
  </si>
  <si>
    <t>ALBERTO</t>
  </si>
  <si>
    <t>TATIANA</t>
  </si>
  <si>
    <t>VANESSA</t>
  </si>
  <si>
    <t>MICHELLE</t>
  </si>
  <si>
    <t>GLADYS</t>
  </si>
  <si>
    <t>SESARIO</t>
  </si>
  <si>
    <t>SAMANTHA</t>
  </si>
  <si>
    <t>MARTHA</t>
  </si>
  <si>
    <t>SUSANA</t>
  </si>
  <si>
    <t>NANCY</t>
  </si>
  <si>
    <t>ARIOLFO</t>
  </si>
  <si>
    <t>CRISTIAM</t>
  </si>
  <si>
    <t>NICOLE</t>
  </si>
  <si>
    <t>JOSTIN</t>
  </si>
  <si>
    <t>EULALIA</t>
  </si>
  <si>
    <t>ARACELY</t>
  </si>
  <si>
    <t>JOSUÉ</t>
  </si>
  <si>
    <t>MORELIA</t>
  </si>
  <si>
    <t>GERMAN</t>
  </si>
  <si>
    <t>ROLANDO</t>
  </si>
  <si>
    <t>ELVIS</t>
  </si>
  <si>
    <t>ESTHER</t>
  </si>
  <si>
    <t>STEVEN</t>
  </si>
  <si>
    <t>VICTOR</t>
  </si>
  <si>
    <t>ROMEO</t>
  </si>
  <si>
    <t>BERNARDA</t>
  </si>
  <si>
    <t>MICAELA</t>
  </si>
  <si>
    <t>AMADO</t>
  </si>
  <si>
    <t>ABELARDO</t>
  </si>
  <si>
    <t>INES</t>
  </si>
  <si>
    <t>NIDIA</t>
  </si>
  <si>
    <t>EDISSON</t>
  </si>
  <si>
    <t>GERARDO</t>
  </si>
  <si>
    <t>NORA</t>
  </si>
  <si>
    <t>CECIBEL</t>
  </si>
  <si>
    <t>HECTOR</t>
  </si>
  <si>
    <t>LEONEL</t>
  </si>
  <si>
    <t>BRYAN</t>
  </si>
  <si>
    <t>ELICEO</t>
  </si>
  <si>
    <t>STALIN</t>
  </si>
  <si>
    <t>JACKSON</t>
  </si>
  <si>
    <t>SEBASTIAN</t>
  </si>
  <si>
    <t>STEPHANI</t>
  </si>
  <si>
    <t>XIMENA</t>
  </si>
  <si>
    <t>NATALIA</t>
  </si>
  <si>
    <t>RICARDO</t>
  </si>
  <si>
    <t>HERIBERTO</t>
  </si>
  <si>
    <t>ABEL</t>
  </si>
  <si>
    <t>LILIA</t>
  </si>
  <si>
    <t>HILDA</t>
  </si>
  <si>
    <t>DELIA</t>
  </si>
  <si>
    <t>MIRIAM</t>
  </si>
  <si>
    <t>JENNIFER</t>
  </si>
  <si>
    <t>JUANA</t>
  </si>
  <si>
    <t>SILVIA</t>
  </si>
  <si>
    <t>BENJAMIN</t>
  </si>
  <si>
    <t>CLEMENTINA</t>
  </si>
  <si>
    <t>AURORA</t>
  </si>
  <si>
    <t>GLADIS</t>
  </si>
  <si>
    <t>ALEJANDRINA</t>
  </si>
  <si>
    <t>ELIGIO</t>
  </si>
  <si>
    <t>JOHNNY</t>
  </si>
  <si>
    <t>MARINA</t>
  </si>
  <si>
    <t>TANIA</t>
  </si>
  <si>
    <t>LEONOR</t>
  </si>
  <si>
    <t>ELOY</t>
  </si>
  <si>
    <t>PILAR</t>
  </si>
  <si>
    <t>EDUARDA</t>
  </si>
  <si>
    <t>GISSELA</t>
  </si>
  <si>
    <t>LEVI</t>
  </si>
  <si>
    <t>EDMUNDO</t>
  </si>
  <si>
    <t>DANIEL</t>
  </si>
  <si>
    <t>AIDA</t>
  </si>
  <si>
    <t>FLORESTINA</t>
  </si>
  <si>
    <t>HERMOCINA</t>
  </si>
  <si>
    <t>MAYRA</t>
  </si>
  <si>
    <t>VERONICA</t>
  </si>
  <si>
    <t>NOEMI</t>
  </si>
  <si>
    <t>MARIANO</t>
  </si>
  <si>
    <t>ISAAC</t>
  </si>
  <si>
    <t>ELVIRA</t>
  </si>
  <si>
    <t>ETELVINA</t>
  </si>
  <si>
    <t>JERSON</t>
  </si>
  <si>
    <t>DANNY</t>
  </si>
  <si>
    <t>MARLON</t>
  </si>
  <si>
    <t>ALEXANDER</t>
  </si>
  <si>
    <t>ABDON</t>
  </si>
  <si>
    <t>DARLI</t>
  </si>
  <si>
    <t>PAULETTE</t>
  </si>
  <si>
    <t>GLENDA</t>
  </si>
  <si>
    <t>CATALINA</t>
  </si>
  <si>
    <t>ALBINO</t>
  </si>
  <si>
    <t>LETICIA</t>
  </si>
  <si>
    <t>OCTAVIO</t>
  </si>
  <si>
    <t>BENIGNO</t>
  </si>
  <si>
    <t>ELVA</t>
  </si>
  <si>
    <t>JORDY</t>
  </si>
  <si>
    <t>ADENAIS</t>
  </si>
  <si>
    <t>DESIRE</t>
  </si>
  <si>
    <t>EVELIO</t>
  </si>
  <si>
    <t>RAMIRO</t>
  </si>
  <si>
    <t>LEONARDO</t>
  </si>
  <si>
    <t>RENE</t>
  </si>
  <si>
    <t>MARIUXI</t>
  </si>
  <si>
    <t>RAUL</t>
  </si>
  <si>
    <t>PAULA</t>
  </si>
  <si>
    <t>RAQUEL</t>
  </si>
  <si>
    <t>CARMELINA</t>
  </si>
  <si>
    <t>EFRAIN</t>
  </si>
  <si>
    <t>BELISARIO</t>
  </si>
  <si>
    <t>RUBEN</t>
  </si>
  <si>
    <t>OLEGARIO</t>
  </si>
  <si>
    <t>BYRON</t>
  </si>
  <si>
    <t>SAUL</t>
  </si>
  <si>
    <t>WILFRIDO</t>
  </si>
  <si>
    <t>SEGUNDO</t>
  </si>
  <si>
    <t>ADOLFINA</t>
  </si>
  <si>
    <t>LORENA</t>
  </si>
  <si>
    <t>ABIGAIL</t>
  </si>
  <si>
    <t>AMADA</t>
  </si>
  <si>
    <t>BAYRON</t>
  </si>
  <si>
    <t>JUSTIN</t>
  </si>
  <si>
    <t>GILBERTO</t>
  </si>
  <si>
    <t>IVAN</t>
  </si>
  <si>
    <t>DINA</t>
  </si>
  <si>
    <t>CELSO</t>
  </si>
  <si>
    <t>JEANIRA</t>
  </si>
  <si>
    <t>JHENNY</t>
  </si>
  <si>
    <t>ORFELINA</t>
  </si>
  <si>
    <t>JEHNNY</t>
  </si>
  <si>
    <t>FAVIOLA</t>
  </si>
  <si>
    <t>MARCOS</t>
  </si>
  <si>
    <t>HERMENEGILDO</t>
  </si>
  <si>
    <t>RAMIRES</t>
  </si>
  <si>
    <t>ERFILIA</t>
  </si>
  <si>
    <t>RIGOBERTO</t>
  </si>
  <si>
    <t>NAYELI</t>
  </si>
  <si>
    <t>LILIAN</t>
  </si>
  <si>
    <t>NOEMY</t>
  </si>
  <si>
    <t>LEANDRO</t>
  </si>
  <si>
    <t>JOSEFINA</t>
  </si>
  <si>
    <t>JACKELINE</t>
  </si>
  <si>
    <t>CAYETANO</t>
  </si>
  <si>
    <t>MERCY</t>
  </si>
  <si>
    <t>JIMMY</t>
  </si>
  <si>
    <t>JULIO</t>
  </si>
  <si>
    <t>LIBIA</t>
  </si>
  <si>
    <t>ISAIAS</t>
  </si>
  <si>
    <t>CLARA</t>
  </si>
  <si>
    <t>FRANCISCA</t>
  </si>
  <si>
    <t>FAVIAN</t>
  </si>
  <si>
    <t>EDWIN</t>
  </si>
  <si>
    <t>ANIBAL</t>
  </si>
  <si>
    <t>JACQUELINE</t>
  </si>
  <si>
    <t>JONATHAN</t>
  </si>
  <si>
    <t>AUREA</t>
  </si>
  <si>
    <t>PIEDAD</t>
  </si>
  <si>
    <t>CUMANDA</t>
  </si>
  <si>
    <t>OSCAR</t>
  </si>
  <si>
    <t>GRACE</t>
  </si>
  <si>
    <t>NALLELY</t>
  </si>
  <si>
    <t>ARIEL</t>
  </si>
  <si>
    <t>CARINA</t>
  </si>
  <si>
    <t>ANGELES</t>
  </si>
  <si>
    <t>ZANDRA</t>
  </si>
  <si>
    <t>ANELIS</t>
  </si>
  <si>
    <t>OTANIA</t>
  </si>
  <si>
    <t>SERGIO</t>
  </si>
  <si>
    <t>DANILO</t>
  </si>
  <si>
    <t>ABRAHAM</t>
  </si>
  <si>
    <t>YASMIN</t>
  </si>
  <si>
    <t>JESSENIA</t>
  </si>
  <si>
    <t>AMABLE</t>
  </si>
  <si>
    <t>ERMENEGILDO</t>
  </si>
  <si>
    <t>ERMITA</t>
  </si>
  <si>
    <t>CONSUELO</t>
  </si>
  <si>
    <t>ROMULO</t>
  </si>
  <si>
    <t>LUZMILA</t>
  </si>
  <si>
    <t>JOSSELINE</t>
  </si>
  <si>
    <t>BELEN</t>
  </si>
  <si>
    <t>NELSON</t>
  </si>
  <si>
    <t>VICENTE</t>
  </si>
  <si>
    <t>JOSUE</t>
  </si>
  <si>
    <t>GUILLERMO</t>
  </si>
  <si>
    <t>LINA</t>
  </si>
  <si>
    <t>JESSY</t>
  </si>
  <si>
    <t>LARRY</t>
  </si>
  <si>
    <t>MARIANELA</t>
  </si>
  <si>
    <t>FANNY</t>
  </si>
  <si>
    <t>MISAEL</t>
  </si>
  <si>
    <t>HEIDI</t>
  </si>
  <si>
    <t>MARITZA</t>
  </si>
  <si>
    <t>JOEL</t>
  </si>
  <si>
    <t>STALYN</t>
  </si>
  <si>
    <t>BARBARA</t>
  </si>
  <si>
    <t>PASTORA</t>
  </si>
  <si>
    <t>ESTUARDO</t>
  </si>
  <si>
    <t>VLADIMIR</t>
  </si>
  <si>
    <t>FLORA</t>
  </si>
  <si>
    <t>FELIPE</t>
  </si>
  <si>
    <t>HERMENCIA</t>
  </si>
  <si>
    <t>AGUSTIN</t>
  </si>
  <si>
    <t>SALVADOR</t>
  </si>
  <si>
    <t>JOSEFA</t>
  </si>
  <si>
    <t>JOSELYN</t>
  </si>
  <si>
    <t>JHOANA</t>
  </si>
  <si>
    <t>KATHERINE</t>
  </si>
  <si>
    <t>SIXTO</t>
  </si>
  <si>
    <t>FABRICIO</t>
  </si>
  <si>
    <t>ORLANDO</t>
  </si>
  <si>
    <t>KELLY</t>
  </si>
  <si>
    <t>RONAL</t>
  </si>
  <si>
    <t>EMPERATRIZ</t>
  </si>
  <si>
    <t>GADY</t>
  </si>
  <si>
    <t>TITO</t>
  </si>
  <si>
    <t>MILLAN</t>
  </si>
  <si>
    <t>TERESIO</t>
  </si>
  <si>
    <t>MARY</t>
  </si>
  <si>
    <t>ELIO</t>
  </si>
  <si>
    <t>JHOVANY</t>
  </si>
  <si>
    <t>DARGUIN</t>
  </si>
  <si>
    <t>MAGDALENA</t>
  </si>
  <si>
    <t>EVANGELINA</t>
  </si>
  <si>
    <t>KATHERINNE</t>
  </si>
  <si>
    <t>LISBETH</t>
  </si>
  <si>
    <t>SARBELIA</t>
  </si>
  <si>
    <t>LEODAN</t>
  </si>
  <si>
    <t>WALTER</t>
  </si>
  <si>
    <t>SEFERINO</t>
  </si>
  <si>
    <t>AQUILES</t>
  </si>
  <si>
    <t>HERALDO</t>
  </si>
  <si>
    <t>ARMINDA</t>
  </si>
  <si>
    <t>CELIO</t>
  </si>
  <si>
    <t>KEVIN</t>
  </si>
  <si>
    <t>GALO</t>
  </si>
  <si>
    <t>EDY</t>
  </si>
  <si>
    <t>NATIVIDAD</t>
  </si>
  <si>
    <t>SORAYDA</t>
  </si>
  <si>
    <t>FRANKLYN</t>
  </si>
  <si>
    <t>OLIMPIA</t>
  </si>
  <si>
    <t>ROSANA</t>
  </si>
  <si>
    <t>LISSBETH</t>
  </si>
  <si>
    <t>BERNARDITA</t>
  </si>
  <si>
    <t>GENNY</t>
  </si>
  <si>
    <t>BERTHA</t>
  </si>
  <si>
    <t>SANDRO</t>
  </si>
  <si>
    <t>WAZHINTON</t>
  </si>
  <si>
    <t>EDISON</t>
  </si>
  <si>
    <t>ERMIGIO</t>
  </si>
  <si>
    <t>AMELIA</t>
  </si>
  <si>
    <t>SABINA</t>
  </si>
  <si>
    <t>NATALI</t>
  </si>
  <si>
    <t>STEPHANIE</t>
  </si>
  <si>
    <t>PETRA</t>
  </si>
  <si>
    <t>NORY</t>
  </si>
  <si>
    <t>MAGALI</t>
  </si>
  <si>
    <t>LASTENIA</t>
  </si>
  <si>
    <t>ELISENDA</t>
  </si>
  <si>
    <t>NINFA</t>
  </si>
  <si>
    <t>MARCELINA</t>
  </si>
  <si>
    <t>ENRIQUETA</t>
  </si>
  <si>
    <t>TEOFILO</t>
  </si>
  <si>
    <t>DARWIN</t>
  </si>
  <si>
    <t>JOMAYRA</t>
  </si>
  <si>
    <t>WELLINGTON</t>
  </si>
  <si>
    <t>LEIDA</t>
  </si>
  <si>
    <t>YANETH</t>
  </si>
  <si>
    <t>SANDY</t>
  </si>
  <si>
    <t>MARISELA</t>
  </si>
  <si>
    <t>AURELIA</t>
  </si>
  <si>
    <t>MADELEINE</t>
  </si>
  <si>
    <t>NAZARENO</t>
  </si>
  <si>
    <t>ZORAYA</t>
  </si>
  <si>
    <t>CHRISTOPHER</t>
  </si>
  <si>
    <t>ISILDA</t>
  </si>
  <si>
    <t>TAURINO</t>
  </si>
  <si>
    <t>EQUICIO</t>
  </si>
  <si>
    <t>ENMA</t>
  </si>
  <si>
    <t>NOE</t>
  </si>
  <si>
    <t>PASTORIZA</t>
  </si>
  <si>
    <t>TARGELIA</t>
  </si>
  <si>
    <t>RONALD</t>
  </si>
  <si>
    <t>HUGO</t>
  </si>
  <si>
    <t>DOMENICA</t>
  </si>
  <si>
    <t>MIRIAN</t>
  </si>
  <si>
    <t>ERNESTO</t>
  </si>
  <si>
    <t>MOISES</t>
  </si>
  <si>
    <t>RUFINA</t>
  </si>
  <si>
    <t>ELIAS</t>
  </si>
  <si>
    <t>MARJORIE</t>
  </si>
  <si>
    <t>INDALICIO</t>
  </si>
  <si>
    <t>ANTONIETA</t>
  </si>
  <si>
    <t>WILLIAN</t>
  </si>
  <si>
    <t>ERIBERTO</t>
  </si>
  <si>
    <t>JOSHUE</t>
  </si>
  <si>
    <t>AUXILIADORA</t>
  </si>
  <si>
    <t>OLMEDO</t>
  </si>
  <si>
    <t>DARIO</t>
  </si>
  <si>
    <t>ARIANNA</t>
  </si>
  <si>
    <t>EVELYN</t>
  </si>
  <si>
    <t>ANABEL</t>
  </si>
  <si>
    <t>JOFFRE</t>
  </si>
  <si>
    <t>LUCIO</t>
  </si>
  <si>
    <t>ROSENDO</t>
  </si>
  <si>
    <t>GEOVANNI</t>
  </si>
  <si>
    <t>FABIANA</t>
  </si>
  <si>
    <t>CLODOVEO</t>
  </si>
  <si>
    <t>REGINA</t>
  </si>
  <si>
    <t>JOCELYNE</t>
  </si>
  <si>
    <t>MELANIE</t>
  </si>
  <si>
    <t>JASSON</t>
  </si>
  <si>
    <t>BARBARITA</t>
  </si>
  <si>
    <t>LISSETTE</t>
  </si>
  <si>
    <t>EMILIA</t>
  </si>
  <si>
    <t>LIDER</t>
  </si>
  <si>
    <t>CLAUDINA</t>
  </si>
  <si>
    <t>REYNALDO</t>
  </si>
  <si>
    <t>AMADEO</t>
  </si>
  <si>
    <t>JHEAMPIER</t>
  </si>
  <si>
    <t>LIVIA</t>
  </si>
  <si>
    <t>ANGELITA</t>
  </si>
  <si>
    <t>CLEMENCIA</t>
  </si>
  <si>
    <t>SOLEDAD</t>
  </si>
  <si>
    <t>AUGUSTA</t>
  </si>
  <si>
    <t>CARLITA</t>
  </si>
  <si>
    <t>MAYERLY</t>
  </si>
  <si>
    <t>MILENA</t>
  </si>
  <si>
    <t>AMY</t>
  </si>
  <si>
    <t>MIRELLA</t>
  </si>
  <si>
    <t>JHON</t>
  </si>
  <si>
    <t>FELIX</t>
  </si>
  <si>
    <t>INOCENTE</t>
  </si>
  <si>
    <t>EUGENIO</t>
  </si>
  <si>
    <t>MAIRA</t>
  </si>
  <si>
    <t>ELIAN</t>
  </si>
  <si>
    <t>MELANY</t>
  </si>
  <si>
    <t>BRIAN</t>
  </si>
  <si>
    <t>MARTIN</t>
  </si>
  <si>
    <t>GERMANIA</t>
  </si>
  <si>
    <t>KARELIS</t>
  </si>
  <si>
    <t>BLADIMIR</t>
  </si>
  <si>
    <t>EFREN</t>
  </si>
  <si>
    <t>KIMBERLY</t>
  </si>
  <si>
    <t>JAIRO</t>
  </si>
  <si>
    <t>BALBINA</t>
  </si>
  <si>
    <t>IVONNE</t>
  </si>
  <si>
    <t>IBAN</t>
  </si>
  <si>
    <t>NELLI</t>
  </si>
  <si>
    <t>ARCADIO</t>
  </si>
  <si>
    <t>JULIANA</t>
  </si>
  <si>
    <t>SANTOS</t>
  </si>
  <si>
    <t>DAMIAN</t>
  </si>
  <si>
    <t>DARLING</t>
  </si>
  <si>
    <t>OVDULIO</t>
  </si>
  <si>
    <t>CELINA</t>
  </si>
  <si>
    <t>DEIVY</t>
  </si>
  <si>
    <t>ANGELINA</t>
  </si>
  <si>
    <t>RAIMUNDO</t>
  </si>
  <si>
    <t>MARIVEL</t>
  </si>
  <si>
    <t>GERARDINA</t>
  </si>
  <si>
    <t>FAVIO</t>
  </si>
  <si>
    <t>JOSEPH</t>
  </si>
  <si>
    <t>GUILLERMINA</t>
  </si>
  <si>
    <t>LAURITA</t>
  </si>
  <si>
    <t>VILMA</t>
  </si>
  <si>
    <t>SELVA</t>
  </si>
  <si>
    <t>ITAMAR</t>
  </si>
  <si>
    <t>HELEN</t>
  </si>
  <si>
    <t>AURELIO</t>
  </si>
  <si>
    <t>TONY</t>
  </si>
  <si>
    <t>MAIKEL</t>
  </si>
  <si>
    <t>EMILIO</t>
  </si>
  <si>
    <t>LUCINDA</t>
  </si>
  <si>
    <t>CÉSAR</t>
  </si>
  <si>
    <t>BRIGIDA</t>
  </si>
  <si>
    <t>EMERITA</t>
  </si>
  <si>
    <t>THALIA</t>
  </si>
  <si>
    <t>JOAQUIN</t>
  </si>
  <si>
    <t>BORIS</t>
  </si>
  <si>
    <t>YENRY</t>
  </si>
  <si>
    <t>AUGUSTO</t>
  </si>
  <si>
    <t>WILLAM</t>
  </si>
  <si>
    <t>JANNET</t>
  </si>
  <si>
    <t>SEBASTIÁN</t>
  </si>
  <si>
    <t>MANOLO</t>
  </si>
  <si>
    <t>ESTHEFANIA</t>
  </si>
  <si>
    <t>ANGELINE</t>
  </si>
  <si>
    <t>JHULIET</t>
  </si>
  <si>
    <t>JOHN</t>
  </si>
  <si>
    <t>POLO</t>
  </si>
  <si>
    <t>CESIBEL</t>
  </si>
  <si>
    <t>ADOLFO</t>
  </si>
  <si>
    <t>TEODORO</t>
  </si>
  <si>
    <t>PLAUCIO</t>
  </si>
  <si>
    <t>DIXI</t>
  </si>
  <si>
    <t>LIZARDO</t>
  </si>
  <si>
    <t>FEDERICO</t>
  </si>
  <si>
    <t>KARLA</t>
  </si>
  <si>
    <t>JIMABEL</t>
  </si>
  <si>
    <t>FLABIO</t>
  </si>
  <si>
    <t>MAGDALI</t>
  </si>
  <si>
    <t>ALICIA</t>
  </si>
  <si>
    <t>CAMILO</t>
  </si>
  <si>
    <t>NATAEL</t>
  </si>
  <si>
    <t>JUSTO</t>
  </si>
  <si>
    <t>YESSENIA</t>
  </si>
  <si>
    <t>LUCRECIA</t>
  </si>
  <si>
    <t>ANDY</t>
  </si>
  <si>
    <t>LEONCIO</t>
  </si>
  <si>
    <t>MAGDALY</t>
  </si>
  <si>
    <t>TRANSITO</t>
  </si>
  <si>
    <t>ADELINA</t>
  </si>
  <si>
    <t>JEANINE</t>
  </si>
  <si>
    <t>CELIA</t>
  </si>
  <si>
    <t>TEOLINDA</t>
  </si>
  <si>
    <t>SHERICA</t>
  </si>
  <si>
    <t>JAMILE</t>
  </si>
  <si>
    <t>CYNTHIA</t>
  </si>
  <si>
    <t>JANINA</t>
  </si>
  <si>
    <t>RENATO</t>
  </si>
  <si>
    <t>CAREN</t>
  </si>
  <si>
    <t>YULIET</t>
  </si>
  <si>
    <t>JEANETTE</t>
  </si>
  <si>
    <t>EWDUAR</t>
  </si>
  <si>
    <t>MAXIMO</t>
  </si>
  <si>
    <t>WILMAN</t>
  </si>
  <si>
    <t>FANNI</t>
  </si>
  <si>
    <t>CESILIA</t>
  </si>
  <si>
    <t>BALVINA</t>
  </si>
  <si>
    <t>FLORINDA</t>
  </si>
  <si>
    <t>SERAFIN</t>
  </si>
  <si>
    <t>ROSALIA</t>
  </si>
  <si>
    <t>SAVINA</t>
  </si>
  <si>
    <t>OTILIA</t>
  </si>
  <si>
    <t>MESIAS</t>
  </si>
  <si>
    <t>VIRGINIA</t>
  </si>
  <si>
    <t>DAYANA</t>
  </si>
  <si>
    <t>IDMA</t>
  </si>
  <si>
    <t>GRICELDA</t>
  </si>
  <si>
    <t>LEONIDAS</t>
  </si>
  <si>
    <t>BENITO</t>
  </si>
  <si>
    <t>DOMINGO</t>
  </si>
  <si>
    <t>OLIVERIO</t>
  </si>
  <si>
    <t>HOLGER</t>
  </si>
  <si>
    <t>VIRGILIO</t>
  </si>
  <si>
    <t>ESTER</t>
  </si>
  <si>
    <t>ZARA</t>
  </si>
  <si>
    <t>JIMENA</t>
  </si>
  <si>
    <t>JENIFER</t>
  </si>
  <si>
    <t>DALVA</t>
  </si>
  <si>
    <t>MASSIEL</t>
  </si>
  <si>
    <t>HOMERO</t>
  </si>
  <si>
    <t>SARA</t>
  </si>
  <si>
    <t>AMANDA</t>
  </si>
  <si>
    <t>HONORIO</t>
  </si>
  <si>
    <t>NELY</t>
  </si>
  <si>
    <t>EUDOCIA</t>
  </si>
  <si>
    <t>HERMELINDA</t>
  </si>
  <si>
    <t>MAGNO</t>
  </si>
  <si>
    <t>NIXON</t>
  </si>
  <si>
    <t>JANELLA</t>
  </si>
  <si>
    <t>TABATHA</t>
  </si>
  <si>
    <t>EDDISON</t>
  </si>
  <si>
    <t>LILIAM</t>
  </si>
  <si>
    <t>OBDULIA</t>
  </si>
  <si>
    <t>SILBIA</t>
  </si>
  <si>
    <t>GISELA</t>
  </si>
  <si>
    <t>DALILA</t>
  </si>
  <si>
    <t>HERARDO</t>
  </si>
  <si>
    <t>HORTENCIA</t>
  </si>
  <si>
    <t>JANNELA</t>
  </si>
  <si>
    <t>ESTELA</t>
  </si>
  <si>
    <t>YOMAYRA</t>
  </si>
  <si>
    <t>JESICA</t>
  </si>
  <si>
    <t>IRMA</t>
  </si>
  <si>
    <t>VITALINA</t>
  </si>
  <si>
    <t>MANUELA</t>
  </si>
  <si>
    <t>TELMO</t>
  </si>
  <si>
    <t>VALENTIN</t>
  </si>
  <si>
    <t>LEVINO</t>
  </si>
  <si>
    <t>ABRAHAN</t>
  </si>
  <si>
    <t>DAVE</t>
  </si>
  <si>
    <t>LENIN</t>
  </si>
  <si>
    <t>ZORAIDA</t>
  </si>
  <si>
    <t>EDDER</t>
  </si>
  <si>
    <t>AUXILIO</t>
  </si>
  <si>
    <t>FLAVIO</t>
  </si>
  <si>
    <t>BRIGGITH</t>
  </si>
  <si>
    <t>VALENTINA</t>
  </si>
  <si>
    <t>JHAILE</t>
  </si>
  <si>
    <t>BRIGGITTE</t>
  </si>
  <si>
    <t>LENNI</t>
  </si>
  <si>
    <t>DESIDERIA</t>
  </si>
  <si>
    <t>JHONN</t>
  </si>
  <si>
    <t>MICHELL</t>
  </si>
  <si>
    <t>GEOVANNA</t>
  </si>
  <si>
    <t>TARQUINO</t>
  </si>
  <si>
    <t>ERNESTINA</t>
  </si>
  <si>
    <t>DEICY</t>
  </si>
  <si>
    <t>ELISEO</t>
  </si>
  <si>
    <t>ELIZA</t>
  </si>
  <si>
    <t>ROGERIO</t>
  </si>
  <si>
    <t>EDITH</t>
  </si>
  <si>
    <t>ALBA</t>
  </si>
  <si>
    <t>NERIO</t>
  </si>
  <si>
    <t>CENAIDA</t>
  </si>
  <si>
    <t>IDALGO</t>
  </si>
  <si>
    <t>ANITA</t>
  </si>
  <si>
    <t>PRISSILA</t>
  </si>
  <si>
    <t>DORINDA</t>
  </si>
  <si>
    <t>RENATA</t>
  </si>
  <si>
    <t>TRINIDAD</t>
  </si>
  <si>
    <t>CARMELA</t>
  </si>
  <si>
    <t>ESTEFANY</t>
  </si>
  <si>
    <t>MONSERRATH</t>
  </si>
  <si>
    <t>GREGORIO</t>
  </si>
  <si>
    <t>EVA</t>
  </si>
  <si>
    <t>DAMIANA</t>
  </si>
  <si>
    <t>MERENCIANA</t>
  </si>
  <si>
    <t>NAIDELIN</t>
  </si>
  <si>
    <t>JONNY</t>
  </si>
  <si>
    <t>CLAUDIA</t>
  </si>
  <si>
    <t>JHOSELYN</t>
  </si>
  <si>
    <t>MAURO</t>
  </si>
  <si>
    <t>LEIDY</t>
  </si>
  <si>
    <t>EJIDIO</t>
  </si>
  <si>
    <t>MARCEL</t>
  </si>
  <si>
    <t>ANTONINO</t>
  </si>
  <si>
    <t>FLOR</t>
  </si>
  <si>
    <t>GASTON</t>
  </si>
  <si>
    <t>ALDO</t>
  </si>
  <si>
    <t>FELICIA</t>
  </si>
  <si>
    <t>FLORENCIO</t>
  </si>
  <si>
    <t>JAZMIN</t>
  </si>
  <si>
    <t>BIENVENIDO</t>
  </si>
  <si>
    <t>YSABEL</t>
  </si>
  <si>
    <t>KIARA</t>
  </si>
  <si>
    <t>ANJULY</t>
  </si>
  <si>
    <t>MARICELY</t>
  </si>
  <si>
    <t>ESMARG</t>
  </si>
  <si>
    <t>EDINSON</t>
  </si>
  <si>
    <t>HERNANDO</t>
  </si>
  <si>
    <t>ALEMANIA</t>
  </si>
  <si>
    <t>ANTHONNY</t>
  </si>
  <si>
    <t>SAMANTA</t>
  </si>
  <si>
    <t>MARTA</t>
  </si>
  <si>
    <t>GEORGINA</t>
  </si>
  <si>
    <t>ISAURA</t>
  </si>
  <si>
    <t>SERVIO</t>
  </si>
  <si>
    <t>CORNELIO</t>
  </si>
  <si>
    <t>ANIVAL</t>
  </si>
  <si>
    <t>MATILDE</t>
  </si>
  <si>
    <t>WUELINTON</t>
  </si>
  <si>
    <t>AUDELINO</t>
  </si>
  <si>
    <t>CARMELO</t>
  </si>
  <si>
    <t>ARACELI</t>
  </si>
  <si>
    <t>MARIELA</t>
  </si>
  <si>
    <t>BILMA</t>
  </si>
  <si>
    <t>YADIRA</t>
  </si>
  <si>
    <t>JUNIOR</t>
  </si>
  <si>
    <t>MAGALLY</t>
  </si>
  <si>
    <t>LEOPOLDINA</t>
  </si>
  <si>
    <t>BERNI</t>
  </si>
  <si>
    <t>EVELIN</t>
  </si>
  <si>
    <t>FANY</t>
  </si>
  <si>
    <t>JOSELO</t>
  </si>
  <si>
    <t>CESARIO</t>
  </si>
  <si>
    <t>AGUSTO</t>
  </si>
  <si>
    <t>ALEXIS</t>
  </si>
  <si>
    <t>ROMARIO</t>
  </si>
  <si>
    <t>MELANIA</t>
  </si>
  <si>
    <t>ALEXA</t>
  </si>
  <si>
    <t>JHONNATHAN</t>
  </si>
  <si>
    <t>WILIAN</t>
  </si>
  <si>
    <t>GIOVANNY</t>
  </si>
  <si>
    <t>KATIUSKA</t>
  </si>
  <si>
    <t>MAHOLY</t>
  </si>
  <si>
    <t>NARCISO</t>
  </si>
  <si>
    <t>MARIETA</t>
  </si>
  <si>
    <t>LISNEY</t>
  </si>
  <si>
    <t>WENDY</t>
  </si>
  <si>
    <t>EDIN</t>
  </si>
  <si>
    <t>BETZY</t>
  </si>
  <si>
    <t>LUVER</t>
  </si>
  <si>
    <t>FILOMENA</t>
  </si>
  <si>
    <t>LENNY</t>
  </si>
  <si>
    <t>NADIA</t>
  </si>
  <si>
    <t>HAMILTON</t>
  </si>
  <si>
    <t>JOSSELYN</t>
  </si>
  <si>
    <t>MELISA</t>
  </si>
  <si>
    <t>JULISSA</t>
  </si>
  <si>
    <t>YENNY</t>
  </si>
  <si>
    <t>MAURA</t>
  </si>
  <si>
    <t>ELISABETH</t>
  </si>
  <si>
    <t>MAITE</t>
  </si>
  <si>
    <t>RICHARD</t>
  </si>
  <si>
    <t>ROXANA</t>
  </si>
  <si>
    <t>YULIANA</t>
  </si>
  <si>
    <t>ESNEYDER</t>
  </si>
  <si>
    <t>ADRIANO</t>
  </si>
  <si>
    <t>YULISSA</t>
  </si>
  <si>
    <t>ROVER</t>
  </si>
  <si>
    <t>BRITHANY</t>
  </si>
  <si>
    <t>NICOLAZA</t>
  </si>
  <si>
    <t>ZULMA</t>
  </si>
  <si>
    <t>CLENDA</t>
  </si>
  <si>
    <t>MELBA</t>
  </si>
  <si>
    <t>RONALDO</t>
  </si>
  <si>
    <t>JHASMINA</t>
  </si>
  <si>
    <t>ALAN</t>
  </si>
  <si>
    <t>CINTHYA</t>
  </si>
  <si>
    <t>PAMELA</t>
  </si>
  <si>
    <t>MELIDA</t>
  </si>
  <si>
    <t>DANNA</t>
  </si>
  <si>
    <t>MABEL</t>
  </si>
  <si>
    <t>CORINA</t>
  </si>
  <si>
    <t>DAYCI</t>
  </si>
  <si>
    <t>DIOGENES</t>
  </si>
  <si>
    <t>WLADIMIR</t>
  </si>
  <si>
    <t>FATIMA</t>
  </si>
  <si>
    <t>JUSTA</t>
  </si>
  <si>
    <t>LIVISTON</t>
  </si>
  <si>
    <t>NATHALI</t>
  </si>
  <si>
    <t>ELISER</t>
  </si>
  <si>
    <t>YULI</t>
  </si>
  <si>
    <t>LUPE</t>
  </si>
  <si>
    <t>RODOLFO</t>
  </si>
  <si>
    <t>MARGOTH</t>
  </si>
  <si>
    <t>JONAS</t>
  </si>
  <si>
    <t>ZENAIDA</t>
  </si>
  <si>
    <t>AZUNCION</t>
  </si>
  <si>
    <t>SILBANA</t>
  </si>
  <si>
    <t>ILDA</t>
  </si>
  <si>
    <t>KENEDY</t>
  </si>
  <si>
    <t>KAROL</t>
  </si>
  <si>
    <t>OLGUER</t>
  </si>
  <si>
    <t>JIMY</t>
  </si>
  <si>
    <t>BELLA</t>
  </si>
  <si>
    <t>TRAVIS</t>
  </si>
  <si>
    <t>JEREMIAS</t>
  </si>
  <si>
    <t>ADITA</t>
  </si>
  <si>
    <t>DORA</t>
  </si>
  <si>
    <t>MARILYN</t>
  </si>
  <si>
    <t>OFELIA</t>
  </si>
  <si>
    <t>NICOL</t>
  </si>
  <si>
    <t>NUBIA</t>
  </si>
  <si>
    <t>NARCIZA</t>
  </si>
  <si>
    <t>BETY</t>
  </si>
  <si>
    <t>JOAO</t>
  </si>
  <si>
    <t>JACSON</t>
  </si>
  <si>
    <t>CORAIMA</t>
  </si>
  <si>
    <t>BETZABE</t>
  </si>
  <si>
    <t>ERMELA</t>
  </si>
  <si>
    <t>ARIANA</t>
  </si>
  <si>
    <t>GEREMIAS</t>
  </si>
  <si>
    <t>FRANCESCA</t>
  </si>
  <si>
    <t>EDELMIRA</t>
  </si>
  <si>
    <t>EDILBURGA</t>
  </si>
  <si>
    <t>SORAYA</t>
  </si>
  <si>
    <t>SULEMA</t>
  </si>
  <si>
    <t>AMERICA</t>
  </si>
  <si>
    <t>ALVARO</t>
  </si>
  <si>
    <t>ELICENDO</t>
  </si>
  <si>
    <t>ROBERTA</t>
  </si>
  <si>
    <t>MARTINIANO</t>
  </si>
  <si>
    <t>LIDIA</t>
  </si>
  <si>
    <t>BARTOLOME</t>
  </si>
  <si>
    <t>FLORENA</t>
  </si>
  <si>
    <t>EMETERIA</t>
  </si>
  <si>
    <t>LUSMILA</t>
  </si>
  <si>
    <t>CONCEPCION</t>
  </si>
  <si>
    <t>GUISSELLE</t>
  </si>
  <si>
    <t>RUSEL</t>
  </si>
  <si>
    <t>JHOEL</t>
  </si>
  <si>
    <t>NILO</t>
  </si>
  <si>
    <t>HELIDA</t>
  </si>
  <si>
    <t>ELOISA</t>
  </si>
  <si>
    <t>DIANITA</t>
  </si>
  <si>
    <t>DELMIRA</t>
  </si>
  <si>
    <t>ODALIA</t>
  </si>
  <si>
    <t>MEDARDO</t>
  </si>
  <si>
    <t>ALCIRA</t>
  </si>
  <si>
    <t>MERY</t>
  </si>
  <si>
    <t>JOANA</t>
  </si>
  <si>
    <t>ESTANISLAO</t>
  </si>
  <si>
    <t>JACOB</t>
  </si>
  <si>
    <t>ORFELIN</t>
  </si>
  <si>
    <t>ADELA</t>
  </si>
  <si>
    <t>BERNARDINO</t>
  </si>
  <si>
    <t>MARILU</t>
  </si>
  <si>
    <t>ERIK</t>
  </si>
  <si>
    <t>ARIOSTO</t>
  </si>
  <si>
    <t>SAYRA</t>
  </si>
  <si>
    <t>KATERINE</t>
  </si>
  <si>
    <t>JENNIFFER</t>
  </si>
  <si>
    <t>TOMAS</t>
  </si>
  <si>
    <t>MIRELLY</t>
  </si>
  <si>
    <t>CELIANO</t>
  </si>
  <si>
    <t>WILIAM</t>
  </si>
  <si>
    <t>EMMANUEL</t>
  </si>
  <si>
    <t>ABELINO</t>
  </si>
  <si>
    <t>GUILIANA</t>
  </si>
  <si>
    <t>PIERINA</t>
  </si>
  <si>
    <t>EMILY</t>
  </si>
  <si>
    <t>DAMARETH</t>
  </si>
  <si>
    <t>RACHEL</t>
  </si>
  <si>
    <t>LILA</t>
  </si>
  <si>
    <t>REBECA</t>
  </si>
  <si>
    <t>MONSERRATE</t>
  </si>
  <si>
    <t>DORALISA</t>
  </si>
  <si>
    <t>ROBERT</t>
  </si>
  <si>
    <t>OLGER</t>
  </si>
  <si>
    <t>ESTONI</t>
  </si>
  <si>
    <t>AARON</t>
  </si>
  <si>
    <t>IVELIA</t>
  </si>
  <si>
    <t>LINARES</t>
  </si>
  <si>
    <t>EMANUEL</t>
  </si>
  <si>
    <t>STEPHEN</t>
  </si>
  <si>
    <t>JOSELINO</t>
  </si>
  <si>
    <t>DOMITILA</t>
  </si>
  <si>
    <t>DAIRA</t>
  </si>
  <si>
    <t>MERCI</t>
  </si>
  <si>
    <t>LIRIA</t>
  </si>
  <si>
    <t>ASDRUBAL</t>
  </si>
  <si>
    <t>JIMI</t>
  </si>
  <si>
    <t>ENRRIQUE</t>
  </si>
  <si>
    <t>NUVE</t>
  </si>
  <si>
    <t>DELROCIO</t>
  </si>
  <si>
    <t>ALFONSINA</t>
  </si>
  <si>
    <t>YESICA</t>
  </si>
  <si>
    <t>ROSMERY</t>
  </si>
  <si>
    <t>JANEY</t>
  </si>
  <si>
    <t>ELINA</t>
  </si>
  <si>
    <t>SHOVANI</t>
  </si>
  <si>
    <t>WASHINTON</t>
  </si>
  <si>
    <t>SARVELIA</t>
  </si>
  <si>
    <t>STEFANO</t>
  </si>
  <si>
    <t>GRETA</t>
  </si>
  <si>
    <t>CAMILA</t>
  </si>
  <si>
    <t>LESLIE</t>
  </si>
  <si>
    <t>ARLENE</t>
  </si>
  <si>
    <t>ANDRONICO</t>
  </si>
  <si>
    <t>PAZ</t>
  </si>
  <si>
    <t>ROMELIA</t>
  </si>
  <si>
    <t>JHAEL</t>
  </si>
  <si>
    <t>CHARLIE</t>
  </si>
  <si>
    <t>BRAYNER</t>
  </si>
  <si>
    <t>NAILA</t>
  </si>
  <si>
    <t>SIFREDO</t>
  </si>
  <si>
    <t>NICANOR</t>
  </si>
  <si>
    <t>BETSY</t>
  </si>
  <si>
    <t>LIDUBINA</t>
  </si>
  <si>
    <t>LUCY</t>
  </si>
  <si>
    <t>SALOMON</t>
  </si>
  <si>
    <t>ELISA</t>
  </si>
  <si>
    <t>AMALIA</t>
  </si>
  <si>
    <t>NORALMA</t>
  </si>
  <si>
    <t>VANNESSA</t>
  </si>
  <si>
    <t>LADY</t>
  </si>
  <si>
    <t>JAMILETH</t>
  </si>
  <si>
    <t>ROGER</t>
  </si>
  <si>
    <t>JENDRY</t>
  </si>
  <si>
    <t>CELENITA</t>
  </si>
  <si>
    <t>JOSELINNE</t>
  </si>
  <si>
    <t>SONALY</t>
  </si>
  <si>
    <t>SORAIDA</t>
  </si>
  <si>
    <t>PURIFICACION</t>
  </si>
  <si>
    <t>SEVINO</t>
  </si>
  <si>
    <t>CESAREO</t>
  </si>
  <si>
    <t>ELIDA</t>
  </si>
  <si>
    <t>ESCOLASTICA</t>
  </si>
  <si>
    <t>ELIODORO</t>
  </si>
  <si>
    <t>QUEILA</t>
  </si>
  <si>
    <t>ESTALIN</t>
  </si>
  <si>
    <t>ODALIS</t>
  </si>
  <si>
    <t>PASTOR</t>
  </si>
  <si>
    <t>WIDINSON</t>
  </si>
  <si>
    <t>ERLINDA</t>
  </si>
  <si>
    <t>WIDISON</t>
  </si>
  <si>
    <t>BRIANNA</t>
  </si>
  <si>
    <t>KEYLA</t>
  </si>
  <si>
    <t>BRIGITTE</t>
  </si>
  <si>
    <t>CINTYA</t>
  </si>
  <si>
    <t>SAULO</t>
  </si>
  <si>
    <t>BERNABE</t>
  </si>
  <si>
    <t>PAOLO</t>
  </si>
  <si>
    <t>ISIDORO</t>
  </si>
  <si>
    <t>CARIDAD</t>
  </si>
  <si>
    <t>JOHNATAN</t>
  </si>
  <si>
    <t>CLELIA</t>
  </si>
  <si>
    <t>CLEVER</t>
  </si>
  <si>
    <t>KARMINIA</t>
  </si>
  <si>
    <t>KATTYA</t>
  </si>
  <si>
    <t>VICENTA</t>
  </si>
  <si>
    <t>EDWARD</t>
  </si>
  <si>
    <t>EDELINA</t>
  </si>
  <si>
    <t>SELINA</t>
  </si>
  <si>
    <t>JENIFFER</t>
  </si>
  <si>
    <t>DOMINGA</t>
  </si>
  <si>
    <t>VIRMANIA</t>
  </si>
  <si>
    <t>BOLIBAR</t>
  </si>
  <si>
    <t>RONNY</t>
  </si>
  <si>
    <t>HERMEL</t>
  </si>
  <si>
    <t>JUSTINA</t>
  </si>
  <si>
    <t>MARITHZA</t>
  </si>
  <si>
    <t>ALCIBIADES</t>
  </si>
  <si>
    <t>CHINIM</t>
  </si>
  <si>
    <t>ANAHI</t>
  </si>
  <si>
    <t>GEORGE</t>
  </si>
  <si>
    <t>YAMPIEL</t>
  </si>
  <si>
    <t>BETTY</t>
  </si>
  <si>
    <t>FROILAN</t>
  </si>
  <si>
    <t>CIRILO</t>
  </si>
  <si>
    <t>ALEXANER</t>
  </si>
  <si>
    <t>ILDER</t>
  </si>
  <si>
    <t>ROMELIO</t>
  </si>
  <si>
    <t>PORFIRIO</t>
  </si>
  <si>
    <t>DEIFILIA</t>
  </si>
  <si>
    <t>ROSALBA</t>
  </si>
  <si>
    <t>ANDERSON</t>
  </si>
  <si>
    <t>ISIDRO</t>
  </si>
  <si>
    <t>VARINIA</t>
  </si>
  <si>
    <t>RUBIA</t>
  </si>
  <si>
    <t>RUDTH</t>
  </si>
  <si>
    <t>LIDA</t>
  </si>
  <si>
    <t>KRISTINA</t>
  </si>
  <si>
    <t>BRUNO</t>
  </si>
  <si>
    <t>ISABELA</t>
  </si>
  <si>
    <t>DANNERIS</t>
  </si>
  <si>
    <t>MARIANITA</t>
  </si>
  <si>
    <t>DEJESUS</t>
  </si>
  <si>
    <t>MELCHORA</t>
  </si>
  <si>
    <t>ROSAURA</t>
  </si>
  <si>
    <t>COLOMBIA</t>
  </si>
  <si>
    <t>MARILIN</t>
  </si>
  <si>
    <t>GENESIS</t>
  </si>
  <si>
    <t>BENIGNA</t>
  </si>
  <si>
    <t>GRASSE</t>
  </si>
  <si>
    <t>JANDY</t>
  </si>
  <si>
    <t>JAHIR</t>
  </si>
  <si>
    <t>BAIRON</t>
  </si>
  <si>
    <t>ANDREINA</t>
  </si>
  <si>
    <t>ROQUE</t>
  </si>
  <si>
    <t>FLORESMILA</t>
  </si>
  <si>
    <t>ERCILIA</t>
  </si>
  <si>
    <t>HONORATO</t>
  </si>
  <si>
    <t>NICANDRO</t>
  </si>
  <si>
    <t>MORAIMA</t>
  </si>
  <si>
    <t>PAKA</t>
  </si>
  <si>
    <t>GILMAR</t>
  </si>
  <si>
    <t>JANETT</t>
  </si>
  <si>
    <t>NELVA</t>
  </si>
  <si>
    <t>DIOSELINA</t>
  </si>
  <si>
    <t>DERLLAVAR</t>
  </si>
  <si>
    <t>EUFEMIA</t>
  </si>
  <si>
    <t>ENMANUEL</t>
  </si>
  <si>
    <t>ANDRÉS</t>
  </si>
  <si>
    <t>ADALBERTO</t>
  </si>
  <si>
    <t>DUGAR</t>
  </si>
  <si>
    <t>LEOCADIO</t>
  </si>
  <si>
    <t>DILBERTO</t>
  </si>
  <si>
    <t>TOA</t>
  </si>
  <si>
    <t>EZEQUIEL</t>
  </si>
  <si>
    <t>CHINKIAS</t>
  </si>
  <si>
    <t>GINA</t>
  </si>
  <si>
    <t>KENJI</t>
  </si>
  <si>
    <t>ALCIVIADES</t>
  </si>
  <si>
    <t>JOAN</t>
  </si>
  <si>
    <t>JOMAIRA</t>
  </si>
  <si>
    <t>KINTIA</t>
  </si>
  <si>
    <t>MISHELL</t>
  </si>
  <si>
    <t>AMBROCIO</t>
  </si>
  <si>
    <t>SENELIA</t>
  </si>
  <si>
    <t>FLORENCIA</t>
  </si>
  <si>
    <t>ROSIO</t>
  </si>
  <si>
    <t>GALU</t>
  </si>
  <si>
    <t>FANI</t>
  </si>
  <si>
    <t>NOLVERTO</t>
  </si>
  <si>
    <t>MARLENA</t>
  </si>
  <si>
    <t>IBELIA</t>
  </si>
  <si>
    <t>CRISOLFA</t>
  </si>
  <si>
    <t>BERONICA</t>
  </si>
  <si>
    <t>0107210346</t>
  </si>
  <si>
    <t>DEL CISNE</t>
  </si>
  <si>
    <t>DEL ROCIO</t>
  </si>
  <si>
    <t>DE JESUS</t>
  </si>
  <si>
    <t>DEL CARMEN</t>
  </si>
  <si>
    <t>DEL PILAR</t>
  </si>
  <si>
    <t>DE LOURDES</t>
  </si>
  <si>
    <t>TC</t>
  </si>
  <si>
    <t>NUMERO DE CRÉDITO / OPERACIÓN / CERTIFICADO</t>
  </si>
  <si>
    <t>NOMBRE CANAL / COOPERATIVA</t>
  </si>
  <si>
    <t>Prima Total</t>
  </si>
  <si>
    <t>Tasa</t>
  </si>
  <si>
    <t>Dirección</t>
  </si>
  <si>
    <t>1725094070001</t>
  </si>
  <si>
    <t>Tipo de Documento</t>
  </si>
  <si>
    <t>Sexo</t>
  </si>
  <si>
    <t>Fecha inicio vigencia facturación</t>
  </si>
  <si>
    <t>Fecha fin vigencia facturación</t>
  </si>
  <si>
    <t>CATEGORIA</t>
  </si>
  <si>
    <t xml:space="preserve">campo numérico de 0 al 9
número de caracteres hasta 10 </t>
  </si>
  <si>
    <t>campo alfabetico sin caracteres especiales</t>
  </si>
  <si>
    <t>Campo numérico:
1 cedula 
2 ruc
3 pasaporte</t>
  </si>
  <si>
    <t>Campo alfanumerico números del 0 al 9
número de caracteres: 13</t>
  </si>
  <si>
    <t>Numérico 
Formato: día/mes/año</t>
  </si>
  <si>
    <t>Alfabetico: M y F</t>
  </si>
  <si>
    <t>Alfanumerico
60 CARACTERES</t>
  </si>
  <si>
    <t>Numerico
10 caracteres</t>
  </si>
  <si>
    <t>Numérico del 0 al 9 
10 CARACTERES / RA</t>
  </si>
  <si>
    <t>Decimal</t>
  </si>
  <si>
    <t>Alfanumerico
60 CARACTERES / algoritmo correo</t>
  </si>
  <si>
    <t>Numerico
6 caracteres</t>
  </si>
  <si>
    <t>Numérico 
Punto para separar decimales 234.25
10 Caracteres / Validacion calculo</t>
  </si>
  <si>
    <t>PRIMA NETA</t>
  </si>
  <si>
    <t>SCVS</t>
  </si>
  <si>
    <t>SSC</t>
  </si>
  <si>
    <t>FIJO</t>
  </si>
  <si>
    <t>BASE IMPONIBLE IVA</t>
  </si>
  <si>
    <t>IVA</t>
  </si>
  <si>
    <t>PRIMA TOTAL</t>
  </si>
  <si>
    <t>PRIMA NETA = TASA NETA * VA</t>
  </si>
  <si>
    <t>PRIMA TOTAL = TASA TOTAL *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</si>
</sst>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0.00000"/>
    <numFmt numFmtId="165" formatCode="dd/mm/yyyy;@"/>
  </numFmts>
  <fonts count="2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badi"/>
      <family val="2"/>
    </font>
    <font>
      <b/>
      <sz val="9"/>
      <name val="Aptos Narrow"/>
      <family val="2"/>
      <scheme val="minor"/>
    </font>
    <font>
      <sz val="9"/>
      <color theme="1"/>
      <name val="Abadi"/>
      <family val="2"/>
    </font>
    <font>
      <sz val="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2" fillId="0" borderId="0"/>
  </cellStyleXfs>
  <cellXfs count="43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3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2" applyAlignment="1">
      <alignment horizontal="center" wrapText="1"/>
    </xf>
    <xf numFmtId="0" fontId="2" fillId="0" borderId="0" xfId="2"/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4" fontId="4" fillId="2" borderId="0" xfId="3" applyFont="1" applyFill="1" applyAlignment="1">
      <alignment horizontal="center" vertical="center" wrapText="1"/>
    </xf>
    <xf numFmtId="44" fontId="0" fillId="0" borderId="0" xfId="3" applyFont="1"/>
    <xf numFmtId="165" fontId="4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49" fontId="0" fillId="0" borderId="0" xfId="0" quotePrefix="1" applyNumberFormat="1" applyAlignment="1">
      <alignment horizontal="center"/>
    </xf>
    <xf numFmtId="1" fontId="0" fillId="0" borderId="0" xfId="0" quotePrefix="1" applyNumberFormat="1"/>
    <xf numFmtId="0" fontId="14" fillId="5" borderId="0" xfId="0" applyFont="1" applyFill="1" applyAlignment="1">
      <alignment horizontal="center" vertical="center" wrapText="1"/>
    </xf>
    <xf numFmtId="14" fontId="14" fillId="5" borderId="0" xfId="0" applyNumberFormat="1" applyFont="1" applyFill="1" applyAlignment="1">
      <alignment horizontal="center" vertical="center" wrapText="1"/>
    </xf>
    <xf numFmtId="165" fontId="14" fillId="5" borderId="0" xfId="0" applyNumberFormat="1" applyFont="1" applyFill="1" applyAlignment="1">
      <alignment horizontal="center" vertical="center" wrapText="1"/>
    </xf>
    <xf numFmtId="44" fontId="14" fillId="5" borderId="0" xfId="3" applyFont="1" applyFill="1" applyAlignment="1">
      <alignment horizontal="center" vertical="center" wrapText="1"/>
    </xf>
    <xf numFmtId="0" fontId="15" fillId="5" borderId="0" xfId="0" applyFont="1" applyFill="1"/>
    <xf numFmtId="0" fontId="16" fillId="5" borderId="0" xfId="0" applyFont="1" applyFill="1" applyAlignment="1">
      <alignment wrapText="1"/>
    </xf>
    <xf numFmtId="0" fontId="17" fillId="5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0" fillId="0" borderId="1" xfId="0" applyBorder="1"/>
    <xf numFmtId="44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9" fontId="0" fillId="0" borderId="1" xfId="0" applyNumberFormat="1" applyBorder="1"/>
    <xf numFmtId="44" fontId="0" fillId="8" borderId="0" xfId="0" applyNumberFormat="1" applyFill="1" applyAlignment="1">
      <alignment horizontal="center"/>
    </xf>
  </cellXfs>
  <cellStyles count="5">
    <cellStyle name="Hipervínculo" xfId="2" builtinId="8"/>
    <cellStyle name="Moneda" xfId="3" builtinId="4"/>
    <cellStyle name="Normal" xfId="0" builtinId="0"/>
    <cellStyle name="Normal 2" xfId="1" xr:uid="{990F8438-0C8D-406B-A115-56014817A38C}"/>
    <cellStyle name="Normal 2 2" xfId="4" xr:uid="{48540394-1D9B-40AA-83D1-4F85EE600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GUINAGA, DENNIS (Ecuador)" id="{E86E86B3-3521-47B3-997A-DDC6D7951DE2}" userId="S::daguinaga@segurosatlantida.ec::ce56a449-7911-476e-af21-13439262be3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8-12T15:31:26.47" personId="{E86E86B3-3521-47B3-997A-DDC6D7951DE2}" id="{FBE76BE7-8562-4C2A-A92C-92829F057553}">
    <text>INCLUIR CEROS SI EXISTEN AL INICIO DEL REGISTRO FORMATO TEXTO
NO PUEDE SER PERSONA JURIDICA</text>
  </threadedComment>
  <threadedComment ref="O1" dT="2026-08-12T15:39:04.19" personId="{E86E86B3-3521-47B3-997A-DDC6D7951DE2}" id="{03B4FCB0-51E0-4494-BC92-B2532B9C9F53}">
    <text>FORMATO DD/MM/AA</text>
  </threadedComment>
  <threadedComment ref="T1" dT="2026-08-12T15:40:06.05" personId="{E86E86B3-3521-47B3-997A-DDC6D7951DE2}" id="{F230891F-BAF6-4243-A4E7-938FC1ECB3A8}">
    <text xml:space="preserve">FORMATO DD/MM/AA
</text>
  </threadedComment>
  <threadedComment ref="U1" dT="2026-08-12T15:40:06.05" personId="{E86E86B3-3521-47B3-997A-DDC6D7951DE2}" id="{20F8AA30-0464-42FB-B68F-AD00EF7FC269}">
    <text xml:space="preserve">FORMATO DD/MM/AA
</text>
  </threadedComment>
  <threadedComment ref="V1" dT="2026-08-12T15:42:11.10" personId="{E86E86B3-3521-47B3-997A-DDC6D7951DE2}" id="{BC1BBFB5-E5B6-45AA-9576-4A801B95F32D}">
    <text>DEPENDE DEL NEGOCIO MENSUAL O ANUAL</text>
  </threadedComment>
  <threadedComment ref="X1" dT="2026-08-12T15:44:00.20" personId="{E86E86B3-3521-47B3-997A-DDC6D7951DE2}" id="{4DC0CB27-8133-46D3-B0D8-FD98D244A627}">
    <text xml:space="preserve">DEPENDE DE LA NEGOCIACION
</text>
  </threadedComment>
  <threadedComment ref="Y1" dT="2026-08-12T15:56:06.39" personId="{E86E86B3-3521-47B3-997A-DDC6D7951DE2}" id="{D508D931-9460-45D7-9143-2EC5F0868A8F}">
    <text>DEPENDE DEL NEGOCIO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6484-2F4A-465D-B68F-B1DE0E36FD88}">
  <dimension ref="A1:AJ5031"/>
  <sheetViews>
    <sheetView tabSelected="1" topLeftCell="W1" zoomScale="130" zoomScaleNormal="130" workbookViewId="0">
      <selection activeCell="Z2" sqref="Z2"/>
    </sheetView>
  </sheetViews>
  <sheetFormatPr baseColWidth="10" defaultRowHeight="14.4" x14ac:dyDescent="0.3"/>
  <cols>
    <col min="1" max="1" width="19.6640625" customWidth="1"/>
    <col min="2" max="2" width="16" bestFit="1" customWidth="1"/>
    <col min="3" max="3" width="20.88671875" bestFit="1" customWidth="1"/>
    <col min="4" max="5" width="12.88671875" bestFit="1" customWidth="1"/>
    <col min="6" max="6" width="24.109375" bestFit="1" customWidth="1"/>
    <col min="8" max="8" width="13.44140625" customWidth="1"/>
    <col min="9" max="10" width="14.77734375" customWidth="1"/>
    <col min="11" max="11" width="14.44140625" customWidth="1"/>
    <col min="12" max="12" width="16.88671875" customWidth="1"/>
    <col min="13" max="13" width="15" bestFit="1" customWidth="1"/>
    <col min="14" max="14" width="17.44140625" customWidth="1"/>
    <col min="15" max="15" width="16.21875" style="18" bestFit="1" customWidth="1"/>
    <col min="16" max="16" width="26.88671875" style="18" bestFit="1" customWidth="1"/>
    <col min="17" max="17" width="9" bestFit="1" customWidth="1"/>
    <col min="18" max="18" width="17.5546875" bestFit="1" customWidth="1"/>
    <col min="19" max="19" width="17.33203125" customWidth="1"/>
    <col min="20" max="20" width="30.21875" style="23" bestFit="1" customWidth="1"/>
    <col min="21" max="21" width="14.77734375" style="23" bestFit="1" customWidth="1"/>
    <col min="22" max="22" width="37.44140625" bestFit="1" customWidth="1"/>
    <col min="23" max="23" width="22.5546875" customWidth="1"/>
    <col min="24" max="24" width="26.21875" style="20" customWidth="1"/>
    <col min="25" max="25" width="11.77734375" customWidth="1"/>
    <col min="26" max="26" width="16.21875" customWidth="1"/>
    <col min="27" max="27" width="12.109375" customWidth="1"/>
    <col min="28" max="28" width="14.44140625" customWidth="1"/>
    <col min="29" max="29" width="17.44140625" customWidth="1"/>
    <col min="32" max="32" width="18.21875" customWidth="1"/>
    <col min="34" max="34" width="21.88671875" bestFit="1" customWidth="1"/>
    <col min="36" max="36" width="23.21875" bestFit="1" customWidth="1"/>
  </cols>
  <sheetData>
    <row r="1" spans="1:36" ht="85.95" customHeight="1" x14ac:dyDescent="0.3">
      <c r="A1" s="1" t="s">
        <v>5979</v>
      </c>
      <c r="B1" s="1" t="s">
        <v>12</v>
      </c>
      <c r="C1" s="1" t="s">
        <v>5980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2</v>
      </c>
      <c r="I1" s="1" t="s">
        <v>3</v>
      </c>
      <c r="J1" s="1" t="s">
        <v>10</v>
      </c>
      <c r="K1" s="1" t="s">
        <v>11</v>
      </c>
      <c r="L1" s="1" t="s">
        <v>5985</v>
      </c>
      <c r="M1" s="1" t="s">
        <v>4</v>
      </c>
      <c r="N1" s="1" t="s">
        <v>9</v>
      </c>
      <c r="O1" s="17" t="s">
        <v>5</v>
      </c>
      <c r="P1" s="17" t="s">
        <v>5986</v>
      </c>
      <c r="Q1" s="1" t="s">
        <v>5983</v>
      </c>
      <c r="R1" s="1" t="s">
        <v>6</v>
      </c>
      <c r="S1" s="1" t="s">
        <v>7</v>
      </c>
      <c r="T1" s="21" t="s">
        <v>19</v>
      </c>
      <c r="U1" s="21" t="s">
        <v>16</v>
      </c>
      <c r="V1" s="1" t="s">
        <v>5987</v>
      </c>
      <c r="W1" s="1" t="s">
        <v>5988</v>
      </c>
      <c r="X1" s="19" t="s">
        <v>17</v>
      </c>
      <c r="Y1" s="1" t="s">
        <v>8</v>
      </c>
      <c r="Z1" s="1" t="s">
        <v>5989</v>
      </c>
      <c r="AA1" s="1" t="s">
        <v>5982</v>
      </c>
      <c r="AB1" s="1" t="s">
        <v>18</v>
      </c>
      <c r="AC1" s="1" t="s">
        <v>5981</v>
      </c>
    </row>
    <row r="2" spans="1:36" s="35" customFormat="1" ht="85.95" customHeight="1" x14ac:dyDescent="0.3">
      <c r="A2" s="33" t="s">
        <v>6001</v>
      </c>
      <c r="B2" s="33" t="s">
        <v>5993</v>
      </c>
      <c r="C2" s="33" t="s">
        <v>5991</v>
      </c>
      <c r="D2" s="33" t="s">
        <v>5991</v>
      </c>
      <c r="E2" s="33" t="s">
        <v>5997</v>
      </c>
      <c r="F2" s="33" t="s">
        <v>6000</v>
      </c>
      <c r="G2" s="33" t="s">
        <v>5990</v>
      </c>
      <c r="H2" s="33" t="s">
        <v>5991</v>
      </c>
      <c r="I2" s="33" t="s">
        <v>5991</v>
      </c>
      <c r="J2" s="33" t="s">
        <v>5991</v>
      </c>
      <c r="K2" s="33" t="s">
        <v>5991</v>
      </c>
      <c r="L2" s="33" t="s">
        <v>5992</v>
      </c>
      <c r="M2" s="33" t="s">
        <v>5993</v>
      </c>
      <c r="N2" s="33" t="s">
        <v>5991</v>
      </c>
      <c r="O2" s="33" t="s">
        <v>5994</v>
      </c>
      <c r="P2" s="34" t="s">
        <v>5995</v>
      </c>
      <c r="Q2" s="33" t="s">
        <v>5996</v>
      </c>
      <c r="R2" s="33" t="s">
        <v>5997</v>
      </c>
      <c r="S2" s="33" t="s">
        <v>6000</v>
      </c>
      <c r="T2" s="33" t="s">
        <v>5994</v>
      </c>
      <c r="U2" s="33" t="s">
        <v>5994</v>
      </c>
      <c r="V2" s="33" t="s">
        <v>5994</v>
      </c>
      <c r="W2" s="33" t="s">
        <v>5994</v>
      </c>
      <c r="X2" s="33" t="s">
        <v>5998</v>
      </c>
      <c r="Y2" s="32"/>
      <c r="Z2" s="32"/>
      <c r="AA2" s="33" t="s">
        <v>5999</v>
      </c>
      <c r="AB2" s="33" t="s">
        <v>6002</v>
      </c>
      <c r="AC2" s="33" t="s">
        <v>6002</v>
      </c>
      <c r="AH2" s="36" t="s">
        <v>6010</v>
      </c>
      <c r="AJ2" s="36" t="s">
        <v>6011</v>
      </c>
    </row>
    <row r="3" spans="1:36" s="30" customFormat="1" ht="33.6" customHeight="1" x14ac:dyDescent="0.3">
      <c r="A3" s="26"/>
      <c r="B3" s="26"/>
      <c r="C3" s="26"/>
      <c r="D3" s="26"/>
      <c r="E3" s="26"/>
      <c r="F3" s="26"/>
      <c r="G3" s="31"/>
      <c r="H3" s="31"/>
      <c r="I3" s="31"/>
      <c r="J3" s="31"/>
      <c r="K3" s="31"/>
      <c r="L3" s="26"/>
      <c r="M3" s="26"/>
      <c r="N3" s="26"/>
      <c r="O3" s="27"/>
      <c r="P3" s="27"/>
      <c r="Q3" s="26"/>
      <c r="R3" s="26"/>
      <c r="S3" s="26"/>
      <c r="T3" s="28"/>
      <c r="U3" s="28"/>
      <c r="V3" s="26"/>
      <c r="W3" s="26"/>
      <c r="X3" s="29"/>
      <c r="Y3" s="26"/>
      <c r="Z3" s="26"/>
      <c r="AA3" s="26"/>
      <c r="AB3" s="26">
        <f>+X4*AA4</f>
        <v>1.6800000000000002</v>
      </c>
      <c r="AC3" s="26"/>
    </row>
    <row r="4" spans="1:36" x14ac:dyDescent="0.3">
      <c r="A4">
        <v>139020</v>
      </c>
      <c r="B4" s="25" t="s">
        <v>5984</v>
      </c>
      <c r="C4" t="s">
        <v>20</v>
      </c>
      <c r="D4" t="s">
        <v>21</v>
      </c>
      <c r="E4">
        <v>2222222</v>
      </c>
      <c r="F4" s="8" t="s">
        <v>22</v>
      </c>
      <c r="G4" s="2">
        <v>98</v>
      </c>
      <c r="H4" s="2" t="s">
        <v>3782</v>
      </c>
      <c r="I4" s="2" t="s">
        <v>3921</v>
      </c>
      <c r="J4" s="9" t="s">
        <v>4834</v>
      </c>
      <c r="K4" s="2" t="s">
        <v>4835</v>
      </c>
      <c r="L4" s="2">
        <v>1</v>
      </c>
      <c r="M4" s="24" t="s">
        <v>5971</v>
      </c>
      <c r="N4" s="2" t="s">
        <v>23</v>
      </c>
      <c r="O4" s="3" t="s">
        <v>24</v>
      </c>
      <c r="P4" s="3" t="s">
        <v>3781</v>
      </c>
      <c r="Q4" s="6" t="s">
        <v>4475</v>
      </c>
      <c r="R4" s="6"/>
      <c r="S4" s="7"/>
      <c r="T4" s="22">
        <v>45311</v>
      </c>
      <c r="U4" s="22">
        <v>46406</v>
      </c>
      <c r="V4" s="3"/>
      <c r="W4" s="3"/>
      <c r="X4" s="4">
        <v>3000</v>
      </c>
      <c r="Y4" s="6"/>
      <c r="Z4" s="6" t="s">
        <v>5978</v>
      </c>
      <c r="AA4" s="13">
        <f>+(0.56/1000)</f>
        <v>5.6000000000000006E-4</v>
      </c>
      <c r="AB4" s="42">
        <v>0.34945120000000002</v>
      </c>
      <c r="AC4" s="5">
        <v>0.36342924800000004</v>
      </c>
    </row>
    <row r="5" spans="1:36" x14ac:dyDescent="0.3">
      <c r="A5">
        <v>143378</v>
      </c>
      <c r="B5" s="25" t="s">
        <v>5984</v>
      </c>
      <c r="C5" t="s">
        <v>20</v>
      </c>
      <c r="D5" t="s">
        <v>21</v>
      </c>
      <c r="E5">
        <v>2222222</v>
      </c>
      <c r="F5" s="8" t="s">
        <v>22</v>
      </c>
      <c r="G5" s="2">
        <v>98</v>
      </c>
      <c r="H5" s="2" t="s">
        <v>3782</v>
      </c>
      <c r="I5" s="2" t="s">
        <v>4295</v>
      </c>
      <c r="J5" s="9" t="s">
        <v>4836</v>
      </c>
      <c r="K5" s="2" t="s">
        <v>4837</v>
      </c>
      <c r="L5" s="2">
        <v>1</v>
      </c>
      <c r="M5" s="24" t="s">
        <v>5971</v>
      </c>
      <c r="N5" s="2" t="s">
        <v>23</v>
      </c>
      <c r="O5" s="3" t="s">
        <v>25</v>
      </c>
      <c r="P5" s="18" t="s">
        <v>3781</v>
      </c>
      <c r="Q5" s="6" t="s">
        <v>4475</v>
      </c>
      <c r="T5" s="23">
        <v>45586</v>
      </c>
      <c r="U5" s="23">
        <v>47046</v>
      </c>
      <c r="X5" s="20">
        <v>4000</v>
      </c>
      <c r="Z5" s="6" t="s">
        <v>5978</v>
      </c>
      <c r="AA5" s="14">
        <f>+(0.6/1000)</f>
        <v>5.9999999999999995E-4</v>
      </c>
      <c r="AB5">
        <v>1.5670979999999999</v>
      </c>
      <c r="AC5">
        <v>1.6297819199999999</v>
      </c>
      <c r="AF5" s="37" t="s">
        <v>6003</v>
      </c>
      <c r="AG5" s="37"/>
      <c r="AH5" s="38">
        <f>+AA4*X4</f>
        <v>1.6800000000000002</v>
      </c>
    </row>
    <row r="6" spans="1:36" x14ac:dyDescent="0.3">
      <c r="A6">
        <v>131576</v>
      </c>
      <c r="B6" s="25" t="s">
        <v>5984</v>
      </c>
      <c r="C6" t="s">
        <v>20</v>
      </c>
      <c r="D6" t="s">
        <v>21</v>
      </c>
      <c r="E6">
        <v>2222222</v>
      </c>
      <c r="F6" s="8" t="s">
        <v>22</v>
      </c>
      <c r="G6" s="2">
        <v>98</v>
      </c>
      <c r="H6" s="2" t="s">
        <v>3783</v>
      </c>
      <c r="I6" s="2" t="s">
        <v>4493</v>
      </c>
      <c r="J6" s="9" t="s">
        <v>4838</v>
      </c>
      <c r="K6" s="2" t="s">
        <v>4839</v>
      </c>
      <c r="L6" s="2">
        <v>1</v>
      </c>
      <c r="M6" s="24" t="s">
        <v>5971</v>
      </c>
      <c r="N6" s="2" t="s">
        <v>23</v>
      </c>
      <c r="O6" s="3" t="s">
        <v>26</v>
      </c>
      <c r="P6" s="18" t="s">
        <v>0</v>
      </c>
      <c r="Q6" s="6" t="s">
        <v>4475</v>
      </c>
      <c r="T6" s="23">
        <v>44896</v>
      </c>
      <c r="U6" s="23">
        <v>45999</v>
      </c>
      <c r="X6" s="20">
        <v>5000</v>
      </c>
      <c r="Z6" s="6" t="s">
        <v>5978</v>
      </c>
      <c r="AA6" s="13">
        <f>+(0.56/1000)</f>
        <v>5.6000000000000006E-4</v>
      </c>
      <c r="AB6">
        <v>0.85493520000000012</v>
      </c>
      <c r="AC6">
        <v>0.88913260800000016</v>
      </c>
      <c r="AF6" s="37" t="s">
        <v>6004</v>
      </c>
      <c r="AG6" s="39">
        <v>3.5000000000000003E-2</v>
      </c>
      <c r="AH6" s="37">
        <f>+AH5*AG6</f>
        <v>5.8800000000000012E-2</v>
      </c>
    </row>
    <row r="7" spans="1:36" x14ac:dyDescent="0.3">
      <c r="A7">
        <v>143470</v>
      </c>
      <c r="B7" s="25" t="s">
        <v>5984</v>
      </c>
      <c r="C7" t="s">
        <v>20</v>
      </c>
      <c r="D7" t="s">
        <v>21</v>
      </c>
      <c r="E7">
        <v>2222222</v>
      </c>
      <c r="F7" s="8" t="s">
        <v>22</v>
      </c>
      <c r="G7" s="2">
        <v>98</v>
      </c>
      <c r="H7" s="2" t="s">
        <v>3783</v>
      </c>
      <c r="I7" s="2" t="s">
        <v>4493</v>
      </c>
      <c r="J7" s="9" t="s">
        <v>4838</v>
      </c>
      <c r="K7" s="2" t="s">
        <v>4839</v>
      </c>
      <c r="L7" s="2">
        <v>1</v>
      </c>
      <c r="M7" s="24" t="s">
        <v>5971</v>
      </c>
      <c r="N7" s="2" t="s">
        <v>23</v>
      </c>
      <c r="O7" s="3" t="s">
        <v>26</v>
      </c>
      <c r="P7" s="18" t="s">
        <v>0</v>
      </c>
      <c r="Q7" s="6" t="s">
        <v>4475</v>
      </c>
      <c r="T7" s="23">
        <v>45595</v>
      </c>
      <c r="U7" s="23">
        <v>47147</v>
      </c>
      <c r="X7" s="20">
        <v>3050</v>
      </c>
      <c r="Z7" s="6" t="s">
        <v>5978</v>
      </c>
      <c r="AA7" s="14">
        <f t="shared" ref="AA7:AA8" si="0">+(0.6/1000)</f>
        <v>5.9999999999999995E-4</v>
      </c>
      <c r="AB7">
        <v>1.8017519999999998</v>
      </c>
      <c r="AC7">
        <v>1.8738220799999998</v>
      </c>
      <c r="AF7" s="37" t="s">
        <v>6005</v>
      </c>
      <c r="AG7" s="39">
        <v>5.0000000000000001E-3</v>
      </c>
      <c r="AH7" s="37">
        <f>+AH5*AG7</f>
        <v>8.4000000000000012E-3</v>
      </c>
    </row>
    <row r="8" spans="1:36" x14ac:dyDescent="0.3">
      <c r="A8">
        <v>148712</v>
      </c>
      <c r="B8" s="25" t="s">
        <v>5984</v>
      </c>
      <c r="C8" t="s">
        <v>20</v>
      </c>
      <c r="D8" t="s">
        <v>21</v>
      </c>
      <c r="E8">
        <v>2222222</v>
      </c>
      <c r="F8" s="8" t="s">
        <v>22</v>
      </c>
      <c r="G8" s="2">
        <v>98</v>
      </c>
      <c r="H8" s="2" t="s">
        <v>3784</v>
      </c>
      <c r="I8" s="2" t="s">
        <v>3925</v>
      </c>
      <c r="J8" s="9" t="s">
        <v>4840</v>
      </c>
      <c r="K8" s="2" t="s">
        <v>4841</v>
      </c>
      <c r="L8" s="2">
        <v>1</v>
      </c>
      <c r="M8" s="24" t="s">
        <v>5971</v>
      </c>
      <c r="N8" s="2" t="s">
        <v>23</v>
      </c>
      <c r="O8" s="3" t="s">
        <v>27</v>
      </c>
      <c r="P8" s="18" t="s">
        <v>0</v>
      </c>
      <c r="Q8" s="6" t="s">
        <v>4475</v>
      </c>
      <c r="T8" s="23">
        <v>45974</v>
      </c>
      <c r="U8" s="23">
        <v>47435</v>
      </c>
      <c r="X8" s="20">
        <v>5000</v>
      </c>
      <c r="Z8" s="6" t="s">
        <v>5978</v>
      </c>
      <c r="AA8" s="14">
        <f t="shared" si="0"/>
        <v>5.9999999999999995E-4</v>
      </c>
      <c r="AB8">
        <v>2.6360219999999996</v>
      </c>
      <c r="AC8">
        <v>2.7414628799999998</v>
      </c>
      <c r="AF8" s="37" t="s">
        <v>4980</v>
      </c>
      <c r="AG8" s="40" t="s">
        <v>6006</v>
      </c>
      <c r="AH8" s="37">
        <v>0.5</v>
      </c>
    </row>
    <row r="9" spans="1:36" x14ac:dyDescent="0.3">
      <c r="A9">
        <v>136089</v>
      </c>
      <c r="B9" s="25" t="s">
        <v>5984</v>
      </c>
      <c r="C9" t="s">
        <v>20</v>
      </c>
      <c r="D9" t="s">
        <v>21</v>
      </c>
      <c r="E9">
        <v>2222222</v>
      </c>
      <c r="F9" s="8" t="s">
        <v>22</v>
      </c>
      <c r="G9" s="2">
        <v>98</v>
      </c>
      <c r="H9" s="2" t="s">
        <v>3785</v>
      </c>
      <c r="I9" s="2" t="s">
        <v>3891</v>
      </c>
      <c r="J9" s="9" t="s">
        <v>4826</v>
      </c>
      <c r="K9" s="2" t="s">
        <v>4842</v>
      </c>
      <c r="L9" s="2">
        <v>1</v>
      </c>
      <c r="M9" s="24" t="s">
        <v>5971</v>
      </c>
      <c r="N9" s="2" t="s">
        <v>23</v>
      </c>
      <c r="O9" s="3" t="s">
        <v>28</v>
      </c>
      <c r="P9" s="18" t="s">
        <v>0</v>
      </c>
      <c r="Q9" s="6" t="s">
        <v>4475</v>
      </c>
      <c r="T9" s="23">
        <v>45158</v>
      </c>
      <c r="U9" s="23">
        <v>47714</v>
      </c>
      <c r="X9" s="20">
        <v>16500</v>
      </c>
      <c r="Z9" s="6" t="s">
        <v>5978</v>
      </c>
      <c r="AA9" s="13">
        <f t="shared" ref="AA9:AA10" si="1">+(0.56/1000)</f>
        <v>5.6000000000000006E-4</v>
      </c>
      <c r="AB9">
        <v>6.7716824000000013</v>
      </c>
      <c r="AC9">
        <v>7.0425496960000018</v>
      </c>
      <c r="AF9" s="37" t="s">
        <v>6007</v>
      </c>
      <c r="AG9" s="37"/>
      <c r="AH9" s="38">
        <f>+AH5+AH6+AH7+AH8</f>
        <v>2.2472000000000003</v>
      </c>
    </row>
    <row r="10" spans="1:36" x14ac:dyDescent="0.3">
      <c r="A10">
        <v>137931</v>
      </c>
      <c r="B10" s="25" t="s">
        <v>5984</v>
      </c>
      <c r="C10" t="s">
        <v>20</v>
      </c>
      <c r="D10" t="s">
        <v>21</v>
      </c>
      <c r="E10">
        <v>2222222</v>
      </c>
      <c r="F10" s="8" t="s">
        <v>22</v>
      </c>
      <c r="G10" s="2">
        <v>98</v>
      </c>
      <c r="H10" s="2" t="s">
        <v>3785</v>
      </c>
      <c r="I10" s="2" t="s">
        <v>4737</v>
      </c>
      <c r="J10" s="9" t="s">
        <v>4843</v>
      </c>
      <c r="K10" s="2" t="s">
        <v>4844</v>
      </c>
      <c r="L10" s="2">
        <v>1</v>
      </c>
      <c r="M10" s="24" t="s">
        <v>5971</v>
      </c>
      <c r="N10" s="2" t="s">
        <v>23</v>
      </c>
      <c r="O10" s="3" t="s">
        <v>29</v>
      </c>
      <c r="P10" s="18" t="s">
        <v>0</v>
      </c>
      <c r="Q10" s="6" t="s">
        <v>4475</v>
      </c>
      <c r="T10" s="23">
        <v>45257</v>
      </c>
      <c r="U10" s="23">
        <v>46357</v>
      </c>
      <c r="X10" s="20">
        <v>8000</v>
      </c>
      <c r="Z10" s="6" t="s">
        <v>5978</v>
      </c>
      <c r="AA10" s="13">
        <f t="shared" si="1"/>
        <v>5.6000000000000006E-4</v>
      </c>
      <c r="AB10">
        <v>0.75785920000000007</v>
      </c>
      <c r="AC10">
        <v>0.78817356800000005</v>
      </c>
      <c r="AF10" s="37" t="s">
        <v>6008</v>
      </c>
      <c r="AG10" s="41">
        <v>0</v>
      </c>
      <c r="AH10" s="37">
        <f>+AH9*AG10</f>
        <v>0</v>
      </c>
    </row>
    <row r="11" spans="1:36" x14ac:dyDescent="0.3">
      <c r="A11">
        <v>144526</v>
      </c>
      <c r="B11" s="25" t="s">
        <v>5984</v>
      </c>
      <c r="C11" t="s">
        <v>20</v>
      </c>
      <c r="D11" t="s">
        <v>21</v>
      </c>
      <c r="E11">
        <v>2222222</v>
      </c>
      <c r="F11" s="8" t="s">
        <v>22</v>
      </c>
      <c r="G11" s="2">
        <v>98</v>
      </c>
      <c r="H11" s="2" t="s">
        <v>3785</v>
      </c>
      <c r="I11" s="2" t="s">
        <v>3891</v>
      </c>
      <c r="J11" s="9" t="s">
        <v>4836</v>
      </c>
      <c r="K11" s="2" t="s">
        <v>4845</v>
      </c>
      <c r="L11" s="2">
        <v>1</v>
      </c>
      <c r="M11" s="24" t="s">
        <v>5971</v>
      </c>
      <c r="N11" s="2" t="s">
        <v>23</v>
      </c>
      <c r="O11" s="3" t="s">
        <v>30</v>
      </c>
      <c r="P11" s="18" t="s">
        <v>3781</v>
      </c>
      <c r="Q11" s="6" t="s">
        <v>4475</v>
      </c>
      <c r="T11" s="23">
        <v>45670</v>
      </c>
      <c r="U11" s="23">
        <v>47495</v>
      </c>
      <c r="X11" s="20">
        <v>2000</v>
      </c>
      <c r="Z11" s="6" t="s">
        <v>5978</v>
      </c>
      <c r="AA11" s="14">
        <f t="shared" ref="AA11:AA18" si="2">+(0.6/1000)</f>
        <v>5.9999999999999995E-4</v>
      </c>
      <c r="AB11">
        <v>0.92267399999999988</v>
      </c>
      <c r="AC11">
        <v>0.95958095999999993</v>
      </c>
      <c r="AF11" s="37" t="s">
        <v>6009</v>
      </c>
      <c r="AG11" s="37"/>
      <c r="AH11" s="38">
        <f>+AH10+AH9</f>
        <v>2.2472000000000003</v>
      </c>
    </row>
    <row r="12" spans="1:36" x14ac:dyDescent="0.3">
      <c r="A12">
        <v>144622</v>
      </c>
      <c r="B12" s="25" t="s">
        <v>5984</v>
      </c>
      <c r="C12" t="s">
        <v>20</v>
      </c>
      <c r="D12" t="s">
        <v>21</v>
      </c>
      <c r="E12">
        <v>2222222</v>
      </c>
      <c r="F12" s="8" t="s">
        <v>22</v>
      </c>
      <c r="G12" s="2">
        <v>98</v>
      </c>
      <c r="H12" s="2" t="s">
        <v>3785</v>
      </c>
      <c r="I12" s="2" t="s">
        <v>4493</v>
      </c>
      <c r="J12" s="9" t="s">
        <v>4846</v>
      </c>
      <c r="K12" s="2" t="s">
        <v>4847</v>
      </c>
      <c r="L12" s="2">
        <v>1</v>
      </c>
      <c r="M12" s="24" t="s">
        <v>5971</v>
      </c>
      <c r="N12" s="2" t="s">
        <v>23</v>
      </c>
      <c r="O12" s="3" t="s">
        <v>31</v>
      </c>
      <c r="P12" s="18" t="s">
        <v>0</v>
      </c>
      <c r="Q12" s="6" t="s">
        <v>4475</v>
      </c>
      <c r="T12" s="23">
        <v>45684</v>
      </c>
      <c r="U12" s="23">
        <v>47509</v>
      </c>
      <c r="X12" s="20">
        <v>9800</v>
      </c>
      <c r="Z12" s="6" t="s">
        <v>5978</v>
      </c>
      <c r="AA12" s="14">
        <f t="shared" si="2"/>
        <v>5.9999999999999995E-4</v>
      </c>
      <c r="AB12">
        <v>4.5212639999999995</v>
      </c>
      <c r="AC12">
        <v>4.7021145600000001</v>
      </c>
    </row>
    <row r="13" spans="1:36" x14ac:dyDescent="0.3">
      <c r="A13">
        <v>145223</v>
      </c>
      <c r="B13" s="25" t="s">
        <v>5984</v>
      </c>
      <c r="C13" t="s">
        <v>20</v>
      </c>
      <c r="D13" t="s">
        <v>21</v>
      </c>
      <c r="E13">
        <v>2222222</v>
      </c>
      <c r="F13" s="8" t="s">
        <v>22</v>
      </c>
      <c r="G13" s="2">
        <v>98</v>
      </c>
      <c r="H13" s="2" t="s">
        <v>3785</v>
      </c>
      <c r="I13" s="2" t="s">
        <v>4576</v>
      </c>
      <c r="J13" s="9" t="s">
        <v>4826</v>
      </c>
      <c r="K13" s="2" t="s">
        <v>4848</v>
      </c>
      <c r="L13" s="2">
        <v>1</v>
      </c>
      <c r="M13" s="24" t="s">
        <v>5971</v>
      </c>
      <c r="N13" s="2" t="s">
        <v>23</v>
      </c>
      <c r="O13" s="3" t="s">
        <v>32</v>
      </c>
      <c r="P13" s="18" t="s">
        <v>0</v>
      </c>
      <c r="Q13" s="6" t="s">
        <v>4475</v>
      </c>
      <c r="T13" s="23">
        <v>45723</v>
      </c>
      <c r="U13" s="23">
        <v>46271</v>
      </c>
      <c r="X13" s="20">
        <v>1200</v>
      </c>
      <c r="Z13" s="6" t="s">
        <v>5978</v>
      </c>
      <c r="AA13" s="14">
        <f t="shared" si="2"/>
        <v>5.9999999999999995E-4</v>
      </c>
      <c r="AB13">
        <v>8.9357999999999993E-2</v>
      </c>
      <c r="AC13">
        <v>9.2932319999999999E-2</v>
      </c>
    </row>
    <row r="14" spans="1:36" x14ac:dyDescent="0.3">
      <c r="A14">
        <v>145505</v>
      </c>
      <c r="B14" s="25" t="s">
        <v>5984</v>
      </c>
      <c r="C14" t="s">
        <v>20</v>
      </c>
      <c r="D14" t="s">
        <v>21</v>
      </c>
      <c r="E14">
        <v>2222222</v>
      </c>
      <c r="F14" s="8" t="s">
        <v>22</v>
      </c>
      <c r="G14" s="2">
        <v>98</v>
      </c>
      <c r="H14" s="2" t="s">
        <v>3785</v>
      </c>
      <c r="I14" s="2" t="s">
        <v>3891</v>
      </c>
      <c r="J14" s="9" t="s">
        <v>4826</v>
      </c>
      <c r="K14" s="2" t="s">
        <v>4842</v>
      </c>
      <c r="L14" s="2">
        <v>1</v>
      </c>
      <c r="M14" s="24" t="s">
        <v>5971</v>
      </c>
      <c r="N14" s="2" t="s">
        <v>23</v>
      </c>
      <c r="O14" s="3" t="s">
        <v>28</v>
      </c>
      <c r="P14" s="18" t="s">
        <v>0</v>
      </c>
      <c r="Q14" s="6" t="s">
        <v>4475</v>
      </c>
      <c r="T14" s="23">
        <v>45743</v>
      </c>
      <c r="U14" s="23">
        <v>46472</v>
      </c>
      <c r="X14" s="20">
        <v>1500</v>
      </c>
      <c r="Z14" s="6" t="s">
        <v>5978</v>
      </c>
      <c r="AA14" s="14">
        <f t="shared" si="2"/>
        <v>5.9999999999999995E-4</v>
      </c>
      <c r="AB14">
        <v>0.45076199999999994</v>
      </c>
      <c r="AC14">
        <v>0.46879247999999996</v>
      </c>
    </row>
    <row r="15" spans="1:36" x14ac:dyDescent="0.3">
      <c r="A15">
        <v>146645</v>
      </c>
      <c r="B15" s="25" t="s">
        <v>5984</v>
      </c>
      <c r="C15" t="s">
        <v>20</v>
      </c>
      <c r="D15" t="s">
        <v>21</v>
      </c>
      <c r="E15">
        <v>2222222</v>
      </c>
      <c r="F15" s="8" t="s">
        <v>22</v>
      </c>
      <c r="G15" s="2">
        <v>98</v>
      </c>
      <c r="H15" s="2" t="s">
        <v>3785</v>
      </c>
      <c r="I15" s="2" t="s">
        <v>3891</v>
      </c>
      <c r="J15" s="9" t="s">
        <v>4836</v>
      </c>
      <c r="K15" s="2" t="s">
        <v>4849</v>
      </c>
      <c r="L15" s="2">
        <v>1</v>
      </c>
      <c r="M15" s="24" t="s">
        <v>5971</v>
      </c>
      <c r="N15" s="2" t="s">
        <v>23</v>
      </c>
      <c r="O15" s="3" t="s">
        <v>33</v>
      </c>
      <c r="P15" s="18" t="s">
        <v>3781</v>
      </c>
      <c r="Q15" s="6" t="s">
        <v>4475</v>
      </c>
      <c r="T15" s="23">
        <v>45832</v>
      </c>
      <c r="U15" s="23">
        <v>47658</v>
      </c>
      <c r="X15" s="20">
        <v>4950</v>
      </c>
      <c r="Z15" s="6" t="s">
        <v>5978</v>
      </c>
      <c r="AA15" s="14">
        <f t="shared" si="2"/>
        <v>5.9999999999999995E-4</v>
      </c>
      <c r="AB15">
        <v>2.528832</v>
      </c>
      <c r="AC15">
        <v>2.6299852800000001</v>
      </c>
    </row>
    <row r="16" spans="1:36" x14ac:dyDescent="0.3">
      <c r="A16">
        <v>148416</v>
      </c>
      <c r="B16" s="25" t="s">
        <v>5984</v>
      </c>
      <c r="C16" t="s">
        <v>20</v>
      </c>
      <c r="D16" t="s">
        <v>21</v>
      </c>
      <c r="E16">
        <v>2222222</v>
      </c>
      <c r="F16" s="8" t="s">
        <v>22</v>
      </c>
      <c r="G16" s="2">
        <v>98</v>
      </c>
      <c r="H16" s="2" t="s">
        <v>3785</v>
      </c>
      <c r="I16" s="2" t="s">
        <v>3891</v>
      </c>
      <c r="J16" s="9" t="s">
        <v>4826</v>
      </c>
      <c r="K16" s="2" t="s">
        <v>4842</v>
      </c>
      <c r="L16" s="2">
        <v>1</v>
      </c>
      <c r="M16" s="24" t="s">
        <v>5971</v>
      </c>
      <c r="N16" s="2" t="s">
        <v>23</v>
      </c>
      <c r="O16" s="3" t="s">
        <v>28</v>
      </c>
      <c r="P16" s="18" t="s">
        <v>0</v>
      </c>
      <c r="Q16" s="6" t="s">
        <v>4475</v>
      </c>
      <c r="T16" s="23">
        <v>45959</v>
      </c>
      <c r="U16" s="23">
        <v>46275</v>
      </c>
      <c r="X16" s="20">
        <v>400</v>
      </c>
      <c r="Z16" s="6" t="s">
        <v>5978</v>
      </c>
      <c r="AA16" s="14">
        <f t="shared" si="2"/>
        <v>5.9999999999999995E-4</v>
      </c>
      <c r="AB16">
        <v>0.24</v>
      </c>
      <c r="AC16">
        <v>0.24959999999999999</v>
      </c>
    </row>
    <row r="17" spans="1:29" x14ac:dyDescent="0.3">
      <c r="A17">
        <v>149787</v>
      </c>
      <c r="B17" s="25" t="s">
        <v>5984</v>
      </c>
      <c r="C17" t="s">
        <v>20</v>
      </c>
      <c r="D17" t="s">
        <v>21</v>
      </c>
      <c r="E17">
        <v>2222222</v>
      </c>
      <c r="F17" s="8" t="s">
        <v>22</v>
      </c>
      <c r="G17" s="2">
        <v>98</v>
      </c>
      <c r="H17" s="2" t="s">
        <v>3785</v>
      </c>
      <c r="I17" s="2" t="s">
        <v>4215</v>
      </c>
      <c r="J17" s="9" t="s">
        <v>4850</v>
      </c>
      <c r="K17" s="2" t="s">
        <v>4845</v>
      </c>
      <c r="L17" s="2">
        <v>1</v>
      </c>
      <c r="M17" s="24" t="s">
        <v>5971</v>
      </c>
      <c r="N17" s="2" t="s">
        <v>23</v>
      </c>
      <c r="O17" s="3" t="s">
        <v>34</v>
      </c>
      <c r="P17" s="18" t="s">
        <v>3781</v>
      </c>
      <c r="Q17" s="6" t="s">
        <v>4475</v>
      </c>
      <c r="T17" s="23">
        <v>46052</v>
      </c>
      <c r="U17" s="23">
        <v>47880</v>
      </c>
      <c r="X17" s="20">
        <v>20000</v>
      </c>
      <c r="Z17" s="6" t="s">
        <v>5978</v>
      </c>
      <c r="AA17" s="14">
        <f t="shared" si="2"/>
        <v>5.9999999999999995E-4</v>
      </c>
      <c r="AB17">
        <v>11.326523999999999</v>
      </c>
      <c r="AC17">
        <v>11.779584959999999</v>
      </c>
    </row>
    <row r="18" spans="1:29" x14ac:dyDescent="0.3">
      <c r="A18">
        <v>150666</v>
      </c>
      <c r="B18" s="25" t="s">
        <v>5984</v>
      </c>
      <c r="C18" t="s">
        <v>20</v>
      </c>
      <c r="D18" t="s">
        <v>21</v>
      </c>
      <c r="E18">
        <v>2222222</v>
      </c>
      <c r="F18" s="8" t="s">
        <v>22</v>
      </c>
      <c r="G18" s="2">
        <v>98</v>
      </c>
      <c r="H18" s="2" t="s">
        <v>3785</v>
      </c>
      <c r="I18" s="2" t="s">
        <v>4738</v>
      </c>
      <c r="J18" s="9" t="s">
        <v>4830</v>
      </c>
      <c r="K18" s="2" t="s">
        <v>4851</v>
      </c>
      <c r="L18" s="2">
        <v>1</v>
      </c>
      <c r="M18" s="24" t="s">
        <v>5971</v>
      </c>
      <c r="N18" s="2" t="s">
        <v>23</v>
      </c>
      <c r="O18" s="3" t="s">
        <v>35</v>
      </c>
      <c r="P18" s="18" t="s">
        <v>3781</v>
      </c>
      <c r="Q18" s="6" t="s">
        <v>4475</v>
      </c>
      <c r="T18" s="23">
        <v>46107</v>
      </c>
      <c r="U18" s="23">
        <v>46837</v>
      </c>
      <c r="X18" s="20">
        <v>5000</v>
      </c>
      <c r="Z18" s="6" t="s">
        <v>5978</v>
      </c>
      <c r="AA18" s="14">
        <f t="shared" si="2"/>
        <v>5.9999999999999995E-4</v>
      </c>
      <c r="AB18">
        <v>2.5713299999999997</v>
      </c>
      <c r="AC18">
        <v>2.6741831999999999</v>
      </c>
    </row>
    <row r="19" spans="1:29" x14ac:dyDescent="0.3">
      <c r="A19">
        <v>139471</v>
      </c>
      <c r="B19" s="25" t="s">
        <v>5984</v>
      </c>
      <c r="C19" t="s">
        <v>20</v>
      </c>
      <c r="D19" t="s">
        <v>21</v>
      </c>
      <c r="E19">
        <v>2222222</v>
      </c>
      <c r="F19" s="8" t="s">
        <v>22</v>
      </c>
      <c r="G19" s="2">
        <v>98</v>
      </c>
      <c r="H19" s="2" t="s">
        <v>3786</v>
      </c>
      <c r="I19" s="2" t="s">
        <v>3927</v>
      </c>
      <c r="J19" s="9" t="s">
        <v>4852</v>
      </c>
      <c r="K19" s="2" t="s">
        <v>4853</v>
      </c>
      <c r="L19" s="2">
        <v>1</v>
      </c>
      <c r="M19" s="24" t="s">
        <v>5971</v>
      </c>
      <c r="N19" s="2" t="s">
        <v>23</v>
      </c>
      <c r="O19" s="3" t="s">
        <v>36</v>
      </c>
      <c r="P19" s="18" t="s">
        <v>0</v>
      </c>
      <c r="Q19" s="6" t="s">
        <v>4475</v>
      </c>
      <c r="T19" s="23">
        <v>45371</v>
      </c>
      <c r="U19" s="23">
        <v>49114</v>
      </c>
      <c r="X19" s="20">
        <v>100000</v>
      </c>
      <c r="Z19" s="6" t="s">
        <v>5978</v>
      </c>
      <c r="AA19" s="13">
        <f>+(0.56/1000)</f>
        <v>5.6000000000000006E-4</v>
      </c>
      <c r="AB19">
        <v>49.339029600000011</v>
      </c>
      <c r="AC19">
        <v>51.312590784000015</v>
      </c>
    </row>
    <row r="20" spans="1:29" x14ac:dyDescent="0.3">
      <c r="A20">
        <v>144483</v>
      </c>
      <c r="B20" s="25" t="s">
        <v>5984</v>
      </c>
      <c r="C20" t="s">
        <v>20</v>
      </c>
      <c r="D20" t="s">
        <v>21</v>
      </c>
      <c r="E20">
        <v>2222222</v>
      </c>
      <c r="F20" s="8" t="s">
        <v>22</v>
      </c>
      <c r="G20" s="2">
        <v>98</v>
      </c>
      <c r="H20" s="2" t="s">
        <v>3786</v>
      </c>
      <c r="I20" s="2" t="s">
        <v>4368</v>
      </c>
      <c r="J20" s="9" t="s">
        <v>4854</v>
      </c>
      <c r="K20" s="2" t="s">
        <v>4855</v>
      </c>
      <c r="L20" s="2">
        <v>1</v>
      </c>
      <c r="M20" s="24" t="s">
        <v>5971</v>
      </c>
      <c r="N20" s="2" t="s">
        <v>23</v>
      </c>
      <c r="O20" s="3" t="s">
        <v>37</v>
      </c>
      <c r="P20" s="18" t="s">
        <v>3781</v>
      </c>
      <c r="Q20" s="6" t="s">
        <v>4475</v>
      </c>
      <c r="T20" s="23">
        <v>45673</v>
      </c>
      <c r="U20" s="23">
        <v>47133</v>
      </c>
      <c r="X20" s="20">
        <v>20000</v>
      </c>
      <c r="Z20" s="6" t="s">
        <v>5978</v>
      </c>
      <c r="AA20" s="14">
        <f t="shared" ref="AA20:AA24" si="3">+(0.6/1000)</f>
        <v>5.9999999999999995E-4</v>
      </c>
      <c r="AB20">
        <v>8.3601599999999987</v>
      </c>
      <c r="AC20">
        <v>8.6945663999999994</v>
      </c>
    </row>
    <row r="21" spans="1:29" x14ac:dyDescent="0.3">
      <c r="A21">
        <v>147699</v>
      </c>
      <c r="B21" s="25" t="s">
        <v>5984</v>
      </c>
      <c r="C21" t="s">
        <v>20</v>
      </c>
      <c r="D21" t="s">
        <v>21</v>
      </c>
      <c r="E21">
        <v>2222222</v>
      </c>
      <c r="F21" s="8" t="s">
        <v>22</v>
      </c>
      <c r="G21" s="2">
        <v>98</v>
      </c>
      <c r="H21" s="2" t="s">
        <v>3786</v>
      </c>
      <c r="I21" s="2" t="s">
        <v>4331</v>
      </c>
      <c r="J21" s="9" t="s">
        <v>4815</v>
      </c>
      <c r="K21" s="2" t="s">
        <v>4853</v>
      </c>
      <c r="L21" s="2">
        <v>1</v>
      </c>
      <c r="M21" s="24" t="s">
        <v>5971</v>
      </c>
      <c r="N21" s="2" t="s">
        <v>23</v>
      </c>
      <c r="O21" s="3" t="s">
        <v>38</v>
      </c>
      <c r="P21" s="18" t="s">
        <v>0</v>
      </c>
      <c r="Q21" s="6" t="s">
        <v>4475</v>
      </c>
      <c r="T21" s="23">
        <v>45906</v>
      </c>
      <c r="U21" s="23">
        <v>47548</v>
      </c>
      <c r="X21" s="20">
        <v>16700</v>
      </c>
      <c r="Z21" s="6" t="s">
        <v>5978</v>
      </c>
      <c r="AA21" s="14">
        <f t="shared" si="3"/>
        <v>5.9999999999999995E-4</v>
      </c>
      <c r="AB21">
        <v>8.7025319999999997</v>
      </c>
      <c r="AC21">
        <v>9.0506332799999996</v>
      </c>
    </row>
    <row r="22" spans="1:29" x14ac:dyDescent="0.3">
      <c r="A22">
        <v>150090</v>
      </c>
      <c r="B22" s="25" t="s">
        <v>5984</v>
      </c>
      <c r="C22" t="s">
        <v>20</v>
      </c>
      <c r="D22" t="s">
        <v>21</v>
      </c>
      <c r="E22">
        <v>2222222</v>
      </c>
      <c r="F22" s="8" t="s">
        <v>22</v>
      </c>
      <c r="G22" s="2">
        <v>98</v>
      </c>
      <c r="H22" s="2" t="s">
        <v>3786</v>
      </c>
      <c r="I22" s="2" t="s">
        <v>4672</v>
      </c>
      <c r="J22" s="9" t="s">
        <v>4856</v>
      </c>
      <c r="K22" s="2" t="s">
        <v>4857</v>
      </c>
      <c r="L22" s="2">
        <v>1</v>
      </c>
      <c r="M22" s="24" t="s">
        <v>5971</v>
      </c>
      <c r="N22" s="2" t="s">
        <v>23</v>
      </c>
      <c r="O22" s="3" t="s">
        <v>39</v>
      </c>
      <c r="P22" s="18" t="s">
        <v>0</v>
      </c>
      <c r="Q22" s="6" t="s">
        <v>4475</v>
      </c>
      <c r="T22" s="23">
        <v>46072</v>
      </c>
      <c r="U22" s="23">
        <v>47170</v>
      </c>
      <c r="X22" s="20">
        <v>2070</v>
      </c>
      <c r="Z22" s="6" t="s">
        <v>5978</v>
      </c>
      <c r="AA22" s="14">
        <f t="shared" si="3"/>
        <v>5.9999999999999995E-4</v>
      </c>
      <c r="AB22">
        <v>1.1051579999999999</v>
      </c>
      <c r="AC22">
        <v>1.1493643199999999</v>
      </c>
    </row>
    <row r="23" spans="1:29" x14ac:dyDescent="0.3">
      <c r="A23">
        <v>152350</v>
      </c>
      <c r="B23" s="25" t="s">
        <v>5984</v>
      </c>
      <c r="C23" t="s">
        <v>20</v>
      </c>
      <c r="D23" t="s">
        <v>21</v>
      </c>
      <c r="E23">
        <v>2222222</v>
      </c>
      <c r="F23" s="8" t="s">
        <v>22</v>
      </c>
      <c r="G23" s="2">
        <v>98</v>
      </c>
      <c r="H23" s="2" t="s">
        <v>3786</v>
      </c>
      <c r="I23" s="2" t="s">
        <v>3927</v>
      </c>
      <c r="J23" s="9" t="s">
        <v>4852</v>
      </c>
      <c r="K23" s="2" t="s">
        <v>4853</v>
      </c>
      <c r="L23" s="2">
        <v>1</v>
      </c>
      <c r="M23" s="24" t="s">
        <v>5971</v>
      </c>
      <c r="N23" s="2" t="s">
        <v>23</v>
      </c>
      <c r="O23" s="3" t="s">
        <v>36</v>
      </c>
      <c r="P23" s="18" t="s">
        <v>0</v>
      </c>
      <c r="Q23" s="6" t="s">
        <v>4475</v>
      </c>
      <c r="T23" s="23">
        <v>46231</v>
      </c>
      <c r="U23" s="23">
        <v>46321</v>
      </c>
      <c r="X23" s="20">
        <v>1550</v>
      </c>
      <c r="Z23" s="6" t="s">
        <v>5978</v>
      </c>
      <c r="AA23" s="14">
        <f t="shared" si="3"/>
        <v>5.9999999999999995E-4</v>
      </c>
      <c r="AB23">
        <v>0.92999999999999994</v>
      </c>
      <c r="AC23">
        <v>0.96719999999999995</v>
      </c>
    </row>
    <row r="24" spans="1:29" x14ac:dyDescent="0.3">
      <c r="A24">
        <v>145631</v>
      </c>
      <c r="B24" s="25" t="s">
        <v>5984</v>
      </c>
      <c r="C24" t="s">
        <v>20</v>
      </c>
      <c r="D24" t="s">
        <v>21</v>
      </c>
      <c r="E24">
        <v>2222222</v>
      </c>
      <c r="F24" s="8" t="s">
        <v>22</v>
      </c>
      <c r="G24" s="2">
        <v>98</v>
      </c>
      <c r="H24" s="2" t="s">
        <v>3787</v>
      </c>
      <c r="I24" s="2" t="s">
        <v>4532</v>
      </c>
      <c r="J24" s="9" t="s">
        <v>4858</v>
      </c>
      <c r="K24" s="2" t="s">
        <v>4859</v>
      </c>
      <c r="L24" s="2">
        <v>1</v>
      </c>
      <c r="M24" s="24" t="s">
        <v>5971</v>
      </c>
      <c r="N24" s="2" t="s">
        <v>23</v>
      </c>
      <c r="O24" s="3" t="s">
        <v>40</v>
      </c>
      <c r="P24" s="18" t="s">
        <v>3781</v>
      </c>
      <c r="Q24" s="6" t="s">
        <v>4475</v>
      </c>
      <c r="T24" s="23">
        <v>45752</v>
      </c>
      <c r="U24" s="23">
        <v>46482</v>
      </c>
      <c r="X24" s="20">
        <v>1500</v>
      </c>
      <c r="Z24" s="6" t="s">
        <v>5978</v>
      </c>
      <c r="AA24" s="14">
        <f t="shared" si="3"/>
        <v>5.9999999999999995E-4</v>
      </c>
      <c r="AB24">
        <v>0.37413599999999991</v>
      </c>
      <c r="AC24">
        <v>0.38910143999999991</v>
      </c>
    </row>
    <row r="25" spans="1:29" x14ac:dyDescent="0.3">
      <c r="A25">
        <v>135000</v>
      </c>
      <c r="B25" s="25" t="s">
        <v>5984</v>
      </c>
      <c r="C25" t="s">
        <v>20</v>
      </c>
      <c r="D25" t="s">
        <v>21</v>
      </c>
      <c r="E25">
        <v>2222222</v>
      </c>
      <c r="F25" s="8" t="s">
        <v>22</v>
      </c>
      <c r="G25" s="2">
        <v>98</v>
      </c>
      <c r="H25" s="2" t="s">
        <v>3788</v>
      </c>
      <c r="I25" s="2" t="s">
        <v>4500</v>
      </c>
      <c r="J25" s="9" t="s">
        <v>4860</v>
      </c>
      <c r="K25" s="2" t="s">
        <v>4861</v>
      </c>
      <c r="L25" s="2">
        <v>1</v>
      </c>
      <c r="M25" s="24" t="s">
        <v>5971</v>
      </c>
      <c r="N25" s="2" t="s">
        <v>23</v>
      </c>
      <c r="O25" s="3" t="s">
        <v>41</v>
      </c>
      <c r="P25" s="18" t="s">
        <v>3781</v>
      </c>
      <c r="Q25" s="6" t="s">
        <v>4475</v>
      </c>
      <c r="T25" s="23">
        <v>45086</v>
      </c>
      <c r="U25" s="23">
        <v>47005</v>
      </c>
      <c r="X25" s="20">
        <v>3170</v>
      </c>
      <c r="Z25" s="6" t="s">
        <v>5978</v>
      </c>
      <c r="AA25" s="13">
        <f>+(0.56/1000)</f>
        <v>5.6000000000000006E-4</v>
      </c>
      <c r="AB25">
        <v>0.96027680000000004</v>
      </c>
      <c r="AC25">
        <v>0.99868787200000009</v>
      </c>
    </row>
    <row r="26" spans="1:29" x14ac:dyDescent="0.3">
      <c r="A26">
        <v>146696</v>
      </c>
      <c r="B26" s="25" t="s">
        <v>5984</v>
      </c>
      <c r="C26" t="s">
        <v>20</v>
      </c>
      <c r="D26" t="s">
        <v>21</v>
      </c>
      <c r="E26">
        <v>2222222</v>
      </c>
      <c r="F26" s="8" t="s">
        <v>22</v>
      </c>
      <c r="G26" s="2">
        <v>98</v>
      </c>
      <c r="H26" s="2" t="s">
        <v>3788</v>
      </c>
      <c r="I26" s="2" t="s">
        <v>4739</v>
      </c>
      <c r="J26" s="9" t="s">
        <v>4862</v>
      </c>
      <c r="K26" s="2" t="s">
        <v>4863</v>
      </c>
      <c r="L26" s="2">
        <v>1</v>
      </c>
      <c r="M26" s="24" t="s">
        <v>5971</v>
      </c>
      <c r="N26" s="2" t="s">
        <v>23</v>
      </c>
      <c r="O26" s="3" t="s">
        <v>42</v>
      </c>
      <c r="P26" s="18" t="s">
        <v>3781</v>
      </c>
      <c r="Q26" s="6" t="s">
        <v>4475</v>
      </c>
      <c r="T26" s="23">
        <v>45848</v>
      </c>
      <c r="U26" s="23">
        <v>46943</v>
      </c>
      <c r="X26" s="20">
        <v>6500</v>
      </c>
      <c r="Z26" s="6" t="s">
        <v>5978</v>
      </c>
      <c r="AA26" s="14">
        <f t="shared" ref="AA26:AA34" si="4">+(0.6/1000)</f>
        <v>5.9999999999999995E-4</v>
      </c>
      <c r="AB26">
        <v>2.4962819999999999</v>
      </c>
      <c r="AC26">
        <v>2.5961332800000001</v>
      </c>
    </row>
    <row r="27" spans="1:29" x14ac:dyDescent="0.3">
      <c r="A27">
        <v>149714</v>
      </c>
      <c r="B27" s="25" t="s">
        <v>5984</v>
      </c>
      <c r="C27" t="s">
        <v>20</v>
      </c>
      <c r="D27" t="s">
        <v>21</v>
      </c>
      <c r="E27">
        <v>2222222</v>
      </c>
      <c r="F27" s="8" t="s">
        <v>22</v>
      </c>
      <c r="G27" s="2">
        <v>98</v>
      </c>
      <c r="H27" s="2" t="s">
        <v>3788</v>
      </c>
      <c r="I27" s="2" t="s">
        <v>4134</v>
      </c>
      <c r="J27" s="9" t="s">
        <v>4864</v>
      </c>
      <c r="K27" s="2" t="s">
        <v>4846</v>
      </c>
      <c r="L27" s="2">
        <v>1</v>
      </c>
      <c r="M27" s="24" t="s">
        <v>5971</v>
      </c>
      <c r="N27" s="2" t="s">
        <v>23</v>
      </c>
      <c r="O27" s="3" t="s">
        <v>43</v>
      </c>
      <c r="P27" s="18" t="s">
        <v>0</v>
      </c>
      <c r="Q27" s="6" t="s">
        <v>4475</v>
      </c>
      <c r="T27" s="23">
        <v>46048</v>
      </c>
      <c r="U27" s="23">
        <v>47873</v>
      </c>
      <c r="X27" s="20">
        <v>13500</v>
      </c>
      <c r="Z27" s="6" t="s">
        <v>5978</v>
      </c>
      <c r="AA27" s="14">
        <f t="shared" si="4"/>
        <v>5.9999999999999995E-4</v>
      </c>
      <c r="AB27">
        <v>7.5141119999999999</v>
      </c>
      <c r="AC27">
        <v>7.8146764800000001</v>
      </c>
    </row>
    <row r="28" spans="1:29" x14ac:dyDescent="0.3">
      <c r="A28">
        <v>146175</v>
      </c>
      <c r="B28" s="25" t="s">
        <v>5984</v>
      </c>
      <c r="C28" t="s">
        <v>20</v>
      </c>
      <c r="D28" t="s">
        <v>21</v>
      </c>
      <c r="E28">
        <v>2222222</v>
      </c>
      <c r="F28" s="8" t="s">
        <v>22</v>
      </c>
      <c r="G28" s="2">
        <v>98</v>
      </c>
      <c r="H28" s="2" t="s">
        <v>3789</v>
      </c>
      <c r="I28" s="2" t="s">
        <v>4500</v>
      </c>
      <c r="J28" s="9" t="s">
        <v>4865</v>
      </c>
      <c r="K28" s="2" t="s">
        <v>4866</v>
      </c>
      <c r="L28" s="2">
        <v>1</v>
      </c>
      <c r="M28" s="24" t="s">
        <v>5971</v>
      </c>
      <c r="N28" s="2" t="s">
        <v>23</v>
      </c>
      <c r="O28" s="3" t="s">
        <v>44</v>
      </c>
      <c r="P28" s="18" t="s">
        <v>0</v>
      </c>
      <c r="Q28" s="6" t="s">
        <v>4475</v>
      </c>
      <c r="T28" s="23">
        <v>45810</v>
      </c>
      <c r="U28" s="23">
        <v>48001</v>
      </c>
      <c r="X28" s="20">
        <v>6000</v>
      </c>
      <c r="Z28" s="6" t="s">
        <v>5978</v>
      </c>
      <c r="AA28" s="14">
        <f t="shared" si="4"/>
        <v>5.9999999999999995E-4</v>
      </c>
      <c r="AB28">
        <v>2.1742680000000001</v>
      </c>
      <c r="AC28">
        <v>2.2612387200000001</v>
      </c>
    </row>
    <row r="29" spans="1:29" x14ac:dyDescent="0.3">
      <c r="A29">
        <v>142709</v>
      </c>
      <c r="B29" s="25" t="s">
        <v>5984</v>
      </c>
      <c r="C29" t="s">
        <v>20</v>
      </c>
      <c r="D29" t="s">
        <v>21</v>
      </c>
      <c r="E29">
        <v>2222222</v>
      </c>
      <c r="F29" s="8" t="s">
        <v>22</v>
      </c>
      <c r="G29" s="2">
        <v>98</v>
      </c>
      <c r="H29" s="2" t="s">
        <v>3790</v>
      </c>
      <c r="I29" s="2" t="s">
        <v>4300</v>
      </c>
      <c r="J29" s="9" t="s">
        <v>4815</v>
      </c>
      <c r="K29" s="2" t="s">
        <v>4839</v>
      </c>
      <c r="L29" s="2">
        <v>1</v>
      </c>
      <c r="M29" s="24" t="s">
        <v>5971</v>
      </c>
      <c r="N29" s="2" t="s">
        <v>23</v>
      </c>
      <c r="O29" s="3" t="s">
        <v>45</v>
      </c>
      <c r="P29" s="18" t="s">
        <v>0</v>
      </c>
      <c r="Q29" s="6" t="s">
        <v>4475</v>
      </c>
      <c r="T29" s="23">
        <v>45540</v>
      </c>
      <c r="U29" s="23">
        <v>47427</v>
      </c>
      <c r="X29" s="20">
        <v>6000</v>
      </c>
      <c r="Z29" s="6" t="s">
        <v>5978</v>
      </c>
      <c r="AA29" s="14">
        <f t="shared" si="4"/>
        <v>5.9999999999999995E-4</v>
      </c>
      <c r="AB29">
        <v>3.3476039999999996</v>
      </c>
      <c r="AC29">
        <v>3.4815081599999997</v>
      </c>
    </row>
    <row r="30" spans="1:29" x14ac:dyDescent="0.3">
      <c r="A30">
        <v>144790</v>
      </c>
      <c r="B30" s="25" t="s">
        <v>5984</v>
      </c>
      <c r="C30" t="s">
        <v>20</v>
      </c>
      <c r="D30" t="s">
        <v>21</v>
      </c>
      <c r="E30">
        <v>2222222</v>
      </c>
      <c r="F30" s="8" t="s">
        <v>22</v>
      </c>
      <c r="G30" s="2">
        <v>98</v>
      </c>
      <c r="H30" s="2" t="s">
        <v>3790</v>
      </c>
      <c r="I30" s="2" t="s">
        <v>4098</v>
      </c>
      <c r="J30" s="9" t="s">
        <v>4867</v>
      </c>
      <c r="K30" s="2" t="s">
        <v>4868</v>
      </c>
      <c r="L30" s="2">
        <v>1</v>
      </c>
      <c r="M30" s="24" t="s">
        <v>5971</v>
      </c>
      <c r="N30" s="2" t="s">
        <v>23</v>
      </c>
      <c r="O30" s="3" t="s">
        <v>46</v>
      </c>
      <c r="P30" s="18" t="s">
        <v>3781</v>
      </c>
      <c r="Q30" s="6" t="s">
        <v>4475</v>
      </c>
      <c r="T30" s="23">
        <v>45743</v>
      </c>
      <c r="U30" s="23">
        <v>47939</v>
      </c>
      <c r="X30" s="20">
        <v>30000</v>
      </c>
      <c r="Z30" s="6" t="s">
        <v>5978</v>
      </c>
      <c r="AA30" s="14">
        <f t="shared" si="4"/>
        <v>5.9999999999999995E-4</v>
      </c>
      <c r="AB30">
        <v>15.534467999999999</v>
      </c>
      <c r="AC30">
        <v>16.15584672</v>
      </c>
    </row>
    <row r="31" spans="1:29" x14ac:dyDescent="0.3">
      <c r="A31">
        <v>150548</v>
      </c>
      <c r="B31" s="25" t="s">
        <v>5984</v>
      </c>
      <c r="C31" t="s">
        <v>20</v>
      </c>
      <c r="D31" t="s">
        <v>21</v>
      </c>
      <c r="E31">
        <v>2222222</v>
      </c>
      <c r="F31" s="8" t="s">
        <v>22</v>
      </c>
      <c r="G31" s="2">
        <v>98</v>
      </c>
      <c r="H31" s="2" t="s">
        <v>3790</v>
      </c>
      <c r="I31" s="2" t="s">
        <v>4616</v>
      </c>
      <c r="J31" s="9" t="s">
        <v>4869</v>
      </c>
      <c r="K31" s="2" t="s">
        <v>4870</v>
      </c>
      <c r="L31" s="2">
        <v>1</v>
      </c>
      <c r="M31" s="24" t="s">
        <v>5971</v>
      </c>
      <c r="N31" s="2" t="s">
        <v>23</v>
      </c>
      <c r="O31" s="3" t="s">
        <v>47</v>
      </c>
      <c r="P31" s="18" t="s">
        <v>0</v>
      </c>
      <c r="Q31" s="6" t="s">
        <v>4475</v>
      </c>
      <c r="T31" s="23">
        <v>46100</v>
      </c>
      <c r="U31" s="23">
        <v>47196</v>
      </c>
      <c r="X31" s="20">
        <v>4800</v>
      </c>
      <c r="Z31" s="6" t="s">
        <v>5978</v>
      </c>
      <c r="AA31" s="14">
        <f t="shared" si="4"/>
        <v>5.9999999999999995E-4</v>
      </c>
      <c r="AB31">
        <v>2.6307179999999994</v>
      </c>
      <c r="AC31">
        <v>2.7359467199999994</v>
      </c>
    </row>
    <row r="32" spans="1:29" x14ac:dyDescent="0.3">
      <c r="A32">
        <v>152086</v>
      </c>
      <c r="B32" s="25" t="s">
        <v>5984</v>
      </c>
      <c r="C32" t="s">
        <v>20</v>
      </c>
      <c r="D32" t="s">
        <v>21</v>
      </c>
      <c r="E32">
        <v>2222222</v>
      </c>
      <c r="F32" s="8" t="s">
        <v>22</v>
      </c>
      <c r="G32" s="2">
        <v>98</v>
      </c>
      <c r="H32" s="2" t="s">
        <v>3791</v>
      </c>
      <c r="I32" s="2" t="s">
        <v>4325</v>
      </c>
      <c r="J32" s="9" t="s">
        <v>4871</v>
      </c>
      <c r="K32" s="2" t="s">
        <v>4848</v>
      </c>
      <c r="L32" s="2">
        <v>1</v>
      </c>
      <c r="M32" s="24" t="s">
        <v>5971</v>
      </c>
      <c r="N32" s="2" t="s">
        <v>23</v>
      </c>
      <c r="O32" s="3" t="s">
        <v>48</v>
      </c>
      <c r="P32" s="18" t="s">
        <v>0</v>
      </c>
      <c r="Q32" s="6" t="s">
        <v>4475</v>
      </c>
      <c r="T32" s="23">
        <v>46215</v>
      </c>
      <c r="U32" s="23">
        <v>46950</v>
      </c>
      <c r="X32" s="20">
        <v>5000</v>
      </c>
      <c r="Z32" s="6" t="s">
        <v>5978</v>
      </c>
      <c r="AA32" s="14">
        <f t="shared" si="4"/>
        <v>5.9999999999999995E-4</v>
      </c>
      <c r="AB32">
        <v>2.9999999999999996</v>
      </c>
      <c r="AC32">
        <v>3.1199999999999997</v>
      </c>
    </row>
    <row r="33" spans="1:29" x14ac:dyDescent="0.3">
      <c r="A33">
        <v>145686</v>
      </c>
      <c r="B33" s="25" t="s">
        <v>5984</v>
      </c>
      <c r="C33" t="s">
        <v>20</v>
      </c>
      <c r="D33" t="s">
        <v>21</v>
      </c>
      <c r="E33">
        <v>2222222</v>
      </c>
      <c r="F33" s="8" t="s">
        <v>22</v>
      </c>
      <c r="G33" s="2">
        <v>98</v>
      </c>
      <c r="H33" s="2" t="s">
        <v>3792</v>
      </c>
      <c r="I33" s="2" t="s">
        <v>4328</v>
      </c>
      <c r="J33" s="9" t="s">
        <v>4872</v>
      </c>
      <c r="K33" s="2" t="s">
        <v>4873</v>
      </c>
      <c r="L33" s="2">
        <v>1</v>
      </c>
      <c r="M33" s="24" t="s">
        <v>5971</v>
      </c>
      <c r="N33" s="2" t="s">
        <v>23</v>
      </c>
      <c r="O33" s="3" t="s">
        <v>49</v>
      </c>
      <c r="P33" s="18" t="s">
        <v>3781</v>
      </c>
      <c r="Q33" s="6" t="s">
        <v>4475</v>
      </c>
      <c r="T33" s="23">
        <v>45769</v>
      </c>
      <c r="U33" s="23">
        <v>46865</v>
      </c>
      <c r="X33" s="20">
        <v>9400</v>
      </c>
      <c r="Z33" s="6" t="s">
        <v>5978</v>
      </c>
      <c r="AA33" s="14">
        <f t="shared" si="4"/>
        <v>5.9999999999999995E-4</v>
      </c>
      <c r="AB33">
        <v>3.5757539999999999</v>
      </c>
      <c r="AC33">
        <v>3.7187841599999998</v>
      </c>
    </row>
    <row r="34" spans="1:29" x14ac:dyDescent="0.3">
      <c r="A34">
        <v>144781</v>
      </c>
      <c r="B34" s="25" t="s">
        <v>5984</v>
      </c>
      <c r="C34" t="s">
        <v>20</v>
      </c>
      <c r="D34" t="s">
        <v>21</v>
      </c>
      <c r="E34">
        <v>2222222</v>
      </c>
      <c r="F34" s="8" t="s">
        <v>22</v>
      </c>
      <c r="G34" s="2">
        <v>98</v>
      </c>
      <c r="H34" s="2" t="s">
        <v>3793</v>
      </c>
      <c r="I34" s="2" t="s">
        <v>4740</v>
      </c>
      <c r="J34" s="9" t="s">
        <v>4874</v>
      </c>
      <c r="K34" s="2" t="s">
        <v>4875</v>
      </c>
      <c r="L34" s="2">
        <v>1</v>
      </c>
      <c r="M34" s="24" t="s">
        <v>5971</v>
      </c>
      <c r="N34" s="2" t="s">
        <v>23</v>
      </c>
      <c r="O34" s="3" t="s">
        <v>50</v>
      </c>
      <c r="P34" s="18" t="s">
        <v>0</v>
      </c>
      <c r="Q34" s="6" t="s">
        <v>4475</v>
      </c>
      <c r="T34" s="23">
        <v>45698</v>
      </c>
      <c r="U34" s="23">
        <v>47526</v>
      </c>
      <c r="X34" s="20">
        <v>8300</v>
      </c>
      <c r="Z34" s="6" t="s">
        <v>5978</v>
      </c>
      <c r="AA34" s="14">
        <f t="shared" si="4"/>
        <v>5.9999999999999995E-4</v>
      </c>
      <c r="AB34">
        <v>3.9489539999999996</v>
      </c>
      <c r="AC34">
        <v>4.1069121599999994</v>
      </c>
    </row>
    <row r="35" spans="1:29" x14ac:dyDescent="0.3">
      <c r="A35">
        <v>140261</v>
      </c>
      <c r="B35" s="25" t="s">
        <v>5984</v>
      </c>
      <c r="C35" t="s">
        <v>20</v>
      </c>
      <c r="D35" t="s">
        <v>21</v>
      </c>
      <c r="E35">
        <v>2222222</v>
      </c>
      <c r="F35" s="8" t="s">
        <v>22</v>
      </c>
      <c r="G35" s="2">
        <v>98</v>
      </c>
      <c r="H35" s="2" t="s">
        <v>3794</v>
      </c>
      <c r="I35" s="2" t="s">
        <v>3927</v>
      </c>
      <c r="J35" s="9" t="s">
        <v>4876</v>
      </c>
      <c r="K35" s="2" t="s">
        <v>4857</v>
      </c>
      <c r="L35" s="2">
        <v>1</v>
      </c>
      <c r="M35" s="24" t="s">
        <v>5971</v>
      </c>
      <c r="N35" s="2" t="s">
        <v>23</v>
      </c>
      <c r="O35" s="3" t="s">
        <v>51</v>
      </c>
      <c r="P35" s="18" t="s">
        <v>0</v>
      </c>
      <c r="Q35" s="6" t="s">
        <v>4475</v>
      </c>
      <c r="T35" s="23">
        <v>45382</v>
      </c>
      <c r="U35" s="23">
        <v>47299</v>
      </c>
      <c r="X35" s="20">
        <v>9000</v>
      </c>
      <c r="Z35" s="6" t="s">
        <v>5978</v>
      </c>
      <c r="AA35" s="13">
        <f>+(0.56/1000)</f>
        <v>5.6000000000000006E-4</v>
      </c>
      <c r="AB35">
        <v>3.3872776000000004</v>
      </c>
      <c r="AC35">
        <v>3.5227687040000006</v>
      </c>
    </row>
    <row r="36" spans="1:29" x14ac:dyDescent="0.3">
      <c r="A36">
        <v>144201</v>
      </c>
      <c r="B36" s="25" t="s">
        <v>5984</v>
      </c>
      <c r="C36" t="s">
        <v>20</v>
      </c>
      <c r="D36" t="s">
        <v>21</v>
      </c>
      <c r="E36">
        <v>2222222</v>
      </c>
      <c r="F36" s="8" t="s">
        <v>22</v>
      </c>
      <c r="G36" s="2">
        <v>98</v>
      </c>
      <c r="H36" s="2" t="s">
        <v>3794</v>
      </c>
      <c r="I36" s="2" t="s">
        <v>4349</v>
      </c>
      <c r="J36" s="9" t="s">
        <v>4877</v>
      </c>
      <c r="K36" s="2" t="s">
        <v>4878</v>
      </c>
      <c r="L36" s="2">
        <v>1</v>
      </c>
      <c r="M36" s="24" t="s">
        <v>5971</v>
      </c>
      <c r="N36" s="2" t="s">
        <v>23</v>
      </c>
      <c r="O36" s="3" t="s">
        <v>52</v>
      </c>
      <c r="P36" s="18" t="s">
        <v>0</v>
      </c>
      <c r="Q36" s="6" t="s">
        <v>4475</v>
      </c>
      <c r="T36" s="23">
        <v>45649</v>
      </c>
      <c r="U36" s="23">
        <v>46378</v>
      </c>
      <c r="X36" s="20">
        <v>3000</v>
      </c>
      <c r="Z36" s="6" t="s">
        <v>5978</v>
      </c>
      <c r="AA36" s="14">
        <f t="shared" ref="AA36:AA42" si="5">+(0.6/1000)</f>
        <v>5.9999999999999995E-4</v>
      </c>
      <c r="AB36">
        <v>0.42586199999999996</v>
      </c>
      <c r="AC36">
        <v>0.44289647999999998</v>
      </c>
    </row>
    <row r="37" spans="1:29" x14ac:dyDescent="0.3">
      <c r="A37">
        <v>146085</v>
      </c>
      <c r="B37" s="25" t="s">
        <v>5984</v>
      </c>
      <c r="C37" t="s">
        <v>20</v>
      </c>
      <c r="D37" t="s">
        <v>21</v>
      </c>
      <c r="E37">
        <v>2222222</v>
      </c>
      <c r="F37" s="8" t="s">
        <v>22</v>
      </c>
      <c r="G37" s="2">
        <v>98</v>
      </c>
      <c r="H37" s="2" t="s">
        <v>3794</v>
      </c>
      <c r="I37" s="2" t="s">
        <v>3855</v>
      </c>
      <c r="J37" s="9" t="s">
        <v>4879</v>
      </c>
      <c r="K37" s="2" t="s">
        <v>4880</v>
      </c>
      <c r="L37" s="2">
        <v>1</v>
      </c>
      <c r="M37" s="24" t="s">
        <v>5971</v>
      </c>
      <c r="N37" s="2" t="s">
        <v>23</v>
      </c>
      <c r="O37" s="3" t="s">
        <v>53</v>
      </c>
      <c r="P37" s="18" t="s">
        <v>3781</v>
      </c>
      <c r="Q37" s="6" t="s">
        <v>4475</v>
      </c>
      <c r="T37" s="23">
        <v>45813</v>
      </c>
      <c r="U37" s="23">
        <v>47639</v>
      </c>
      <c r="X37" s="20">
        <v>25000</v>
      </c>
      <c r="Z37" s="6" t="s">
        <v>5978</v>
      </c>
      <c r="AA37" s="14">
        <f t="shared" si="5"/>
        <v>5.9999999999999995E-4</v>
      </c>
      <c r="AB37">
        <v>12.832901999999997</v>
      </c>
      <c r="AC37">
        <v>13.346218079999998</v>
      </c>
    </row>
    <row r="38" spans="1:29" x14ac:dyDescent="0.3">
      <c r="A38">
        <v>151379</v>
      </c>
      <c r="B38" s="25" t="s">
        <v>5984</v>
      </c>
      <c r="C38" t="s">
        <v>20</v>
      </c>
      <c r="D38" t="s">
        <v>21</v>
      </c>
      <c r="E38">
        <v>2222222</v>
      </c>
      <c r="F38" s="8" t="s">
        <v>22</v>
      </c>
      <c r="G38" s="2">
        <v>98</v>
      </c>
      <c r="H38" s="2" t="s">
        <v>3794</v>
      </c>
      <c r="I38" s="2" t="s">
        <v>4502</v>
      </c>
      <c r="J38" s="9" t="s">
        <v>4881</v>
      </c>
      <c r="K38" s="2" t="s">
        <v>4882</v>
      </c>
      <c r="L38" s="2">
        <v>1</v>
      </c>
      <c r="M38" s="24" t="s">
        <v>5971</v>
      </c>
      <c r="N38" s="2" t="s">
        <v>23</v>
      </c>
      <c r="O38" s="3" t="s">
        <v>54</v>
      </c>
      <c r="P38" s="18" t="s">
        <v>0</v>
      </c>
      <c r="Q38" s="6" t="s">
        <v>4475</v>
      </c>
      <c r="T38" s="23">
        <v>46169</v>
      </c>
      <c r="U38" s="23">
        <v>47083</v>
      </c>
      <c r="X38" s="20">
        <v>6000</v>
      </c>
      <c r="Z38" s="6" t="s">
        <v>5978</v>
      </c>
      <c r="AA38" s="14">
        <f t="shared" si="5"/>
        <v>5.9999999999999995E-4</v>
      </c>
      <c r="AB38">
        <v>3.4058699999999997</v>
      </c>
      <c r="AC38">
        <v>3.5421047999999997</v>
      </c>
    </row>
    <row r="39" spans="1:29" x14ac:dyDescent="0.3">
      <c r="A39">
        <v>152047</v>
      </c>
      <c r="B39" s="25" t="s">
        <v>5984</v>
      </c>
      <c r="C39" t="s">
        <v>20</v>
      </c>
      <c r="D39" t="s">
        <v>21</v>
      </c>
      <c r="E39">
        <v>2222222</v>
      </c>
      <c r="F39" s="8" t="s">
        <v>22</v>
      </c>
      <c r="G39" s="2">
        <v>98</v>
      </c>
      <c r="H39" s="2" t="s">
        <v>3794</v>
      </c>
      <c r="I39" s="2" t="s">
        <v>4105</v>
      </c>
      <c r="J39" s="9" t="s">
        <v>4883</v>
      </c>
      <c r="K39" s="2" t="s">
        <v>4884</v>
      </c>
      <c r="L39" s="2">
        <v>1</v>
      </c>
      <c r="M39" s="24" t="s">
        <v>5971</v>
      </c>
      <c r="N39" s="2" t="s">
        <v>23</v>
      </c>
      <c r="O39" s="3" t="s">
        <v>55</v>
      </c>
      <c r="P39" s="18" t="s">
        <v>3781</v>
      </c>
      <c r="Q39" s="6" t="s">
        <v>4475</v>
      </c>
      <c r="T39" s="23">
        <v>46212</v>
      </c>
      <c r="U39" s="23">
        <v>47126</v>
      </c>
      <c r="X39" s="20">
        <v>2400</v>
      </c>
      <c r="Z39" s="6" t="s">
        <v>5978</v>
      </c>
      <c r="AA39" s="14">
        <f t="shared" si="5"/>
        <v>5.9999999999999995E-4</v>
      </c>
      <c r="AB39">
        <v>1.44</v>
      </c>
      <c r="AC39">
        <v>1.4976</v>
      </c>
    </row>
    <row r="40" spans="1:29" x14ac:dyDescent="0.3">
      <c r="A40">
        <v>148689</v>
      </c>
      <c r="B40" s="25" t="s">
        <v>5984</v>
      </c>
      <c r="C40" t="s">
        <v>20</v>
      </c>
      <c r="D40" t="s">
        <v>21</v>
      </c>
      <c r="E40">
        <v>2222222</v>
      </c>
      <c r="F40" s="8" t="s">
        <v>22</v>
      </c>
      <c r="G40" s="2">
        <v>98</v>
      </c>
      <c r="H40" s="2" t="s">
        <v>3795</v>
      </c>
      <c r="I40" s="2" t="s">
        <v>4105</v>
      </c>
      <c r="J40" s="9" t="s">
        <v>4836</v>
      </c>
      <c r="K40" s="2" t="s">
        <v>4885</v>
      </c>
      <c r="L40" s="2">
        <v>1</v>
      </c>
      <c r="M40" s="24" t="s">
        <v>5971</v>
      </c>
      <c r="N40" s="2" t="s">
        <v>23</v>
      </c>
      <c r="O40" s="3" t="s">
        <v>56</v>
      </c>
      <c r="P40" s="18" t="s">
        <v>3781</v>
      </c>
      <c r="Q40" s="6" t="s">
        <v>4475</v>
      </c>
      <c r="T40" s="23">
        <v>45979</v>
      </c>
      <c r="U40" s="23">
        <v>49636</v>
      </c>
      <c r="X40" s="20">
        <v>28200</v>
      </c>
      <c r="Z40" s="6" t="s">
        <v>5978</v>
      </c>
      <c r="AA40" s="14">
        <f t="shared" si="5"/>
        <v>5.9999999999999995E-4</v>
      </c>
      <c r="AB40">
        <v>16.308527999999999</v>
      </c>
      <c r="AC40">
        <v>16.960869119999998</v>
      </c>
    </row>
    <row r="41" spans="1:29" x14ac:dyDescent="0.3">
      <c r="A41">
        <v>150271</v>
      </c>
      <c r="B41" s="25" t="s">
        <v>5984</v>
      </c>
      <c r="C41" t="s">
        <v>20</v>
      </c>
      <c r="D41" t="s">
        <v>21</v>
      </c>
      <c r="E41">
        <v>2222222</v>
      </c>
      <c r="F41" s="8" t="s">
        <v>22</v>
      </c>
      <c r="G41" s="2">
        <v>98</v>
      </c>
      <c r="H41" s="2" t="s">
        <v>3795</v>
      </c>
      <c r="I41" s="2" t="s">
        <v>4741</v>
      </c>
      <c r="J41" s="9" t="s">
        <v>4886</v>
      </c>
      <c r="K41" s="2" t="s">
        <v>4887</v>
      </c>
      <c r="L41" s="2">
        <v>1</v>
      </c>
      <c r="M41" s="24" t="s">
        <v>5971</v>
      </c>
      <c r="N41" s="2" t="s">
        <v>23</v>
      </c>
      <c r="O41" s="3" t="s">
        <v>57</v>
      </c>
      <c r="P41" s="18" t="s">
        <v>3781</v>
      </c>
      <c r="Q41" s="6" t="s">
        <v>4475</v>
      </c>
      <c r="T41" s="23">
        <v>46102</v>
      </c>
      <c r="U41" s="23">
        <v>49754</v>
      </c>
      <c r="X41" s="20">
        <v>23700</v>
      </c>
      <c r="Z41" s="6" t="s">
        <v>5978</v>
      </c>
      <c r="AA41" s="14">
        <f t="shared" si="5"/>
        <v>5.9999999999999995E-4</v>
      </c>
      <c r="AB41">
        <v>14.007978</v>
      </c>
      <c r="AC41">
        <v>14.56829712</v>
      </c>
    </row>
    <row r="42" spans="1:29" x14ac:dyDescent="0.3">
      <c r="A42">
        <v>151414</v>
      </c>
      <c r="B42" s="25" t="s">
        <v>5984</v>
      </c>
      <c r="C42" t="s">
        <v>20</v>
      </c>
      <c r="D42" t="s">
        <v>21</v>
      </c>
      <c r="E42">
        <v>2222222</v>
      </c>
      <c r="F42" s="8" t="s">
        <v>22</v>
      </c>
      <c r="G42" s="2">
        <v>98</v>
      </c>
      <c r="H42" s="2" t="s">
        <v>3795</v>
      </c>
      <c r="I42" s="2" t="s">
        <v>4502</v>
      </c>
      <c r="J42" s="9" t="s">
        <v>4888</v>
      </c>
      <c r="K42" s="2"/>
      <c r="L42" s="2">
        <v>1</v>
      </c>
      <c r="M42" s="24" t="s">
        <v>5971</v>
      </c>
      <c r="N42" s="2" t="s">
        <v>23</v>
      </c>
      <c r="O42" s="3" t="s">
        <v>58</v>
      </c>
      <c r="P42" s="18" t="s">
        <v>0</v>
      </c>
      <c r="Q42" s="6" t="s">
        <v>4475</v>
      </c>
      <c r="T42" s="23">
        <v>46169</v>
      </c>
      <c r="U42" s="23">
        <v>47083</v>
      </c>
      <c r="X42" s="20">
        <v>10000</v>
      </c>
      <c r="Z42" s="6" t="s">
        <v>5978</v>
      </c>
      <c r="AA42" s="14">
        <f t="shared" si="5"/>
        <v>5.9999999999999995E-4</v>
      </c>
      <c r="AB42">
        <v>5.6685660000000002</v>
      </c>
      <c r="AC42">
        <v>5.8953086400000005</v>
      </c>
    </row>
    <row r="43" spans="1:29" x14ac:dyDescent="0.3">
      <c r="A43">
        <v>109244</v>
      </c>
      <c r="B43" s="25" t="s">
        <v>5984</v>
      </c>
      <c r="C43" t="s">
        <v>20</v>
      </c>
      <c r="D43" t="s">
        <v>21</v>
      </c>
      <c r="E43">
        <v>2222222</v>
      </c>
      <c r="F43" s="8" t="s">
        <v>22</v>
      </c>
      <c r="G43" s="2">
        <v>98</v>
      </c>
      <c r="H43" s="2" t="s">
        <v>3796</v>
      </c>
      <c r="I43" s="2" t="s">
        <v>4742</v>
      </c>
      <c r="J43" s="9" t="s">
        <v>4889</v>
      </c>
      <c r="K43" s="2" t="s">
        <v>4890</v>
      </c>
      <c r="L43" s="2">
        <v>1</v>
      </c>
      <c r="M43" s="24" t="s">
        <v>5971</v>
      </c>
      <c r="N43" s="2" t="s">
        <v>23</v>
      </c>
      <c r="O43" s="3" t="s">
        <v>59</v>
      </c>
      <c r="P43" s="18" t="s">
        <v>3781</v>
      </c>
      <c r="Q43" s="6" t="s">
        <v>4475</v>
      </c>
      <c r="T43" s="23">
        <v>43805</v>
      </c>
      <c r="U43" s="23">
        <v>46446</v>
      </c>
      <c r="X43" s="20">
        <v>22645.99</v>
      </c>
      <c r="Z43" s="6" t="s">
        <v>5978</v>
      </c>
      <c r="AA43" s="15">
        <f>+(0.42/1000)</f>
        <v>4.1999999999999996E-4</v>
      </c>
      <c r="AB43">
        <v>9.1044239999999999</v>
      </c>
      <c r="AC43">
        <v>9.4686009599999998</v>
      </c>
    </row>
    <row r="44" spans="1:29" x14ac:dyDescent="0.3">
      <c r="A44">
        <v>123813</v>
      </c>
      <c r="B44" s="25" t="s">
        <v>5984</v>
      </c>
      <c r="C44" t="s">
        <v>20</v>
      </c>
      <c r="D44" t="s">
        <v>21</v>
      </c>
      <c r="E44">
        <v>2222222</v>
      </c>
      <c r="F44" s="8" t="s">
        <v>22</v>
      </c>
      <c r="G44" s="2">
        <v>98</v>
      </c>
      <c r="H44" s="2" t="s">
        <v>3796</v>
      </c>
      <c r="I44" s="2" t="s">
        <v>4353</v>
      </c>
      <c r="J44" s="9" t="s">
        <v>4891</v>
      </c>
      <c r="K44" s="2" t="s">
        <v>4873</v>
      </c>
      <c r="L44" s="2">
        <v>1</v>
      </c>
      <c r="M44" s="24" t="s">
        <v>5971</v>
      </c>
      <c r="N44" s="2" t="s">
        <v>23</v>
      </c>
      <c r="O44" s="3" t="s">
        <v>60</v>
      </c>
      <c r="P44" s="18" t="s">
        <v>3781</v>
      </c>
      <c r="Q44" s="6" t="s">
        <v>4475</v>
      </c>
      <c r="T44" s="23">
        <v>44498</v>
      </c>
      <c r="U44" s="23">
        <v>46415</v>
      </c>
      <c r="X44" s="20">
        <v>15000</v>
      </c>
      <c r="Z44" s="6" t="s">
        <v>5978</v>
      </c>
      <c r="AA44" s="15">
        <f>+(0.42/1000)</f>
        <v>4.1999999999999996E-4</v>
      </c>
      <c r="AB44">
        <v>1.0084199999999999</v>
      </c>
      <c r="AC44">
        <v>1.0487567999999998</v>
      </c>
    </row>
    <row r="45" spans="1:29" x14ac:dyDescent="0.3">
      <c r="A45">
        <v>131455</v>
      </c>
      <c r="B45" s="25" t="s">
        <v>5984</v>
      </c>
      <c r="C45" t="s">
        <v>20</v>
      </c>
      <c r="D45" t="s">
        <v>21</v>
      </c>
      <c r="E45">
        <v>2222222</v>
      </c>
      <c r="F45" s="8" t="s">
        <v>22</v>
      </c>
      <c r="G45" s="2">
        <v>98</v>
      </c>
      <c r="H45" s="2" t="s">
        <v>3796</v>
      </c>
      <c r="I45" s="2" t="s">
        <v>4353</v>
      </c>
      <c r="J45" s="9" t="s">
        <v>4892</v>
      </c>
      <c r="K45" s="2" t="s">
        <v>4893</v>
      </c>
      <c r="L45" s="2">
        <v>1</v>
      </c>
      <c r="M45" s="24" t="s">
        <v>5971</v>
      </c>
      <c r="N45" s="2" t="s">
        <v>23</v>
      </c>
      <c r="O45" s="3" t="s">
        <v>61</v>
      </c>
      <c r="P45" s="18" t="s">
        <v>3781</v>
      </c>
      <c r="Q45" s="6" t="s">
        <v>4475</v>
      </c>
      <c r="T45" s="23">
        <v>44900</v>
      </c>
      <c r="U45" s="23">
        <v>46450</v>
      </c>
      <c r="X45" s="20">
        <v>5000</v>
      </c>
      <c r="Z45" s="6" t="s">
        <v>5978</v>
      </c>
      <c r="AA45" s="13">
        <f t="shared" ref="AA45:AA49" si="6">+(0.56/1000)</f>
        <v>5.6000000000000006E-4</v>
      </c>
      <c r="AB45">
        <v>0.62493760000000009</v>
      </c>
      <c r="AC45">
        <v>0.6499351040000001</v>
      </c>
    </row>
    <row r="46" spans="1:29" x14ac:dyDescent="0.3">
      <c r="A46">
        <v>136042</v>
      </c>
      <c r="B46" s="25" t="s">
        <v>5984</v>
      </c>
      <c r="C46" t="s">
        <v>20</v>
      </c>
      <c r="D46" t="s">
        <v>21</v>
      </c>
      <c r="E46">
        <v>2222222</v>
      </c>
      <c r="F46" s="8" t="s">
        <v>22</v>
      </c>
      <c r="G46" s="2">
        <v>98</v>
      </c>
      <c r="H46" s="2" t="s">
        <v>3796</v>
      </c>
      <c r="I46" s="2" t="s">
        <v>4049</v>
      </c>
      <c r="J46" s="9" t="s">
        <v>4894</v>
      </c>
      <c r="K46" s="2" t="s">
        <v>4857</v>
      </c>
      <c r="L46" s="2">
        <v>1</v>
      </c>
      <c r="M46" s="24" t="s">
        <v>5971</v>
      </c>
      <c r="N46" s="2" t="s">
        <v>23</v>
      </c>
      <c r="O46" s="3" t="s">
        <v>62</v>
      </c>
      <c r="P46" s="18" t="s">
        <v>0</v>
      </c>
      <c r="Q46" s="6" t="s">
        <v>4475</v>
      </c>
      <c r="T46" s="23">
        <v>45148</v>
      </c>
      <c r="U46" s="23">
        <v>46613</v>
      </c>
      <c r="X46" s="20">
        <v>5000</v>
      </c>
      <c r="Z46" s="6" t="s">
        <v>5978</v>
      </c>
      <c r="AA46" s="13">
        <f t="shared" si="6"/>
        <v>5.6000000000000006E-4</v>
      </c>
      <c r="AB46">
        <v>0.97932800000000009</v>
      </c>
      <c r="AC46">
        <v>1.01850112</v>
      </c>
    </row>
    <row r="47" spans="1:29" x14ac:dyDescent="0.3">
      <c r="A47">
        <v>137564</v>
      </c>
      <c r="B47" s="25" t="s">
        <v>5984</v>
      </c>
      <c r="C47" t="s">
        <v>20</v>
      </c>
      <c r="D47" t="s">
        <v>21</v>
      </c>
      <c r="E47">
        <v>2222222</v>
      </c>
      <c r="F47" s="8" t="s">
        <v>22</v>
      </c>
      <c r="G47" s="2">
        <v>98</v>
      </c>
      <c r="H47" s="2" t="s">
        <v>3796</v>
      </c>
      <c r="I47" s="2" t="s">
        <v>4380</v>
      </c>
      <c r="J47" s="9" t="s">
        <v>4884</v>
      </c>
      <c r="K47" s="2" t="s">
        <v>4895</v>
      </c>
      <c r="L47" s="2">
        <v>1</v>
      </c>
      <c r="M47" s="24" t="s">
        <v>5971</v>
      </c>
      <c r="N47" s="2" t="s">
        <v>23</v>
      </c>
      <c r="O47" s="3" t="s">
        <v>63</v>
      </c>
      <c r="P47" s="18" t="s">
        <v>3781</v>
      </c>
      <c r="Q47" s="6" t="s">
        <v>4475</v>
      </c>
      <c r="T47" s="23">
        <v>45245</v>
      </c>
      <c r="U47" s="23">
        <v>46706</v>
      </c>
      <c r="X47" s="20">
        <v>12000</v>
      </c>
      <c r="Z47" s="6" t="s">
        <v>5978</v>
      </c>
      <c r="AA47" s="13">
        <f t="shared" si="6"/>
        <v>5.6000000000000006E-4</v>
      </c>
      <c r="AB47">
        <v>2.7350120000000002</v>
      </c>
      <c r="AC47">
        <v>2.8444124800000004</v>
      </c>
    </row>
    <row r="48" spans="1:29" x14ac:dyDescent="0.3">
      <c r="A48">
        <v>137989</v>
      </c>
      <c r="B48" s="25" t="s">
        <v>5984</v>
      </c>
      <c r="C48" t="s">
        <v>20</v>
      </c>
      <c r="D48" t="s">
        <v>21</v>
      </c>
      <c r="E48">
        <v>2222222</v>
      </c>
      <c r="F48" s="8" t="s">
        <v>22</v>
      </c>
      <c r="G48" s="2">
        <v>98</v>
      </c>
      <c r="H48" s="2" t="s">
        <v>3796</v>
      </c>
      <c r="I48" s="2" t="s">
        <v>4743</v>
      </c>
      <c r="J48" s="9" t="s">
        <v>4815</v>
      </c>
      <c r="K48" s="2" t="s">
        <v>4749</v>
      </c>
      <c r="L48" s="2">
        <v>1</v>
      </c>
      <c r="M48" s="24" t="s">
        <v>5971</v>
      </c>
      <c r="N48" s="2" t="s">
        <v>23</v>
      </c>
      <c r="O48" s="3" t="s">
        <v>64</v>
      </c>
      <c r="P48" s="18" t="s">
        <v>0</v>
      </c>
      <c r="Q48" s="6" t="s">
        <v>4475</v>
      </c>
      <c r="T48" s="23">
        <v>45279</v>
      </c>
      <c r="U48" s="23">
        <v>47105</v>
      </c>
      <c r="X48" s="20">
        <v>11980</v>
      </c>
      <c r="Z48" s="6" t="s">
        <v>5978</v>
      </c>
      <c r="AA48" s="13">
        <f t="shared" si="6"/>
        <v>5.6000000000000006E-4</v>
      </c>
      <c r="AB48">
        <v>3.9089624000000005</v>
      </c>
      <c r="AC48">
        <v>4.0653208960000002</v>
      </c>
    </row>
    <row r="49" spans="1:29" x14ac:dyDescent="0.3">
      <c r="A49">
        <v>140195</v>
      </c>
      <c r="B49" s="25" t="s">
        <v>5984</v>
      </c>
      <c r="C49" t="s">
        <v>20</v>
      </c>
      <c r="D49" t="s">
        <v>21</v>
      </c>
      <c r="E49">
        <v>2222222</v>
      </c>
      <c r="F49" s="8" t="s">
        <v>22</v>
      </c>
      <c r="G49" s="2">
        <v>98</v>
      </c>
      <c r="H49" s="2" t="s">
        <v>3796</v>
      </c>
      <c r="I49" s="2" t="s">
        <v>3796</v>
      </c>
      <c r="J49" s="9" t="s">
        <v>4896</v>
      </c>
      <c r="K49" s="2" t="s">
        <v>4897</v>
      </c>
      <c r="L49" s="2">
        <v>1</v>
      </c>
      <c r="M49" s="24" t="s">
        <v>5971</v>
      </c>
      <c r="N49" s="2" t="s">
        <v>23</v>
      </c>
      <c r="O49" s="3" t="s">
        <v>65</v>
      </c>
      <c r="P49" s="18" t="s">
        <v>3781</v>
      </c>
      <c r="Q49" s="6" t="s">
        <v>4475</v>
      </c>
      <c r="T49" s="23">
        <v>45385</v>
      </c>
      <c r="U49" s="23">
        <v>48307</v>
      </c>
      <c r="X49" s="20">
        <v>36000</v>
      </c>
      <c r="Z49" s="6" t="s">
        <v>5978</v>
      </c>
      <c r="AA49" s="13">
        <f t="shared" si="6"/>
        <v>5.6000000000000006E-4</v>
      </c>
      <c r="AB49">
        <v>16.363513600000001</v>
      </c>
      <c r="AC49">
        <v>17.018054144000001</v>
      </c>
    </row>
    <row r="50" spans="1:29" x14ac:dyDescent="0.3">
      <c r="A50">
        <v>143893</v>
      </c>
      <c r="B50" s="25" t="s">
        <v>5984</v>
      </c>
      <c r="C50" t="s">
        <v>20</v>
      </c>
      <c r="D50" t="s">
        <v>21</v>
      </c>
      <c r="E50">
        <v>2222222</v>
      </c>
      <c r="F50" s="8" t="s">
        <v>22</v>
      </c>
      <c r="G50" s="2">
        <v>98</v>
      </c>
      <c r="H50" s="2" t="s">
        <v>3796</v>
      </c>
      <c r="I50" s="2" t="s">
        <v>4353</v>
      </c>
      <c r="J50" s="9" t="s">
        <v>4898</v>
      </c>
      <c r="K50" s="2" t="s">
        <v>4899</v>
      </c>
      <c r="L50" s="2">
        <v>1</v>
      </c>
      <c r="M50" s="24" t="s">
        <v>5971</v>
      </c>
      <c r="N50" s="2" t="s">
        <v>23</v>
      </c>
      <c r="O50" s="3" t="s">
        <v>66</v>
      </c>
      <c r="P50" s="18" t="s">
        <v>3781</v>
      </c>
      <c r="Q50" s="6" t="s">
        <v>4475</v>
      </c>
      <c r="T50" s="23">
        <v>45623</v>
      </c>
      <c r="U50" s="23">
        <v>46718</v>
      </c>
      <c r="X50" s="20">
        <v>5000</v>
      </c>
      <c r="Z50" s="6" t="s">
        <v>5978</v>
      </c>
      <c r="AA50" s="14">
        <f t="shared" ref="AA50:AA54" si="7">+(0.6/1000)</f>
        <v>5.9999999999999995E-4</v>
      </c>
      <c r="AB50">
        <v>1.5335579999999998</v>
      </c>
      <c r="AC50">
        <v>1.5949003199999998</v>
      </c>
    </row>
    <row r="51" spans="1:29" x14ac:dyDescent="0.3">
      <c r="A51">
        <v>144115</v>
      </c>
      <c r="B51" s="25" t="s">
        <v>5984</v>
      </c>
      <c r="C51" t="s">
        <v>20</v>
      </c>
      <c r="D51" t="s">
        <v>21</v>
      </c>
      <c r="E51">
        <v>2222222</v>
      </c>
      <c r="F51" s="8" t="s">
        <v>22</v>
      </c>
      <c r="G51" s="2">
        <v>98</v>
      </c>
      <c r="H51" s="2" t="s">
        <v>3796</v>
      </c>
      <c r="I51" s="2" t="s">
        <v>4744</v>
      </c>
      <c r="J51" s="9" t="s">
        <v>4900</v>
      </c>
      <c r="K51" s="2" t="s">
        <v>4901</v>
      </c>
      <c r="L51" s="2">
        <v>1</v>
      </c>
      <c r="M51" s="24" t="s">
        <v>5971</v>
      </c>
      <c r="N51" s="2" t="s">
        <v>23</v>
      </c>
      <c r="O51" s="3" t="s">
        <v>67</v>
      </c>
      <c r="P51" s="18" t="s">
        <v>0</v>
      </c>
      <c r="Q51" s="6" t="s">
        <v>4475</v>
      </c>
      <c r="T51" s="23">
        <v>45639</v>
      </c>
      <c r="U51" s="23">
        <v>47464</v>
      </c>
      <c r="X51" s="20">
        <v>20000</v>
      </c>
      <c r="Z51" s="6" t="s">
        <v>5978</v>
      </c>
      <c r="AA51" s="14">
        <f t="shared" si="7"/>
        <v>5.9999999999999995E-4</v>
      </c>
      <c r="AB51">
        <v>3.5853959999999998</v>
      </c>
      <c r="AC51">
        <v>3.7288118400000001</v>
      </c>
    </row>
    <row r="52" spans="1:29" x14ac:dyDescent="0.3">
      <c r="A52">
        <v>145066</v>
      </c>
      <c r="B52" s="25" t="s">
        <v>5984</v>
      </c>
      <c r="C52" t="s">
        <v>20</v>
      </c>
      <c r="D52" t="s">
        <v>21</v>
      </c>
      <c r="E52">
        <v>2222222</v>
      </c>
      <c r="F52" s="8" t="s">
        <v>22</v>
      </c>
      <c r="G52" s="2">
        <v>98</v>
      </c>
      <c r="H52" s="2" t="s">
        <v>3796</v>
      </c>
      <c r="I52" s="2" t="s">
        <v>4745</v>
      </c>
      <c r="J52" s="9" t="s">
        <v>4865</v>
      </c>
      <c r="K52" s="2" t="s">
        <v>4902</v>
      </c>
      <c r="L52" s="2">
        <v>1</v>
      </c>
      <c r="M52" s="24" t="s">
        <v>5971</v>
      </c>
      <c r="N52" s="2" t="s">
        <v>23</v>
      </c>
      <c r="O52" s="3" t="s">
        <v>68</v>
      </c>
      <c r="P52" s="18" t="s">
        <v>0</v>
      </c>
      <c r="Q52" s="6" t="s">
        <v>4475</v>
      </c>
      <c r="T52" s="23">
        <v>45709</v>
      </c>
      <c r="U52" s="23">
        <v>46806</v>
      </c>
      <c r="X52" s="20">
        <v>5070</v>
      </c>
      <c r="Z52" s="6" t="s">
        <v>5978</v>
      </c>
      <c r="AA52" s="14">
        <f t="shared" si="7"/>
        <v>5.9999999999999995E-4</v>
      </c>
      <c r="AB52">
        <v>1.7650139999999999</v>
      </c>
      <c r="AC52">
        <v>1.83561456</v>
      </c>
    </row>
    <row r="53" spans="1:29" x14ac:dyDescent="0.3">
      <c r="A53">
        <v>146260</v>
      </c>
      <c r="B53" s="25" t="s">
        <v>5984</v>
      </c>
      <c r="C53" t="s">
        <v>20</v>
      </c>
      <c r="D53" t="s">
        <v>21</v>
      </c>
      <c r="E53">
        <v>2222222</v>
      </c>
      <c r="F53" s="8" t="s">
        <v>22</v>
      </c>
      <c r="G53" s="2">
        <v>98</v>
      </c>
      <c r="H53" s="2" t="s">
        <v>3796</v>
      </c>
      <c r="I53" s="2" t="s">
        <v>4251</v>
      </c>
      <c r="J53" s="9" t="s">
        <v>4903</v>
      </c>
      <c r="K53" s="2" t="s">
        <v>4904</v>
      </c>
      <c r="L53" s="2">
        <v>1</v>
      </c>
      <c r="M53" s="24" t="s">
        <v>5971</v>
      </c>
      <c r="N53" s="2" t="s">
        <v>23</v>
      </c>
      <c r="O53" s="3" t="s">
        <v>69</v>
      </c>
      <c r="P53" s="18" t="s">
        <v>3781</v>
      </c>
      <c r="Q53" s="6" t="s">
        <v>4475</v>
      </c>
      <c r="T53" s="23">
        <v>45805</v>
      </c>
      <c r="U53" s="23">
        <v>46534</v>
      </c>
      <c r="X53" s="20">
        <v>850</v>
      </c>
      <c r="Z53" s="6" t="s">
        <v>5978</v>
      </c>
      <c r="AA53" s="14">
        <f t="shared" si="7"/>
        <v>5.9999999999999995E-4</v>
      </c>
      <c r="AB53">
        <v>0.22999199999999997</v>
      </c>
      <c r="AC53">
        <v>0.23919167999999999</v>
      </c>
    </row>
    <row r="54" spans="1:29" x14ac:dyDescent="0.3">
      <c r="A54">
        <v>147384</v>
      </c>
      <c r="B54" s="25" t="s">
        <v>5984</v>
      </c>
      <c r="C54" t="s">
        <v>20</v>
      </c>
      <c r="D54" t="s">
        <v>21</v>
      </c>
      <c r="E54">
        <v>2222222</v>
      </c>
      <c r="F54" s="8" t="s">
        <v>22</v>
      </c>
      <c r="G54" s="2">
        <v>98</v>
      </c>
      <c r="H54" s="2" t="s">
        <v>3796</v>
      </c>
      <c r="I54" s="2" t="s">
        <v>4746</v>
      </c>
      <c r="J54" s="9" t="s">
        <v>4905</v>
      </c>
      <c r="K54" s="2" t="s">
        <v>4906</v>
      </c>
      <c r="L54" s="2">
        <v>1</v>
      </c>
      <c r="M54" s="24" t="s">
        <v>5971</v>
      </c>
      <c r="N54" s="2" t="s">
        <v>23</v>
      </c>
      <c r="O54" s="3" t="s">
        <v>70</v>
      </c>
      <c r="P54" s="18" t="s">
        <v>0</v>
      </c>
      <c r="Q54" s="6" t="s">
        <v>4475</v>
      </c>
      <c r="T54" s="23">
        <v>45887</v>
      </c>
      <c r="U54" s="23">
        <v>46800</v>
      </c>
      <c r="X54" s="20">
        <v>2100</v>
      </c>
      <c r="Z54" s="6" t="s">
        <v>5978</v>
      </c>
      <c r="AA54" s="14">
        <f t="shared" si="7"/>
        <v>5.9999999999999995E-4</v>
      </c>
      <c r="AB54">
        <v>0.85826399999999992</v>
      </c>
      <c r="AC54">
        <v>0.89259455999999993</v>
      </c>
    </row>
    <row r="55" spans="1:29" x14ac:dyDescent="0.3">
      <c r="A55">
        <v>148510</v>
      </c>
      <c r="B55" s="25" t="s">
        <v>5984</v>
      </c>
      <c r="C55" t="s">
        <v>20</v>
      </c>
      <c r="D55" t="s">
        <v>21</v>
      </c>
      <c r="E55">
        <v>2222222</v>
      </c>
      <c r="F55" s="8" t="s">
        <v>22</v>
      </c>
      <c r="G55" s="2">
        <v>98</v>
      </c>
      <c r="H55" s="2" t="s">
        <v>3796</v>
      </c>
      <c r="I55" s="2" t="s">
        <v>3896</v>
      </c>
      <c r="J55" s="9" t="s">
        <v>4907</v>
      </c>
      <c r="K55" s="2" t="s">
        <v>4863</v>
      </c>
      <c r="L55" s="2">
        <v>1</v>
      </c>
      <c r="M55" s="24" t="s">
        <v>5971</v>
      </c>
      <c r="N55" s="2" t="s">
        <v>23</v>
      </c>
      <c r="O55" s="3" t="s">
        <v>71</v>
      </c>
      <c r="P55" s="18" t="s">
        <v>3781</v>
      </c>
      <c r="Q55" s="6" t="s">
        <v>4475</v>
      </c>
      <c r="T55" s="23">
        <v>44134</v>
      </c>
      <c r="U55" s="23">
        <v>46326</v>
      </c>
      <c r="X55" s="20">
        <v>12200</v>
      </c>
      <c r="Z55" s="6" t="s">
        <v>5978</v>
      </c>
      <c r="AA55" s="15">
        <f>+(0.42/1000)</f>
        <v>4.1999999999999996E-4</v>
      </c>
      <c r="AB55">
        <v>0.54561779999999993</v>
      </c>
      <c r="AC55">
        <v>0.56744251199999995</v>
      </c>
    </row>
    <row r="56" spans="1:29" x14ac:dyDescent="0.3">
      <c r="A56">
        <v>148633</v>
      </c>
      <c r="B56" s="25" t="s">
        <v>5984</v>
      </c>
      <c r="C56" t="s">
        <v>20</v>
      </c>
      <c r="D56" t="s">
        <v>21</v>
      </c>
      <c r="E56">
        <v>2222222</v>
      </c>
      <c r="F56" s="8" t="s">
        <v>22</v>
      </c>
      <c r="G56" s="2">
        <v>98</v>
      </c>
      <c r="H56" s="2" t="s">
        <v>3796</v>
      </c>
      <c r="I56" s="2" t="s">
        <v>4141</v>
      </c>
      <c r="J56" s="9" t="s">
        <v>4908</v>
      </c>
      <c r="K56" s="2" t="s">
        <v>4815</v>
      </c>
      <c r="L56" s="2">
        <v>1</v>
      </c>
      <c r="M56" s="24" t="s">
        <v>5971</v>
      </c>
      <c r="N56" s="2" t="s">
        <v>23</v>
      </c>
      <c r="O56" s="3" t="s">
        <v>72</v>
      </c>
      <c r="P56" s="18" t="s">
        <v>0</v>
      </c>
      <c r="Q56" s="6" t="s">
        <v>4475</v>
      </c>
      <c r="T56" s="23">
        <v>45974</v>
      </c>
      <c r="U56" s="23">
        <v>46704</v>
      </c>
      <c r="X56" s="20">
        <v>10000</v>
      </c>
      <c r="Z56" s="6" t="s">
        <v>5978</v>
      </c>
      <c r="AA56" s="14">
        <f t="shared" ref="AA56:AA63" si="8">+(0.6/1000)</f>
        <v>5.9999999999999995E-4</v>
      </c>
      <c r="AB56">
        <v>4.1820839999999997</v>
      </c>
      <c r="AC56">
        <v>4.3493673599999996</v>
      </c>
    </row>
    <row r="57" spans="1:29" x14ac:dyDescent="0.3">
      <c r="A57">
        <v>149454</v>
      </c>
      <c r="B57" s="25" t="s">
        <v>5984</v>
      </c>
      <c r="C57" t="s">
        <v>20</v>
      </c>
      <c r="D57" t="s">
        <v>21</v>
      </c>
      <c r="E57">
        <v>2222222</v>
      </c>
      <c r="F57" s="8" t="s">
        <v>22</v>
      </c>
      <c r="G57" s="2">
        <v>98</v>
      </c>
      <c r="H57" s="2" t="s">
        <v>3796</v>
      </c>
      <c r="I57" s="2" t="s">
        <v>4251</v>
      </c>
      <c r="J57" s="9" t="s">
        <v>4909</v>
      </c>
      <c r="K57" s="2" t="s">
        <v>4859</v>
      </c>
      <c r="L57" s="2">
        <v>1</v>
      </c>
      <c r="M57" s="24" t="s">
        <v>5971</v>
      </c>
      <c r="N57" s="2" t="s">
        <v>23</v>
      </c>
      <c r="O57" s="3" t="s">
        <v>73</v>
      </c>
      <c r="P57" s="18" t="s">
        <v>3781</v>
      </c>
      <c r="Q57" s="6" t="s">
        <v>4475</v>
      </c>
      <c r="T57" s="23">
        <v>46030</v>
      </c>
      <c r="U57" s="23">
        <v>46759</v>
      </c>
      <c r="X57" s="20">
        <v>4280</v>
      </c>
      <c r="Z57" s="6" t="s">
        <v>5978</v>
      </c>
      <c r="AA57" s="14">
        <f t="shared" si="8"/>
        <v>5.9999999999999995E-4</v>
      </c>
      <c r="AB57">
        <v>1.9764359999999999</v>
      </c>
      <c r="AC57">
        <v>2.0554934399999998</v>
      </c>
    </row>
    <row r="58" spans="1:29" x14ac:dyDescent="0.3">
      <c r="A58">
        <v>150551</v>
      </c>
      <c r="B58" s="25" t="s">
        <v>5984</v>
      </c>
      <c r="C58" t="s">
        <v>20</v>
      </c>
      <c r="D58" t="s">
        <v>21</v>
      </c>
      <c r="E58">
        <v>2222222</v>
      </c>
      <c r="F58" s="8" t="s">
        <v>22</v>
      </c>
      <c r="G58" s="2">
        <v>98</v>
      </c>
      <c r="H58" s="2" t="s">
        <v>3796</v>
      </c>
      <c r="I58" s="2" t="s">
        <v>4166</v>
      </c>
      <c r="J58" s="9" t="s">
        <v>4836</v>
      </c>
      <c r="K58" s="2" t="s">
        <v>4837</v>
      </c>
      <c r="L58" s="2">
        <v>1</v>
      </c>
      <c r="M58" s="24" t="s">
        <v>5971</v>
      </c>
      <c r="N58" s="2" t="s">
        <v>23</v>
      </c>
      <c r="O58" s="3" t="s">
        <v>74</v>
      </c>
      <c r="P58" s="18" t="s">
        <v>3781</v>
      </c>
      <c r="Q58" s="6" t="s">
        <v>4475</v>
      </c>
      <c r="T58" s="23">
        <v>46100</v>
      </c>
      <c r="U58" s="23">
        <v>46831</v>
      </c>
      <c r="X58" s="20">
        <v>2850</v>
      </c>
      <c r="Z58" s="6" t="s">
        <v>5978</v>
      </c>
      <c r="AA58" s="14">
        <f t="shared" si="8"/>
        <v>5.9999999999999995E-4</v>
      </c>
      <c r="AB58">
        <v>1.5266339999999998</v>
      </c>
      <c r="AC58">
        <v>1.5876993599999998</v>
      </c>
    </row>
    <row r="59" spans="1:29" x14ac:dyDescent="0.3">
      <c r="A59">
        <v>151341</v>
      </c>
      <c r="B59" s="25" t="s">
        <v>5984</v>
      </c>
      <c r="C59" t="s">
        <v>20</v>
      </c>
      <c r="D59" t="s">
        <v>21</v>
      </c>
      <c r="E59">
        <v>2222222</v>
      </c>
      <c r="F59" s="8" t="s">
        <v>22</v>
      </c>
      <c r="G59" s="2">
        <v>98</v>
      </c>
      <c r="H59" s="2" t="s">
        <v>3796</v>
      </c>
      <c r="I59" s="2" t="s">
        <v>4353</v>
      </c>
      <c r="J59" s="9" t="s">
        <v>4898</v>
      </c>
      <c r="K59" s="2" t="s">
        <v>4899</v>
      </c>
      <c r="L59" s="2">
        <v>1</v>
      </c>
      <c r="M59" s="24" t="s">
        <v>5971</v>
      </c>
      <c r="N59" s="2" t="s">
        <v>23</v>
      </c>
      <c r="O59" s="3" t="s">
        <v>66</v>
      </c>
      <c r="P59" s="18" t="s">
        <v>3781</v>
      </c>
      <c r="Q59" s="6" t="s">
        <v>4475</v>
      </c>
      <c r="T59" s="23">
        <v>46157</v>
      </c>
      <c r="U59" s="23">
        <v>47252</v>
      </c>
      <c r="X59" s="20">
        <v>3500</v>
      </c>
      <c r="Z59" s="6" t="s">
        <v>5978</v>
      </c>
      <c r="AA59" s="14">
        <f t="shared" si="8"/>
        <v>5.9999999999999995E-4</v>
      </c>
      <c r="AB59">
        <v>2.0086139999999997</v>
      </c>
      <c r="AC59">
        <v>2.0889585599999996</v>
      </c>
    </row>
    <row r="60" spans="1:29" x14ac:dyDescent="0.3">
      <c r="A60">
        <v>151559</v>
      </c>
      <c r="B60" s="25" t="s">
        <v>5984</v>
      </c>
      <c r="C60" t="s">
        <v>20</v>
      </c>
      <c r="D60" t="s">
        <v>21</v>
      </c>
      <c r="E60">
        <v>2222222</v>
      </c>
      <c r="F60" s="8" t="s">
        <v>22</v>
      </c>
      <c r="G60" s="2">
        <v>98</v>
      </c>
      <c r="H60" s="2" t="s">
        <v>3796</v>
      </c>
      <c r="I60" s="2" t="s">
        <v>4251</v>
      </c>
      <c r="J60" s="9" t="s">
        <v>4836</v>
      </c>
      <c r="K60" s="2" t="s">
        <v>4910</v>
      </c>
      <c r="L60" s="2">
        <v>1</v>
      </c>
      <c r="M60" s="24" t="s">
        <v>5971</v>
      </c>
      <c r="N60" s="2" t="s">
        <v>23</v>
      </c>
      <c r="O60" s="3" t="s">
        <v>75</v>
      </c>
      <c r="P60" s="18" t="s">
        <v>3781</v>
      </c>
      <c r="Q60" s="6" t="s">
        <v>4475</v>
      </c>
      <c r="T60" s="23">
        <v>46173</v>
      </c>
      <c r="U60" s="23">
        <v>47998</v>
      </c>
      <c r="X60" s="20">
        <v>6560</v>
      </c>
      <c r="Z60" s="6" t="s">
        <v>5978</v>
      </c>
      <c r="AA60" s="14">
        <f t="shared" si="8"/>
        <v>5.9999999999999995E-4</v>
      </c>
      <c r="AB60">
        <v>3.9359999999999995</v>
      </c>
      <c r="AC60">
        <v>4.0934399999999993</v>
      </c>
    </row>
    <row r="61" spans="1:29" x14ac:dyDescent="0.3">
      <c r="A61">
        <v>151561</v>
      </c>
      <c r="B61" s="25" t="s">
        <v>5984</v>
      </c>
      <c r="C61" t="s">
        <v>20</v>
      </c>
      <c r="D61" t="s">
        <v>21</v>
      </c>
      <c r="E61">
        <v>2222222</v>
      </c>
      <c r="F61" s="8" t="s">
        <v>22</v>
      </c>
      <c r="G61" s="2">
        <v>98</v>
      </c>
      <c r="H61" s="2" t="s">
        <v>3796</v>
      </c>
      <c r="I61" s="2" t="s">
        <v>4251</v>
      </c>
      <c r="J61" s="9" t="s">
        <v>4909</v>
      </c>
      <c r="K61" s="2" t="s">
        <v>4859</v>
      </c>
      <c r="L61" s="2">
        <v>1</v>
      </c>
      <c r="M61" s="24" t="s">
        <v>5971</v>
      </c>
      <c r="N61" s="2" t="s">
        <v>23</v>
      </c>
      <c r="O61" s="3" t="s">
        <v>73</v>
      </c>
      <c r="P61" s="18" t="s">
        <v>3781</v>
      </c>
      <c r="Q61" s="6" t="s">
        <v>4475</v>
      </c>
      <c r="T61" s="23">
        <v>46174</v>
      </c>
      <c r="U61" s="23">
        <v>46264</v>
      </c>
      <c r="X61" s="20">
        <v>1500</v>
      </c>
      <c r="Z61" s="6" t="s">
        <v>5978</v>
      </c>
      <c r="AA61" s="14">
        <f t="shared" si="8"/>
        <v>5.9999999999999995E-4</v>
      </c>
      <c r="AB61">
        <v>0.89999999999999991</v>
      </c>
      <c r="AC61">
        <v>0.93599999999999994</v>
      </c>
    </row>
    <row r="62" spans="1:29" x14ac:dyDescent="0.3">
      <c r="A62">
        <v>151662</v>
      </c>
      <c r="B62" s="25" t="s">
        <v>5984</v>
      </c>
      <c r="C62" t="s">
        <v>20</v>
      </c>
      <c r="D62" t="s">
        <v>21</v>
      </c>
      <c r="E62">
        <v>2222222</v>
      </c>
      <c r="F62" s="8" t="s">
        <v>22</v>
      </c>
      <c r="G62" s="2">
        <v>98</v>
      </c>
      <c r="H62" s="2" t="s">
        <v>3796</v>
      </c>
      <c r="I62" s="2" t="s">
        <v>4353</v>
      </c>
      <c r="J62" s="9" t="s">
        <v>4911</v>
      </c>
      <c r="K62" s="2" t="s">
        <v>4912</v>
      </c>
      <c r="L62" s="2">
        <v>1</v>
      </c>
      <c r="M62" s="24" t="s">
        <v>5971</v>
      </c>
      <c r="N62" s="2" t="s">
        <v>23</v>
      </c>
      <c r="O62" s="3" t="s">
        <v>76</v>
      </c>
      <c r="P62" s="18" t="s">
        <v>3781</v>
      </c>
      <c r="Q62" s="6" t="s">
        <v>4475</v>
      </c>
      <c r="T62" s="23">
        <v>46177</v>
      </c>
      <c r="U62" s="23">
        <v>46267</v>
      </c>
      <c r="X62" s="20">
        <v>4500</v>
      </c>
      <c r="Z62" s="6" t="s">
        <v>5978</v>
      </c>
      <c r="AA62" s="14">
        <f t="shared" si="8"/>
        <v>5.9999999999999995E-4</v>
      </c>
      <c r="AB62">
        <v>2.6999999999999997</v>
      </c>
      <c r="AC62">
        <v>2.8079999999999998</v>
      </c>
    </row>
    <row r="63" spans="1:29" x14ac:dyDescent="0.3">
      <c r="A63">
        <v>151882</v>
      </c>
      <c r="B63" s="25" t="s">
        <v>5984</v>
      </c>
      <c r="C63" t="s">
        <v>20</v>
      </c>
      <c r="D63" t="s">
        <v>21</v>
      </c>
      <c r="E63">
        <v>2222222</v>
      </c>
      <c r="F63" s="8" t="s">
        <v>22</v>
      </c>
      <c r="G63" s="2">
        <v>98</v>
      </c>
      <c r="H63" s="2" t="s">
        <v>3796</v>
      </c>
      <c r="I63" s="2" t="s">
        <v>3796</v>
      </c>
      <c r="J63" s="9" t="s">
        <v>4896</v>
      </c>
      <c r="K63" s="2" t="s">
        <v>4897</v>
      </c>
      <c r="L63" s="2">
        <v>1</v>
      </c>
      <c r="M63" s="24" t="s">
        <v>5971</v>
      </c>
      <c r="N63" s="2" t="s">
        <v>23</v>
      </c>
      <c r="O63" s="3" t="s">
        <v>65</v>
      </c>
      <c r="P63" s="18" t="s">
        <v>3781</v>
      </c>
      <c r="Q63" s="6" t="s">
        <v>4475</v>
      </c>
      <c r="T63" s="23">
        <v>46194</v>
      </c>
      <c r="U63" s="23">
        <v>48020</v>
      </c>
      <c r="X63" s="20">
        <v>5000</v>
      </c>
      <c r="Z63" s="6" t="s">
        <v>5978</v>
      </c>
      <c r="AA63" s="14">
        <f t="shared" si="8"/>
        <v>5.9999999999999995E-4</v>
      </c>
      <c r="AB63">
        <v>2.96841</v>
      </c>
      <c r="AC63">
        <v>3.0871464</v>
      </c>
    </row>
    <row r="64" spans="1:29" x14ac:dyDescent="0.3">
      <c r="A64">
        <v>135004</v>
      </c>
      <c r="B64" s="25" t="s">
        <v>5984</v>
      </c>
      <c r="C64" t="s">
        <v>20</v>
      </c>
      <c r="D64" t="s">
        <v>21</v>
      </c>
      <c r="E64">
        <v>2222222</v>
      </c>
      <c r="F64" s="8" t="s">
        <v>22</v>
      </c>
      <c r="G64" s="2">
        <v>98</v>
      </c>
      <c r="H64" s="2" t="s">
        <v>3797</v>
      </c>
      <c r="I64" s="2" t="s">
        <v>4353</v>
      </c>
      <c r="J64" s="9" t="s">
        <v>4872</v>
      </c>
      <c r="K64" s="2" t="s">
        <v>4904</v>
      </c>
      <c r="L64" s="2">
        <v>1</v>
      </c>
      <c r="M64" s="24" t="s">
        <v>5971</v>
      </c>
      <c r="N64" s="2" t="s">
        <v>23</v>
      </c>
      <c r="O64" s="3" t="s">
        <v>77</v>
      </c>
      <c r="P64" s="18" t="s">
        <v>3781</v>
      </c>
      <c r="Q64" s="6" t="s">
        <v>4475</v>
      </c>
      <c r="T64" s="23">
        <v>45086</v>
      </c>
      <c r="U64" s="23">
        <v>46644</v>
      </c>
      <c r="X64" s="20">
        <v>5000</v>
      </c>
      <c r="Z64" s="6" t="s">
        <v>5978</v>
      </c>
      <c r="AA64" s="13">
        <f>+(0.56/1000)</f>
        <v>5.6000000000000006E-4</v>
      </c>
      <c r="AB64">
        <v>1.1154192000000001</v>
      </c>
      <c r="AC64">
        <v>1.1600359680000001</v>
      </c>
    </row>
    <row r="65" spans="1:29" x14ac:dyDescent="0.3">
      <c r="A65">
        <v>149640</v>
      </c>
      <c r="B65" s="25" t="s">
        <v>5984</v>
      </c>
      <c r="C65" t="s">
        <v>20</v>
      </c>
      <c r="D65" t="s">
        <v>21</v>
      </c>
      <c r="E65">
        <v>2222222</v>
      </c>
      <c r="F65" s="8" t="s">
        <v>22</v>
      </c>
      <c r="G65" s="2">
        <v>98</v>
      </c>
      <c r="H65" s="2" t="s">
        <v>3797</v>
      </c>
      <c r="I65" s="2" t="s">
        <v>4587</v>
      </c>
      <c r="J65" s="9" t="s">
        <v>4852</v>
      </c>
      <c r="K65" s="2" t="s">
        <v>4913</v>
      </c>
      <c r="L65" s="2">
        <v>1</v>
      </c>
      <c r="M65" s="24" t="s">
        <v>5971</v>
      </c>
      <c r="N65" s="2" t="s">
        <v>23</v>
      </c>
      <c r="O65" s="3" t="s">
        <v>78</v>
      </c>
      <c r="P65" s="18" t="s">
        <v>0</v>
      </c>
      <c r="Q65" s="6" t="s">
        <v>4475</v>
      </c>
      <c r="T65" s="23">
        <v>46038</v>
      </c>
      <c r="U65" s="23">
        <v>47133</v>
      </c>
      <c r="X65" s="20">
        <v>4000</v>
      </c>
      <c r="Z65" s="6" t="s">
        <v>5978</v>
      </c>
      <c r="AA65" s="14">
        <f t="shared" ref="AA65:AA67" si="9">+(0.6/1000)</f>
        <v>5.9999999999999995E-4</v>
      </c>
      <c r="AB65">
        <v>2.077518</v>
      </c>
      <c r="AC65">
        <v>2.16061872</v>
      </c>
    </row>
    <row r="66" spans="1:29" x14ac:dyDescent="0.3">
      <c r="A66">
        <v>149533</v>
      </c>
      <c r="B66" s="25" t="s">
        <v>5984</v>
      </c>
      <c r="C66" t="s">
        <v>20</v>
      </c>
      <c r="D66" t="s">
        <v>21</v>
      </c>
      <c r="E66">
        <v>2222222</v>
      </c>
      <c r="F66" s="8" t="s">
        <v>22</v>
      </c>
      <c r="G66" s="2">
        <v>98</v>
      </c>
      <c r="H66" s="2" t="s">
        <v>3798</v>
      </c>
      <c r="I66" s="2" t="s">
        <v>3965</v>
      </c>
      <c r="J66" s="9" t="s">
        <v>4914</v>
      </c>
      <c r="K66" s="2" t="s">
        <v>4915</v>
      </c>
      <c r="L66" s="2">
        <v>1</v>
      </c>
      <c r="M66" s="24" t="s">
        <v>5971</v>
      </c>
      <c r="N66" s="2" t="s">
        <v>23</v>
      </c>
      <c r="O66" s="3" t="s">
        <v>79</v>
      </c>
      <c r="P66" s="18" t="s">
        <v>3781</v>
      </c>
      <c r="Q66" s="6" t="s">
        <v>4475</v>
      </c>
      <c r="T66" s="23">
        <v>46031</v>
      </c>
      <c r="U66" s="23">
        <v>47491</v>
      </c>
      <c r="X66" s="20">
        <v>2940</v>
      </c>
      <c r="Z66" s="6" t="s">
        <v>5978</v>
      </c>
      <c r="AA66" s="14">
        <f t="shared" si="9"/>
        <v>5.9999999999999995E-4</v>
      </c>
      <c r="AB66">
        <v>1.6044719999999999</v>
      </c>
      <c r="AC66">
        <v>1.6686508799999999</v>
      </c>
    </row>
    <row r="67" spans="1:29" x14ac:dyDescent="0.3">
      <c r="A67">
        <v>151631</v>
      </c>
      <c r="B67" s="25" t="s">
        <v>5984</v>
      </c>
      <c r="C67" t="s">
        <v>20</v>
      </c>
      <c r="D67" t="s">
        <v>21</v>
      </c>
      <c r="E67">
        <v>2222222</v>
      </c>
      <c r="F67" s="8" t="s">
        <v>22</v>
      </c>
      <c r="G67" s="2">
        <v>98</v>
      </c>
      <c r="H67" s="2" t="s">
        <v>3798</v>
      </c>
      <c r="I67" s="2" t="s">
        <v>3965</v>
      </c>
      <c r="J67" s="9" t="s">
        <v>4916</v>
      </c>
      <c r="K67" s="2" t="s">
        <v>4845</v>
      </c>
      <c r="L67" s="2">
        <v>1</v>
      </c>
      <c r="M67" s="24" t="s">
        <v>5971</v>
      </c>
      <c r="N67" s="2" t="s">
        <v>23</v>
      </c>
      <c r="O67" s="3" t="s">
        <v>80</v>
      </c>
      <c r="P67" s="18" t="s">
        <v>3781</v>
      </c>
      <c r="Q67" s="6" t="s">
        <v>4475</v>
      </c>
      <c r="T67" s="23">
        <v>46176</v>
      </c>
      <c r="U67" s="23">
        <v>46296</v>
      </c>
      <c r="X67" s="20">
        <v>33330</v>
      </c>
      <c r="Z67" s="6" t="s">
        <v>5978</v>
      </c>
      <c r="AA67" s="14">
        <f t="shared" si="9"/>
        <v>5.9999999999999995E-4</v>
      </c>
      <c r="AB67">
        <v>19.997999999999998</v>
      </c>
      <c r="AC67">
        <v>20.797919999999998</v>
      </c>
    </row>
    <row r="68" spans="1:29" x14ac:dyDescent="0.3">
      <c r="A68">
        <v>135166</v>
      </c>
      <c r="B68" s="25" t="s">
        <v>5984</v>
      </c>
      <c r="C68" t="s">
        <v>20</v>
      </c>
      <c r="D68" t="s">
        <v>21</v>
      </c>
      <c r="E68">
        <v>2222222</v>
      </c>
      <c r="F68" s="8" t="s">
        <v>22</v>
      </c>
      <c r="G68" s="2">
        <v>98</v>
      </c>
      <c r="H68" s="2" t="s">
        <v>3799</v>
      </c>
      <c r="I68" s="2" t="s">
        <v>4240</v>
      </c>
      <c r="J68" s="9" t="s">
        <v>4917</v>
      </c>
      <c r="K68" s="2" t="s">
        <v>4918</v>
      </c>
      <c r="L68" s="2">
        <v>1</v>
      </c>
      <c r="M68" s="24" t="s">
        <v>5971</v>
      </c>
      <c r="N68" s="2" t="s">
        <v>23</v>
      </c>
      <c r="O68" s="3" t="s">
        <v>81</v>
      </c>
      <c r="P68" s="18" t="s">
        <v>3781</v>
      </c>
      <c r="Q68" s="6" t="s">
        <v>4475</v>
      </c>
      <c r="T68" s="23">
        <v>45097</v>
      </c>
      <c r="U68" s="23">
        <v>46924</v>
      </c>
      <c r="X68" s="20">
        <v>2230</v>
      </c>
      <c r="Z68" s="6" t="s">
        <v>5978</v>
      </c>
      <c r="AA68" s="13">
        <f>+(0.56/1000)</f>
        <v>5.6000000000000006E-4</v>
      </c>
      <c r="AB68">
        <v>1.2060048000000001</v>
      </c>
      <c r="AC68">
        <v>1.2542449920000001</v>
      </c>
    </row>
    <row r="69" spans="1:29" x14ac:dyDescent="0.3">
      <c r="A69">
        <v>115295</v>
      </c>
      <c r="B69" s="25" t="s">
        <v>5984</v>
      </c>
      <c r="C69" t="s">
        <v>20</v>
      </c>
      <c r="D69" t="s">
        <v>21</v>
      </c>
      <c r="E69">
        <v>2222222</v>
      </c>
      <c r="F69" s="8" t="s">
        <v>22</v>
      </c>
      <c r="G69" s="2">
        <v>98</v>
      </c>
      <c r="H69" s="2" t="s">
        <v>3800</v>
      </c>
      <c r="I69" s="2" t="s">
        <v>4110</v>
      </c>
      <c r="J69" s="9" t="s">
        <v>4919</v>
      </c>
      <c r="K69" s="2" t="s">
        <v>4920</v>
      </c>
      <c r="L69" s="2">
        <v>1</v>
      </c>
      <c r="M69" s="24" t="s">
        <v>5971</v>
      </c>
      <c r="N69" s="2" t="s">
        <v>23</v>
      </c>
      <c r="O69" s="3" t="s">
        <v>82</v>
      </c>
      <c r="P69" s="18" t="s">
        <v>0</v>
      </c>
      <c r="Q69" s="6" t="s">
        <v>4475</v>
      </c>
      <c r="T69" s="23">
        <v>44085</v>
      </c>
      <c r="U69" s="23">
        <v>46650</v>
      </c>
      <c r="X69" s="20">
        <v>38402.910000000003</v>
      </c>
      <c r="Z69" s="6" t="s">
        <v>5978</v>
      </c>
      <c r="AA69" s="15">
        <f>+(0.42/1000)</f>
        <v>4.1999999999999996E-4</v>
      </c>
      <c r="AB69">
        <v>5.4449471999999997</v>
      </c>
      <c r="AC69">
        <v>5.6627450879999994</v>
      </c>
    </row>
    <row r="70" spans="1:29" x14ac:dyDescent="0.3">
      <c r="A70">
        <v>148829</v>
      </c>
      <c r="B70" s="25" t="s">
        <v>5984</v>
      </c>
      <c r="C70" t="s">
        <v>20</v>
      </c>
      <c r="D70" t="s">
        <v>21</v>
      </c>
      <c r="E70">
        <v>2222222</v>
      </c>
      <c r="F70" s="8" t="s">
        <v>22</v>
      </c>
      <c r="G70" s="2">
        <v>98</v>
      </c>
      <c r="H70" s="2" t="s">
        <v>3801</v>
      </c>
      <c r="I70" s="2" t="s">
        <v>4036</v>
      </c>
      <c r="J70" s="9" t="s">
        <v>4830</v>
      </c>
      <c r="K70" s="2" t="s">
        <v>4921</v>
      </c>
      <c r="L70" s="2">
        <v>1</v>
      </c>
      <c r="M70" s="24" t="s">
        <v>5971</v>
      </c>
      <c r="N70" s="2" t="s">
        <v>23</v>
      </c>
      <c r="O70" s="3" t="s">
        <v>83</v>
      </c>
      <c r="P70" s="18" t="s">
        <v>3781</v>
      </c>
      <c r="Q70" s="6" t="s">
        <v>4475</v>
      </c>
      <c r="T70" s="23">
        <v>45981</v>
      </c>
      <c r="U70" s="23">
        <v>46893</v>
      </c>
      <c r="X70" s="20">
        <v>4000</v>
      </c>
      <c r="Z70" s="6" t="s">
        <v>5978</v>
      </c>
      <c r="AA70" s="14">
        <f t="shared" ref="AA70:AA72" si="10">+(0.6/1000)</f>
        <v>5.9999999999999995E-4</v>
      </c>
      <c r="AB70">
        <v>1.8553379999999999</v>
      </c>
      <c r="AC70">
        <v>1.92955152</v>
      </c>
    </row>
    <row r="71" spans="1:29" x14ac:dyDescent="0.3">
      <c r="A71">
        <v>150950</v>
      </c>
      <c r="B71" s="25" t="s">
        <v>5984</v>
      </c>
      <c r="C71" t="s">
        <v>20</v>
      </c>
      <c r="D71" t="s">
        <v>21</v>
      </c>
      <c r="E71">
        <v>2222222</v>
      </c>
      <c r="F71" s="8" t="s">
        <v>22</v>
      </c>
      <c r="G71" s="2">
        <v>98</v>
      </c>
      <c r="H71" s="2" t="s">
        <v>3801</v>
      </c>
      <c r="I71" s="2" t="s">
        <v>4036</v>
      </c>
      <c r="J71" s="9" t="s">
        <v>4830</v>
      </c>
      <c r="K71" s="2" t="s">
        <v>4921</v>
      </c>
      <c r="L71" s="2">
        <v>1</v>
      </c>
      <c r="M71" s="24" t="s">
        <v>5971</v>
      </c>
      <c r="N71" s="2" t="s">
        <v>23</v>
      </c>
      <c r="O71" s="3" t="s">
        <v>83</v>
      </c>
      <c r="P71" s="18" t="s">
        <v>3781</v>
      </c>
      <c r="Q71" s="6" t="s">
        <v>4475</v>
      </c>
      <c r="T71" s="23">
        <v>46128</v>
      </c>
      <c r="U71" s="23">
        <v>47042</v>
      </c>
      <c r="X71" s="20">
        <v>5000</v>
      </c>
      <c r="Z71" s="6" t="s">
        <v>5978</v>
      </c>
      <c r="AA71" s="14">
        <f t="shared" si="10"/>
        <v>5.9999999999999995E-4</v>
      </c>
      <c r="AB71">
        <v>2.7569939999999997</v>
      </c>
      <c r="AC71">
        <v>2.8672737599999998</v>
      </c>
    </row>
    <row r="72" spans="1:29" x14ac:dyDescent="0.3">
      <c r="A72">
        <v>148490</v>
      </c>
      <c r="B72" s="25" t="s">
        <v>5984</v>
      </c>
      <c r="C72" t="s">
        <v>20</v>
      </c>
      <c r="D72" t="s">
        <v>21</v>
      </c>
      <c r="E72">
        <v>2222222</v>
      </c>
      <c r="F72" s="8" t="s">
        <v>22</v>
      </c>
      <c r="G72" s="2">
        <v>98</v>
      </c>
      <c r="H72" s="2" t="s">
        <v>3802</v>
      </c>
      <c r="I72" s="2" t="s">
        <v>4369</v>
      </c>
      <c r="J72" s="9" t="s">
        <v>4836</v>
      </c>
      <c r="K72" s="2" t="s">
        <v>4922</v>
      </c>
      <c r="L72" s="2">
        <v>1</v>
      </c>
      <c r="M72" s="24" t="s">
        <v>5971</v>
      </c>
      <c r="N72" s="2" t="s">
        <v>23</v>
      </c>
      <c r="O72" s="3" t="s">
        <v>84</v>
      </c>
      <c r="P72" s="18" t="s">
        <v>3781</v>
      </c>
      <c r="Q72" s="6" t="s">
        <v>4475</v>
      </c>
      <c r="T72" s="23">
        <v>45825</v>
      </c>
      <c r="U72" s="23">
        <v>47279</v>
      </c>
      <c r="X72" s="20">
        <v>40000</v>
      </c>
      <c r="Z72" s="6" t="s">
        <v>5978</v>
      </c>
      <c r="AA72" s="14">
        <f t="shared" si="10"/>
        <v>5.9999999999999995E-4</v>
      </c>
      <c r="AB72">
        <v>18.842765999999997</v>
      </c>
      <c r="AC72">
        <v>19.596476639999999</v>
      </c>
    </row>
    <row r="73" spans="1:29" x14ac:dyDescent="0.3">
      <c r="A73">
        <v>125490</v>
      </c>
      <c r="B73" s="25" t="s">
        <v>5984</v>
      </c>
      <c r="C73" t="s">
        <v>20</v>
      </c>
      <c r="D73" t="s">
        <v>21</v>
      </c>
      <c r="E73">
        <v>2222222</v>
      </c>
      <c r="F73" s="8" t="s">
        <v>22</v>
      </c>
      <c r="G73" s="2">
        <v>98</v>
      </c>
      <c r="H73" s="2" t="s">
        <v>3803</v>
      </c>
      <c r="I73" s="2" t="s">
        <v>4240</v>
      </c>
      <c r="J73" s="9" t="s">
        <v>4838</v>
      </c>
      <c r="K73" s="2" t="s">
        <v>4826</v>
      </c>
      <c r="L73" s="2">
        <v>1</v>
      </c>
      <c r="M73" s="24" t="s">
        <v>5971</v>
      </c>
      <c r="N73" s="2" t="s">
        <v>23</v>
      </c>
      <c r="O73" s="3" t="s">
        <v>85</v>
      </c>
      <c r="P73" s="18" t="s">
        <v>0</v>
      </c>
      <c r="Q73" s="6" t="s">
        <v>4475</v>
      </c>
      <c r="T73" s="23">
        <v>44567</v>
      </c>
      <c r="U73" s="23">
        <v>44657</v>
      </c>
      <c r="X73" s="20">
        <v>1375</v>
      </c>
      <c r="Z73" s="6" t="s">
        <v>5978</v>
      </c>
      <c r="AA73" s="15">
        <f>+(0.42/1000)</f>
        <v>4.1999999999999996E-4</v>
      </c>
      <c r="AB73">
        <v>0.5774999999999999</v>
      </c>
      <c r="AC73">
        <v>0.60059999999999991</v>
      </c>
    </row>
    <row r="74" spans="1:29" x14ac:dyDescent="0.3">
      <c r="A74">
        <v>132626</v>
      </c>
      <c r="B74" s="25" t="s">
        <v>5984</v>
      </c>
      <c r="C74" t="s">
        <v>20</v>
      </c>
      <c r="D74" t="s">
        <v>21</v>
      </c>
      <c r="E74">
        <v>2222222</v>
      </c>
      <c r="F74" s="8" t="s">
        <v>22</v>
      </c>
      <c r="G74" s="2">
        <v>98</v>
      </c>
      <c r="H74" s="2" t="s">
        <v>3804</v>
      </c>
      <c r="I74" s="2" t="s">
        <v>4064</v>
      </c>
      <c r="J74" s="9" t="s">
        <v>4923</v>
      </c>
      <c r="K74" s="2" t="s">
        <v>4924</v>
      </c>
      <c r="L74" s="2">
        <v>1</v>
      </c>
      <c r="M74" s="24" t="s">
        <v>5971</v>
      </c>
      <c r="N74" s="2" t="s">
        <v>23</v>
      </c>
      <c r="O74" s="3" t="s">
        <v>86</v>
      </c>
      <c r="P74" s="18" t="s">
        <v>3781</v>
      </c>
      <c r="Q74" s="6" t="s">
        <v>4475</v>
      </c>
      <c r="T74" s="23">
        <v>44950</v>
      </c>
      <c r="U74" s="23">
        <v>45680</v>
      </c>
      <c r="X74" s="20">
        <v>2500</v>
      </c>
      <c r="Z74" s="6" t="s">
        <v>5978</v>
      </c>
      <c r="AA74" s="13">
        <f t="shared" ref="AA74:AA77" si="11">+(0.56/1000)</f>
        <v>5.6000000000000006E-4</v>
      </c>
      <c r="AB74">
        <v>0.72027760000000007</v>
      </c>
      <c r="AC74">
        <v>0.74908870400000005</v>
      </c>
    </row>
    <row r="75" spans="1:29" x14ac:dyDescent="0.3">
      <c r="A75">
        <v>131766</v>
      </c>
      <c r="B75" s="25" t="s">
        <v>5984</v>
      </c>
      <c r="C75" t="s">
        <v>20</v>
      </c>
      <c r="D75" t="s">
        <v>21</v>
      </c>
      <c r="E75">
        <v>2222222</v>
      </c>
      <c r="F75" s="8" t="s">
        <v>22</v>
      </c>
      <c r="G75" s="2">
        <v>98</v>
      </c>
      <c r="H75" s="2" t="s">
        <v>3805</v>
      </c>
      <c r="I75" s="2" t="s">
        <v>4369</v>
      </c>
      <c r="J75" s="9" t="s">
        <v>4925</v>
      </c>
      <c r="K75" s="2" t="s">
        <v>4926</v>
      </c>
      <c r="L75" s="2">
        <v>1</v>
      </c>
      <c r="M75" s="24" t="s">
        <v>5971</v>
      </c>
      <c r="N75" s="2" t="s">
        <v>23</v>
      </c>
      <c r="O75" s="3" t="s">
        <v>87</v>
      </c>
      <c r="P75" s="18" t="s">
        <v>3781</v>
      </c>
      <c r="Q75" s="6" t="s">
        <v>4475</v>
      </c>
      <c r="T75" s="23">
        <v>44915</v>
      </c>
      <c r="U75" s="23">
        <v>47029</v>
      </c>
      <c r="X75" s="20">
        <v>19000</v>
      </c>
      <c r="Z75" s="6" t="s">
        <v>5978</v>
      </c>
      <c r="AA75" s="13">
        <f t="shared" si="11"/>
        <v>5.6000000000000006E-4</v>
      </c>
      <c r="AB75">
        <v>5.4951624000000008</v>
      </c>
      <c r="AC75">
        <v>5.7149688960000011</v>
      </c>
    </row>
    <row r="76" spans="1:29" x14ac:dyDescent="0.3">
      <c r="A76">
        <v>132223</v>
      </c>
      <c r="B76" s="25" t="s">
        <v>5984</v>
      </c>
      <c r="C76" t="s">
        <v>20</v>
      </c>
      <c r="D76" t="s">
        <v>21</v>
      </c>
      <c r="E76">
        <v>2222222</v>
      </c>
      <c r="F76" s="8" t="s">
        <v>22</v>
      </c>
      <c r="G76" s="2">
        <v>98</v>
      </c>
      <c r="H76" s="2" t="s">
        <v>3805</v>
      </c>
      <c r="I76" s="2" t="s">
        <v>3812</v>
      </c>
      <c r="J76" s="9" t="s">
        <v>4927</v>
      </c>
      <c r="K76" s="2" t="s">
        <v>4848</v>
      </c>
      <c r="L76" s="2">
        <v>1</v>
      </c>
      <c r="M76" s="24" t="s">
        <v>5971</v>
      </c>
      <c r="N76" s="2" t="s">
        <v>23</v>
      </c>
      <c r="O76" s="3" t="s">
        <v>88</v>
      </c>
      <c r="P76" s="18" t="s">
        <v>0</v>
      </c>
      <c r="Q76" s="6" t="s">
        <v>4475</v>
      </c>
      <c r="T76" s="23">
        <v>44958</v>
      </c>
      <c r="U76" s="23">
        <v>46426</v>
      </c>
      <c r="X76" s="20">
        <v>15000</v>
      </c>
      <c r="Z76" s="6" t="s">
        <v>5978</v>
      </c>
      <c r="AA76" s="13">
        <f t="shared" si="11"/>
        <v>5.6000000000000006E-4</v>
      </c>
      <c r="AB76">
        <v>1.5936480000000002</v>
      </c>
      <c r="AC76">
        <v>1.6573939200000003</v>
      </c>
    </row>
    <row r="77" spans="1:29" x14ac:dyDescent="0.3">
      <c r="A77">
        <v>134192</v>
      </c>
      <c r="B77" s="25" t="s">
        <v>5984</v>
      </c>
      <c r="C77" t="s">
        <v>20</v>
      </c>
      <c r="D77" t="s">
        <v>21</v>
      </c>
      <c r="E77">
        <v>2222222</v>
      </c>
      <c r="F77" s="8" t="s">
        <v>22</v>
      </c>
      <c r="G77" s="2">
        <v>98</v>
      </c>
      <c r="H77" s="2" t="s">
        <v>3805</v>
      </c>
      <c r="I77" s="2" t="s">
        <v>4327</v>
      </c>
      <c r="J77" s="9" t="s">
        <v>4916</v>
      </c>
      <c r="K77" s="2" t="s">
        <v>4928</v>
      </c>
      <c r="L77" s="2">
        <v>1</v>
      </c>
      <c r="M77" s="24" t="s">
        <v>5971</v>
      </c>
      <c r="N77" s="2" t="s">
        <v>23</v>
      </c>
      <c r="O77" s="3" t="s">
        <v>89</v>
      </c>
      <c r="P77" s="18" t="s">
        <v>3781</v>
      </c>
      <c r="Q77" s="6" t="s">
        <v>4475</v>
      </c>
      <c r="T77" s="23">
        <v>45041</v>
      </c>
      <c r="U77" s="23">
        <v>46868</v>
      </c>
      <c r="X77" s="20">
        <v>4610</v>
      </c>
      <c r="Z77" s="6" t="s">
        <v>5978</v>
      </c>
      <c r="AA77" s="13">
        <f t="shared" si="11"/>
        <v>5.6000000000000006E-4</v>
      </c>
      <c r="AB77">
        <v>1.3084176000000001</v>
      </c>
      <c r="AC77">
        <v>1.3607543040000001</v>
      </c>
    </row>
    <row r="78" spans="1:29" x14ac:dyDescent="0.3">
      <c r="A78">
        <v>140929</v>
      </c>
      <c r="B78" s="25" t="s">
        <v>5984</v>
      </c>
      <c r="C78" t="s">
        <v>20</v>
      </c>
      <c r="D78" t="s">
        <v>21</v>
      </c>
      <c r="E78">
        <v>2222222</v>
      </c>
      <c r="F78" s="8" t="s">
        <v>22</v>
      </c>
      <c r="G78" s="2">
        <v>98</v>
      </c>
      <c r="H78" s="2" t="s">
        <v>3805</v>
      </c>
      <c r="I78" s="2" t="s">
        <v>4017</v>
      </c>
      <c r="J78" s="9" t="s">
        <v>4929</v>
      </c>
      <c r="K78" s="2" t="s">
        <v>4930</v>
      </c>
      <c r="L78" s="2">
        <v>1</v>
      </c>
      <c r="M78" s="24" t="s">
        <v>5971</v>
      </c>
      <c r="N78" s="2" t="s">
        <v>23</v>
      </c>
      <c r="O78" s="3" t="s">
        <v>90</v>
      </c>
      <c r="P78" s="18" t="s">
        <v>0</v>
      </c>
      <c r="Q78" s="6" t="s">
        <v>4475</v>
      </c>
      <c r="T78" s="23">
        <v>45419</v>
      </c>
      <c r="U78" s="23">
        <v>50896</v>
      </c>
      <c r="X78" s="20">
        <v>14100</v>
      </c>
      <c r="Z78" s="6" t="s">
        <v>5978</v>
      </c>
      <c r="AA78" s="14">
        <f t="shared" ref="AA78:AA84" si="12">+(0.6/1000)</f>
        <v>5.9999999999999995E-4</v>
      </c>
      <c r="AB78">
        <v>8.4599999999999991</v>
      </c>
      <c r="AC78">
        <v>8.7983999999999991</v>
      </c>
    </row>
    <row r="79" spans="1:29" x14ac:dyDescent="0.3">
      <c r="A79">
        <v>143710</v>
      </c>
      <c r="B79" s="25" t="s">
        <v>5984</v>
      </c>
      <c r="C79" t="s">
        <v>20</v>
      </c>
      <c r="D79" t="s">
        <v>21</v>
      </c>
      <c r="E79">
        <v>2222222</v>
      </c>
      <c r="F79" s="8" t="s">
        <v>22</v>
      </c>
      <c r="G79" s="2">
        <v>98</v>
      </c>
      <c r="H79" s="2" t="s">
        <v>3805</v>
      </c>
      <c r="I79" s="2" t="s">
        <v>4369</v>
      </c>
      <c r="J79" s="9" t="s">
        <v>4931</v>
      </c>
      <c r="K79" s="2" t="s">
        <v>5972</v>
      </c>
      <c r="L79" s="2">
        <v>1</v>
      </c>
      <c r="M79" s="24" t="s">
        <v>5971</v>
      </c>
      <c r="N79" s="2" t="s">
        <v>23</v>
      </c>
      <c r="O79" s="3" t="s">
        <v>91</v>
      </c>
      <c r="P79" s="18" t="s">
        <v>3781</v>
      </c>
      <c r="Q79" s="6" t="s">
        <v>4475</v>
      </c>
      <c r="T79" s="23">
        <v>45610</v>
      </c>
      <c r="U79" s="23">
        <v>46340</v>
      </c>
      <c r="X79" s="20">
        <v>1000</v>
      </c>
      <c r="Z79" s="6" t="s">
        <v>5978</v>
      </c>
      <c r="AA79" s="14">
        <f t="shared" si="12"/>
        <v>5.9999999999999995E-4</v>
      </c>
      <c r="AB79">
        <v>0.11620799999999999</v>
      </c>
      <c r="AC79">
        <v>0.12085631999999999</v>
      </c>
    </row>
    <row r="80" spans="1:29" x14ac:dyDescent="0.3">
      <c r="A80">
        <v>146698</v>
      </c>
      <c r="B80" s="25" t="s">
        <v>5984</v>
      </c>
      <c r="C80" t="s">
        <v>20</v>
      </c>
      <c r="D80" t="s">
        <v>21</v>
      </c>
      <c r="E80">
        <v>2222222</v>
      </c>
      <c r="F80" s="8" t="s">
        <v>22</v>
      </c>
      <c r="G80" s="2">
        <v>98</v>
      </c>
      <c r="H80" s="2" t="s">
        <v>3805</v>
      </c>
      <c r="I80" s="2" t="s">
        <v>3893</v>
      </c>
      <c r="J80" s="9" t="s">
        <v>4934</v>
      </c>
      <c r="K80" s="2" t="s">
        <v>4935</v>
      </c>
      <c r="L80" s="2">
        <v>1</v>
      </c>
      <c r="M80" s="24" t="s">
        <v>5971</v>
      </c>
      <c r="N80" s="2" t="s">
        <v>23</v>
      </c>
      <c r="O80" s="3" t="s">
        <v>92</v>
      </c>
      <c r="P80" s="18" t="s">
        <v>0</v>
      </c>
      <c r="Q80" s="6" t="s">
        <v>4475</v>
      </c>
      <c r="T80" s="23">
        <v>45838</v>
      </c>
      <c r="U80" s="23">
        <v>47664</v>
      </c>
      <c r="X80" s="20">
        <v>6000</v>
      </c>
      <c r="Z80" s="6" t="s">
        <v>5978</v>
      </c>
      <c r="AA80" s="14">
        <f t="shared" si="12"/>
        <v>5.9999999999999995E-4</v>
      </c>
      <c r="AB80">
        <v>3.0677219999999998</v>
      </c>
      <c r="AC80">
        <v>3.1904308800000001</v>
      </c>
    </row>
    <row r="81" spans="1:29" x14ac:dyDescent="0.3">
      <c r="A81">
        <v>147639</v>
      </c>
      <c r="B81" s="25" t="s">
        <v>5984</v>
      </c>
      <c r="C81" t="s">
        <v>20</v>
      </c>
      <c r="D81" t="s">
        <v>21</v>
      </c>
      <c r="E81">
        <v>2222222</v>
      </c>
      <c r="F81" s="8" t="s">
        <v>22</v>
      </c>
      <c r="G81" s="2">
        <v>98</v>
      </c>
      <c r="H81" s="2" t="s">
        <v>3805</v>
      </c>
      <c r="I81" s="2" t="s">
        <v>3938</v>
      </c>
      <c r="J81" s="9" t="s">
        <v>4936</v>
      </c>
      <c r="K81" s="2" t="s">
        <v>4937</v>
      </c>
      <c r="L81" s="2">
        <v>1</v>
      </c>
      <c r="M81" s="24" t="s">
        <v>5971</v>
      </c>
      <c r="N81" s="2" t="s">
        <v>23</v>
      </c>
      <c r="O81" s="3" t="s">
        <v>93</v>
      </c>
      <c r="P81" s="18" t="s">
        <v>0</v>
      </c>
      <c r="Q81" s="6" t="s">
        <v>4475</v>
      </c>
      <c r="T81" s="23">
        <v>45902</v>
      </c>
      <c r="U81" s="23">
        <v>47731</v>
      </c>
      <c r="X81" s="20">
        <v>5000</v>
      </c>
      <c r="Z81" s="6" t="s">
        <v>5978</v>
      </c>
      <c r="AA81" s="14">
        <f t="shared" si="12"/>
        <v>5.9999999999999995E-4</v>
      </c>
      <c r="AB81">
        <v>2.6160600000000001</v>
      </c>
      <c r="AC81">
        <v>2.7207024</v>
      </c>
    </row>
    <row r="82" spans="1:29" x14ac:dyDescent="0.3">
      <c r="A82">
        <v>151691</v>
      </c>
      <c r="B82" s="25" t="s">
        <v>5984</v>
      </c>
      <c r="C82" t="s">
        <v>20</v>
      </c>
      <c r="D82" t="s">
        <v>21</v>
      </c>
      <c r="E82">
        <v>2222222</v>
      </c>
      <c r="F82" s="8" t="s">
        <v>22</v>
      </c>
      <c r="G82" s="2">
        <v>98</v>
      </c>
      <c r="H82" s="2" t="s">
        <v>3805</v>
      </c>
      <c r="I82" s="2" t="s">
        <v>3835</v>
      </c>
      <c r="J82" s="9" t="s">
        <v>4838</v>
      </c>
      <c r="K82" s="2" t="s">
        <v>4826</v>
      </c>
      <c r="L82" s="2">
        <v>1</v>
      </c>
      <c r="M82" s="24" t="s">
        <v>5971</v>
      </c>
      <c r="N82" s="2" t="s">
        <v>23</v>
      </c>
      <c r="O82" s="3" t="s">
        <v>94</v>
      </c>
      <c r="P82" s="18" t="s">
        <v>0</v>
      </c>
      <c r="Q82" s="6" t="s">
        <v>4475</v>
      </c>
      <c r="T82" s="23">
        <v>46181</v>
      </c>
      <c r="U82" s="23">
        <v>47277</v>
      </c>
      <c r="X82" s="20">
        <v>2640</v>
      </c>
      <c r="Z82" s="6" t="s">
        <v>5978</v>
      </c>
      <c r="AA82" s="14">
        <f t="shared" si="12"/>
        <v>5.9999999999999995E-4</v>
      </c>
      <c r="AB82">
        <v>1.548192</v>
      </c>
      <c r="AC82">
        <v>1.6101196800000002</v>
      </c>
    </row>
    <row r="83" spans="1:29" x14ac:dyDescent="0.3">
      <c r="A83">
        <v>151834</v>
      </c>
      <c r="B83" s="25" t="s">
        <v>5984</v>
      </c>
      <c r="C83" t="s">
        <v>20</v>
      </c>
      <c r="D83" t="s">
        <v>21</v>
      </c>
      <c r="E83">
        <v>2222222</v>
      </c>
      <c r="F83" s="8" t="s">
        <v>22</v>
      </c>
      <c r="G83" s="2">
        <v>98</v>
      </c>
      <c r="H83" s="2" t="s">
        <v>3805</v>
      </c>
      <c r="I83" s="2" t="s">
        <v>4369</v>
      </c>
      <c r="J83" s="9" t="s">
        <v>4931</v>
      </c>
      <c r="K83" s="2" t="s">
        <v>5972</v>
      </c>
      <c r="L83" s="2">
        <v>1</v>
      </c>
      <c r="M83" s="24" t="s">
        <v>5971</v>
      </c>
      <c r="N83" s="2" t="s">
        <v>23</v>
      </c>
      <c r="O83" s="3" t="s">
        <v>91</v>
      </c>
      <c r="P83" s="18" t="s">
        <v>3781</v>
      </c>
      <c r="Q83" s="6" t="s">
        <v>4475</v>
      </c>
      <c r="T83" s="23">
        <v>46190</v>
      </c>
      <c r="U83" s="23">
        <v>46280</v>
      </c>
      <c r="X83" s="20">
        <v>4000</v>
      </c>
      <c r="Z83" s="6" t="s">
        <v>5978</v>
      </c>
      <c r="AA83" s="14">
        <f t="shared" si="12"/>
        <v>5.9999999999999995E-4</v>
      </c>
      <c r="AB83">
        <v>2.4</v>
      </c>
      <c r="AC83">
        <v>2.496</v>
      </c>
    </row>
    <row r="84" spans="1:29" x14ac:dyDescent="0.3">
      <c r="A84">
        <v>151841</v>
      </c>
      <c r="B84" s="25" t="s">
        <v>5984</v>
      </c>
      <c r="C84" t="s">
        <v>20</v>
      </c>
      <c r="D84" t="s">
        <v>21</v>
      </c>
      <c r="E84">
        <v>2222222</v>
      </c>
      <c r="F84" s="8" t="s">
        <v>22</v>
      </c>
      <c r="G84" s="2">
        <v>98</v>
      </c>
      <c r="H84" s="2" t="s">
        <v>3805</v>
      </c>
      <c r="I84" s="2" t="s">
        <v>4369</v>
      </c>
      <c r="J84" s="9" t="s">
        <v>4925</v>
      </c>
      <c r="K84" s="2" t="s">
        <v>4926</v>
      </c>
      <c r="L84" s="2">
        <v>1</v>
      </c>
      <c r="M84" s="24" t="s">
        <v>5971</v>
      </c>
      <c r="N84" s="2" t="s">
        <v>23</v>
      </c>
      <c r="O84" s="3" t="s">
        <v>87</v>
      </c>
      <c r="P84" s="18" t="s">
        <v>3781</v>
      </c>
      <c r="Q84" s="6" t="s">
        <v>4475</v>
      </c>
      <c r="T84" s="23">
        <v>46191</v>
      </c>
      <c r="U84" s="23">
        <v>46281</v>
      </c>
      <c r="X84" s="20">
        <v>4970</v>
      </c>
      <c r="Z84" s="6" t="s">
        <v>5978</v>
      </c>
      <c r="AA84" s="14">
        <f t="shared" si="12"/>
        <v>5.9999999999999995E-4</v>
      </c>
      <c r="AB84">
        <v>2.9819999999999998</v>
      </c>
      <c r="AC84">
        <v>3.10128</v>
      </c>
    </row>
    <row r="85" spans="1:29" x14ac:dyDescent="0.3">
      <c r="A85">
        <v>131436</v>
      </c>
      <c r="B85" s="25" t="s">
        <v>5984</v>
      </c>
      <c r="C85" t="s">
        <v>20</v>
      </c>
      <c r="D85" t="s">
        <v>21</v>
      </c>
      <c r="E85">
        <v>2222222</v>
      </c>
      <c r="F85" s="8" t="s">
        <v>22</v>
      </c>
      <c r="G85" s="2">
        <v>98</v>
      </c>
      <c r="H85" s="2" t="s">
        <v>3806</v>
      </c>
      <c r="I85" s="2" t="s">
        <v>3947</v>
      </c>
      <c r="J85" s="9" t="s">
        <v>4894</v>
      </c>
      <c r="K85" s="2" t="s">
        <v>4938</v>
      </c>
      <c r="L85" s="2">
        <v>1</v>
      </c>
      <c r="M85" s="24" t="s">
        <v>5971</v>
      </c>
      <c r="N85" s="2" t="s">
        <v>23</v>
      </c>
      <c r="O85" s="3" t="s">
        <v>95</v>
      </c>
      <c r="P85" s="18" t="s">
        <v>0</v>
      </c>
      <c r="Q85" s="6" t="s">
        <v>4475</v>
      </c>
      <c r="T85" s="23">
        <v>44890</v>
      </c>
      <c r="U85" s="23">
        <v>45994</v>
      </c>
      <c r="X85" s="20">
        <v>4000</v>
      </c>
      <c r="Z85" s="6" t="s">
        <v>5978</v>
      </c>
      <c r="AA85" s="13">
        <f t="shared" ref="AA85:AA89" si="13">+(0.56/1000)</f>
        <v>5.6000000000000006E-4</v>
      </c>
      <c r="AB85">
        <v>1.2700632000000001</v>
      </c>
      <c r="AC85">
        <v>1.320865728</v>
      </c>
    </row>
    <row r="86" spans="1:29" x14ac:dyDescent="0.3">
      <c r="A86">
        <v>132237</v>
      </c>
      <c r="B86" s="25" t="s">
        <v>5984</v>
      </c>
      <c r="C86" t="s">
        <v>20</v>
      </c>
      <c r="D86" t="s">
        <v>21</v>
      </c>
      <c r="E86">
        <v>2222222</v>
      </c>
      <c r="F86" s="8" t="s">
        <v>22</v>
      </c>
      <c r="G86" s="2">
        <v>98</v>
      </c>
      <c r="H86" s="2" t="s">
        <v>3806</v>
      </c>
      <c r="I86" s="2" t="s">
        <v>3947</v>
      </c>
      <c r="J86" s="9" t="s">
        <v>4894</v>
      </c>
      <c r="K86" s="2" t="s">
        <v>4938</v>
      </c>
      <c r="L86" s="2">
        <v>1</v>
      </c>
      <c r="M86" s="24" t="s">
        <v>5971</v>
      </c>
      <c r="N86" s="2" t="s">
        <v>23</v>
      </c>
      <c r="O86" s="3" t="s">
        <v>95</v>
      </c>
      <c r="P86" s="18" t="s">
        <v>0</v>
      </c>
      <c r="Q86" s="6" t="s">
        <v>4475</v>
      </c>
      <c r="T86" s="23">
        <v>44930</v>
      </c>
      <c r="U86" s="23">
        <v>46390</v>
      </c>
      <c r="X86" s="20">
        <v>5000</v>
      </c>
      <c r="Z86" s="6" t="s">
        <v>5978</v>
      </c>
      <c r="AA86" s="13">
        <f t="shared" si="13"/>
        <v>5.6000000000000006E-4</v>
      </c>
      <c r="AB86">
        <v>1.9870928000000003</v>
      </c>
      <c r="AC86">
        <v>2.0665765120000006</v>
      </c>
    </row>
    <row r="87" spans="1:29" x14ac:dyDescent="0.3">
      <c r="A87">
        <v>133711</v>
      </c>
      <c r="B87" s="25" t="s">
        <v>5984</v>
      </c>
      <c r="C87" t="s">
        <v>20</v>
      </c>
      <c r="D87" t="s">
        <v>21</v>
      </c>
      <c r="E87">
        <v>2222222</v>
      </c>
      <c r="F87" s="8" t="s">
        <v>22</v>
      </c>
      <c r="G87" s="2">
        <v>98</v>
      </c>
      <c r="H87" s="2" t="s">
        <v>3806</v>
      </c>
      <c r="I87" s="2" t="s">
        <v>3947</v>
      </c>
      <c r="J87" s="9" t="s">
        <v>4939</v>
      </c>
      <c r="K87" s="2" t="s">
        <v>4940</v>
      </c>
      <c r="L87" s="2">
        <v>1</v>
      </c>
      <c r="M87" s="24" t="s">
        <v>5971</v>
      </c>
      <c r="N87" s="2" t="s">
        <v>23</v>
      </c>
      <c r="O87" s="3" t="s">
        <v>96</v>
      </c>
      <c r="P87" s="18" t="s">
        <v>0</v>
      </c>
      <c r="Q87" s="6" t="s">
        <v>4475</v>
      </c>
      <c r="T87" s="23">
        <v>45012</v>
      </c>
      <c r="U87" s="23">
        <v>46119</v>
      </c>
      <c r="X87" s="20">
        <v>1500</v>
      </c>
      <c r="Z87" s="6" t="s">
        <v>5978</v>
      </c>
      <c r="AA87" s="13">
        <f t="shared" si="13"/>
        <v>5.6000000000000006E-4</v>
      </c>
      <c r="AB87">
        <v>3.0660000000000003E-2</v>
      </c>
      <c r="AC87">
        <v>3.1886400000000002E-2</v>
      </c>
    </row>
    <row r="88" spans="1:29" x14ac:dyDescent="0.3">
      <c r="A88">
        <v>139914</v>
      </c>
      <c r="B88" s="25" t="s">
        <v>5984</v>
      </c>
      <c r="C88" t="s">
        <v>20</v>
      </c>
      <c r="D88" t="s">
        <v>21</v>
      </c>
      <c r="E88">
        <v>2222222</v>
      </c>
      <c r="F88" s="8" t="s">
        <v>22</v>
      </c>
      <c r="G88" s="2">
        <v>98</v>
      </c>
      <c r="H88" s="2" t="s">
        <v>3806</v>
      </c>
      <c r="I88" s="2" t="s">
        <v>4720</v>
      </c>
      <c r="J88" s="9" t="s">
        <v>4911</v>
      </c>
      <c r="K88" s="2" t="s">
        <v>4941</v>
      </c>
      <c r="L88" s="2">
        <v>1</v>
      </c>
      <c r="M88" s="24" t="s">
        <v>5971</v>
      </c>
      <c r="N88" s="2" t="s">
        <v>23</v>
      </c>
      <c r="O88" s="3" t="s">
        <v>97</v>
      </c>
      <c r="P88" s="18" t="s">
        <v>3781</v>
      </c>
      <c r="Q88" s="6" t="s">
        <v>4475</v>
      </c>
      <c r="T88" s="23">
        <v>45391</v>
      </c>
      <c r="U88" s="23">
        <v>50869</v>
      </c>
      <c r="X88" s="20">
        <v>100000</v>
      </c>
      <c r="Z88" s="6" t="s">
        <v>5978</v>
      </c>
      <c r="AA88" s="13">
        <f t="shared" si="13"/>
        <v>5.6000000000000006E-4</v>
      </c>
      <c r="AB88">
        <v>52.733951200000007</v>
      </c>
      <c r="AC88">
        <v>54.843309248000011</v>
      </c>
    </row>
    <row r="89" spans="1:29" x14ac:dyDescent="0.3">
      <c r="A89">
        <v>140326</v>
      </c>
      <c r="B89" s="25" t="s">
        <v>5984</v>
      </c>
      <c r="C89" t="s">
        <v>20</v>
      </c>
      <c r="D89" t="s">
        <v>21</v>
      </c>
      <c r="E89">
        <v>2222222</v>
      </c>
      <c r="F89" s="8" t="s">
        <v>22</v>
      </c>
      <c r="G89" s="2">
        <v>98</v>
      </c>
      <c r="H89" s="2" t="s">
        <v>3806</v>
      </c>
      <c r="I89" s="2" t="s">
        <v>3855</v>
      </c>
      <c r="J89" s="9" t="s">
        <v>4845</v>
      </c>
      <c r="K89" s="2" t="s">
        <v>4942</v>
      </c>
      <c r="L89" s="2">
        <v>1</v>
      </c>
      <c r="M89" s="24" t="s">
        <v>5971</v>
      </c>
      <c r="N89" s="2" t="s">
        <v>23</v>
      </c>
      <c r="O89" s="3" t="s">
        <v>98</v>
      </c>
      <c r="P89" s="18" t="s">
        <v>3781</v>
      </c>
      <c r="Q89" s="6" t="s">
        <v>4475</v>
      </c>
      <c r="T89" s="23">
        <v>45381</v>
      </c>
      <c r="U89" s="23">
        <v>46475</v>
      </c>
      <c r="X89" s="20">
        <v>4000</v>
      </c>
      <c r="Z89" s="6" t="s">
        <v>5978</v>
      </c>
      <c r="AA89" s="13">
        <f t="shared" si="13"/>
        <v>5.6000000000000006E-4</v>
      </c>
      <c r="AB89">
        <v>0.61365920000000007</v>
      </c>
      <c r="AC89">
        <v>0.63820556800000006</v>
      </c>
    </row>
    <row r="90" spans="1:29" x14ac:dyDescent="0.3">
      <c r="A90">
        <v>141570</v>
      </c>
      <c r="B90" s="25" t="s">
        <v>5984</v>
      </c>
      <c r="C90" t="s">
        <v>20</v>
      </c>
      <c r="D90" t="s">
        <v>21</v>
      </c>
      <c r="E90">
        <v>2222222</v>
      </c>
      <c r="F90" s="8" t="s">
        <v>22</v>
      </c>
      <c r="G90" s="2">
        <v>98</v>
      </c>
      <c r="H90" s="2" t="s">
        <v>3806</v>
      </c>
      <c r="I90" s="2" t="s">
        <v>4229</v>
      </c>
      <c r="J90" s="9" t="s">
        <v>4943</v>
      </c>
      <c r="K90" s="2" t="s">
        <v>4944</v>
      </c>
      <c r="L90" s="2">
        <v>1</v>
      </c>
      <c r="M90" s="24" t="s">
        <v>5971</v>
      </c>
      <c r="N90" s="2" t="s">
        <v>23</v>
      </c>
      <c r="O90" s="3" t="s">
        <v>99</v>
      </c>
      <c r="P90" s="18" t="s">
        <v>0</v>
      </c>
      <c r="Q90" s="6" t="s">
        <v>4475</v>
      </c>
      <c r="T90" s="23">
        <v>45461</v>
      </c>
      <c r="U90" s="23">
        <v>46559</v>
      </c>
      <c r="X90" s="20">
        <v>5000</v>
      </c>
      <c r="Z90" s="6" t="s">
        <v>5978</v>
      </c>
      <c r="AA90" s="14">
        <f t="shared" ref="AA90:AA109" si="14">+(0.6/1000)</f>
        <v>5.9999999999999995E-4</v>
      </c>
      <c r="AB90">
        <v>0.18753</v>
      </c>
      <c r="AC90">
        <v>0.19503120000000002</v>
      </c>
    </row>
    <row r="91" spans="1:29" x14ac:dyDescent="0.3">
      <c r="A91">
        <v>145788</v>
      </c>
      <c r="B91" s="25" t="s">
        <v>5984</v>
      </c>
      <c r="C91" t="s">
        <v>20</v>
      </c>
      <c r="D91" t="s">
        <v>21</v>
      </c>
      <c r="E91">
        <v>2222222</v>
      </c>
      <c r="F91" s="8" t="s">
        <v>22</v>
      </c>
      <c r="G91" s="2">
        <v>98</v>
      </c>
      <c r="H91" s="2" t="s">
        <v>3806</v>
      </c>
      <c r="I91" s="2" t="s">
        <v>4510</v>
      </c>
      <c r="J91" s="9" t="s">
        <v>4836</v>
      </c>
      <c r="K91" s="2" t="s">
        <v>4926</v>
      </c>
      <c r="L91" s="2">
        <v>1</v>
      </c>
      <c r="M91" s="24" t="s">
        <v>5971</v>
      </c>
      <c r="N91" s="2" t="s">
        <v>23</v>
      </c>
      <c r="O91" s="3" t="s">
        <v>100</v>
      </c>
      <c r="P91" s="18" t="s">
        <v>3781</v>
      </c>
      <c r="Q91" s="6" t="s">
        <v>4475</v>
      </c>
      <c r="T91" s="23">
        <v>45763</v>
      </c>
      <c r="U91" s="23">
        <v>46859</v>
      </c>
      <c r="X91" s="20">
        <v>4000</v>
      </c>
      <c r="Z91" s="6" t="s">
        <v>5978</v>
      </c>
      <c r="AA91" s="14">
        <f t="shared" si="14"/>
        <v>5.9999999999999995E-4</v>
      </c>
      <c r="AB91">
        <v>1.555242</v>
      </c>
      <c r="AC91">
        <v>1.6174516800000001</v>
      </c>
    </row>
    <row r="92" spans="1:29" x14ac:dyDescent="0.3">
      <c r="A92">
        <v>147983</v>
      </c>
      <c r="B92" s="25" t="s">
        <v>5984</v>
      </c>
      <c r="C92" t="s">
        <v>20</v>
      </c>
      <c r="D92" t="s">
        <v>21</v>
      </c>
      <c r="E92">
        <v>2222222</v>
      </c>
      <c r="F92" s="8" t="s">
        <v>22</v>
      </c>
      <c r="G92" s="2">
        <v>98</v>
      </c>
      <c r="H92" s="2" t="s">
        <v>3806</v>
      </c>
      <c r="I92" s="2" t="s">
        <v>3806</v>
      </c>
      <c r="J92" s="9" t="s">
        <v>4836</v>
      </c>
      <c r="K92" s="2" t="s">
        <v>4903</v>
      </c>
      <c r="L92" s="2">
        <v>1</v>
      </c>
      <c r="M92" s="24" t="s">
        <v>5971</v>
      </c>
      <c r="N92" s="2" t="s">
        <v>23</v>
      </c>
      <c r="O92" s="3" t="s">
        <v>101</v>
      </c>
      <c r="P92" s="18" t="s">
        <v>3781</v>
      </c>
      <c r="Q92" s="6" t="s">
        <v>4475</v>
      </c>
      <c r="T92" s="23">
        <v>45961</v>
      </c>
      <c r="U92" s="23">
        <v>49614</v>
      </c>
      <c r="X92" s="20">
        <v>70000</v>
      </c>
      <c r="Z92" s="6" t="s">
        <v>5978</v>
      </c>
      <c r="AA92" s="14">
        <f t="shared" si="14"/>
        <v>5.9999999999999995E-4</v>
      </c>
      <c r="AB92">
        <v>40.48218</v>
      </c>
      <c r="AC92">
        <v>42.101467200000002</v>
      </c>
    </row>
    <row r="93" spans="1:29" x14ac:dyDescent="0.3">
      <c r="A93">
        <v>148556</v>
      </c>
      <c r="B93" s="25" t="s">
        <v>5984</v>
      </c>
      <c r="C93" t="s">
        <v>20</v>
      </c>
      <c r="D93" t="s">
        <v>21</v>
      </c>
      <c r="E93">
        <v>2222222</v>
      </c>
      <c r="F93" s="8" t="s">
        <v>22</v>
      </c>
      <c r="G93" s="2">
        <v>98</v>
      </c>
      <c r="H93" s="2" t="s">
        <v>3806</v>
      </c>
      <c r="I93" s="2" t="s">
        <v>3949</v>
      </c>
      <c r="J93" s="9" t="s">
        <v>4945</v>
      </c>
      <c r="K93" s="2" t="s">
        <v>4946</v>
      </c>
      <c r="L93" s="2">
        <v>1</v>
      </c>
      <c r="M93" s="24" t="s">
        <v>5971</v>
      </c>
      <c r="N93" s="2" t="s">
        <v>23</v>
      </c>
      <c r="O93" s="3" t="s">
        <v>102</v>
      </c>
      <c r="P93" s="18" t="s">
        <v>0</v>
      </c>
      <c r="Q93" s="6" t="s">
        <v>4475</v>
      </c>
      <c r="T93" s="23">
        <v>45671</v>
      </c>
      <c r="U93" s="23">
        <v>47123</v>
      </c>
      <c r="X93" s="20">
        <v>11000</v>
      </c>
      <c r="Z93" s="6" t="s">
        <v>5978</v>
      </c>
      <c r="AA93" s="14">
        <f t="shared" si="14"/>
        <v>5.9999999999999995E-4</v>
      </c>
      <c r="AB93">
        <v>4.5676439999999996</v>
      </c>
      <c r="AC93">
        <v>4.7503497599999998</v>
      </c>
    </row>
    <row r="94" spans="1:29" x14ac:dyDescent="0.3">
      <c r="A94">
        <v>149230</v>
      </c>
      <c r="B94" s="25" t="s">
        <v>5984</v>
      </c>
      <c r="C94" t="s">
        <v>20</v>
      </c>
      <c r="D94" t="s">
        <v>21</v>
      </c>
      <c r="E94">
        <v>2222222</v>
      </c>
      <c r="F94" s="8" t="s">
        <v>22</v>
      </c>
      <c r="G94" s="2">
        <v>98</v>
      </c>
      <c r="H94" s="2" t="s">
        <v>3806</v>
      </c>
      <c r="I94" s="2" t="s">
        <v>4510</v>
      </c>
      <c r="J94" s="9" t="s">
        <v>4836</v>
      </c>
      <c r="K94" s="2" t="s">
        <v>4926</v>
      </c>
      <c r="L94" s="2">
        <v>1</v>
      </c>
      <c r="M94" s="24" t="s">
        <v>5971</v>
      </c>
      <c r="N94" s="2" t="s">
        <v>23</v>
      </c>
      <c r="O94" s="3" t="s">
        <v>100</v>
      </c>
      <c r="P94" s="18" t="s">
        <v>3781</v>
      </c>
      <c r="Q94" s="6" t="s">
        <v>4475</v>
      </c>
      <c r="T94" s="23">
        <v>46007</v>
      </c>
      <c r="U94" s="23">
        <v>47102</v>
      </c>
      <c r="X94" s="20">
        <v>3070</v>
      </c>
      <c r="Z94" s="6" t="s">
        <v>5978</v>
      </c>
      <c r="AA94" s="14">
        <f t="shared" si="14"/>
        <v>5.9999999999999995E-4</v>
      </c>
      <c r="AB94">
        <v>1.5521219999999998</v>
      </c>
      <c r="AC94">
        <v>1.6142068799999998</v>
      </c>
    </row>
    <row r="95" spans="1:29" x14ac:dyDescent="0.3">
      <c r="A95">
        <v>149423</v>
      </c>
      <c r="B95" s="25" t="s">
        <v>5984</v>
      </c>
      <c r="C95" t="s">
        <v>20</v>
      </c>
      <c r="D95" t="s">
        <v>21</v>
      </c>
      <c r="E95">
        <v>2222222</v>
      </c>
      <c r="F95" s="8" t="s">
        <v>22</v>
      </c>
      <c r="G95" s="2">
        <v>98</v>
      </c>
      <c r="H95" s="2" t="s">
        <v>3806</v>
      </c>
      <c r="I95" s="2" t="s">
        <v>4288</v>
      </c>
      <c r="J95" s="9" t="s">
        <v>4947</v>
      </c>
      <c r="K95" s="2" t="s">
        <v>4863</v>
      </c>
      <c r="L95" s="2">
        <v>1</v>
      </c>
      <c r="M95" s="24" t="s">
        <v>5971</v>
      </c>
      <c r="N95" s="2" t="s">
        <v>23</v>
      </c>
      <c r="O95" s="3" t="s">
        <v>103</v>
      </c>
      <c r="P95" s="18" t="s">
        <v>3781</v>
      </c>
      <c r="Q95" s="6" t="s">
        <v>4475</v>
      </c>
      <c r="T95" s="23">
        <v>46021</v>
      </c>
      <c r="U95" s="23">
        <v>46750</v>
      </c>
      <c r="X95" s="20">
        <v>4360</v>
      </c>
      <c r="Z95" s="6" t="s">
        <v>5978</v>
      </c>
      <c r="AA95" s="14">
        <f t="shared" si="14"/>
        <v>5.9999999999999995E-4</v>
      </c>
      <c r="AB95">
        <v>2.0458859999999999</v>
      </c>
      <c r="AC95">
        <v>2.1277214399999997</v>
      </c>
    </row>
    <row r="96" spans="1:29" x14ac:dyDescent="0.3">
      <c r="A96">
        <v>149627</v>
      </c>
      <c r="B96" s="25" t="s">
        <v>5984</v>
      </c>
      <c r="C96" t="s">
        <v>20</v>
      </c>
      <c r="D96" t="s">
        <v>21</v>
      </c>
      <c r="E96">
        <v>2222222</v>
      </c>
      <c r="F96" s="8" t="s">
        <v>22</v>
      </c>
      <c r="G96" s="2">
        <v>98</v>
      </c>
      <c r="H96" s="2" t="s">
        <v>3806</v>
      </c>
      <c r="I96" s="2" t="s">
        <v>4229</v>
      </c>
      <c r="J96" s="9" t="s">
        <v>4943</v>
      </c>
      <c r="K96" s="2" t="s">
        <v>4944</v>
      </c>
      <c r="L96" s="2">
        <v>1</v>
      </c>
      <c r="M96" s="24" t="s">
        <v>5971</v>
      </c>
      <c r="N96" s="2" t="s">
        <v>23</v>
      </c>
      <c r="O96" s="3" t="s">
        <v>99</v>
      </c>
      <c r="P96" s="18" t="s">
        <v>0</v>
      </c>
      <c r="Q96" s="6" t="s">
        <v>4475</v>
      </c>
      <c r="T96" s="23">
        <v>46037</v>
      </c>
      <c r="U96" s="23">
        <v>47136</v>
      </c>
      <c r="X96" s="20">
        <v>5000</v>
      </c>
      <c r="Z96" s="6" t="s">
        <v>5978</v>
      </c>
      <c r="AA96" s="14">
        <f t="shared" si="14"/>
        <v>5.9999999999999995E-4</v>
      </c>
      <c r="AB96">
        <v>2.5916219999999996</v>
      </c>
      <c r="AC96">
        <v>2.6952868799999998</v>
      </c>
    </row>
    <row r="97" spans="1:29" x14ac:dyDescent="0.3">
      <c r="A97">
        <v>149754</v>
      </c>
      <c r="B97" s="25" t="s">
        <v>5984</v>
      </c>
      <c r="C97" t="s">
        <v>20</v>
      </c>
      <c r="D97" t="s">
        <v>21</v>
      </c>
      <c r="E97">
        <v>2222222</v>
      </c>
      <c r="F97" s="8" t="s">
        <v>22</v>
      </c>
      <c r="G97" s="2">
        <v>98</v>
      </c>
      <c r="H97" s="2" t="s">
        <v>3806</v>
      </c>
      <c r="I97" s="2" t="s">
        <v>4720</v>
      </c>
      <c r="J97" s="9" t="s">
        <v>4948</v>
      </c>
      <c r="K97" s="2" t="s">
        <v>4949</v>
      </c>
      <c r="L97" s="2">
        <v>1</v>
      </c>
      <c r="M97" s="24" t="s">
        <v>5971</v>
      </c>
      <c r="N97" s="2" t="s">
        <v>23</v>
      </c>
      <c r="O97" s="3" t="s">
        <v>104</v>
      </c>
      <c r="P97" s="18" t="s">
        <v>0</v>
      </c>
      <c r="Q97" s="6" t="s">
        <v>4475</v>
      </c>
      <c r="T97" s="23">
        <v>46046</v>
      </c>
      <c r="U97" s="23">
        <v>47872</v>
      </c>
      <c r="X97" s="20">
        <v>4680</v>
      </c>
      <c r="Z97" s="6" t="s">
        <v>5978</v>
      </c>
      <c r="AA97" s="14">
        <f t="shared" si="14"/>
        <v>5.9999999999999995E-4</v>
      </c>
      <c r="AB97">
        <v>2.6048819999999999</v>
      </c>
      <c r="AC97">
        <v>2.7090772799999998</v>
      </c>
    </row>
    <row r="98" spans="1:29" x14ac:dyDescent="0.3">
      <c r="A98">
        <v>149760</v>
      </c>
      <c r="B98" s="25" t="s">
        <v>5984</v>
      </c>
      <c r="C98" t="s">
        <v>20</v>
      </c>
      <c r="D98" t="s">
        <v>21</v>
      </c>
      <c r="E98">
        <v>2222222</v>
      </c>
      <c r="F98" s="8" t="s">
        <v>22</v>
      </c>
      <c r="G98" s="2">
        <v>98</v>
      </c>
      <c r="H98" s="2" t="s">
        <v>3806</v>
      </c>
      <c r="I98" s="2" t="s">
        <v>3806</v>
      </c>
      <c r="J98" s="9" t="s">
        <v>4950</v>
      </c>
      <c r="K98" s="2" t="s">
        <v>4031</v>
      </c>
      <c r="L98" s="2">
        <v>1</v>
      </c>
      <c r="M98" s="24" t="s">
        <v>5971</v>
      </c>
      <c r="N98" s="2" t="s">
        <v>23</v>
      </c>
      <c r="O98" s="3" t="s">
        <v>105</v>
      </c>
      <c r="P98" s="18" t="s">
        <v>0</v>
      </c>
      <c r="Q98" s="6" t="s">
        <v>4475</v>
      </c>
      <c r="T98" s="23">
        <v>46055</v>
      </c>
      <c r="U98" s="23">
        <v>48616</v>
      </c>
      <c r="X98" s="20">
        <v>20000</v>
      </c>
      <c r="Z98" s="6" t="s">
        <v>5978</v>
      </c>
      <c r="AA98" s="14">
        <f t="shared" si="14"/>
        <v>5.9999999999999995E-4</v>
      </c>
      <c r="AB98">
        <v>11.600675999999998</v>
      </c>
      <c r="AC98">
        <v>12.064703039999998</v>
      </c>
    </row>
    <row r="99" spans="1:29" x14ac:dyDescent="0.3">
      <c r="A99">
        <v>149993</v>
      </c>
      <c r="B99" s="25" t="s">
        <v>5984</v>
      </c>
      <c r="C99" t="s">
        <v>20</v>
      </c>
      <c r="D99" t="s">
        <v>21</v>
      </c>
      <c r="E99">
        <v>2222222</v>
      </c>
      <c r="F99" s="8" t="s">
        <v>22</v>
      </c>
      <c r="G99" s="2">
        <v>98</v>
      </c>
      <c r="H99" s="2" t="s">
        <v>3806</v>
      </c>
      <c r="I99" s="2" t="s">
        <v>4247</v>
      </c>
      <c r="J99" s="9" t="s">
        <v>4951</v>
      </c>
      <c r="K99" s="2" t="s">
        <v>4952</v>
      </c>
      <c r="L99" s="2">
        <v>1</v>
      </c>
      <c r="M99" s="24" t="s">
        <v>5971</v>
      </c>
      <c r="N99" s="2" t="s">
        <v>23</v>
      </c>
      <c r="O99" s="3" t="s">
        <v>106</v>
      </c>
      <c r="P99" s="18" t="s">
        <v>0</v>
      </c>
      <c r="Q99" s="6" t="s">
        <v>4475</v>
      </c>
      <c r="T99" s="23">
        <v>46081</v>
      </c>
      <c r="U99" s="23">
        <v>49734</v>
      </c>
      <c r="X99" s="20">
        <v>50000</v>
      </c>
      <c r="Z99" s="6" t="s">
        <v>5978</v>
      </c>
      <c r="AA99" s="14">
        <f t="shared" si="14"/>
        <v>5.9999999999999995E-4</v>
      </c>
      <c r="AB99">
        <v>29.565227999999994</v>
      </c>
      <c r="AC99">
        <v>30.747837119999996</v>
      </c>
    </row>
    <row r="100" spans="1:29" x14ac:dyDescent="0.3">
      <c r="A100">
        <v>151452</v>
      </c>
      <c r="B100" s="25" t="s">
        <v>5984</v>
      </c>
      <c r="C100" t="s">
        <v>20</v>
      </c>
      <c r="D100" t="s">
        <v>21</v>
      </c>
      <c r="E100">
        <v>2222222</v>
      </c>
      <c r="F100" s="8" t="s">
        <v>22</v>
      </c>
      <c r="G100" s="2">
        <v>98</v>
      </c>
      <c r="H100" s="2" t="s">
        <v>3806</v>
      </c>
      <c r="I100" s="2" t="s">
        <v>4410</v>
      </c>
      <c r="J100" s="9" t="s">
        <v>4903</v>
      </c>
      <c r="K100" s="2" t="s">
        <v>4893</v>
      </c>
      <c r="L100" s="2">
        <v>1</v>
      </c>
      <c r="M100" s="24" t="s">
        <v>5971</v>
      </c>
      <c r="N100" s="2" t="s">
        <v>23</v>
      </c>
      <c r="O100" s="3" t="s">
        <v>107</v>
      </c>
      <c r="P100" s="18" t="s">
        <v>3781</v>
      </c>
      <c r="Q100" s="6" t="s">
        <v>4475</v>
      </c>
      <c r="T100" s="23">
        <v>46173</v>
      </c>
      <c r="U100" s="23">
        <v>47998</v>
      </c>
      <c r="X100" s="20">
        <v>5000</v>
      </c>
      <c r="Z100" s="6" t="s">
        <v>5978</v>
      </c>
      <c r="AA100" s="14">
        <f t="shared" si="14"/>
        <v>5.9999999999999995E-4</v>
      </c>
      <c r="AB100">
        <v>2.9363459999999995</v>
      </c>
      <c r="AC100">
        <v>3.0537998399999995</v>
      </c>
    </row>
    <row r="101" spans="1:29" x14ac:dyDescent="0.3">
      <c r="A101">
        <v>151810</v>
      </c>
      <c r="B101" s="25" t="s">
        <v>5984</v>
      </c>
      <c r="C101" t="s">
        <v>20</v>
      </c>
      <c r="D101" t="s">
        <v>21</v>
      </c>
      <c r="E101">
        <v>2222222</v>
      </c>
      <c r="F101" s="8" t="s">
        <v>22</v>
      </c>
      <c r="G101" s="2">
        <v>98</v>
      </c>
      <c r="H101" s="2" t="s">
        <v>3806</v>
      </c>
      <c r="I101" s="2" t="s">
        <v>4180</v>
      </c>
      <c r="J101" s="9" t="s">
        <v>4951</v>
      </c>
      <c r="K101" s="2" t="s">
        <v>4953</v>
      </c>
      <c r="L101" s="2">
        <v>1</v>
      </c>
      <c r="M101" s="24" t="s">
        <v>5971</v>
      </c>
      <c r="N101" s="2" t="s">
        <v>23</v>
      </c>
      <c r="O101" s="3" t="s">
        <v>108</v>
      </c>
      <c r="P101" s="18" t="s">
        <v>0</v>
      </c>
      <c r="Q101" s="6" t="s">
        <v>4475</v>
      </c>
      <c r="T101" s="23">
        <v>46191</v>
      </c>
      <c r="U101" s="23">
        <v>46922</v>
      </c>
      <c r="X101" s="20">
        <v>3300</v>
      </c>
      <c r="Z101" s="6" t="s">
        <v>5978</v>
      </c>
      <c r="AA101" s="14">
        <f t="shared" si="14"/>
        <v>5.9999999999999995E-4</v>
      </c>
      <c r="AB101">
        <v>1.9099319999999997</v>
      </c>
      <c r="AC101">
        <v>1.9863292799999999</v>
      </c>
    </row>
    <row r="102" spans="1:29" x14ac:dyDescent="0.3">
      <c r="A102">
        <v>152004</v>
      </c>
      <c r="B102" s="25" t="s">
        <v>5984</v>
      </c>
      <c r="C102" t="s">
        <v>20</v>
      </c>
      <c r="D102" t="s">
        <v>21</v>
      </c>
      <c r="E102">
        <v>2222222</v>
      </c>
      <c r="F102" s="8" t="s">
        <v>22</v>
      </c>
      <c r="G102" s="2">
        <v>98</v>
      </c>
      <c r="H102" s="2" t="s">
        <v>3806</v>
      </c>
      <c r="I102" s="2" t="s">
        <v>4246</v>
      </c>
      <c r="J102" s="9" t="s">
        <v>4852</v>
      </c>
      <c r="K102" s="2" t="s">
        <v>4954</v>
      </c>
      <c r="L102" s="2">
        <v>1</v>
      </c>
      <c r="M102" s="24" t="s">
        <v>5971</v>
      </c>
      <c r="N102" s="2" t="s">
        <v>23</v>
      </c>
      <c r="O102" s="3" t="s">
        <v>109</v>
      </c>
      <c r="P102" s="18" t="s">
        <v>0</v>
      </c>
      <c r="Q102" s="6" t="s">
        <v>4475</v>
      </c>
      <c r="T102" s="23">
        <v>46204</v>
      </c>
      <c r="U102" s="23">
        <v>46569</v>
      </c>
      <c r="X102" s="20">
        <v>1000</v>
      </c>
      <c r="Z102" s="6" t="s">
        <v>5978</v>
      </c>
      <c r="AA102" s="14">
        <f t="shared" si="14"/>
        <v>5.9999999999999995E-4</v>
      </c>
      <c r="AB102">
        <v>0.6</v>
      </c>
      <c r="AC102">
        <v>0.624</v>
      </c>
    </row>
    <row r="103" spans="1:29" x14ac:dyDescent="0.3">
      <c r="A103">
        <v>140837</v>
      </c>
      <c r="B103" s="25" t="s">
        <v>5984</v>
      </c>
      <c r="C103" t="s">
        <v>20</v>
      </c>
      <c r="D103" t="s">
        <v>21</v>
      </c>
      <c r="E103">
        <v>2222222</v>
      </c>
      <c r="F103" s="8" t="s">
        <v>22</v>
      </c>
      <c r="G103" s="2">
        <v>98</v>
      </c>
      <c r="H103" s="2" t="s">
        <v>3807</v>
      </c>
      <c r="I103" s="2" t="s">
        <v>4181</v>
      </c>
      <c r="J103" s="9" t="s">
        <v>4891</v>
      </c>
      <c r="K103" s="2" t="s">
        <v>4926</v>
      </c>
      <c r="L103" s="2">
        <v>1</v>
      </c>
      <c r="M103" s="24" t="s">
        <v>5971</v>
      </c>
      <c r="N103" s="2" t="s">
        <v>23</v>
      </c>
      <c r="O103" s="3" t="s">
        <v>110</v>
      </c>
      <c r="P103" s="18" t="s">
        <v>3781</v>
      </c>
      <c r="Q103" s="6" t="s">
        <v>4475</v>
      </c>
      <c r="T103" s="23">
        <v>45435</v>
      </c>
      <c r="U103" s="23">
        <v>46895</v>
      </c>
      <c r="X103" s="20">
        <v>12000</v>
      </c>
      <c r="Z103" s="6" t="s">
        <v>5978</v>
      </c>
      <c r="AA103" s="14">
        <f t="shared" si="14"/>
        <v>5.9999999999999995E-4</v>
      </c>
      <c r="AB103">
        <v>3.8744039999999997</v>
      </c>
      <c r="AC103">
        <v>4.0293801599999997</v>
      </c>
    </row>
    <row r="104" spans="1:29" x14ac:dyDescent="0.3">
      <c r="A104">
        <v>146460</v>
      </c>
      <c r="B104" s="25" t="s">
        <v>5984</v>
      </c>
      <c r="C104" t="s">
        <v>20</v>
      </c>
      <c r="D104" t="s">
        <v>21</v>
      </c>
      <c r="E104">
        <v>2222222</v>
      </c>
      <c r="F104" s="8" t="s">
        <v>22</v>
      </c>
      <c r="G104" s="2">
        <v>98</v>
      </c>
      <c r="H104" s="2" t="s">
        <v>3807</v>
      </c>
      <c r="I104" s="2" t="s">
        <v>4720</v>
      </c>
      <c r="J104" s="9" t="s">
        <v>4955</v>
      </c>
      <c r="K104" s="2" t="s">
        <v>4956</v>
      </c>
      <c r="L104" s="2">
        <v>1</v>
      </c>
      <c r="M104" s="24" t="s">
        <v>5971</v>
      </c>
      <c r="N104" s="2" t="s">
        <v>23</v>
      </c>
      <c r="O104" s="3" t="s">
        <v>111</v>
      </c>
      <c r="P104" s="18" t="s">
        <v>3781</v>
      </c>
      <c r="Q104" s="6" t="s">
        <v>4475</v>
      </c>
      <c r="T104" s="23">
        <v>45818</v>
      </c>
      <c r="U104" s="23">
        <v>47279</v>
      </c>
      <c r="X104" s="20">
        <v>5000</v>
      </c>
      <c r="Z104" s="6" t="s">
        <v>5978</v>
      </c>
      <c r="AA104" s="14">
        <f t="shared" si="14"/>
        <v>5.9999999999999995E-4</v>
      </c>
      <c r="AB104">
        <v>2.44014</v>
      </c>
      <c r="AC104">
        <v>2.5377456</v>
      </c>
    </row>
    <row r="105" spans="1:29" x14ac:dyDescent="0.3">
      <c r="A105">
        <v>150838</v>
      </c>
      <c r="B105" s="25" t="s">
        <v>5984</v>
      </c>
      <c r="C105" t="s">
        <v>20</v>
      </c>
      <c r="D105" t="s">
        <v>21</v>
      </c>
      <c r="E105">
        <v>2222222</v>
      </c>
      <c r="F105" s="8" t="s">
        <v>22</v>
      </c>
      <c r="G105" s="2">
        <v>98</v>
      </c>
      <c r="H105" s="2" t="s">
        <v>3807</v>
      </c>
      <c r="I105" s="2" t="s">
        <v>4110</v>
      </c>
      <c r="J105" s="9" t="s">
        <v>4957</v>
      </c>
      <c r="K105" s="2" t="s">
        <v>4958</v>
      </c>
      <c r="L105" s="2">
        <v>1</v>
      </c>
      <c r="M105" s="24" t="s">
        <v>5971</v>
      </c>
      <c r="N105" s="2" t="s">
        <v>23</v>
      </c>
      <c r="O105" s="3" t="s">
        <v>112</v>
      </c>
      <c r="P105" s="18" t="s">
        <v>3781</v>
      </c>
      <c r="Q105" s="6" t="s">
        <v>4475</v>
      </c>
      <c r="T105" s="23">
        <v>46120</v>
      </c>
      <c r="U105" s="23">
        <v>46546</v>
      </c>
      <c r="X105" s="20">
        <v>1120</v>
      </c>
      <c r="Z105" s="6" t="s">
        <v>5978</v>
      </c>
      <c r="AA105" s="14">
        <f t="shared" si="14"/>
        <v>5.9999999999999995E-4</v>
      </c>
      <c r="AB105">
        <v>0.58406400000000003</v>
      </c>
      <c r="AC105">
        <v>0.60742656000000006</v>
      </c>
    </row>
    <row r="106" spans="1:29" x14ac:dyDescent="0.3">
      <c r="A106">
        <v>150568</v>
      </c>
      <c r="B106" s="25" t="s">
        <v>5984</v>
      </c>
      <c r="C106" t="s">
        <v>20</v>
      </c>
      <c r="D106" t="s">
        <v>21</v>
      </c>
      <c r="E106">
        <v>2222222</v>
      </c>
      <c r="F106" s="8" t="s">
        <v>22</v>
      </c>
      <c r="G106" s="2">
        <v>98</v>
      </c>
      <c r="H106" s="2" t="s">
        <v>3808</v>
      </c>
      <c r="I106" s="2" t="s">
        <v>4380</v>
      </c>
      <c r="J106" s="9" t="s">
        <v>4959</v>
      </c>
      <c r="K106" s="2" t="s">
        <v>4960</v>
      </c>
      <c r="L106" s="2">
        <v>1</v>
      </c>
      <c r="M106" s="24" t="s">
        <v>5971</v>
      </c>
      <c r="N106" s="2" t="s">
        <v>23</v>
      </c>
      <c r="O106" s="3" t="s">
        <v>113</v>
      </c>
      <c r="P106" s="18" t="s">
        <v>3781</v>
      </c>
      <c r="Q106" s="6" t="s">
        <v>4475</v>
      </c>
      <c r="T106" s="23">
        <v>46102</v>
      </c>
      <c r="U106" s="23">
        <v>47197</v>
      </c>
      <c r="X106" s="20">
        <v>5000</v>
      </c>
      <c r="Z106" s="6" t="s">
        <v>5978</v>
      </c>
      <c r="AA106" s="14">
        <f t="shared" si="14"/>
        <v>5.9999999999999995E-4</v>
      </c>
      <c r="AB106">
        <v>2.7403199999999996</v>
      </c>
      <c r="AC106">
        <v>2.8499327999999999</v>
      </c>
    </row>
    <row r="107" spans="1:29" x14ac:dyDescent="0.3">
      <c r="A107">
        <v>143192</v>
      </c>
      <c r="B107" s="25" t="s">
        <v>5984</v>
      </c>
      <c r="C107" t="s">
        <v>20</v>
      </c>
      <c r="D107" t="s">
        <v>21</v>
      </c>
      <c r="E107">
        <v>2222222</v>
      </c>
      <c r="F107" s="8" t="s">
        <v>22</v>
      </c>
      <c r="G107" s="2">
        <v>98</v>
      </c>
      <c r="H107" s="2" t="s">
        <v>3809</v>
      </c>
      <c r="I107" s="2" t="s">
        <v>4747</v>
      </c>
      <c r="J107" s="9" t="s">
        <v>4901</v>
      </c>
      <c r="K107" s="2" t="s">
        <v>4961</v>
      </c>
      <c r="L107" s="2">
        <v>1</v>
      </c>
      <c r="M107" s="24" t="s">
        <v>5971</v>
      </c>
      <c r="N107" s="2" t="s">
        <v>23</v>
      </c>
      <c r="O107" s="3" t="s">
        <v>114</v>
      </c>
      <c r="P107" s="18" t="s">
        <v>0</v>
      </c>
      <c r="Q107" s="6" t="s">
        <v>4475</v>
      </c>
      <c r="T107" s="23">
        <v>45586</v>
      </c>
      <c r="U107" s="23">
        <v>47868</v>
      </c>
      <c r="X107" s="20">
        <v>11000</v>
      </c>
      <c r="Z107" s="6" t="s">
        <v>5978</v>
      </c>
      <c r="AA107" s="14">
        <f t="shared" si="14"/>
        <v>5.9999999999999995E-4</v>
      </c>
      <c r="AB107">
        <v>5.5169819999999987</v>
      </c>
      <c r="AC107">
        <v>5.7376612799999993</v>
      </c>
    </row>
    <row r="108" spans="1:29" x14ac:dyDescent="0.3">
      <c r="A108">
        <v>148226</v>
      </c>
      <c r="B108" s="25" t="s">
        <v>5984</v>
      </c>
      <c r="C108" t="s">
        <v>20</v>
      </c>
      <c r="D108" t="s">
        <v>21</v>
      </c>
      <c r="E108">
        <v>2222222</v>
      </c>
      <c r="F108" s="8" t="s">
        <v>22</v>
      </c>
      <c r="G108" s="2">
        <v>98</v>
      </c>
      <c r="H108" s="2" t="s">
        <v>3809</v>
      </c>
      <c r="I108" s="2" t="s">
        <v>4387</v>
      </c>
      <c r="J108" s="9" t="s">
        <v>4911</v>
      </c>
      <c r="K108" s="2" t="s">
        <v>4941</v>
      </c>
      <c r="L108" s="2">
        <v>1</v>
      </c>
      <c r="M108" s="24" t="s">
        <v>5971</v>
      </c>
      <c r="N108" s="2" t="s">
        <v>23</v>
      </c>
      <c r="O108" s="3" t="s">
        <v>115</v>
      </c>
      <c r="P108" s="18" t="s">
        <v>3781</v>
      </c>
      <c r="Q108" s="6" t="s">
        <v>4475</v>
      </c>
      <c r="T108" s="23">
        <v>45946</v>
      </c>
      <c r="U108" s="23">
        <v>47041</v>
      </c>
      <c r="X108" s="20">
        <v>3000</v>
      </c>
      <c r="Z108" s="6" t="s">
        <v>5978</v>
      </c>
      <c r="AA108" s="14">
        <f t="shared" si="14"/>
        <v>5.9999999999999995E-4</v>
      </c>
      <c r="AB108">
        <v>1.4746319999999997</v>
      </c>
      <c r="AC108">
        <v>1.5336172799999999</v>
      </c>
    </row>
    <row r="109" spans="1:29" x14ac:dyDescent="0.3">
      <c r="A109">
        <v>142971</v>
      </c>
      <c r="B109" s="25" t="s">
        <v>5984</v>
      </c>
      <c r="C109" t="s">
        <v>20</v>
      </c>
      <c r="D109" t="s">
        <v>21</v>
      </c>
      <c r="E109">
        <v>2222222</v>
      </c>
      <c r="F109" s="8" t="s">
        <v>22</v>
      </c>
      <c r="G109" s="2">
        <v>98</v>
      </c>
      <c r="H109" s="2" t="s">
        <v>3810</v>
      </c>
      <c r="I109" s="2" t="s">
        <v>4115</v>
      </c>
      <c r="J109" s="9" t="s">
        <v>4962</v>
      </c>
      <c r="K109" s="2" t="s">
        <v>4963</v>
      </c>
      <c r="L109" s="2">
        <v>1</v>
      </c>
      <c r="M109" s="24" t="s">
        <v>5971</v>
      </c>
      <c r="N109" s="2" t="s">
        <v>23</v>
      </c>
      <c r="O109" s="3" t="s">
        <v>116</v>
      </c>
      <c r="P109" s="18" t="s">
        <v>3781</v>
      </c>
      <c r="Q109" s="6" t="s">
        <v>4475</v>
      </c>
      <c r="T109" s="23">
        <v>45568</v>
      </c>
      <c r="U109" s="23">
        <v>51045</v>
      </c>
      <c r="X109" s="20">
        <v>37300</v>
      </c>
      <c r="Z109" s="6" t="s">
        <v>5978</v>
      </c>
      <c r="AA109" s="14">
        <f t="shared" si="14"/>
        <v>5.9999999999999995E-4</v>
      </c>
      <c r="AB109">
        <v>21.477959999999996</v>
      </c>
      <c r="AC109">
        <v>22.337078399999996</v>
      </c>
    </row>
    <row r="110" spans="1:29" x14ac:dyDescent="0.3">
      <c r="A110">
        <v>131935</v>
      </c>
      <c r="B110" s="25" t="s">
        <v>5984</v>
      </c>
      <c r="C110" t="s">
        <v>20</v>
      </c>
      <c r="D110" t="s">
        <v>21</v>
      </c>
      <c r="E110">
        <v>2222222</v>
      </c>
      <c r="F110" s="8" t="s">
        <v>22</v>
      </c>
      <c r="G110" s="2">
        <v>98</v>
      </c>
      <c r="H110" s="2" t="s">
        <v>3811</v>
      </c>
      <c r="I110" s="2" t="s">
        <v>4597</v>
      </c>
      <c r="J110" s="9" t="s">
        <v>4950</v>
      </c>
      <c r="K110" s="2" t="s">
        <v>4964</v>
      </c>
      <c r="L110" s="2">
        <v>1</v>
      </c>
      <c r="M110" s="24" t="s">
        <v>5971</v>
      </c>
      <c r="N110" s="2" t="s">
        <v>23</v>
      </c>
      <c r="O110" s="3" t="s">
        <v>117</v>
      </c>
      <c r="P110" s="18" t="s">
        <v>0</v>
      </c>
      <c r="Q110" s="6" t="s">
        <v>4475</v>
      </c>
      <c r="T110" s="23">
        <v>44926</v>
      </c>
      <c r="U110" s="23">
        <v>47212</v>
      </c>
      <c r="X110" s="20">
        <v>20000</v>
      </c>
      <c r="Z110" s="6" t="s">
        <v>5978</v>
      </c>
      <c r="AA110" s="13">
        <f>+(0.56/1000)</f>
        <v>5.6000000000000006E-4</v>
      </c>
      <c r="AB110">
        <v>6.4594768000000009</v>
      </c>
      <c r="AC110">
        <v>6.7178558720000012</v>
      </c>
    </row>
    <row r="111" spans="1:29" x14ac:dyDescent="0.3">
      <c r="A111">
        <v>146343</v>
      </c>
      <c r="B111" s="25" t="s">
        <v>5984</v>
      </c>
      <c r="C111" t="s">
        <v>20</v>
      </c>
      <c r="D111" t="s">
        <v>21</v>
      </c>
      <c r="E111">
        <v>2222222</v>
      </c>
      <c r="F111" s="8" t="s">
        <v>22</v>
      </c>
      <c r="G111" s="2">
        <v>98</v>
      </c>
      <c r="H111" s="2" t="s">
        <v>3812</v>
      </c>
      <c r="I111" s="2" t="s">
        <v>3842</v>
      </c>
      <c r="J111" s="9" t="s">
        <v>4929</v>
      </c>
      <c r="K111" s="2" t="s">
        <v>4965</v>
      </c>
      <c r="L111" s="2">
        <v>1</v>
      </c>
      <c r="M111" s="24" t="s">
        <v>5971</v>
      </c>
      <c r="N111" s="2" t="s">
        <v>23</v>
      </c>
      <c r="O111" s="3" t="s">
        <v>118</v>
      </c>
      <c r="P111" s="18" t="s">
        <v>0</v>
      </c>
      <c r="Q111" s="6" t="s">
        <v>4475</v>
      </c>
      <c r="T111" s="23">
        <v>45877</v>
      </c>
      <c r="U111" s="23">
        <v>49528</v>
      </c>
      <c r="X111" s="20">
        <v>85000</v>
      </c>
      <c r="Z111" s="6" t="s">
        <v>5978</v>
      </c>
      <c r="AA111" s="14">
        <f t="shared" ref="AA111:AA112" si="15">+(0.6/1000)</f>
        <v>5.9999999999999995E-4</v>
      </c>
      <c r="AB111">
        <v>48.819551999999995</v>
      </c>
      <c r="AC111">
        <v>50.772334079999993</v>
      </c>
    </row>
    <row r="112" spans="1:29" x14ac:dyDescent="0.3">
      <c r="A112">
        <v>150289</v>
      </c>
      <c r="B112" s="25" t="s">
        <v>5984</v>
      </c>
      <c r="C112" t="s">
        <v>20</v>
      </c>
      <c r="D112" t="s">
        <v>21</v>
      </c>
      <c r="E112">
        <v>2222222</v>
      </c>
      <c r="F112" s="8" t="s">
        <v>22</v>
      </c>
      <c r="G112" s="2">
        <v>98</v>
      </c>
      <c r="H112" s="2" t="s">
        <v>3812</v>
      </c>
      <c r="I112" s="2" t="s">
        <v>4141</v>
      </c>
      <c r="J112" s="9" t="s">
        <v>4961</v>
      </c>
      <c r="K112" s="2" t="s">
        <v>4966</v>
      </c>
      <c r="L112" s="2">
        <v>1</v>
      </c>
      <c r="M112" s="24" t="s">
        <v>5971</v>
      </c>
      <c r="N112" s="2" t="s">
        <v>23</v>
      </c>
      <c r="O112" s="3" t="s">
        <v>119</v>
      </c>
      <c r="P112" s="18" t="s">
        <v>0</v>
      </c>
      <c r="Q112" s="6" t="s">
        <v>4475</v>
      </c>
      <c r="T112" s="23">
        <v>46092</v>
      </c>
      <c r="U112" s="23">
        <v>48283</v>
      </c>
      <c r="X112" s="20">
        <v>10300</v>
      </c>
      <c r="Z112" s="6" t="s">
        <v>5978</v>
      </c>
      <c r="AA112" s="14">
        <f t="shared" si="15"/>
        <v>5.9999999999999995E-4</v>
      </c>
      <c r="AB112">
        <v>5.9688479999999995</v>
      </c>
      <c r="AC112">
        <v>6.2076019200000001</v>
      </c>
    </row>
    <row r="113" spans="1:29" x14ac:dyDescent="0.3">
      <c r="A113">
        <v>133732</v>
      </c>
      <c r="B113" s="25" t="s">
        <v>5984</v>
      </c>
      <c r="C113" t="s">
        <v>20</v>
      </c>
      <c r="D113" t="s">
        <v>21</v>
      </c>
      <c r="E113">
        <v>2222222</v>
      </c>
      <c r="F113" s="8" t="s">
        <v>22</v>
      </c>
      <c r="G113" s="2">
        <v>98</v>
      </c>
      <c r="H113" s="2" t="s">
        <v>3813</v>
      </c>
      <c r="I113" s="2" t="s">
        <v>4536</v>
      </c>
      <c r="J113" s="9" t="s">
        <v>4967</v>
      </c>
      <c r="K113" s="2" t="s">
        <v>4911</v>
      </c>
      <c r="L113" s="2">
        <v>1</v>
      </c>
      <c r="M113" s="24" t="s">
        <v>5971</v>
      </c>
      <c r="N113" s="2" t="s">
        <v>23</v>
      </c>
      <c r="O113" s="3" t="s">
        <v>120</v>
      </c>
      <c r="P113" s="18" t="s">
        <v>3781</v>
      </c>
      <c r="Q113" s="6" t="s">
        <v>4475</v>
      </c>
      <c r="T113" s="23">
        <v>45012</v>
      </c>
      <c r="U113" s="23">
        <v>46472</v>
      </c>
      <c r="X113" s="20">
        <v>5000</v>
      </c>
      <c r="Z113" s="6" t="s">
        <v>5978</v>
      </c>
      <c r="AA113" s="13">
        <f>+(0.56/1000)</f>
        <v>5.6000000000000006E-4</v>
      </c>
      <c r="AB113">
        <v>0.62834240000000008</v>
      </c>
      <c r="AC113">
        <v>0.65347609600000012</v>
      </c>
    </row>
    <row r="114" spans="1:29" x14ac:dyDescent="0.3">
      <c r="A114">
        <v>143042</v>
      </c>
      <c r="B114" s="25" t="s">
        <v>5984</v>
      </c>
      <c r="C114" t="s">
        <v>20</v>
      </c>
      <c r="D114" t="s">
        <v>21</v>
      </c>
      <c r="E114">
        <v>2222222</v>
      </c>
      <c r="F114" s="8" t="s">
        <v>22</v>
      </c>
      <c r="G114" s="2">
        <v>98</v>
      </c>
      <c r="H114" s="2" t="s">
        <v>3813</v>
      </c>
      <c r="I114" s="2" t="s">
        <v>4151</v>
      </c>
      <c r="J114" s="9" t="s">
        <v>4838</v>
      </c>
      <c r="K114" s="2" t="s">
        <v>4968</v>
      </c>
      <c r="L114" s="2">
        <v>1</v>
      </c>
      <c r="M114" s="24" t="s">
        <v>5971</v>
      </c>
      <c r="N114" s="2" t="s">
        <v>23</v>
      </c>
      <c r="O114" s="3" t="s">
        <v>121</v>
      </c>
      <c r="P114" s="18" t="s">
        <v>0</v>
      </c>
      <c r="Q114" s="6" t="s">
        <v>4475</v>
      </c>
      <c r="T114" s="23">
        <v>45564</v>
      </c>
      <c r="U114" s="23">
        <v>46480</v>
      </c>
      <c r="X114" s="20">
        <v>2000</v>
      </c>
      <c r="Z114" s="6" t="s">
        <v>5978</v>
      </c>
      <c r="AA114" s="14">
        <f t="shared" ref="AA114:AA116" si="16">+(0.6/1000)</f>
        <v>5.9999999999999995E-4</v>
      </c>
      <c r="AB114">
        <v>0.42076799999999992</v>
      </c>
      <c r="AC114">
        <v>0.43759871999999994</v>
      </c>
    </row>
    <row r="115" spans="1:29" x14ac:dyDescent="0.3">
      <c r="A115">
        <v>148462</v>
      </c>
      <c r="B115" s="25" t="s">
        <v>5984</v>
      </c>
      <c r="C115" t="s">
        <v>20</v>
      </c>
      <c r="D115" t="s">
        <v>21</v>
      </c>
      <c r="E115">
        <v>2222222</v>
      </c>
      <c r="F115" s="8" t="s">
        <v>22</v>
      </c>
      <c r="G115" s="2">
        <v>98</v>
      </c>
      <c r="H115" s="2" t="s">
        <v>3813</v>
      </c>
      <c r="I115" s="2" t="s">
        <v>4536</v>
      </c>
      <c r="J115" s="9" t="s">
        <v>4967</v>
      </c>
      <c r="K115" s="2" t="s">
        <v>4911</v>
      </c>
      <c r="L115" s="2">
        <v>1</v>
      </c>
      <c r="M115" s="24" t="s">
        <v>5971</v>
      </c>
      <c r="N115" s="2" t="s">
        <v>23</v>
      </c>
      <c r="O115" s="3" t="s">
        <v>120</v>
      </c>
      <c r="P115" s="18" t="s">
        <v>3781</v>
      </c>
      <c r="Q115" s="6" t="s">
        <v>4475</v>
      </c>
      <c r="T115" s="23">
        <v>45966</v>
      </c>
      <c r="U115" s="23">
        <v>47427</v>
      </c>
      <c r="X115" s="20">
        <v>3500</v>
      </c>
      <c r="Z115" s="6" t="s">
        <v>5978</v>
      </c>
      <c r="AA115" s="14">
        <f t="shared" si="16"/>
        <v>5.9999999999999995E-4</v>
      </c>
      <c r="AB115">
        <v>1.8258359999999998</v>
      </c>
      <c r="AC115">
        <v>1.8988694399999999</v>
      </c>
    </row>
    <row r="116" spans="1:29" x14ac:dyDescent="0.3">
      <c r="A116">
        <v>149977</v>
      </c>
      <c r="B116" s="25" t="s">
        <v>5984</v>
      </c>
      <c r="C116" t="s">
        <v>20</v>
      </c>
      <c r="D116" t="s">
        <v>21</v>
      </c>
      <c r="E116">
        <v>2222222</v>
      </c>
      <c r="F116" s="8" t="s">
        <v>22</v>
      </c>
      <c r="G116" s="2">
        <v>98</v>
      </c>
      <c r="H116" s="2" t="s">
        <v>3813</v>
      </c>
      <c r="I116" s="2" t="s">
        <v>4536</v>
      </c>
      <c r="J116" s="9" t="s">
        <v>4967</v>
      </c>
      <c r="K116" s="2" t="s">
        <v>4911</v>
      </c>
      <c r="L116" s="2">
        <v>1</v>
      </c>
      <c r="M116" s="24" t="s">
        <v>5971</v>
      </c>
      <c r="N116" s="2" t="s">
        <v>23</v>
      </c>
      <c r="O116" s="3" t="s">
        <v>120</v>
      </c>
      <c r="P116" s="18" t="s">
        <v>3781</v>
      </c>
      <c r="Q116" s="6" t="s">
        <v>4475</v>
      </c>
      <c r="T116" s="23">
        <v>46062</v>
      </c>
      <c r="U116" s="23">
        <v>47160</v>
      </c>
      <c r="X116" s="20">
        <v>4000</v>
      </c>
      <c r="Z116" s="6" t="s">
        <v>5978</v>
      </c>
      <c r="AA116" s="14">
        <f t="shared" si="16"/>
        <v>5.9999999999999995E-4</v>
      </c>
      <c r="AB116">
        <v>2.1355439999999999</v>
      </c>
      <c r="AC116">
        <v>2.2209657599999999</v>
      </c>
    </row>
    <row r="117" spans="1:29" x14ac:dyDescent="0.3">
      <c r="A117">
        <v>138842</v>
      </c>
      <c r="B117" s="25" t="s">
        <v>5984</v>
      </c>
      <c r="C117" t="s">
        <v>20</v>
      </c>
      <c r="D117" t="s">
        <v>21</v>
      </c>
      <c r="E117">
        <v>2222222</v>
      </c>
      <c r="F117" s="8" t="s">
        <v>22</v>
      </c>
      <c r="G117" s="2">
        <v>98</v>
      </c>
      <c r="H117" s="2" t="s">
        <v>3814</v>
      </c>
      <c r="I117" s="2" t="s">
        <v>4414</v>
      </c>
      <c r="J117" s="9" t="s">
        <v>4969</v>
      </c>
      <c r="K117" s="2" t="s">
        <v>4836</v>
      </c>
      <c r="L117" s="2">
        <v>1</v>
      </c>
      <c r="M117" s="24" t="s">
        <v>5971</v>
      </c>
      <c r="N117" s="2" t="s">
        <v>23</v>
      </c>
      <c r="O117" s="3" t="s">
        <v>122</v>
      </c>
      <c r="P117" s="18" t="s">
        <v>3781</v>
      </c>
      <c r="Q117" s="6" t="s">
        <v>4475</v>
      </c>
      <c r="T117" s="23">
        <v>45301</v>
      </c>
      <c r="U117" s="23">
        <v>46761</v>
      </c>
      <c r="X117" s="20">
        <v>5000</v>
      </c>
      <c r="Z117" s="6" t="s">
        <v>5978</v>
      </c>
      <c r="AA117" s="13">
        <f t="shared" ref="AA117:AA118" si="17">+(0.56/1000)</f>
        <v>5.6000000000000006E-4</v>
      </c>
      <c r="AB117">
        <v>1.3033048</v>
      </c>
      <c r="AC117">
        <v>1.355436992</v>
      </c>
    </row>
    <row r="118" spans="1:29" x14ac:dyDescent="0.3">
      <c r="A118">
        <v>136067</v>
      </c>
      <c r="B118" s="25" t="s">
        <v>5984</v>
      </c>
      <c r="C118" t="s">
        <v>20</v>
      </c>
      <c r="D118" t="s">
        <v>21</v>
      </c>
      <c r="E118">
        <v>2222222</v>
      </c>
      <c r="F118" s="8" t="s">
        <v>22</v>
      </c>
      <c r="G118" s="2">
        <v>98</v>
      </c>
      <c r="H118" s="2" t="s">
        <v>3815</v>
      </c>
      <c r="I118" s="2" t="s">
        <v>3855</v>
      </c>
      <c r="J118" s="9" t="s">
        <v>4970</v>
      </c>
      <c r="K118" s="2" t="s">
        <v>4863</v>
      </c>
      <c r="L118" s="2">
        <v>1</v>
      </c>
      <c r="M118" s="24" t="s">
        <v>5971</v>
      </c>
      <c r="N118" s="2" t="s">
        <v>23</v>
      </c>
      <c r="O118" s="3" t="s">
        <v>123</v>
      </c>
      <c r="P118" s="18" t="s">
        <v>3781</v>
      </c>
      <c r="Q118" s="6" t="s">
        <v>4475</v>
      </c>
      <c r="T118" s="23">
        <v>45156</v>
      </c>
      <c r="U118" s="23">
        <v>46251</v>
      </c>
      <c r="X118" s="20">
        <v>9500</v>
      </c>
      <c r="Z118" s="6" t="s">
        <v>5978</v>
      </c>
      <c r="AA118" s="13">
        <f t="shared" si="17"/>
        <v>5.6000000000000006E-4</v>
      </c>
      <c r="AB118">
        <v>0.18472720000000004</v>
      </c>
      <c r="AC118">
        <v>0.19211628800000005</v>
      </c>
    </row>
    <row r="119" spans="1:29" x14ac:dyDescent="0.3">
      <c r="A119">
        <v>149030</v>
      </c>
      <c r="B119" s="25" t="s">
        <v>5984</v>
      </c>
      <c r="C119" t="s">
        <v>20</v>
      </c>
      <c r="D119" t="s">
        <v>21</v>
      </c>
      <c r="E119">
        <v>2222222</v>
      </c>
      <c r="F119" s="8" t="s">
        <v>22</v>
      </c>
      <c r="G119" s="2">
        <v>98</v>
      </c>
      <c r="H119" s="2" t="s">
        <v>3816</v>
      </c>
      <c r="I119" s="2" t="s">
        <v>4748</v>
      </c>
      <c r="J119" s="9" t="s">
        <v>4855</v>
      </c>
      <c r="K119" s="2" t="s">
        <v>4854</v>
      </c>
      <c r="L119" s="2">
        <v>1</v>
      </c>
      <c r="M119" s="24" t="s">
        <v>5971</v>
      </c>
      <c r="N119" s="2" t="s">
        <v>23</v>
      </c>
      <c r="O119" s="3" t="s">
        <v>124</v>
      </c>
      <c r="P119" s="18" t="s">
        <v>3781</v>
      </c>
      <c r="Q119" s="6" t="s">
        <v>4475</v>
      </c>
      <c r="T119" s="23">
        <v>45994</v>
      </c>
      <c r="U119" s="23">
        <v>46723</v>
      </c>
      <c r="X119" s="20">
        <v>7800</v>
      </c>
      <c r="Z119" s="6" t="s">
        <v>5978</v>
      </c>
      <c r="AA119" s="14">
        <f t="shared" ref="AA119:AA120" si="18">+(0.6/1000)</f>
        <v>5.9999999999999995E-4</v>
      </c>
      <c r="AB119">
        <v>3.4270739999999997</v>
      </c>
      <c r="AC119">
        <v>3.56415696</v>
      </c>
    </row>
    <row r="120" spans="1:29" x14ac:dyDescent="0.3">
      <c r="A120">
        <v>150779</v>
      </c>
      <c r="B120" s="25" t="s">
        <v>5984</v>
      </c>
      <c r="C120" t="s">
        <v>20</v>
      </c>
      <c r="D120" t="s">
        <v>21</v>
      </c>
      <c r="E120">
        <v>2222222</v>
      </c>
      <c r="F120" s="8" t="s">
        <v>22</v>
      </c>
      <c r="G120" s="2">
        <v>98</v>
      </c>
      <c r="H120" s="2" t="s">
        <v>3816</v>
      </c>
      <c r="I120" s="2" t="s">
        <v>4509</v>
      </c>
      <c r="J120" s="9" t="s">
        <v>4971</v>
      </c>
      <c r="K120" s="2" t="s">
        <v>5973</v>
      </c>
      <c r="L120" s="2">
        <v>1</v>
      </c>
      <c r="M120" s="24" t="s">
        <v>5971</v>
      </c>
      <c r="N120" s="2" t="s">
        <v>23</v>
      </c>
      <c r="O120" s="3" t="s">
        <v>125</v>
      </c>
      <c r="P120" s="18" t="s">
        <v>3781</v>
      </c>
      <c r="Q120" s="6" t="s">
        <v>4475</v>
      </c>
      <c r="T120" s="23">
        <v>46121</v>
      </c>
      <c r="U120" s="23">
        <v>53426</v>
      </c>
      <c r="X120" s="20">
        <v>37500</v>
      </c>
      <c r="Z120" s="6" t="s">
        <v>5978</v>
      </c>
      <c r="AA120" s="14">
        <f t="shared" si="18"/>
        <v>5.9999999999999995E-4</v>
      </c>
      <c r="AB120">
        <v>22.441782</v>
      </c>
      <c r="AC120">
        <v>23.339453280000001</v>
      </c>
    </row>
    <row r="121" spans="1:29" x14ac:dyDescent="0.3">
      <c r="A121">
        <v>139824</v>
      </c>
      <c r="B121" s="25" t="s">
        <v>5984</v>
      </c>
      <c r="C121" t="s">
        <v>20</v>
      </c>
      <c r="D121" t="s">
        <v>21</v>
      </c>
      <c r="E121">
        <v>2222222</v>
      </c>
      <c r="F121" s="8" t="s">
        <v>22</v>
      </c>
      <c r="G121" s="2">
        <v>98</v>
      </c>
      <c r="H121" s="2" t="s">
        <v>3817</v>
      </c>
      <c r="I121" s="2" t="s">
        <v>3938</v>
      </c>
      <c r="J121" s="9" t="s">
        <v>4973</v>
      </c>
      <c r="K121" s="2" t="s">
        <v>4974</v>
      </c>
      <c r="L121" s="2">
        <v>1</v>
      </c>
      <c r="M121" s="24" t="s">
        <v>5971</v>
      </c>
      <c r="N121" s="2" t="s">
        <v>23</v>
      </c>
      <c r="O121" s="3" t="s">
        <v>126</v>
      </c>
      <c r="P121" s="18" t="s">
        <v>3781</v>
      </c>
      <c r="Q121" s="6" t="s">
        <v>4475</v>
      </c>
      <c r="T121" s="23">
        <v>45351</v>
      </c>
      <c r="U121" s="23">
        <v>46812</v>
      </c>
      <c r="X121" s="20">
        <v>5000</v>
      </c>
      <c r="Z121" s="6" t="s">
        <v>5978</v>
      </c>
      <c r="AA121" s="13">
        <f>+(0.56/1000)</f>
        <v>5.6000000000000006E-4</v>
      </c>
      <c r="AB121">
        <v>1.4897064000000002</v>
      </c>
      <c r="AC121">
        <v>1.5492946560000003</v>
      </c>
    </row>
    <row r="122" spans="1:29" x14ac:dyDescent="0.3">
      <c r="A122">
        <v>146280</v>
      </c>
      <c r="B122" s="25" t="s">
        <v>5984</v>
      </c>
      <c r="C122" t="s">
        <v>20</v>
      </c>
      <c r="D122" t="s">
        <v>21</v>
      </c>
      <c r="E122">
        <v>2222222</v>
      </c>
      <c r="F122" s="8" t="s">
        <v>22</v>
      </c>
      <c r="G122" s="2">
        <v>98</v>
      </c>
      <c r="H122" s="2" t="s">
        <v>3817</v>
      </c>
      <c r="I122" s="2" t="s">
        <v>3833</v>
      </c>
      <c r="J122" s="9" t="s">
        <v>4864</v>
      </c>
      <c r="K122" s="2" t="s">
        <v>4949</v>
      </c>
      <c r="L122" s="2">
        <v>1</v>
      </c>
      <c r="M122" s="24" t="s">
        <v>5971</v>
      </c>
      <c r="N122" s="2" t="s">
        <v>23</v>
      </c>
      <c r="O122" s="3" t="s">
        <v>127</v>
      </c>
      <c r="P122" s="18" t="s">
        <v>0</v>
      </c>
      <c r="Q122" s="6" t="s">
        <v>4475</v>
      </c>
      <c r="T122" s="23">
        <v>45806</v>
      </c>
      <c r="U122" s="23">
        <v>46535</v>
      </c>
      <c r="X122" s="20">
        <v>3000</v>
      </c>
      <c r="Z122" s="6" t="s">
        <v>5978</v>
      </c>
      <c r="AA122" s="14">
        <f t="shared" ref="AA122:AA133" si="19">+(0.6/1000)</f>
        <v>5.9999999999999995E-4</v>
      </c>
      <c r="AB122">
        <v>0.82494000000000001</v>
      </c>
      <c r="AC122">
        <v>0.85793760000000008</v>
      </c>
    </row>
    <row r="123" spans="1:29" x14ac:dyDescent="0.3">
      <c r="A123">
        <v>146772</v>
      </c>
      <c r="B123" s="25" t="s">
        <v>5984</v>
      </c>
      <c r="C123" t="s">
        <v>20</v>
      </c>
      <c r="D123" t="s">
        <v>21</v>
      </c>
      <c r="E123">
        <v>2222222</v>
      </c>
      <c r="F123" s="8" t="s">
        <v>22</v>
      </c>
      <c r="G123" s="2">
        <v>98</v>
      </c>
      <c r="H123" s="2" t="s">
        <v>3817</v>
      </c>
      <c r="I123" s="2" t="s">
        <v>3905</v>
      </c>
      <c r="J123" s="9" t="s">
        <v>4182</v>
      </c>
      <c r="K123" s="2" t="s">
        <v>4875</v>
      </c>
      <c r="L123" s="2">
        <v>1</v>
      </c>
      <c r="M123" s="24" t="s">
        <v>5971</v>
      </c>
      <c r="N123" s="2" t="s">
        <v>23</v>
      </c>
      <c r="O123" s="3" t="s">
        <v>128</v>
      </c>
      <c r="P123" s="18" t="s">
        <v>0</v>
      </c>
      <c r="Q123" s="6" t="s">
        <v>4475</v>
      </c>
      <c r="T123" s="23">
        <v>45846</v>
      </c>
      <c r="U123" s="23">
        <v>46941</v>
      </c>
      <c r="X123" s="20">
        <v>13000</v>
      </c>
      <c r="Z123" s="6" t="s">
        <v>5978</v>
      </c>
      <c r="AA123" s="14">
        <f t="shared" si="19"/>
        <v>5.9999999999999995E-4</v>
      </c>
      <c r="AB123">
        <v>5.5545659999999994</v>
      </c>
      <c r="AC123">
        <v>5.7767486399999992</v>
      </c>
    </row>
    <row r="124" spans="1:29" x14ac:dyDescent="0.3">
      <c r="A124">
        <v>146827</v>
      </c>
      <c r="B124" s="25" t="s">
        <v>5984</v>
      </c>
      <c r="C124" t="s">
        <v>20</v>
      </c>
      <c r="D124" t="s">
        <v>21</v>
      </c>
      <c r="E124">
        <v>2222222</v>
      </c>
      <c r="F124" s="8" t="s">
        <v>22</v>
      </c>
      <c r="G124" s="2">
        <v>98</v>
      </c>
      <c r="H124" s="2" t="s">
        <v>3817</v>
      </c>
      <c r="I124" s="2" t="s">
        <v>4661</v>
      </c>
      <c r="J124" s="9" t="s">
        <v>4975</v>
      </c>
      <c r="K124" s="2" t="s">
        <v>4976</v>
      </c>
      <c r="L124" s="2">
        <v>1</v>
      </c>
      <c r="M124" s="24" t="s">
        <v>5971</v>
      </c>
      <c r="N124" s="2" t="s">
        <v>23</v>
      </c>
      <c r="O124" s="3" t="s">
        <v>129</v>
      </c>
      <c r="P124" s="18" t="s">
        <v>0</v>
      </c>
      <c r="Q124" s="6" t="s">
        <v>4475</v>
      </c>
      <c r="T124" s="23">
        <v>45861</v>
      </c>
      <c r="U124" s="23">
        <v>46409</v>
      </c>
      <c r="X124" s="20">
        <v>50000</v>
      </c>
      <c r="Z124" s="6" t="s">
        <v>5978</v>
      </c>
      <c r="AA124" s="14">
        <f t="shared" si="19"/>
        <v>5.9999999999999995E-4</v>
      </c>
      <c r="AB124">
        <v>10.706555999999997</v>
      </c>
      <c r="AC124">
        <v>11.134818239999998</v>
      </c>
    </row>
    <row r="125" spans="1:29" x14ac:dyDescent="0.3">
      <c r="A125">
        <v>147337</v>
      </c>
      <c r="B125" s="25" t="s">
        <v>5984</v>
      </c>
      <c r="C125" t="s">
        <v>20</v>
      </c>
      <c r="D125" t="s">
        <v>21</v>
      </c>
      <c r="E125">
        <v>2222222</v>
      </c>
      <c r="F125" s="8" t="s">
        <v>22</v>
      </c>
      <c r="G125" s="2">
        <v>98</v>
      </c>
      <c r="H125" s="2" t="s">
        <v>3817</v>
      </c>
      <c r="I125" s="2" t="s">
        <v>3817</v>
      </c>
      <c r="J125" s="9" t="s">
        <v>4901</v>
      </c>
      <c r="K125" s="2" t="s">
        <v>4847</v>
      </c>
      <c r="L125" s="2">
        <v>1</v>
      </c>
      <c r="M125" s="24" t="s">
        <v>5971</v>
      </c>
      <c r="N125" s="2" t="s">
        <v>23</v>
      </c>
      <c r="O125" s="3" t="s">
        <v>130</v>
      </c>
      <c r="P125" s="18" t="s">
        <v>0</v>
      </c>
      <c r="Q125" s="6" t="s">
        <v>4475</v>
      </c>
      <c r="T125" s="23">
        <v>45989</v>
      </c>
      <c r="U125" s="23">
        <v>51468</v>
      </c>
      <c r="X125" s="20">
        <v>67000</v>
      </c>
      <c r="Z125" s="6" t="s">
        <v>5978</v>
      </c>
      <c r="AA125" s="14">
        <f t="shared" si="19"/>
        <v>5.9999999999999995E-4</v>
      </c>
      <c r="AB125">
        <v>39.615659999999998</v>
      </c>
      <c r="AC125">
        <v>41.200286400000003</v>
      </c>
    </row>
    <row r="126" spans="1:29" x14ac:dyDescent="0.3">
      <c r="A126">
        <v>148163</v>
      </c>
      <c r="B126" s="25" t="s">
        <v>5984</v>
      </c>
      <c r="C126" t="s">
        <v>20</v>
      </c>
      <c r="D126" t="s">
        <v>21</v>
      </c>
      <c r="E126">
        <v>2222222</v>
      </c>
      <c r="F126" s="8" t="s">
        <v>22</v>
      </c>
      <c r="G126" s="2">
        <v>98</v>
      </c>
      <c r="H126" s="2" t="s">
        <v>3817</v>
      </c>
      <c r="I126" s="2" t="s">
        <v>3965</v>
      </c>
      <c r="J126" s="9" t="s">
        <v>4836</v>
      </c>
      <c r="K126" s="2" t="s">
        <v>4977</v>
      </c>
      <c r="L126" s="2">
        <v>1</v>
      </c>
      <c r="M126" s="24" t="s">
        <v>5971</v>
      </c>
      <c r="N126" s="2" t="s">
        <v>23</v>
      </c>
      <c r="O126" s="3" t="s">
        <v>131</v>
      </c>
      <c r="P126" s="18" t="s">
        <v>3781</v>
      </c>
      <c r="Q126" s="6" t="s">
        <v>4475</v>
      </c>
      <c r="T126" s="23">
        <v>45943</v>
      </c>
      <c r="U126" s="23">
        <v>47403</v>
      </c>
      <c r="X126" s="20">
        <v>1610</v>
      </c>
      <c r="Z126" s="6" t="s">
        <v>5978</v>
      </c>
      <c r="AA126" s="14">
        <f t="shared" si="19"/>
        <v>5.9999999999999995E-4</v>
      </c>
      <c r="AB126">
        <v>0.82316999999999996</v>
      </c>
      <c r="AC126">
        <v>0.85609679999999999</v>
      </c>
    </row>
    <row r="127" spans="1:29" x14ac:dyDescent="0.3">
      <c r="A127">
        <v>148558</v>
      </c>
      <c r="B127" s="25" t="s">
        <v>5984</v>
      </c>
      <c r="C127" t="s">
        <v>20</v>
      </c>
      <c r="D127" t="s">
        <v>21</v>
      </c>
      <c r="E127">
        <v>2222222</v>
      </c>
      <c r="F127" s="8" t="s">
        <v>22</v>
      </c>
      <c r="G127" s="2">
        <v>98</v>
      </c>
      <c r="H127" s="2" t="s">
        <v>3817</v>
      </c>
      <c r="I127" s="2" t="s">
        <v>4184</v>
      </c>
      <c r="J127" s="9" t="s">
        <v>4978</v>
      </c>
      <c r="K127" s="2" t="s">
        <v>4856</v>
      </c>
      <c r="L127" s="2">
        <v>1</v>
      </c>
      <c r="M127" s="24" t="s">
        <v>5971</v>
      </c>
      <c r="N127" s="2" t="s">
        <v>23</v>
      </c>
      <c r="O127" s="3" t="s">
        <v>132</v>
      </c>
      <c r="P127" s="18" t="s">
        <v>0</v>
      </c>
      <c r="Q127" s="6" t="s">
        <v>4475</v>
      </c>
      <c r="T127" s="23">
        <v>45674</v>
      </c>
      <c r="U127" s="23">
        <v>46757</v>
      </c>
      <c r="X127" s="20">
        <v>10000</v>
      </c>
      <c r="Z127" s="6" t="s">
        <v>5978</v>
      </c>
      <c r="AA127" s="14">
        <f t="shared" si="19"/>
        <v>5.9999999999999995E-4</v>
      </c>
      <c r="AB127">
        <v>3.3180719999999995</v>
      </c>
      <c r="AC127">
        <v>3.4507948799999997</v>
      </c>
    </row>
    <row r="128" spans="1:29" x14ac:dyDescent="0.3">
      <c r="A128">
        <v>148564</v>
      </c>
      <c r="B128" s="25" t="s">
        <v>5984</v>
      </c>
      <c r="C128" t="s">
        <v>20</v>
      </c>
      <c r="D128" t="s">
        <v>21</v>
      </c>
      <c r="E128">
        <v>2222222</v>
      </c>
      <c r="F128" s="8" t="s">
        <v>22</v>
      </c>
      <c r="G128" s="2">
        <v>98</v>
      </c>
      <c r="H128" s="2" t="s">
        <v>3817</v>
      </c>
      <c r="I128" s="2" t="s">
        <v>4410</v>
      </c>
      <c r="J128" s="9" t="s">
        <v>4979</v>
      </c>
      <c r="K128" s="2" t="s">
        <v>5974</v>
      </c>
      <c r="L128" s="2">
        <v>1</v>
      </c>
      <c r="M128" s="24" t="s">
        <v>5971</v>
      </c>
      <c r="N128" s="2" t="s">
        <v>23</v>
      </c>
      <c r="O128" s="3" t="s">
        <v>133</v>
      </c>
      <c r="P128" s="18" t="s">
        <v>3781</v>
      </c>
      <c r="Q128" s="6" t="s">
        <v>4475</v>
      </c>
      <c r="T128" s="23">
        <v>45691</v>
      </c>
      <c r="U128" s="23">
        <v>46238</v>
      </c>
      <c r="X128" s="20">
        <v>1590</v>
      </c>
      <c r="Z128" s="6" t="s">
        <v>5978</v>
      </c>
      <c r="AA128" s="14">
        <f t="shared" si="19"/>
        <v>5.9999999999999995E-4</v>
      </c>
      <c r="AB128">
        <v>6.0545999999999996E-2</v>
      </c>
      <c r="AC128">
        <v>6.2967839999999997E-2</v>
      </c>
    </row>
    <row r="129" spans="1:29" x14ac:dyDescent="0.3">
      <c r="A129">
        <v>148594</v>
      </c>
      <c r="B129" s="25" t="s">
        <v>5984</v>
      </c>
      <c r="C129" t="s">
        <v>20</v>
      </c>
      <c r="D129" t="s">
        <v>21</v>
      </c>
      <c r="E129">
        <v>2222222</v>
      </c>
      <c r="F129" s="8" t="s">
        <v>22</v>
      </c>
      <c r="G129" s="2">
        <v>98</v>
      </c>
      <c r="H129" s="2" t="s">
        <v>3817</v>
      </c>
      <c r="I129" s="2" t="s">
        <v>4004</v>
      </c>
      <c r="J129" s="9" t="s">
        <v>4981</v>
      </c>
      <c r="K129" s="2" t="s">
        <v>4836</v>
      </c>
      <c r="L129" s="2">
        <v>1</v>
      </c>
      <c r="M129" s="24" t="s">
        <v>5971</v>
      </c>
      <c r="N129" s="2" t="s">
        <v>23</v>
      </c>
      <c r="O129" s="3" t="s">
        <v>134</v>
      </c>
      <c r="P129" s="18" t="s">
        <v>3781</v>
      </c>
      <c r="Q129" s="6" t="s">
        <v>4475</v>
      </c>
      <c r="T129" s="23">
        <v>45849</v>
      </c>
      <c r="U129" s="23">
        <v>46905</v>
      </c>
      <c r="X129" s="20">
        <v>5500</v>
      </c>
      <c r="Z129" s="6" t="s">
        <v>5978</v>
      </c>
      <c r="AA129" s="14">
        <f t="shared" si="19"/>
        <v>5.9999999999999995E-4</v>
      </c>
      <c r="AB129">
        <v>1.7644979999999999</v>
      </c>
      <c r="AC129">
        <v>1.83507792</v>
      </c>
    </row>
    <row r="130" spans="1:29" x14ac:dyDescent="0.3">
      <c r="A130">
        <v>148758</v>
      </c>
      <c r="B130" s="25" t="s">
        <v>5984</v>
      </c>
      <c r="C130" t="s">
        <v>20</v>
      </c>
      <c r="D130" t="s">
        <v>21</v>
      </c>
      <c r="E130">
        <v>2222222</v>
      </c>
      <c r="F130" s="8" t="s">
        <v>22</v>
      </c>
      <c r="G130" s="2">
        <v>98</v>
      </c>
      <c r="H130" s="2" t="s">
        <v>3817</v>
      </c>
      <c r="I130" s="2" t="s">
        <v>4369</v>
      </c>
      <c r="J130" s="9" t="s">
        <v>4982</v>
      </c>
      <c r="K130" s="2" t="s">
        <v>4983</v>
      </c>
      <c r="L130" s="2">
        <v>1</v>
      </c>
      <c r="M130" s="24" t="s">
        <v>5971</v>
      </c>
      <c r="N130" s="2" t="s">
        <v>23</v>
      </c>
      <c r="O130" s="3" t="s">
        <v>135</v>
      </c>
      <c r="P130" s="18" t="s">
        <v>0</v>
      </c>
      <c r="Q130" s="6" t="s">
        <v>4475</v>
      </c>
      <c r="T130" s="23">
        <v>45978</v>
      </c>
      <c r="U130" s="23">
        <v>46890</v>
      </c>
      <c r="X130" s="20">
        <v>2000</v>
      </c>
      <c r="Z130" s="6" t="s">
        <v>5978</v>
      </c>
      <c r="AA130" s="14">
        <f t="shared" si="19"/>
        <v>5.9999999999999995E-4</v>
      </c>
      <c r="AB130">
        <v>0.9303539999999999</v>
      </c>
      <c r="AC130">
        <v>0.9675681599999999</v>
      </c>
    </row>
    <row r="131" spans="1:29" x14ac:dyDescent="0.3">
      <c r="A131">
        <v>149784</v>
      </c>
      <c r="B131" s="25" t="s">
        <v>5984</v>
      </c>
      <c r="C131" t="s">
        <v>20</v>
      </c>
      <c r="D131" t="s">
        <v>21</v>
      </c>
      <c r="E131">
        <v>2222222</v>
      </c>
      <c r="F131" s="8" t="s">
        <v>22</v>
      </c>
      <c r="G131" s="2">
        <v>98</v>
      </c>
      <c r="H131" s="2" t="s">
        <v>3817</v>
      </c>
      <c r="I131" s="2" t="s">
        <v>4315</v>
      </c>
      <c r="J131" s="9" t="s">
        <v>4836</v>
      </c>
      <c r="K131" s="2" t="s">
        <v>4873</v>
      </c>
      <c r="L131" s="2">
        <v>1</v>
      </c>
      <c r="M131" s="24" t="s">
        <v>5971</v>
      </c>
      <c r="N131" s="2" t="s">
        <v>23</v>
      </c>
      <c r="O131" s="3" t="s">
        <v>136</v>
      </c>
      <c r="P131" s="18" t="s">
        <v>3781</v>
      </c>
      <c r="Q131" s="6" t="s">
        <v>4475</v>
      </c>
      <c r="T131" s="23">
        <v>46049</v>
      </c>
      <c r="U131" s="23">
        <v>46594</v>
      </c>
      <c r="X131" s="20">
        <v>660</v>
      </c>
      <c r="Z131" s="6" t="s">
        <v>5978</v>
      </c>
      <c r="AA131" s="14">
        <f t="shared" si="19"/>
        <v>5.9999999999999995E-4</v>
      </c>
      <c r="AB131">
        <v>0.27464999999999995</v>
      </c>
      <c r="AC131">
        <v>0.28563599999999995</v>
      </c>
    </row>
    <row r="132" spans="1:29" x14ac:dyDescent="0.3">
      <c r="A132">
        <v>151795</v>
      </c>
      <c r="B132" s="25" t="s">
        <v>5984</v>
      </c>
      <c r="C132" t="s">
        <v>20</v>
      </c>
      <c r="D132" t="s">
        <v>21</v>
      </c>
      <c r="E132">
        <v>2222222</v>
      </c>
      <c r="F132" s="8" t="s">
        <v>22</v>
      </c>
      <c r="G132" s="2">
        <v>98</v>
      </c>
      <c r="H132" s="2" t="s">
        <v>3817</v>
      </c>
      <c r="I132" s="2" t="s">
        <v>4369</v>
      </c>
      <c r="J132" s="9" t="s">
        <v>4984</v>
      </c>
      <c r="K132" s="2" t="s">
        <v>4985</v>
      </c>
      <c r="L132" s="2">
        <v>1</v>
      </c>
      <c r="M132" s="24" t="s">
        <v>5971</v>
      </c>
      <c r="N132" s="2" t="s">
        <v>23</v>
      </c>
      <c r="O132" s="3" t="s">
        <v>137</v>
      </c>
      <c r="P132" s="18" t="s">
        <v>3781</v>
      </c>
      <c r="Q132" s="6" t="s">
        <v>4475</v>
      </c>
      <c r="T132" s="23">
        <v>46188</v>
      </c>
      <c r="U132" s="23">
        <v>46278</v>
      </c>
      <c r="X132" s="20">
        <v>1020</v>
      </c>
      <c r="Z132" s="6" t="s">
        <v>5978</v>
      </c>
      <c r="AA132" s="14">
        <f t="shared" si="19"/>
        <v>5.9999999999999995E-4</v>
      </c>
      <c r="AB132">
        <v>0.61199999999999999</v>
      </c>
      <c r="AC132">
        <v>0.63648000000000005</v>
      </c>
    </row>
    <row r="133" spans="1:29" x14ac:dyDescent="0.3">
      <c r="A133">
        <v>151797</v>
      </c>
      <c r="B133" s="25" t="s">
        <v>5984</v>
      </c>
      <c r="C133" t="s">
        <v>20</v>
      </c>
      <c r="D133" t="s">
        <v>21</v>
      </c>
      <c r="E133">
        <v>2222222</v>
      </c>
      <c r="F133" s="8" t="s">
        <v>22</v>
      </c>
      <c r="G133" s="2">
        <v>98</v>
      </c>
      <c r="H133" s="2" t="s">
        <v>3817</v>
      </c>
      <c r="I133" s="2" t="s">
        <v>4369</v>
      </c>
      <c r="J133" s="9" t="s">
        <v>4986</v>
      </c>
      <c r="K133" s="2" t="s">
        <v>4987</v>
      </c>
      <c r="L133" s="2">
        <v>1</v>
      </c>
      <c r="M133" s="24" t="s">
        <v>5971</v>
      </c>
      <c r="N133" s="2" t="s">
        <v>23</v>
      </c>
      <c r="O133" s="3" t="s">
        <v>138</v>
      </c>
      <c r="P133" s="18" t="s">
        <v>0</v>
      </c>
      <c r="Q133" s="6" t="s">
        <v>4475</v>
      </c>
      <c r="T133" s="23">
        <v>46203</v>
      </c>
      <c r="U133" s="23">
        <v>49188</v>
      </c>
      <c r="X133" s="20">
        <v>8400</v>
      </c>
      <c r="Z133" s="6" t="s">
        <v>5978</v>
      </c>
      <c r="AA133" s="14">
        <f t="shared" si="19"/>
        <v>5.9999999999999995E-4</v>
      </c>
      <c r="AB133">
        <v>5.0399999999999991</v>
      </c>
      <c r="AC133">
        <v>5.2415999999999991</v>
      </c>
    </row>
    <row r="134" spans="1:29" x14ac:dyDescent="0.3">
      <c r="A134">
        <v>126345</v>
      </c>
      <c r="B134" s="25" t="s">
        <v>5984</v>
      </c>
      <c r="C134" t="s">
        <v>20</v>
      </c>
      <c r="D134" t="s">
        <v>21</v>
      </c>
      <c r="E134">
        <v>2222222</v>
      </c>
      <c r="F134" s="8" t="s">
        <v>22</v>
      </c>
      <c r="G134" s="2">
        <v>98</v>
      </c>
      <c r="H134" s="2" t="s">
        <v>3818</v>
      </c>
      <c r="I134" s="2" t="s">
        <v>4370</v>
      </c>
      <c r="J134" s="9" t="s">
        <v>4988</v>
      </c>
      <c r="K134" s="2" t="s">
        <v>4989</v>
      </c>
      <c r="L134" s="2">
        <v>1</v>
      </c>
      <c r="M134" s="24" t="s">
        <v>5971</v>
      </c>
      <c r="N134" s="2" t="s">
        <v>23</v>
      </c>
      <c r="O134" s="3" t="s">
        <v>139</v>
      </c>
      <c r="P134" s="18" t="s">
        <v>0</v>
      </c>
      <c r="Q134" s="6" t="s">
        <v>4475</v>
      </c>
      <c r="T134" s="23">
        <v>44629</v>
      </c>
      <c r="U134" s="23">
        <v>46547</v>
      </c>
      <c r="X134" s="20">
        <v>22000</v>
      </c>
      <c r="Z134" s="6" t="s">
        <v>5978</v>
      </c>
      <c r="AA134" s="15">
        <f>+(0.42/1000)</f>
        <v>4.1999999999999996E-4</v>
      </c>
      <c r="AB134">
        <v>2.2376885999999998</v>
      </c>
      <c r="AC134">
        <v>2.3271961439999997</v>
      </c>
    </row>
    <row r="135" spans="1:29" x14ac:dyDescent="0.3">
      <c r="A135">
        <v>141392</v>
      </c>
      <c r="B135" s="25" t="s">
        <v>5984</v>
      </c>
      <c r="C135" t="s">
        <v>20</v>
      </c>
      <c r="D135" t="s">
        <v>21</v>
      </c>
      <c r="E135">
        <v>2222222</v>
      </c>
      <c r="F135" s="8" t="s">
        <v>22</v>
      </c>
      <c r="G135" s="2">
        <v>98</v>
      </c>
      <c r="H135" s="2" t="s">
        <v>3819</v>
      </c>
      <c r="I135" s="2" t="s">
        <v>4372</v>
      </c>
      <c r="J135" s="9" t="s">
        <v>4990</v>
      </c>
      <c r="K135" s="2" t="s">
        <v>4991</v>
      </c>
      <c r="L135" s="2">
        <v>1</v>
      </c>
      <c r="M135" s="24" t="s">
        <v>5971</v>
      </c>
      <c r="N135" s="2" t="s">
        <v>23</v>
      </c>
      <c r="O135" s="3" t="s">
        <v>140</v>
      </c>
      <c r="P135" s="18" t="s">
        <v>3781</v>
      </c>
      <c r="Q135" s="6" t="s">
        <v>4475</v>
      </c>
      <c r="T135" s="23">
        <v>45456</v>
      </c>
      <c r="U135" s="23">
        <v>46917</v>
      </c>
      <c r="X135" s="20">
        <v>4700</v>
      </c>
      <c r="Z135" s="6" t="s">
        <v>5978</v>
      </c>
      <c r="AA135" s="14">
        <f t="shared" ref="AA135:AA147" si="20">+(0.6/1000)</f>
        <v>5.9999999999999995E-4</v>
      </c>
      <c r="AB135">
        <v>2.5082399999999994</v>
      </c>
      <c r="AC135">
        <v>2.6085695999999996</v>
      </c>
    </row>
    <row r="136" spans="1:29" x14ac:dyDescent="0.3">
      <c r="A136">
        <v>150404</v>
      </c>
      <c r="B136" s="25" t="s">
        <v>5984</v>
      </c>
      <c r="C136" t="s">
        <v>20</v>
      </c>
      <c r="D136" t="s">
        <v>21</v>
      </c>
      <c r="E136">
        <v>2222222</v>
      </c>
      <c r="F136" s="8" t="s">
        <v>22</v>
      </c>
      <c r="G136" s="2">
        <v>98</v>
      </c>
      <c r="H136" s="2" t="s">
        <v>3819</v>
      </c>
      <c r="I136" s="2" t="s">
        <v>3914</v>
      </c>
      <c r="J136" s="9" t="s">
        <v>4906</v>
      </c>
      <c r="K136" s="2" t="s">
        <v>4844</v>
      </c>
      <c r="L136" s="2">
        <v>1</v>
      </c>
      <c r="M136" s="24" t="s">
        <v>5971</v>
      </c>
      <c r="N136" s="2" t="s">
        <v>23</v>
      </c>
      <c r="O136" s="3" t="s">
        <v>141</v>
      </c>
      <c r="P136" s="18" t="s">
        <v>0</v>
      </c>
      <c r="Q136" s="6" t="s">
        <v>4475</v>
      </c>
      <c r="T136" s="23">
        <v>46098</v>
      </c>
      <c r="U136" s="23">
        <v>48654</v>
      </c>
      <c r="X136" s="20">
        <v>12400</v>
      </c>
      <c r="Z136" s="6" t="s">
        <v>5978</v>
      </c>
      <c r="AA136" s="14">
        <f t="shared" si="20"/>
        <v>5.9999999999999995E-4</v>
      </c>
      <c r="AB136">
        <v>7.2412439999999991</v>
      </c>
      <c r="AC136">
        <v>7.5308937599999997</v>
      </c>
    </row>
    <row r="137" spans="1:29" x14ac:dyDescent="0.3">
      <c r="A137">
        <v>151050</v>
      </c>
      <c r="B137" s="25" t="s">
        <v>5984</v>
      </c>
      <c r="C137" t="s">
        <v>20</v>
      </c>
      <c r="D137" t="s">
        <v>21</v>
      </c>
      <c r="E137">
        <v>2222222</v>
      </c>
      <c r="F137" s="8" t="s">
        <v>22</v>
      </c>
      <c r="G137" s="2">
        <v>98</v>
      </c>
      <c r="H137" s="2" t="s">
        <v>3819</v>
      </c>
      <c r="I137" s="2" t="s">
        <v>4220</v>
      </c>
      <c r="J137" s="9" t="s">
        <v>4929</v>
      </c>
      <c r="K137" s="2" t="s">
        <v>4935</v>
      </c>
      <c r="L137" s="2">
        <v>1</v>
      </c>
      <c r="M137" s="24" t="s">
        <v>5971</v>
      </c>
      <c r="N137" s="2" t="s">
        <v>23</v>
      </c>
      <c r="O137" s="3" t="s">
        <v>142</v>
      </c>
      <c r="P137" s="18" t="s">
        <v>0</v>
      </c>
      <c r="Q137" s="6" t="s">
        <v>4475</v>
      </c>
      <c r="T137" s="23">
        <v>46134</v>
      </c>
      <c r="U137" s="23">
        <v>47595</v>
      </c>
      <c r="X137" s="20">
        <v>4370</v>
      </c>
      <c r="Z137" s="6" t="s">
        <v>5978</v>
      </c>
      <c r="AA137" s="14">
        <f t="shared" si="20"/>
        <v>5.9999999999999995E-4</v>
      </c>
      <c r="AB137">
        <v>2.6219999999999999</v>
      </c>
      <c r="AC137">
        <v>2.72688</v>
      </c>
    </row>
    <row r="138" spans="1:29" x14ac:dyDescent="0.3">
      <c r="A138">
        <v>151164</v>
      </c>
      <c r="B138" s="25" t="s">
        <v>5984</v>
      </c>
      <c r="C138" t="s">
        <v>20</v>
      </c>
      <c r="D138" t="s">
        <v>21</v>
      </c>
      <c r="E138">
        <v>2222222</v>
      </c>
      <c r="F138" s="8" t="s">
        <v>22</v>
      </c>
      <c r="G138" s="2">
        <v>98</v>
      </c>
      <c r="H138" s="2" t="s">
        <v>3819</v>
      </c>
      <c r="I138" s="2" t="s">
        <v>4346</v>
      </c>
      <c r="J138" s="9" t="s">
        <v>4931</v>
      </c>
      <c r="K138" s="2" t="s">
        <v>4992</v>
      </c>
      <c r="L138" s="2">
        <v>1</v>
      </c>
      <c r="M138" s="24" t="s">
        <v>5971</v>
      </c>
      <c r="N138" s="2" t="s">
        <v>23</v>
      </c>
      <c r="O138" s="3" t="s">
        <v>143</v>
      </c>
      <c r="P138" s="18" t="s">
        <v>3781</v>
      </c>
      <c r="Q138" s="6" t="s">
        <v>4475</v>
      </c>
      <c r="T138" s="23">
        <v>46142</v>
      </c>
      <c r="U138" s="23">
        <v>46232</v>
      </c>
      <c r="X138" s="20">
        <v>5000</v>
      </c>
      <c r="Z138" s="6" t="s">
        <v>5978</v>
      </c>
      <c r="AA138" s="14">
        <f t="shared" si="20"/>
        <v>5.9999999999999995E-4</v>
      </c>
      <c r="AB138">
        <v>2.9999999999999996</v>
      </c>
      <c r="AC138">
        <v>3.1199999999999997</v>
      </c>
    </row>
    <row r="139" spans="1:29" x14ac:dyDescent="0.3">
      <c r="A139">
        <v>142394</v>
      </c>
      <c r="B139" s="25" t="s">
        <v>5984</v>
      </c>
      <c r="C139" t="s">
        <v>20</v>
      </c>
      <c r="D139" t="s">
        <v>21</v>
      </c>
      <c r="E139">
        <v>2222222</v>
      </c>
      <c r="F139" s="8" t="s">
        <v>22</v>
      </c>
      <c r="G139" s="2">
        <v>98</v>
      </c>
      <c r="H139" s="2" t="s">
        <v>3820</v>
      </c>
      <c r="I139" s="2" t="s">
        <v>4243</v>
      </c>
      <c r="J139" s="9" t="s">
        <v>4993</v>
      </c>
      <c r="K139" s="2" t="s">
        <v>4994</v>
      </c>
      <c r="L139" s="2">
        <v>1</v>
      </c>
      <c r="M139" s="24" t="s">
        <v>5971</v>
      </c>
      <c r="N139" s="2" t="s">
        <v>23</v>
      </c>
      <c r="O139" s="3" t="s">
        <v>144</v>
      </c>
      <c r="P139" s="18" t="s">
        <v>3781</v>
      </c>
      <c r="Q139" s="6" t="s">
        <v>4475</v>
      </c>
      <c r="T139" s="23">
        <v>45517</v>
      </c>
      <c r="U139" s="23">
        <v>46611</v>
      </c>
      <c r="X139" s="20">
        <v>4320</v>
      </c>
      <c r="Z139" s="6" t="s">
        <v>5978</v>
      </c>
      <c r="AA139" s="14">
        <f t="shared" si="20"/>
        <v>5.9999999999999995E-4</v>
      </c>
      <c r="AB139">
        <v>1.072236</v>
      </c>
      <c r="AC139">
        <v>1.1151254399999999</v>
      </c>
    </row>
    <row r="140" spans="1:29" x14ac:dyDescent="0.3">
      <c r="A140">
        <v>142413</v>
      </c>
      <c r="B140" s="25" t="s">
        <v>5984</v>
      </c>
      <c r="C140" t="s">
        <v>20</v>
      </c>
      <c r="D140" t="s">
        <v>21</v>
      </c>
      <c r="E140">
        <v>2222222</v>
      </c>
      <c r="F140" s="8" t="s">
        <v>22</v>
      </c>
      <c r="G140" s="2">
        <v>98</v>
      </c>
      <c r="H140" s="2" t="s">
        <v>3820</v>
      </c>
      <c r="I140" s="2" t="s">
        <v>4749</v>
      </c>
      <c r="J140" s="9" t="s">
        <v>4995</v>
      </c>
      <c r="K140" s="2" t="s">
        <v>4996</v>
      </c>
      <c r="L140" s="2">
        <v>1</v>
      </c>
      <c r="M140" s="24" t="s">
        <v>5971</v>
      </c>
      <c r="N140" s="2" t="s">
        <v>23</v>
      </c>
      <c r="O140" s="3" t="s">
        <v>145</v>
      </c>
      <c r="P140" s="18" t="s">
        <v>0</v>
      </c>
      <c r="Q140" s="6" t="s">
        <v>4475</v>
      </c>
      <c r="T140" s="23">
        <v>45518</v>
      </c>
      <c r="U140" s="23">
        <v>47070</v>
      </c>
      <c r="X140" s="20">
        <v>5000</v>
      </c>
      <c r="Z140" s="6" t="s">
        <v>5978</v>
      </c>
      <c r="AA140" s="14">
        <f t="shared" si="20"/>
        <v>5.9999999999999995E-4</v>
      </c>
      <c r="AB140">
        <v>2.01735</v>
      </c>
      <c r="AC140">
        <v>2.0980440000000002</v>
      </c>
    </row>
    <row r="141" spans="1:29" x14ac:dyDescent="0.3">
      <c r="A141">
        <v>142910</v>
      </c>
      <c r="B141" s="25" t="s">
        <v>5984</v>
      </c>
      <c r="C141" t="s">
        <v>20</v>
      </c>
      <c r="D141" t="s">
        <v>21</v>
      </c>
      <c r="E141">
        <v>2222222</v>
      </c>
      <c r="F141" s="8" t="s">
        <v>22</v>
      </c>
      <c r="G141" s="2">
        <v>98</v>
      </c>
      <c r="H141" s="2" t="s">
        <v>3820</v>
      </c>
      <c r="I141" s="2" t="s">
        <v>4397</v>
      </c>
      <c r="J141" s="9" t="s">
        <v>4926</v>
      </c>
      <c r="K141" s="2" t="s">
        <v>4997</v>
      </c>
      <c r="L141" s="2">
        <v>1</v>
      </c>
      <c r="M141" s="24" t="s">
        <v>5971</v>
      </c>
      <c r="N141" s="2" t="s">
        <v>23</v>
      </c>
      <c r="O141" s="3" t="s">
        <v>146</v>
      </c>
      <c r="P141" s="18" t="s">
        <v>3781</v>
      </c>
      <c r="Q141" s="6" t="s">
        <v>4475</v>
      </c>
      <c r="T141" s="23">
        <v>45553</v>
      </c>
      <c r="U141" s="23">
        <v>47014</v>
      </c>
      <c r="X141" s="20">
        <v>5000</v>
      </c>
      <c r="Z141" s="6" t="s">
        <v>5978</v>
      </c>
      <c r="AA141" s="14">
        <f t="shared" si="20"/>
        <v>5.9999999999999995E-4</v>
      </c>
      <c r="AB141">
        <v>1.8452999999999999</v>
      </c>
      <c r="AC141">
        <v>1.9191119999999999</v>
      </c>
    </row>
    <row r="142" spans="1:29" x14ac:dyDescent="0.3">
      <c r="A142">
        <v>143858</v>
      </c>
      <c r="B142" s="25" t="s">
        <v>5984</v>
      </c>
      <c r="C142" t="s">
        <v>20</v>
      </c>
      <c r="D142" t="s">
        <v>21</v>
      </c>
      <c r="E142">
        <v>2222222</v>
      </c>
      <c r="F142" s="8" t="s">
        <v>22</v>
      </c>
      <c r="G142" s="2">
        <v>98</v>
      </c>
      <c r="H142" s="2" t="s">
        <v>3820</v>
      </c>
      <c r="I142" s="2" t="s">
        <v>4493</v>
      </c>
      <c r="J142" s="9" t="s">
        <v>4998</v>
      </c>
      <c r="K142" s="2" t="s">
        <v>4991</v>
      </c>
      <c r="L142" s="2">
        <v>1</v>
      </c>
      <c r="M142" s="24" t="s">
        <v>5971</v>
      </c>
      <c r="N142" s="2" t="s">
        <v>23</v>
      </c>
      <c r="O142" s="3" t="s">
        <v>147</v>
      </c>
      <c r="P142" s="18" t="s">
        <v>3781</v>
      </c>
      <c r="Q142" s="6" t="s">
        <v>4475</v>
      </c>
      <c r="T142" s="23">
        <v>45625</v>
      </c>
      <c r="U142" s="23">
        <v>49368</v>
      </c>
      <c r="X142" s="20">
        <v>85000</v>
      </c>
      <c r="Z142" s="6" t="s">
        <v>5978</v>
      </c>
      <c r="AA142" s="14">
        <f t="shared" si="20"/>
        <v>5.9999999999999995E-4</v>
      </c>
      <c r="AB142">
        <v>46.849433999999995</v>
      </c>
      <c r="AC142">
        <v>48.72341136</v>
      </c>
    </row>
    <row r="143" spans="1:29" x14ac:dyDescent="0.3">
      <c r="A143">
        <v>143906</v>
      </c>
      <c r="B143" s="25" t="s">
        <v>5984</v>
      </c>
      <c r="C143" t="s">
        <v>20</v>
      </c>
      <c r="D143" t="s">
        <v>21</v>
      </c>
      <c r="E143">
        <v>2222222</v>
      </c>
      <c r="F143" s="8" t="s">
        <v>22</v>
      </c>
      <c r="G143" s="2">
        <v>98</v>
      </c>
      <c r="H143" s="2" t="s">
        <v>3820</v>
      </c>
      <c r="I143" s="2" t="s">
        <v>4275</v>
      </c>
      <c r="J143" s="9" t="s">
        <v>4836</v>
      </c>
      <c r="K143" s="2" t="s">
        <v>4969</v>
      </c>
      <c r="L143" s="2">
        <v>1</v>
      </c>
      <c r="M143" s="24" t="s">
        <v>5971</v>
      </c>
      <c r="N143" s="2" t="s">
        <v>23</v>
      </c>
      <c r="O143" s="3" t="s">
        <v>148</v>
      </c>
      <c r="P143" s="18" t="s">
        <v>3781</v>
      </c>
      <c r="Q143" s="6" t="s">
        <v>4475</v>
      </c>
      <c r="T143" s="23">
        <v>45649</v>
      </c>
      <c r="U143" s="23">
        <v>49390</v>
      </c>
      <c r="X143" s="20">
        <v>40000</v>
      </c>
      <c r="Z143" s="6" t="s">
        <v>5978</v>
      </c>
      <c r="AA143" s="14">
        <f t="shared" si="20"/>
        <v>5.9999999999999995E-4</v>
      </c>
      <c r="AB143">
        <v>22.484663999999999</v>
      </c>
      <c r="AC143">
        <v>23.384050559999999</v>
      </c>
    </row>
    <row r="144" spans="1:29" x14ac:dyDescent="0.3">
      <c r="A144">
        <v>143946</v>
      </c>
      <c r="B144" s="25" t="s">
        <v>5984</v>
      </c>
      <c r="C144" t="s">
        <v>20</v>
      </c>
      <c r="D144" t="s">
        <v>21</v>
      </c>
      <c r="E144">
        <v>2222222</v>
      </c>
      <c r="F144" s="8" t="s">
        <v>22</v>
      </c>
      <c r="G144" s="2">
        <v>98</v>
      </c>
      <c r="H144" s="2" t="s">
        <v>3820</v>
      </c>
      <c r="I144" s="2" t="s">
        <v>4506</v>
      </c>
      <c r="J144" s="9" t="s">
        <v>4953</v>
      </c>
      <c r="K144" s="2" t="s">
        <v>4964</v>
      </c>
      <c r="L144" s="2">
        <v>1</v>
      </c>
      <c r="M144" s="24" t="s">
        <v>5971</v>
      </c>
      <c r="N144" s="2" t="s">
        <v>23</v>
      </c>
      <c r="O144" s="3" t="s">
        <v>149</v>
      </c>
      <c r="P144" s="18" t="s">
        <v>0</v>
      </c>
      <c r="Q144" s="6" t="s">
        <v>4475</v>
      </c>
      <c r="T144" s="23">
        <v>45634</v>
      </c>
      <c r="U144" s="23">
        <v>47549</v>
      </c>
      <c r="X144" s="20">
        <v>15000</v>
      </c>
      <c r="Z144" s="6" t="s">
        <v>5978</v>
      </c>
      <c r="AA144" s="14">
        <f t="shared" si="20"/>
        <v>5.9999999999999995E-4</v>
      </c>
      <c r="AB144">
        <v>7.2983279999999988</v>
      </c>
      <c r="AC144">
        <v>7.5902611199999992</v>
      </c>
    </row>
    <row r="145" spans="1:29" x14ac:dyDescent="0.3">
      <c r="A145">
        <v>144733</v>
      </c>
      <c r="B145" s="25" t="s">
        <v>5984</v>
      </c>
      <c r="C145" t="s">
        <v>20</v>
      </c>
      <c r="D145" t="s">
        <v>21</v>
      </c>
      <c r="E145">
        <v>2222222</v>
      </c>
      <c r="F145" s="8" t="s">
        <v>22</v>
      </c>
      <c r="G145" s="2">
        <v>98</v>
      </c>
      <c r="H145" s="2" t="s">
        <v>3820</v>
      </c>
      <c r="I145" s="2" t="s">
        <v>4278</v>
      </c>
      <c r="J145" s="9" t="s">
        <v>4815</v>
      </c>
      <c r="K145" s="2" t="s">
        <v>4965</v>
      </c>
      <c r="L145" s="2">
        <v>1</v>
      </c>
      <c r="M145" s="24" t="s">
        <v>5971</v>
      </c>
      <c r="N145" s="2" t="s">
        <v>23</v>
      </c>
      <c r="O145" s="3" t="s">
        <v>150</v>
      </c>
      <c r="P145" s="18" t="s">
        <v>0</v>
      </c>
      <c r="Q145" s="6" t="s">
        <v>4475</v>
      </c>
      <c r="T145" s="23">
        <v>45685</v>
      </c>
      <c r="U145" s="23">
        <v>46414</v>
      </c>
      <c r="X145" s="20">
        <v>5000</v>
      </c>
      <c r="Z145" s="6" t="s">
        <v>5978</v>
      </c>
      <c r="AA145" s="14">
        <f t="shared" si="20"/>
        <v>5.9999999999999995E-4</v>
      </c>
      <c r="AB145">
        <v>0.85087199999999985</v>
      </c>
      <c r="AC145">
        <v>0.88490687999999984</v>
      </c>
    </row>
    <row r="146" spans="1:29" x14ac:dyDescent="0.3">
      <c r="A146">
        <v>145874</v>
      </c>
      <c r="B146" s="25" t="s">
        <v>5984</v>
      </c>
      <c r="C146" t="s">
        <v>20</v>
      </c>
      <c r="D146" t="s">
        <v>21</v>
      </c>
      <c r="E146">
        <v>2222222</v>
      </c>
      <c r="F146" s="8" t="s">
        <v>22</v>
      </c>
      <c r="G146" s="2">
        <v>98</v>
      </c>
      <c r="H146" s="2" t="s">
        <v>3820</v>
      </c>
      <c r="I146" s="2" t="s">
        <v>4493</v>
      </c>
      <c r="J146" s="9" t="s">
        <v>4998</v>
      </c>
      <c r="K146" s="2" t="s">
        <v>4991</v>
      </c>
      <c r="L146" s="2">
        <v>1</v>
      </c>
      <c r="M146" s="24" t="s">
        <v>5971</v>
      </c>
      <c r="N146" s="2" t="s">
        <v>23</v>
      </c>
      <c r="O146" s="3" t="s">
        <v>147</v>
      </c>
      <c r="P146" s="18" t="s">
        <v>3781</v>
      </c>
      <c r="Q146" s="6" t="s">
        <v>4475</v>
      </c>
      <c r="T146" s="23">
        <v>45771</v>
      </c>
      <c r="U146" s="23">
        <v>47232</v>
      </c>
      <c r="X146" s="20">
        <v>3630</v>
      </c>
      <c r="Z146" s="6" t="s">
        <v>5978</v>
      </c>
      <c r="AA146" s="14">
        <f t="shared" si="20"/>
        <v>5.9999999999999995E-4</v>
      </c>
      <c r="AB146">
        <v>1.6718639999999998</v>
      </c>
      <c r="AC146">
        <v>1.7387385599999998</v>
      </c>
    </row>
    <row r="147" spans="1:29" x14ac:dyDescent="0.3">
      <c r="A147">
        <v>147238</v>
      </c>
      <c r="B147" s="25" t="s">
        <v>5984</v>
      </c>
      <c r="C147" t="s">
        <v>20</v>
      </c>
      <c r="D147" t="s">
        <v>21</v>
      </c>
      <c r="E147">
        <v>2222222</v>
      </c>
      <c r="F147" s="8" t="s">
        <v>22</v>
      </c>
      <c r="G147" s="2">
        <v>98</v>
      </c>
      <c r="H147" s="2" t="s">
        <v>3820</v>
      </c>
      <c r="I147" s="2" t="s">
        <v>4493</v>
      </c>
      <c r="J147" s="9" t="s">
        <v>4998</v>
      </c>
      <c r="K147" s="2" t="s">
        <v>4991</v>
      </c>
      <c r="L147" s="2">
        <v>1</v>
      </c>
      <c r="M147" s="24" t="s">
        <v>5971</v>
      </c>
      <c r="N147" s="2" t="s">
        <v>23</v>
      </c>
      <c r="O147" s="3" t="s">
        <v>147</v>
      </c>
      <c r="P147" s="18" t="s">
        <v>3781</v>
      </c>
      <c r="Q147" s="6" t="s">
        <v>4475</v>
      </c>
      <c r="T147" s="23">
        <v>45875</v>
      </c>
      <c r="U147" s="23">
        <v>48431</v>
      </c>
      <c r="X147" s="20">
        <v>30000</v>
      </c>
      <c r="Z147" s="6" t="s">
        <v>5978</v>
      </c>
      <c r="AA147" s="14">
        <f t="shared" si="20"/>
        <v>5.9999999999999995E-4</v>
      </c>
      <c r="AB147">
        <v>16.406285999999998</v>
      </c>
      <c r="AC147">
        <v>17.06253744</v>
      </c>
    </row>
    <row r="148" spans="1:29" x14ac:dyDescent="0.3">
      <c r="A148">
        <v>148539</v>
      </c>
      <c r="B148" s="25" t="s">
        <v>5984</v>
      </c>
      <c r="C148" t="s">
        <v>20</v>
      </c>
      <c r="D148" t="s">
        <v>21</v>
      </c>
      <c r="E148">
        <v>2222222</v>
      </c>
      <c r="F148" s="8" t="s">
        <v>22</v>
      </c>
      <c r="G148" s="2">
        <v>98</v>
      </c>
      <c r="H148" s="2" t="s">
        <v>3820</v>
      </c>
      <c r="I148" s="2" t="s">
        <v>3828</v>
      </c>
      <c r="J148" s="9" t="s">
        <v>4998</v>
      </c>
      <c r="K148" s="2" t="s">
        <v>4999</v>
      </c>
      <c r="L148" s="2">
        <v>1</v>
      </c>
      <c r="M148" s="24" t="s">
        <v>5971</v>
      </c>
      <c r="N148" s="2" t="s">
        <v>23</v>
      </c>
      <c r="O148" s="3" t="s">
        <v>151</v>
      </c>
      <c r="P148" s="18" t="s">
        <v>3781</v>
      </c>
      <c r="Q148" s="6" t="s">
        <v>4475</v>
      </c>
      <c r="T148" s="23">
        <v>45055</v>
      </c>
      <c r="U148" s="23">
        <v>46881</v>
      </c>
      <c r="X148" s="20">
        <v>14800</v>
      </c>
      <c r="Z148" s="6" t="s">
        <v>5978</v>
      </c>
      <c r="AA148" s="13">
        <f>+(0.56/1000)</f>
        <v>5.6000000000000006E-4</v>
      </c>
      <c r="AB148">
        <v>3.8270120000000003</v>
      </c>
      <c r="AC148">
        <v>3.9800924800000006</v>
      </c>
    </row>
    <row r="149" spans="1:29" x14ac:dyDescent="0.3">
      <c r="A149">
        <v>149660</v>
      </c>
      <c r="B149" s="25" t="s">
        <v>5984</v>
      </c>
      <c r="C149" t="s">
        <v>20</v>
      </c>
      <c r="D149" t="s">
        <v>21</v>
      </c>
      <c r="E149">
        <v>2222222</v>
      </c>
      <c r="F149" s="8" t="s">
        <v>22</v>
      </c>
      <c r="G149" s="2">
        <v>98</v>
      </c>
      <c r="H149" s="2" t="s">
        <v>3820</v>
      </c>
      <c r="I149" s="2" t="s">
        <v>4422</v>
      </c>
      <c r="J149" s="9" t="s">
        <v>5000</v>
      </c>
      <c r="K149" s="2" t="s">
        <v>4964</v>
      </c>
      <c r="L149" s="2">
        <v>1</v>
      </c>
      <c r="M149" s="24" t="s">
        <v>5971</v>
      </c>
      <c r="N149" s="2" t="s">
        <v>23</v>
      </c>
      <c r="O149" s="3" t="s">
        <v>152</v>
      </c>
      <c r="P149" s="18" t="s">
        <v>0</v>
      </c>
      <c r="Q149" s="6" t="s">
        <v>4475</v>
      </c>
      <c r="T149" s="23">
        <v>46049</v>
      </c>
      <c r="U149" s="23">
        <v>47509</v>
      </c>
      <c r="X149" s="20">
        <v>28000</v>
      </c>
      <c r="Z149" s="6" t="s">
        <v>5978</v>
      </c>
      <c r="AA149" s="14">
        <f t="shared" ref="AA149:AA153" si="21">+(0.6/1000)</f>
        <v>5.9999999999999995E-4</v>
      </c>
      <c r="AB149">
        <v>15.469709999999997</v>
      </c>
      <c r="AC149">
        <v>16.088498399999999</v>
      </c>
    </row>
    <row r="150" spans="1:29" x14ac:dyDescent="0.3">
      <c r="A150">
        <v>149910</v>
      </c>
      <c r="B150" s="25" t="s">
        <v>5984</v>
      </c>
      <c r="C150" t="s">
        <v>20</v>
      </c>
      <c r="D150" t="s">
        <v>21</v>
      </c>
      <c r="E150">
        <v>2222222</v>
      </c>
      <c r="F150" s="8" t="s">
        <v>22</v>
      </c>
      <c r="G150" s="2">
        <v>98</v>
      </c>
      <c r="H150" s="2" t="s">
        <v>3820</v>
      </c>
      <c r="I150" s="2" t="s">
        <v>4657</v>
      </c>
      <c r="J150" s="9" t="s">
        <v>5001</v>
      </c>
      <c r="K150" s="2" t="s">
        <v>4512</v>
      </c>
      <c r="L150" s="2">
        <v>1</v>
      </c>
      <c r="M150" s="24" t="s">
        <v>5971</v>
      </c>
      <c r="N150" s="2" t="s">
        <v>23</v>
      </c>
      <c r="O150" s="3" t="s">
        <v>153</v>
      </c>
      <c r="P150" s="18" t="s">
        <v>0</v>
      </c>
      <c r="Q150" s="6" t="s">
        <v>4475</v>
      </c>
      <c r="T150" s="23">
        <v>46057</v>
      </c>
      <c r="U150" s="23">
        <v>47155</v>
      </c>
      <c r="X150" s="20">
        <v>3820</v>
      </c>
      <c r="Z150" s="6" t="s">
        <v>5978</v>
      </c>
      <c r="AA150" s="14">
        <f t="shared" si="21"/>
        <v>5.9999999999999995E-4</v>
      </c>
      <c r="AB150">
        <v>2.0394479999999997</v>
      </c>
      <c r="AC150">
        <v>2.1210259199999997</v>
      </c>
    </row>
    <row r="151" spans="1:29" x14ac:dyDescent="0.3">
      <c r="A151">
        <v>150847</v>
      </c>
      <c r="B151" s="25" t="s">
        <v>5984</v>
      </c>
      <c r="C151" t="s">
        <v>20</v>
      </c>
      <c r="D151" t="s">
        <v>21</v>
      </c>
      <c r="E151">
        <v>2222222</v>
      </c>
      <c r="F151" s="8" t="s">
        <v>22</v>
      </c>
      <c r="G151" s="2">
        <v>98</v>
      </c>
      <c r="H151" s="2" t="s">
        <v>3820</v>
      </c>
      <c r="I151" s="2" t="s">
        <v>4672</v>
      </c>
      <c r="J151" s="9" t="s">
        <v>5002</v>
      </c>
      <c r="K151" s="2" t="s">
        <v>5974</v>
      </c>
      <c r="L151" s="2">
        <v>1</v>
      </c>
      <c r="M151" s="24" t="s">
        <v>5971</v>
      </c>
      <c r="N151" s="2" t="s">
        <v>23</v>
      </c>
      <c r="O151" s="3" t="s">
        <v>154</v>
      </c>
      <c r="P151" s="18" t="s">
        <v>3781</v>
      </c>
      <c r="Q151" s="6" t="s">
        <v>4475</v>
      </c>
      <c r="T151" s="23">
        <v>46121</v>
      </c>
      <c r="U151" s="23">
        <v>46486</v>
      </c>
      <c r="X151" s="20">
        <v>2100</v>
      </c>
      <c r="Z151" s="6" t="s">
        <v>5978</v>
      </c>
      <c r="AA151" s="14">
        <f t="shared" si="21"/>
        <v>5.9999999999999995E-4</v>
      </c>
      <c r="AB151">
        <v>0.96476999999999991</v>
      </c>
      <c r="AC151">
        <v>1.0033607999999998</v>
      </c>
    </row>
    <row r="152" spans="1:29" x14ac:dyDescent="0.3">
      <c r="A152">
        <v>151880</v>
      </c>
      <c r="B152" s="25" t="s">
        <v>5984</v>
      </c>
      <c r="C152" t="s">
        <v>20</v>
      </c>
      <c r="D152" t="s">
        <v>21</v>
      </c>
      <c r="E152">
        <v>2222222</v>
      </c>
      <c r="F152" s="8" t="s">
        <v>22</v>
      </c>
      <c r="G152" s="2">
        <v>98</v>
      </c>
      <c r="H152" s="2" t="s">
        <v>3820</v>
      </c>
      <c r="I152" s="2" t="s">
        <v>4278</v>
      </c>
      <c r="J152" s="9" t="s">
        <v>4836</v>
      </c>
      <c r="K152" s="2" t="s">
        <v>4899</v>
      </c>
      <c r="L152" s="2">
        <v>1</v>
      </c>
      <c r="M152" s="24" t="s">
        <v>5971</v>
      </c>
      <c r="N152" s="2" t="s">
        <v>23</v>
      </c>
      <c r="O152" s="3" t="s">
        <v>155</v>
      </c>
      <c r="P152" s="18" t="s">
        <v>3781</v>
      </c>
      <c r="Q152" s="6" t="s">
        <v>4475</v>
      </c>
      <c r="T152" s="23">
        <v>46194</v>
      </c>
      <c r="U152" s="23">
        <v>46284</v>
      </c>
      <c r="X152" s="20">
        <v>1700</v>
      </c>
      <c r="Z152" s="6" t="s">
        <v>5978</v>
      </c>
      <c r="AA152" s="14">
        <f t="shared" si="21"/>
        <v>5.9999999999999995E-4</v>
      </c>
      <c r="AB152">
        <v>1.02</v>
      </c>
      <c r="AC152">
        <v>1.0608</v>
      </c>
    </row>
    <row r="153" spans="1:29" x14ac:dyDescent="0.3">
      <c r="A153">
        <v>151367</v>
      </c>
      <c r="B153" s="25" t="s">
        <v>5984</v>
      </c>
      <c r="C153" t="s">
        <v>20</v>
      </c>
      <c r="D153" t="s">
        <v>21</v>
      </c>
      <c r="E153">
        <v>2222222</v>
      </c>
      <c r="F153" s="8" t="s">
        <v>22</v>
      </c>
      <c r="G153" s="2">
        <v>98</v>
      </c>
      <c r="H153" s="2" t="s">
        <v>3821</v>
      </c>
      <c r="I153" s="2" t="s">
        <v>3906</v>
      </c>
      <c r="J153" s="9" t="s">
        <v>5003</v>
      </c>
      <c r="K153" s="2" t="s">
        <v>4861</v>
      </c>
      <c r="L153" s="2">
        <v>1</v>
      </c>
      <c r="M153" s="24" t="s">
        <v>5971</v>
      </c>
      <c r="N153" s="2" t="s">
        <v>23</v>
      </c>
      <c r="O153" s="3" t="s">
        <v>156</v>
      </c>
      <c r="P153" s="18" t="s">
        <v>3781</v>
      </c>
      <c r="Q153" s="6" t="s">
        <v>4475</v>
      </c>
      <c r="T153" s="23">
        <v>46160</v>
      </c>
      <c r="U153" s="23">
        <v>46525</v>
      </c>
      <c r="X153" s="20">
        <v>5000</v>
      </c>
      <c r="Z153" s="6" t="s">
        <v>5978</v>
      </c>
      <c r="AA153" s="14">
        <f t="shared" si="21"/>
        <v>5.9999999999999995E-4</v>
      </c>
      <c r="AB153">
        <v>2.5357439999999998</v>
      </c>
      <c r="AC153">
        <v>2.63717376</v>
      </c>
    </row>
    <row r="154" spans="1:29" x14ac:dyDescent="0.3">
      <c r="A154">
        <v>127617</v>
      </c>
      <c r="B154" s="25" t="s">
        <v>5984</v>
      </c>
      <c r="C154" t="s">
        <v>20</v>
      </c>
      <c r="D154" t="s">
        <v>21</v>
      </c>
      <c r="E154">
        <v>2222222</v>
      </c>
      <c r="F154" s="8" t="s">
        <v>22</v>
      </c>
      <c r="G154" s="2">
        <v>98</v>
      </c>
      <c r="H154" s="2" t="s">
        <v>3822</v>
      </c>
      <c r="I154" s="2" t="s">
        <v>4621</v>
      </c>
      <c r="J154" s="9" t="s">
        <v>4911</v>
      </c>
      <c r="K154" s="2" t="s">
        <v>5004</v>
      </c>
      <c r="L154" s="2">
        <v>1</v>
      </c>
      <c r="M154" s="24" t="s">
        <v>5971</v>
      </c>
      <c r="N154" s="2" t="s">
        <v>23</v>
      </c>
      <c r="O154" s="3" t="s">
        <v>157</v>
      </c>
      <c r="P154" s="18" t="s">
        <v>3781</v>
      </c>
      <c r="Q154" s="6" t="s">
        <v>4475</v>
      </c>
      <c r="T154" s="23">
        <v>44680</v>
      </c>
      <c r="U154" s="23">
        <v>46512</v>
      </c>
      <c r="X154" s="20">
        <v>3410</v>
      </c>
      <c r="Z154" s="6" t="s">
        <v>5978</v>
      </c>
      <c r="AA154" s="15">
        <f>+(0.42/1000)</f>
        <v>4.1999999999999996E-4</v>
      </c>
      <c r="AB154">
        <v>1.3825349999999998</v>
      </c>
      <c r="AC154">
        <v>1.4378363999999999</v>
      </c>
    </row>
    <row r="155" spans="1:29" x14ac:dyDescent="0.3">
      <c r="A155">
        <v>132323</v>
      </c>
      <c r="B155" s="25" t="s">
        <v>5984</v>
      </c>
      <c r="C155" t="s">
        <v>20</v>
      </c>
      <c r="D155" t="s">
        <v>21</v>
      </c>
      <c r="E155">
        <v>2222222</v>
      </c>
      <c r="F155" s="8" t="s">
        <v>22</v>
      </c>
      <c r="G155" s="2">
        <v>98</v>
      </c>
      <c r="H155" s="2" t="s">
        <v>3823</v>
      </c>
      <c r="I155" s="2" t="s">
        <v>4735</v>
      </c>
      <c r="J155" s="9" t="s">
        <v>4838</v>
      </c>
      <c r="K155" s="2" t="s">
        <v>4826</v>
      </c>
      <c r="L155" s="2">
        <v>1</v>
      </c>
      <c r="M155" s="24" t="s">
        <v>5971</v>
      </c>
      <c r="N155" s="2" t="s">
        <v>23</v>
      </c>
      <c r="O155" s="3" t="s">
        <v>158</v>
      </c>
      <c r="P155" s="18" t="s">
        <v>0</v>
      </c>
      <c r="Q155" s="6" t="s">
        <v>4475</v>
      </c>
      <c r="T155" s="23">
        <v>44960</v>
      </c>
      <c r="U155" s="23">
        <v>50441</v>
      </c>
      <c r="X155" s="20">
        <v>50000</v>
      </c>
      <c r="Z155" s="6" t="s">
        <v>5978</v>
      </c>
      <c r="AA155" s="13">
        <f>+(0.56/1000)</f>
        <v>5.6000000000000006E-4</v>
      </c>
      <c r="AB155">
        <v>24.857089600000005</v>
      </c>
      <c r="AC155">
        <v>25.851373184000007</v>
      </c>
    </row>
    <row r="156" spans="1:29" x14ac:dyDescent="0.3">
      <c r="A156">
        <v>143799</v>
      </c>
      <c r="B156" s="25" t="s">
        <v>5984</v>
      </c>
      <c r="C156" t="s">
        <v>20</v>
      </c>
      <c r="D156" t="s">
        <v>21</v>
      </c>
      <c r="E156">
        <v>2222222</v>
      </c>
      <c r="F156" s="8" t="s">
        <v>22</v>
      </c>
      <c r="G156" s="2">
        <v>98</v>
      </c>
      <c r="H156" s="2" t="s">
        <v>3824</v>
      </c>
      <c r="I156" s="2" t="s">
        <v>4044</v>
      </c>
      <c r="J156" s="9" t="s">
        <v>5005</v>
      </c>
      <c r="K156" s="2" t="s">
        <v>5006</v>
      </c>
      <c r="L156" s="2">
        <v>1</v>
      </c>
      <c r="M156" s="24" t="s">
        <v>5971</v>
      </c>
      <c r="N156" s="2" t="s">
        <v>23</v>
      </c>
      <c r="O156" s="3" t="s">
        <v>159</v>
      </c>
      <c r="P156" s="18" t="s">
        <v>0</v>
      </c>
      <c r="Q156" s="6" t="s">
        <v>4475</v>
      </c>
      <c r="T156" s="23">
        <v>45625</v>
      </c>
      <c r="U156" s="23">
        <v>49368</v>
      </c>
      <c r="X156" s="20">
        <v>85000</v>
      </c>
      <c r="Z156" s="6" t="s">
        <v>5978</v>
      </c>
      <c r="AA156" s="14">
        <f t="shared" ref="AA156:AA157" si="22">+(0.6/1000)</f>
        <v>5.9999999999999995E-4</v>
      </c>
      <c r="AB156">
        <v>46.849433999999995</v>
      </c>
      <c r="AC156">
        <v>48.72341136</v>
      </c>
    </row>
    <row r="157" spans="1:29" x14ac:dyDescent="0.3">
      <c r="A157">
        <v>151332</v>
      </c>
      <c r="B157" s="25" t="s">
        <v>5984</v>
      </c>
      <c r="C157" t="s">
        <v>20</v>
      </c>
      <c r="D157" t="s">
        <v>21</v>
      </c>
      <c r="E157">
        <v>2222222</v>
      </c>
      <c r="F157" s="8" t="s">
        <v>22</v>
      </c>
      <c r="G157" s="2">
        <v>98</v>
      </c>
      <c r="H157" s="2" t="s">
        <v>3824</v>
      </c>
      <c r="I157" s="2" t="s">
        <v>4044</v>
      </c>
      <c r="J157" s="9" t="s">
        <v>5005</v>
      </c>
      <c r="K157" s="2" t="s">
        <v>5006</v>
      </c>
      <c r="L157" s="2">
        <v>1</v>
      </c>
      <c r="M157" s="24" t="s">
        <v>5971</v>
      </c>
      <c r="N157" s="2" t="s">
        <v>23</v>
      </c>
      <c r="O157" s="3" t="s">
        <v>159</v>
      </c>
      <c r="P157" s="18" t="s">
        <v>0</v>
      </c>
      <c r="Q157" s="6" t="s">
        <v>4475</v>
      </c>
      <c r="T157" s="23">
        <v>46164</v>
      </c>
      <c r="U157" s="23">
        <v>47624</v>
      </c>
      <c r="X157" s="20">
        <v>12000</v>
      </c>
      <c r="Z157" s="6" t="s">
        <v>5978</v>
      </c>
      <c r="AA157" s="14">
        <f t="shared" si="22"/>
        <v>5.9999999999999995E-4</v>
      </c>
      <c r="AB157">
        <v>6.9808079999999997</v>
      </c>
      <c r="AC157">
        <v>7.2600403199999999</v>
      </c>
    </row>
    <row r="158" spans="1:29" x14ac:dyDescent="0.3">
      <c r="A158">
        <v>128180</v>
      </c>
      <c r="B158" s="25" t="s">
        <v>5984</v>
      </c>
      <c r="C158" t="s">
        <v>20</v>
      </c>
      <c r="D158" t="s">
        <v>21</v>
      </c>
      <c r="E158">
        <v>2222222</v>
      </c>
      <c r="F158" s="8" t="s">
        <v>22</v>
      </c>
      <c r="G158" s="2">
        <v>98</v>
      </c>
      <c r="H158" s="2" t="s">
        <v>3825</v>
      </c>
      <c r="I158" s="2" t="s">
        <v>4497</v>
      </c>
      <c r="J158" s="9" t="s">
        <v>5007</v>
      </c>
      <c r="K158" s="2" t="s">
        <v>4946</v>
      </c>
      <c r="L158" s="2">
        <v>1</v>
      </c>
      <c r="M158" s="24" t="s">
        <v>5971</v>
      </c>
      <c r="N158" s="2" t="s">
        <v>23</v>
      </c>
      <c r="O158" s="3" t="s">
        <v>160</v>
      </c>
      <c r="P158" s="18" t="s">
        <v>0</v>
      </c>
      <c r="Q158" s="6" t="s">
        <v>4475</v>
      </c>
      <c r="T158" s="23">
        <v>44712</v>
      </c>
      <c r="U158" s="23">
        <v>44802</v>
      </c>
      <c r="X158" s="20">
        <v>4000</v>
      </c>
      <c r="Z158" s="6" t="s">
        <v>5978</v>
      </c>
      <c r="AA158" s="15">
        <f t="shared" ref="AA158:AA159" si="23">+(0.42/1000)</f>
        <v>4.1999999999999996E-4</v>
      </c>
      <c r="AB158">
        <v>1.68</v>
      </c>
      <c r="AC158">
        <v>1.7472000000000001</v>
      </c>
    </row>
    <row r="159" spans="1:29" x14ac:dyDescent="0.3">
      <c r="A159">
        <v>128290</v>
      </c>
      <c r="B159" s="25" t="s">
        <v>5984</v>
      </c>
      <c r="C159" t="s">
        <v>20</v>
      </c>
      <c r="D159" t="s">
        <v>21</v>
      </c>
      <c r="E159">
        <v>2222222</v>
      </c>
      <c r="F159" s="8" t="s">
        <v>22</v>
      </c>
      <c r="G159" s="2">
        <v>98</v>
      </c>
      <c r="H159" s="2" t="s">
        <v>3825</v>
      </c>
      <c r="I159" s="2" t="s">
        <v>4497</v>
      </c>
      <c r="J159" s="9" t="s">
        <v>5007</v>
      </c>
      <c r="K159" s="2" t="s">
        <v>4946</v>
      </c>
      <c r="L159" s="2">
        <v>1</v>
      </c>
      <c r="M159" s="24" t="s">
        <v>5971</v>
      </c>
      <c r="N159" s="2" t="s">
        <v>23</v>
      </c>
      <c r="O159" s="3" t="s">
        <v>160</v>
      </c>
      <c r="P159" s="18" t="s">
        <v>0</v>
      </c>
      <c r="Q159" s="6" t="s">
        <v>4475</v>
      </c>
      <c r="T159" s="23">
        <v>44717</v>
      </c>
      <c r="U159" s="23">
        <v>44807</v>
      </c>
      <c r="X159" s="20">
        <v>5000</v>
      </c>
      <c r="Z159" s="6" t="s">
        <v>5978</v>
      </c>
      <c r="AA159" s="15">
        <f t="shared" si="23"/>
        <v>4.1999999999999996E-4</v>
      </c>
      <c r="AB159">
        <v>2.0999999999999996</v>
      </c>
      <c r="AC159">
        <v>2.1839999999999997</v>
      </c>
    </row>
    <row r="160" spans="1:29" x14ac:dyDescent="0.3">
      <c r="A160">
        <v>152051</v>
      </c>
      <c r="B160" s="25" t="s">
        <v>5984</v>
      </c>
      <c r="C160" t="s">
        <v>20</v>
      </c>
      <c r="D160" t="s">
        <v>21</v>
      </c>
      <c r="E160">
        <v>2222222</v>
      </c>
      <c r="F160" s="8" t="s">
        <v>22</v>
      </c>
      <c r="G160" s="2">
        <v>98</v>
      </c>
      <c r="H160" s="2" t="s">
        <v>3826</v>
      </c>
      <c r="I160" s="2" t="s">
        <v>4498</v>
      </c>
      <c r="J160" s="9" t="s">
        <v>4836</v>
      </c>
      <c r="K160" s="2" t="s">
        <v>4911</v>
      </c>
      <c r="L160" s="2">
        <v>1</v>
      </c>
      <c r="M160" s="24" t="s">
        <v>5971</v>
      </c>
      <c r="N160" s="2" t="s">
        <v>23</v>
      </c>
      <c r="O160" s="3" t="s">
        <v>161</v>
      </c>
      <c r="P160" s="18" t="s">
        <v>3781</v>
      </c>
      <c r="Q160" s="6" t="s">
        <v>4475</v>
      </c>
      <c r="T160" s="23">
        <v>46207</v>
      </c>
      <c r="U160" s="23">
        <v>48032</v>
      </c>
      <c r="X160" s="20">
        <v>3200</v>
      </c>
      <c r="Z160" s="6" t="s">
        <v>5978</v>
      </c>
      <c r="AA160" s="14">
        <f t="shared" ref="AA160:AA161" si="24">+(0.6/1000)</f>
        <v>5.9999999999999995E-4</v>
      </c>
      <c r="AB160">
        <v>1.92</v>
      </c>
      <c r="AC160">
        <v>1.9967999999999999</v>
      </c>
    </row>
    <row r="161" spans="1:29" x14ac:dyDescent="0.3">
      <c r="A161">
        <v>152052</v>
      </c>
      <c r="B161" s="25" t="s">
        <v>5984</v>
      </c>
      <c r="C161" t="s">
        <v>20</v>
      </c>
      <c r="D161" t="s">
        <v>21</v>
      </c>
      <c r="E161">
        <v>2222222</v>
      </c>
      <c r="F161" s="8" t="s">
        <v>22</v>
      </c>
      <c r="G161" s="2">
        <v>98</v>
      </c>
      <c r="H161" s="2" t="s">
        <v>3826</v>
      </c>
      <c r="I161" s="2" t="s">
        <v>4498</v>
      </c>
      <c r="J161" s="9" t="s">
        <v>4836</v>
      </c>
      <c r="K161" s="2" t="s">
        <v>4911</v>
      </c>
      <c r="L161" s="2">
        <v>1</v>
      </c>
      <c r="M161" s="24" t="s">
        <v>5971</v>
      </c>
      <c r="N161" s="2" t="s">
        <v>23</v>
      </c>
      <c r="O161" s="3" t="s">
        <v>161</v>
      </c>
      <c r="P161" s="18" t="s">
        <v>3781</v>
      </c>
      <c r="Q161" s="6" t="s">
        <v>4475</v>
      </c>
      <c r="T161" s="23">
        <v>46207</v>
      </c>
      <c r="U161" s="23">
        <v>46297</v>
      </c>
      <c r="X161" s="20">
        <v>2000</v>
      </c>
      <c r="Z161" s="6" t="s">
        <v>5978</v>
      </c>
      <c r="AA161" s="14">
        <f t="shared" si="24"/>
        <v>5.9999999999999995E-4</v>
      </c>
      <c r="AB161">
        <v>1.2</v>
      </c>
      <c r="AC161">
        <v>1.248</v>
      </c>
    </row>
    <row r="162" spans="1:29" x14ac:dyDescent="0.3">
      <c r="A162">
        <v>122253</v>
      </c>
      <c r="B162" s="25" t="s">
        <v>5984</v>
      </c>
      <c r="C162" t="s">
        <v>20</v>
      </c>
      <c r="D162" t="s">
        <v>21</v>
      </c>
      <c r="E162">
        <v>2222222</v>
      </c>
      <c r="F162" s="8" t="s">
        <v>22</v>
      </c>
      <c r="G162" s="2">
        <v>98</v>
      </c>
      <c r="H162" s="2" t="s">
        <v>3827</v>
      </c>
      <c r="I162" s="2" t="s">
        <v>3907</v>
      </c>
      <c r="J162" s="9" t="s">
        <v>4853</v>
      </c>
      <c r="K162" s="2" t="s">
        <v>4875</v>
      </c>
      <c r="L162" s="2">
        <v>1</v>
      </c>
      <c r="M162" s="24" t="s">
        <v>5971</v>
      </c>
      <c r="N162" s="2" t="s">
        <v>23</v>
      </c>
      <c r="O162" s="3" t="s">
        <v>162</v>
      </c>
      <c r="P162" s="18" t="s">
        <v>0</v>
      </c>
      <c r="Q162" s="6" t="s">
        <v>4475</v>
      </c>
      <c r="T162" s="23">
        <v>44408</v>
      </c>
      <c r="U162" s="23">
        <v>46969</v>
      </c>
      <c r="X162" s="20">
        <v>8500</v>
      </c>
      <c r="Z162" s="6" t="s">
        <v>5978</v>
      </c>
      <c r="AA162" s="15">
        <f t="shared" ref="AA162:AA164" si="25">+(0.42/1000)</f>
        <v>4.1999999999999996E-4</v>
      </c>
      <c r="AB162">
        <v>3.1879259999999996</v>
      </c>
      <c r="AC162">
        <v>3.3154430399999999</v>
      </c>
    </row>
    <row r="163" spans="1:29" x14ac:dyDescent="0.3">
      <c r="A163">
        <v>126803</v>
      </c>
      <c r="B163" s="25" t="s">
        <v>5984</v>
      </c>
      <c r="C163" t="s">
        <v>20</v>
      </c>
      <c r="D163" t="s">
        <v>21</v>
      </c>
      <c r="E163">
        <v>2222222</v>
      </c>
      <c r="F163" s="8" t="s">
        <v>22</v>
      </c>
      <c r="G163" s="2">
        <v>98</v>
      </c>
      <c r="H163" s="2" t="s">
        <v>3827</v>
      </c>
      <c r="I163" s="2" t="s">
        <v>4123</v>
      </c>
      <c r="J163" s="9" t="s">
        <v>5008</v>
      </c>
      <c r="K163" s="2" t="s">
        <v>4875</v>
      </c>
      <c r="L163" s="2">
        <v>1</v>
      </c>
      <c r="M163" s="24" t="s">
        <v>5971</v>
      </c>
      <c r="N163" s="2" t="s">
        <v>23</v>
      </c>
      <c r="O163" s="3" t="s">
        <v>163</v>
      </c>
      <c r="P163" s="18" t="s">
        <v>0</v>
      </c>
      <c r="Q163" s="6" t="s">
        <v>4475</v>
      </c>
      <c r="T163" s="23">
        <v>44636</v>
      </c>
      <c r="U163" s="23">
        <v>44726</v>
      </c>
      <c r="X163" s="20">
        <v>3450</v>
      </c>
      <c r="Z163" s="6" t="s">
        <v>5978</v>
      </c>
      <c r="AA163" s="15">
        <f t="shared" si="25"/>
        <v>4.1999999999999996E-4</v>
      </c>
      <c r="AB163">
        <v>1.4489999999999998</v>
      </c>
      <c r="AC163">
        <v>1.5069599999999999</v>
      </c>
    </row>
    <row r="164" spans="1:29" x14ac:dyDescent="0.3">
      <c r="A164">
        <v>127040</v>
      </c>
      <c r="B164" s="25" t="s">
        <v>5984</v>
      </c>
      <c r="C164" t="s">
        <v>20</v>
      </c>
      <c r="D164" t="s">
        <v>21</v>
      </c>
      <c r="E164">
        <v>2222222</v>
      </c>
      <c r="F164" s="8" t="s">
        <v>22</v>
      </c>
      <c r="G164" s="2">
        <v>98</v>
      </c>
      <c r="H164" s="2" t="s">
        <v>3827</v>
      </c>
      <c r="I164" s="2" t="s">
        <v>3907</v>
      </c>
      <c r="J164" s="9" t="s">
        <v>4853</v>
      </c>
      <c r="K164" s="2" t="s">
        <v>4875</v>
      </c>
      <c r="L164" s="2">
        <v>1</v>
      </c>
      <c r="M164" s="24" t="s">
        <v>5971</v>
      </c>
      <c r="N164" s="2" t="s">
        <v>23</v>
      </c>
      <c r="O164" s="3" t="s">
        <v>162</v>
      </c>
      <c r="P164" s="18" t="s">
        <v>0</v>
      </c>
      <c r="Q164" s="6" t="s">
        <v>4475</v>
      </c>
      <c r="T164" s="23">
        <v>44649</v>
      </c>
      <c r="U164" s="23">
        <v>45379</v>
      </c>
      <c r="X164" s="20">
        <v>740</v>
      </c>
      <c r="Z164" s="6" t="s">
        <v>5978</v>
      </c>
      <c r="AA164" s="15">
        <f t="shared" si="25"/>
        <v>4.1999999999999996E-4</v>
      </c>
      <c r="AB164">
        <v>0.243369</v>
      </c>
      <c r="AC164">
        <v>0.25310376000000001</v>
      </c>
    </row>
    <row r="165" spans="1:29" x14ac:dyDescent="0.3">
      <c r="A165">
        <v>146522</v>
      </c>
      <c r="B165" s="25" t="s">
        <v>5984</v>
      </c>
      <c r="C165" t="s">
        <v>20</v>
      </c>
      <c r="D165" t="s">
        <v>21</v>
      </c>
      <c r="E165">
        <v>2222222</v>
      </c>
      <c r="F165" s="8" t="s">
        <v>22</v>
      </c>
      <c r="G165" s="2">
        <v>98</v>
      </c>
      <c r="H165" s="2" t="s">
        <v>3827</v>
      </c>
      <c r="I165" s="2" t="s">
        <v>3855</v>
      </c>
      <c r="J165" s="9" t="s">
        <v>5009</v>
      </c>
      <c r="K165" s="2" t="s">
        <v>5010</v>
      </c>
      <c r="L165" s="2">
        <v>1</v>
      </c>
      <c r="M165" s="24" t="s">
        <v>5971</v>
      </c>
      <c r="N165" s="2" t="s">
        <v>23</v>
      </c>
      <c r="O165" s="3" t="s">
        <v>164</v>
      </c>
      <c r="P165" s="18" t="s">
        <v>0</v>
      </c>
      <c r="Q165" s="6" t="s">
        <v>4475</v>
      </c>
      <c r="T165" s="23">
        <v>45827</v>
      </c>
      <c r="U165" s="23">
        <v>46740</v>
      </c>
      <c r="X165" s="20">
        <v>20000</v>
      </c>
      <c r="Z165" s="6" t="s">
        <v>5978</v>
      </c>
      <c r="AA165" s="14">
        <f t="shared" ref="AA165:AA171" si="26">+(0.6/1000)</f>
        <v>5.9999999999999995E-4</v>
      </c>
      <c r="AB165">
        <v>4.8464219999999996</v>
      </c>
      <c r="AC165">
        <v>5.0402788799999998</v>
      </c>
    </row>
    <row r="166" spans="1:29" x14ac:dyDescent="0.3">
      <c r="A166">
        <v>148201</v>
      </c>
      <c r="B166" s="25" t="s">
        <v>5984</v>
      </c>
      <c r="C166" t="s">
        <v>20</v>
      </c>
      <c r="D166" t="s">
        <v>21</v>
      </c>
      <c r="E166">
        <v>2222222</v>
      </c>
      <c r="F166" s="8" t="s">
        <v>22</v>
      </c>
      <c r="G166" s="2">
        <v>98</v>
      </c>
      <c r="H166" s="2" t="s">
        <v>3827</v>
      </c>
      <c r="I166" s="2" t="s">
        <v>4231</v>
      </c>
      <c r="J166" s="9" t="s">
        <v>4826</v>
      </c>
      <c r="K166" s="2" t="s">
        <v>5010</v>
      </c>
      <c r="L166" s="2">
        <v>1</v>
      </c>
      <c r="M166" s="24" t="s">
        <v>5971</v>
      </c>
      <c r="N166" s="2" t="s">
        <v>23</v>
      </c>
      <c r="O166" s="3" t="s">
        <v>165</v>
      </c>
      <c r="P166" s="18" t="s">
        <v>0</v>
      </c>
      <c r="Q166" s="6" t="s">
        <v>4475</v>
      </c>
      <c r="T166" s="23">
        <v>45945</v>
      </c>
      <c r="U166" s="23">
        <v>46674</v>
      </c>
      <c r="X166" s="20">
        <v>4900</v>
      </c>
      <c r="Z166" s="6" t="s">
        <v>5978</v>
      </c>
      <c r="AA166" s="14">
        <f t="shared" si="26"/>
        <v>5.9999999999999995E-4</v>
      </c>
      <c r="AB166">
        <v>1.9576859999999998</v>
      </c>
      <c r="AC166">
        <v>2.0359934399999999</v>
      </c>
    </row>
    <row r="167" spans="1:29" x14ac:dyDescent="0.3">
      <c r="A167">
        <v>150426</v>
      </c>
      <c r="B167" s="25" t="s">
        <v>5984</v>
      </c>
      <c r="C167" t="s">
        <v>20</v>
      </c>
      <c r="D167" t="s">
        <v>21</v>
      </c>
      <c r="E167">
        <v>2222222</v>
      </c>
      <c r="F167" s="8" t="s">
        <v>22</v>
      </c>
      <c r="G167" s="2">
        <v>98</v>
      </c>
      <c r="H167" s="2" t="s">
        <v>3827</v>
      </c>
      <c r="I167" s="2" t="s">
        <v>3855</v>
      </c>
      <c r="J167" s="9" t="s">
        <v>5009</v>
      </c>
      <c r="K167" s="2" t="s">
        <v>5010</v>
      </c>
      <c r="L167" s="2">
        <v>1</v>
      </c>
      <c r="M167" s="24" t="s">
        <v>5971</v>
      </c>
      <c r="N167" s="2" t="s">
        <v>23</v>
      </c>
      <c r="O167" s="3" t="s">
        <v>164</v>
      </c>
      <c r="P167" s="18" t="s">
        <v>0</v>
      </c>
      <c r="Q167" s="6" t="s">
        <v>4475</v>
      </c>
      <c r="T167" s="23">
        <v>46093</v>
      </c>
      <c r="U167" s="23">
        <v>47188</v>
      </c>
      <c r="X167" s="20">
        <v>5000</v>
      </c>
      <c r="Z167" s="6" t="s">
        <v>5978</v>
      </c>
      <c r="AA167" s="14">
        <f t="shared" si="26"/>
        <v>5.9999999999999995E-4</v>
      </c>
      <c r="AB167">
        <v>2.7403199999999996</v>
      </c>
      <c r="AC167">
        <v>2.8499327999999999</v>
      </c>
    </row>
    <row r="168" spans="1:29" x14ac:dyDescent="0.3">
      <c r="A168">
        <v>151769</v>
      </c>
      <c r="B168" s="25" t="s">
        <v>5984</v>
      </c>
      <c r="C168" t="s">
        <v>20</v>
      </c>
      <c r="D168" t="s">
        <v>21</v>
      </c>
      <c r="E168">
        <v>2222222</v>
      </c>
      <c r="F168" s="8" t="s">
        <v>22</v>
      </c>
      <c r="G168" s="2">
        <v>98</v>
      </c>
      <c r="H168" s="2" t="s">
        <v>3827</v>
      </c>
      <c r="I168" s="2" t="s">
        <v>4038</v>
      </c>
      <c r="J168" s="9" t="s">
        <v>5011</v>
      </c>
      <c r="K168" s="2" t="s">
        <v>5012</v>
      </c>
      <c r="L168" s="2">
        <v>1</v>
      </c>
      <c r="M168" s="24" t="s">
        <v>5971</v>
      </c>
      <c r="N168" s="2" t="s">
        <v>23</v>
      </c>
      <c r="O168" s="3" t="s">
        <v>166</v>
      </c>
      <c r="P168" s="18" t="s">
        <v>3781</v>
      </c>
      <c r="Q168" s="6" t="s">
        <v>4475</v>
      </c>
      <c r="T168" s="23">
        <v>46185</v>
      </c>
      <c r="U168" s="23">
        <v>46550</v>
      </c>
      <c r="X168" s="20">
        <v>1680</v>
      </c>
      <c r="Z168" s="6" t="s">
        <v>5978</v>
      </c>
      <c r="AA168" s="14">
        <f t="shared" si="26"/>
        <v>5.9999999999999995E-4</v>
      </c>
      <c r="AB168">
        <v>1.008</v>
      </c>
      <c r="AC168">
        <v>1.0483200000000001</v>
      </c>
    </row>
    <row r="169" spans="1:29" x14ac:dyDescent="0.3">
      <c r="A169">
        <v>148228</v>
      </c>
      <c r="B169" s="25" t="s">
        <v>5984</v>
      </c>
      <c r="C169" t="s">
        <v>20</v>
      </c>
      <c r="D169" t="s">
        <v>21</v>
      </c>
      <c r="E169">
        <v>2222222</v>
      </c>
      <c r="F169" s="8" t="s">
        <v>22</v>
      </c>
      <c r="G169" s="2">
        <v>98</v>
      </c>
      <c r="H169" s="2" t="s">
        <v>3828</v>
      </c>
      <c r="I169" s="2" t="s">
        <v>4331</v>
      </c>
      <c r="J169" s="9" t="s">
        <v>4838</v>
      </c>
      <c r="K169" s="2" t="s">
        <v>4826</v>
      </c>
      <c r="L169" s="2">
        <v>1</v>
      </c>
      <c r="M169" s="24" t="s">
        <v>5971</v>
      </c>
      <c r="N169" s="2" t="s">
        <v>23</v>
      </c>
      <c r="O169" s="3" t="s">
        <v>167</v>
      </c>
      <c r="P169" s="18" t="s">
        <v>0</v>
      </c>
      <c r="Q169" s="6" t="s">
        <v>4475</v>
      </c>
      <c r="T169" s="23">
        <v>45947</v>
      </c>
      <c r="U169" s="23">
        <v>47043</v>
      </c>
      <c r="X169" s="20">
        <v>2500</v>
      </c>
      <c r="Z169" s="6" t="s">
        <v>5978</v>
      </c>
      <c r="AA169" s="14">
        <f t="shared" si="26"/>
        <v>5.9999999999999995E-4</v>
      </c>
      <c r="AB169">
        <v>1.1925839999999999</v>
      </c>
      <c r="AC169">
        <v>1.2402873599999999</v>
      </c>
    </row>
    <row r="170" spans="1:29" x14ac:dyDescent="0.3">
      <c r="A170">
        <v>150080</v>
      </c>
      <c r="B170" s="25" t="s">
        <v>5984</v>
      </c>
      <c r="C170" t="s">
        <v>20</v>
      </c>
      <c r="D170" t="s">
        <v>21</v>
      </c>
      <c r="E170">
        <v>2222222</v>
      </c>
      <c r="F170" s="8" t="s">
        <v>22</v>
      </c>
      <c r="G170" s="2">
        <v>98</v>
      </c>
      <c r="H170" s="2" t="s">
        <v>3828</v>
      </c>
      <c r="I170" s="2" t="s">
        <v>4559</v>
      </c>
      <c r="J170" s="9" t="s">
        <v>5013</v>
      </c>
      <c r="K170" s="2" t="s">
        <v>5014</v>
      </c>
      <c r="L170" s="2">
        <v>1</v>
      </c>
      <c r="M170" s="24" t="s">
        <v>5971</v>
      </c>
      <c r="N170" s="2" t="s">
        <v>23</v>
      </c>
      <c r="O170" s="3" t="s">
        <v>168</v>
      </c>
      <c r="P170" s="18" t="s">
        <v>0</v>
      </c>
      <c r="Q170" s="6" t="s">
        <v>4475</v>
      </c>
      <c r="T170" s="23">
        <v>46071</v>
      </c>
      <c r="U170" s="23">
        <v>47169</v>
      </c>
      <c r="X170" s="20">
        <v>4000</v>
      </c>
      <c r="Z170" s="6" t="s">
        <v>5978</v>
      </c>
      <c r="AA170" s="14">
        <f t="shared" si="26"/>
        <v>5.9999999999999995E-4</v>
      </c>
      <c r="AB170">
        <v>2.1355439999999999</v>
      </c>
      <c r="AC170">
        <v>2.2209657599999999</v>
      </c>
    </row>
    <row r="171" spans="1:29" x14ac:dyDescent="0.3">
      <c r="A171">
        <v>150729</v>
      </c>
      <c r="B171" s="25" t="s">
        <v>5984</v>
      </c>
      <c r="C171" t="s">
        <v>20</v>
      </c>
      <c r="D171" t="s">
        <v>21</v>
      </c>
      <c r="E171">
        <v>2222222</v>
      </c>
      <c r="F171" s="8" t="s">
        <v>22</v>
      </c>
      <c r="G171" s="2">
        <v>98</v>
      </c>
      <c r="H171" s="2" t="s">
        <v>3828</v>
      </c>
      <c r="I171" s="2" t="s">
        <v>4750</v>
      </c>
      <c r="J171" s="9" t="s">
        <v>5015</v>
      </c>
      <c r="K171" s="2" t="s">
        <v>4880</v>
      </c>
      <c r="L171" s="2">
        <v>1</v>
      </c>
      <c r="M171" s="24" t="s">
        <v>5971</v>
      </c>
      <c r="N171" s="2" t="s">
        <v>23</v>
      </c>
      <c r="O171" s="3" t="s">
        <v>169</v>
      </c>
      <c r="P171" s="18" t="s">
        <v>0</v>
      </c>
      <c r="Q171" s="6" t="s">
        <v>4475</v>
      </c>
      <c r="T171" s="23">
        <v>46132</v>
      </c>
      <c r="U171" s="23">
        <v>47593</v>
      </c>
      <c r="X171" s="20">
        <v>20000</v>
      </c>
      <c r="Z171" s="6" t="s">
        <v>5978</v>
      </c>
      <c r="AA171" s="14">
        <f t="shared" si="26"/>
        <v>5.9999999999999995E-4</v>
      </c>
      <c r="AB171">
        <v>11.639939999999999</v>
      </c>
      <c r="AC171">
        <v>12.1055376</v>
      </c>
    </row>
    <row r="172" spans="1:29" x14ac:dyDescent="0.3">
      <c r="A172">
        <v>133590</v>
      </c>
      <c r="B172" s="25" t="s">
        <v>5984</v>
      </c>
      <c r="C172" t="s">
        <v>20</v>
      </c>
      <c r="D172" t="s">
        <v>21</v>
      </c>
      <c r="E172">
        <v>2222222</v>
      </c>
      <c r="F172" s="8" t="s">
        <v>22</v>
      </c>
      <c r="G172" s="2">
        <v>98</v>
      </c>
      <c r="H172" s="2" t="s">
        <v>3829</v>
      </c>
      <c r="I172" s="2" t="s">
        <v>3921</v>
      </c>
      <c r="J172" s="9" t="s">
        <v>4923</v>
      </c>
      <c r="K172" s="2" t="s">
        <v>5016</v>
      </c>
      <c r="L172" s="2">
        <v>1</v>
      </c>
      <c r="M172" s="24" t="s">
        <v>5971</v>
      </c>
      <c r="N172" s="2" t="s">
        <v>23</v>
      </c>
      <c r="O172" s="3" t="s">
        <v>170</v>
      </c>
      <c r="P172" s="18" t="s">
        <v>3781</v>
      </c>
      <c r="Q172" s="6" t="s">
        <v>4475</v>
      </c>
      <c r="T172" s="23">
        <v>45008</v>
      </c>
      <c r="U172" s="23">
        <v>46560</v>
      </c>
      <c r="X172" s="20">
        <v>5000</v>
      </c>
      <c r="Z172" s="6" t="s">
        <v>5978</v>
      </c>
      <c r="AA172" s="13">
        <f>+(0.56/1000)</f>
        <v>5.6000000000000006E-4</v>
      </c>
      <c r="AB172">
        <v>0.91274960000000016</v>
      </c>
      <c r="AC172">
        <v>0.94925958400000021</v>
      </c>
    </row>
    <row r="173" spans="1:29" x14ac:dyDescent="0.3">
      <c r="A173">
        <v>143009</v>
      </c>
      <c r="B173" s="25" t="s">
        <v>5984</v>
      </c>
      <c r="C173" t="s">
        <v>20</v>
      </c>
      <c r="D173" t="s">
        <v>21</v>
      </c>
      <c r="E173">
        <v>2222222</v>
      </c>
      <c r="F173" s="8" t="s">
        <v>22</v>
      </c>
      <c r="G173" s="2">
        <v>98</v>
      </c>
      <c r="H173" s="2" t="s">
        <v>3829</v>
      </c>
      <c r="I173" s="2" t="s">
        <v>4677</v>
      </c>
      <c r="J173" s="9" t="s">
        <v>4855</v>
      </c>
      <c r="K173" s="2" t="s">
        <v>4991</v>
      </c>
      <c r="L173" s="2">
        <v>1</v>
      </c>
      <c r="M173" s="24" t="s">
        <v>5971</v>
      </c>
      <c r="N173" s="2" t="s">
        <v>23</v>
      </c>
      <c r="O173" s="3" t="s">
        <v>171</v>
      </c>
      <c r="P173" s="18" t="s">
        <v>3781</v>
      </c>
      <c r="Q173" s="6" t="s">
        <v>4475</v>
      </c>
      <c r="T173" s="23">
        <v>45568</v>
      </c>
      <c r="U173" s="23">
        <v>46662</v>
      </c>
      <c r="X173" s="20">
        <v>4800</v>
      </c>
      <c r="Z173" s="6" t="s">
        <v>5978</v>
      </c>
      <c r="AA173" s="14">
        <f t="shared" ref="AA173:AA177" si="27">+(0.6/1000)</f>
        <v>5.9999999999999995E-4</v>
      </c>
      <c r="AB173">
        <v>1.399824</v>
      </c>
      <c r="AC173">
        <v>1.4558169599999999</v>
      </c>
    </row>
    <row r="174" spans="1:29" x14ac:dyDescent="0.3">
      <c r="A174">
        <v>143187</v>
      </c>
      <c r="B174" s="25" t="s">
        <v>5984</v>
      </c>
      <c r="C174" t="s">
        <v>20</v>
      </c>
      <c r="D174" t="s">
        <v>21</v>
      </c>
      <c r="E174">
        <v>2222222</v>
      </c>
      <c r="F174" s="8" t="s">
        <v>22</v>
      </c>
      <c r="G174" s="2">
        <v>98</v>
      </c>
      <c r="H174" s="2" t="s">
        <v>3829</v>
      </c>
      <c r="I174" s="2" t="s">
        <v>3817</v>
      </c>
      <c r="J174" s="9" t="s">
        <v>5017</v>
      </c>
      <c r="K174" s="2" t="s">
        <v>4884</v>
      </c>
      <c r="L174" s="2">
        <v>1</v>
      </c>
      <c r="M174" s="24" t="s">
        <v>5971</v>
      </c>
      <c r="N174" s="2" t="s">
        <v>23</v>
      </c>
      <c r="O174" s="3" t="s">
        <v>172</v>
      </c>
      <c r="P174" s="18" t="s">
        <v>3781</v>
      </c>
      <c r="Q174" s="6" t="s">
        <v>4475</v>
      </c>
      <c r="T174" s="23">
        <v>45574</v>
      </c>
      <c r="U174" s="23">
        <v>46668</v>
      </c>
      <c r="X174" s="20">
        <v>3625</v>
      </c>
      <c r="Z174" s="6" t="s">
        <v>5978</v>
      </c>
      <c r="AA174" s="14">
        <f t="shared" si="27"/>
        <v>5.9999999999999995E-4</v>
      </c>
      <c r="AB174">
        <v>1.1194739999999999</v>
      </c>
      <c r="AC174">
        <v>1.1642529599999998</v>
      </c>
    </row>
    <row r="175" spans="1:29" x14ac:dyDescent="0.3">
      <c r="A175">
        <v>147286</v>
      </c>
      <c r="B175" s="25" t="s">
        <v>5984</v>
      </c>
      <c r="C175" t="s">
        <v>20</v>
      </c>
      <c r="D175" t="s">
        <v>21</v>
      </c>
      <c r="E175">
        <v>2222222</v>
      </c>
      <c r="F175" s="8" t="s">
        <v>22</v>
      </c>
      <c r="G175" s="2">
        <v>98</v>
      </c>
      <c r="H175" s="2" t="s">
        <v>3830</v>
      </c>
      <c r="I175" s="2" t="s">
        <v>4677</v>
      </c>
      <c r="J175" s="9" t="s">
        <v>4219</v>
      </c>
      <c r="K175" s="2" t="s">
        <v>4966</v>
      </c>
      <c r="L175" s="2">
        <v>1</v>
      </c>
      <c r="M175" s="24" t="s">
        <v>5971</v>
      </c>
      <c r="N175" s="2" t="s">
        <v>23</v>
      </c>
      <c r="O175" s="3" t="s">
        <v>173</v>
      </c>
      <c r="P175" s="18" t="s">
        <v>0</v>
      </c>
      <c r="Q175" s="6" t="s">
        <v>4475</v>
      </c>
      <c r="T175" s="23">
        <v>45890</v>
      </c>
      <c r="U175" s="23">
        <v>47169</v>
      </c>
      <c r="X175" s="20">
        <v>31000</v>
      </c>
      <c r="Z175" s="6" t="s">
        <v>5978</v>
      </c>
      <c r="AA175" s="14">
        <f t="shared" si="27"/>
        <v>5.9999999999999995E-4</v>
      </c>
      <c r="AB175">
        <v>13.482186</v>
      </c>
      <c r="AC175">
        <v>14.021473440000001</v>
      </c>
    </row>
    <row r="176" spans="1:29" x14ac:dyDescent="0.3">
      <c r="A176">
        <v>149326</v>
      </c>
      <c r="B176" s="25" t="s">
        <v>5984</v>
      </c>
      <c r="C176" t="s">
        <v>20</v>
      </c>
      <c r="D176" t="s">
        <v>21</v>
      </c>
      <c r="E176">
        <v>2222222</v>
      </c>
      <c r="F176" s="8" t="s">
        <v>22</v>
      </c>
      <c r="G176" s="2">
        <v>98</v>
      </c>
      <c r="H176" s="2" t="s">
        <v>3830</v>
      </c>
      <c r="I176" s="2" t="s">
        <v>4677</v>
      </c>
      <c r="J176" s="9" t="s">
        <v>4219</v>
      </c>
      <c r="K176" s="2" t="s">
        <v>4966</v>
      </c>
      <c r="L176" s="2">
        <v>1</v>
      </c>
      <c r="M176" s="24" t="s">
        <v>5971</v>
      </c>
      <c r="N176" s="2" t="s">
        <v>23</v>
      </c>
      <c r="O176" s="3" t="s">
        <v>173</v>
      </c>
      <c r="P176" s="18" t="s">
        <v>0</v>
      </c>
      <c r="Q176" s="6" t="s">
        <v>4475</v>
      </c>
      <c r="T176" s="23">
        <v>46020</v>
      </c>
      <c r="U176" s="23">
        <v>47115</v>
      </c>
      <c r="X176" s="20">
        <v>30000</v>
      </c>
      <c r="Z176" s="6" t="s">
        <v>5978</v>
      </c>
      <c r="AA176" s="14">
        <f t="shared" si="27"/>
        <v>5.9999999999999995E-4</v>
      </c>
      <c r="AB176">
        <v>15.023885999999999</v>
      </c>
      <c r="AC176">
        <v>15.624841439999999</v>
      </c>
    </row>
    <row r="177" spans="1:29" x14ac:dyDescent="0.3">
      <c r="A177">
        <v>148343</v>
      </c>
      <c r="B177" s="25" t="s">
        <v>5984</v>
      </c>
      <c r="C177" t="s">
        <v>20</v>
      </c>
      <c r="D177" t="s">
        <v>21</v>
      </c>
      <c r="E177">
        <v>2222222</v>
      </c>
      <c r="F177" s="8" t="s">
        <v>22</v>
      </c>
      <c r="G177" s="2">
        <v>98</v>
      </c>
      <c r="H177" s="2" t="s">
        <v>3831</v>
      </c>
      <c r="I177" s="2" t="s">
        <v>4712</v>
      </c>
      <c r="J177" s="9" t="s">
        <v>5018</v>
      </c>
      <c r="K177" s="2" t="s">
        <v>4966</v>
      </c>
      <c r="L177" s="2">
        <v>1</v>
      </c>
      <c r="M177" s="24" t="s">
        <v>5971</v>
      </c>
      <c r="N177" s="2" t="s">
        <v>23</v>
      </c>
      <c r="O177" s="3" t="s">
        <v>174</v>
      </c>
      <c r="P177" s="18" t="s">
        <v>0</v>
      </c>
      <c r="Q177" s="6" t="s">
        <v>4475</v>
      </c>
      <c r="T177" s="23">
        <v>45953</v>
      </c>
      <c r="U177" s="23">
        <v>47778</v>
      </c>
      <c r="X177" s="20">
        <v>3910</v>
      </c>
      <c r="Z177" s="6" t="s">
        <v>5978</v>
      </c>
      <c r="AA177" s="14">
        <f t="shared" si="27"/>
        <v>5.9999999999999995E-4</v>
      </c>
      <c r="AB177">
        <v>2.1189899999999997</v>
      </c>
      <c r="AC177">
        <v>2.2037495999999996</v>
      </c>
    </row>
    <row r="178" spans="1:29" x14ac:dyDescent="0.3">
      <c r="A178">
        <v>136832</v>
      </c>
      <c r="B178" s="25" t="s">
        <v>5984</v>
      </c>
      <c r="C178" t="s">
        <v>20</v>
      </c>
      <c r="D178" t="s">
        <v>21</v>
      </c>
      <c r="E178">
        <v>2222222</v>
      </c>
      <c r="F178" s="8" t="s">
        <v>22</v>
      </c>
      <c r="G178" s="2">
        <v>98</v>
      </c>
      <c r="H178" s="2" t="s">
        <v>3832</v>
      </c>
      <c r="I178" s="2" t="s">
        <v>4372</v>
      </c>
      <c r="J178" s="9" t="s">
        <v>5013</v>
      </c>
      <c r="K178" s="2" t="s">
        <v>4966</v>
      </c>
      <c r="L178" s="2">
        <v>1</v>
      </c>
      <c r="M178" s="24" t="s">
        <v>5971</v>
      </c>
      <c r="N178" s="2" t="s">
        <v>23</v>
      </c>
      <c r="O178" s="3" t="s">
        <v>175</v>
      </c>
      <c r="P178" s="18" t="s">
        <v>0</v>
      </c>
      <c r="Q178" s="6" t="s">
        <v>4475</v>
      </c>
      <c r="T178" s="23">
        <v>45222</v>
      </c>
      <c r="U178" s="23">
        <v>46317</v>
      </c>
      <c r="X178" s="20">
        <v>20000</v>
      </c>
      <c r="Z178" s="6" t="s">
        <v>5978</v>
      </c>
      <c r="AA178" s="13">
        <f>+(0.56/1000)</f>
        <v>5.6000000000000006E-4</v>
      </c>
      <c r="AB178">
        <v>1.8844392000000003</v>
      </c>
      <c r="AC178">
        <v>1.9598167680000005</v>
      </c>
    </row>
    <row r="179" spans="1:29" x14ac:dyDescent="0.3">
      <c r="A179">
        <v>148334</v>
      </c>
      <c r="B179" s="25" t="s">
        <v>5984</v>
      </c>
      <c r="C179" t="s">
        <v>20</v>
      </c>
      <c r="D179" t="s">
        <v>21</v>
      </c>
      <c r="E179">
        <v>2222222</v>
      </c>
      <c r="F179" s="8" t="s">
        <v>22</v>
      </c>
      <c r="G179" s="2">
        <v>98</v>
      </c>
      <c r="H179" s="2" t="s">
        <v>3832</v>
      </c>
      <c r="I179" s="2" t="s">
        <v>4384</v>
      </c>
      <c r="J179" s="9" t="s">
        <v>4917</v>
      </c>
      <c r="K179" s="2" t="s">
        <v>5019</v>
      </c>
      <c r="L179" s="2">
        <v>1</v>
      </c>
      <c r="M179" s="24" t="s">
        <v>5971</v>
      </c>
      <c r="N179" s="2" t="s">
        <v>23</v>
      </c>
      <c r="O179" s="3" t="s">
        <v>176</v>
      </c>
      <c r="P179" s="18" t="s">
        <v>3781</v>
      </c>
      <c r="Q179" s="6" t="s">
        <v>4475</v>
      </c>
      <c r="T179" s="23">
        <v>45953</v>
      </c>
      <c r="U179" s="23">
        <v>46499</v>
      </c>
      <c r="X179" s="20">
        <v>2000</v>
      </c>
      <c r="Z179" s="6" t="s">
        <v>5978</v>
      </c>
      <c r="AA179" s="14">
        <f>+(0.6/1000)</f>
        <v>5.9999999999999995E-4</v>
      </c>
      <c r="AB179">
        <v>0.63759599999999994</v>
      </c>
      <c r="AC179">
        <v>0.66309984</v>
      </c>
    </row>
    <row r="180" spans="1:29" x14ac:dyDescent="0.3">
      <c r="A180">
        <v>139312</v>
      </c>
      <c r="B180" s="25" t="s">
        <v>5984</v>
      </c>
      <c r="C180" t="s">
        <v>20</v>
      </c>
      <c r="D180" t="s">
        <v>21</v>
      </c>
      <c r="E180">
        <v>2222222</v>
      </c>
      <c r="F180" s="8" t="s">
        <v>22</v>
      </c>
      <c r="G180" s="2">
        <v>98</v>
      </c>
      <c r="H180" s="2" t="s">
        <v>3833</v>
      </c>
      <c r="I180" s="2" t="s">
        <v>3955</v>
      </c>
      <c r="J180" s="9" t="s">
        <v>4838</v>
      </c>
      <c r="K180" s="2" t="s">
        <v>4826</v>
      </c>
      <c r="L180" s="2">
        <v>1</v>
      </c>
      <c r="M180" s="24" t="s">
        <v>5971</v>
      </c>
      <c r="N180" s="2" t="s">
        <v>23</v>
      </c>
      <c r="O180" s="3" t="s">
        <v>177</v>
      </c>
      <c r="P180" s="18" t="s">
        <v>0</v>
      </c>
      <c r="Q180" s="6" t="s">
        <v>4475</v>
      </c>
      <c r="T180" s="23">
        <v>45328</v>
      </c>
      <c r="U180" s="23">
        <v>46425</v>
      </c>
      <c r="X180" s="20">
        <v>3000</v>
      </c>
      <c r="Z180" s="6" t="s">
        <v>5978</v>
      </c>
      <c r="AA180" s="13">
        <f>+(0.56/1000)</f>
        <v>5.6000000000000006E-4</v>
      </c>
      <c r="AB180">
        <v>1.6098936000000001</v>
      </c>
      <c r="AC180">
        <v>1.6742893440000002</v>
      </c>
    </row>
    <row r="181" spans="1:29" x14ac:dyDescent="0.3">
      <c r="A181">
        <v>141846</v>
      </c>
      <c r="B181" s="25" t="s">
        <v>5984</v>
      </c>
      <c r="C181" t="s">
        <v>20</v>
      </c>
      <c r="D181" t="s">
        <v>21</v>
      </c>
      <c r="E181">
        <v>2222222</v>
      </c>
      <c r="F181" s="8" t="s">
        <v>22</v>
      </c>
      <c r="G181" s="2">
        <v>98</v>
      </c>
      <c r="H181" s="2" t="s">
        <v>3833</v>
      </c>
      <c r="I181" s="2" t="s">
        <v>3833</v>
      </c>
      <c r="J181" s="9" t="s">
        <v>5020</v>
      </c>
      <c r="K181" s="2" t="s">
        <v>4848</v>
      </c>
      <c r="L181" s="2">
        <v>1</v>
      </c>
      <c r="M181" s="24" t="s">
        <v>5971</v>
      </c>
      <c r="N181" s="2" t="s">
        <v>23</v>
      </c>
      <c r="O181" s="3" t="s">
        <v>178</v>
      </c>
      <c r="P181" s="18" t="s">
        <v>0</v>
      </c>
      <c r="Q181" s="6" t="s">
        <v>4475</v>
      </c>
      <c r="T181" s="23">
        <v>45478</v>
      </c>
      <c r="U181" s="23">
        <v>46572</v>
      </c>
      <c r="X181" s="20">
        <v>4000</v>
      </c>
      <c r="Z181" s="6" t="s">
        <v>5978</v>
      </c>
      <c r="AA181" s="14">
        <f t="shared" ref="AA181:AA202" si="28">+(0.6/1000)</f>
        <v>5.9999999999999995E-4</v>
      </c>
      <c r="AB181">
        <v>0.95587800000000001</v>
      </c>
      <c r="AC181">
        <v>0.99411312000000007</v>
      </c>
    </row>
    <row r="182" spans="1:29" x14ac:dyDescent="0.3">
      <c r="A182">
        <v>142955</v>
      </c>
      <c r="B182" s="25" t="s">
        <v>5984</v>
      </c>
      <c r="C182" t="s">
        <v>20</v>
      </c>
      <c r="D182" t="s">
        <v>21</v>
      </c>
      <c r="E182">
        <v>2222222</v>
      </c>
      <c r="F182" s="8" t="s">
        <v>22</v>
      </c>
      <c r="G182" s="2">
        <v>98</v>
      </c>
      <c r="H182" s="2" t="s">
        <v>3833</v>
      </c>
      <c r="I182" s="2" t="s">
        <v>4651</v>
      </c>
      <c r="J182" s="9" t="s">
        <v>5021</v>
      </c>
      <c r="K182" s="2" t="s">
        <v>4924</v>
      </c>
      <c r="L182" s="2">
        <v>1</v>
      </c>
      <c r="M182" s="24" t="s">
        <v>5971</v>
      </c>
      <c r="N182" s="2" t="s">
        <v>23</v>
      </c>
      <c r="O182" s="3" t="s">
        <v>179</v>
      </c>
      <c r="P182" s="18" t="s">
        <v>3781</v>
      </c>
      <c r="Q182" s="6" t="s">
        <v>4475</v>
      </c>
      <c r="T182" s="23">
        <v>45565</v>
      </c>
      <c r="U182" s="23">
        <v>47391</v>
      </c>
      <c r="X182" s="20">
        <v>20000</v>
      </c>
      <c r="Z182" s="6" t="s">
        <v>5978</v>
      </c>
      <c r="AA182" s="14">
        <f t="shared" si="28"/>
        <v>5.9999999999999995E-4</v>
      </c>
      <c r="AB182">
        <v>8.8979279999999985</v>
      </c>
      <c r="AC182">
        <v>9.2538451199999994</v>
      </c>
    </row>
    <row r="183" spans="1:29" x14ac:dyDescent="0.3">
      <c r="A183">
        <v>144455</v>
      </c>
      <c r="B183" s="25" t="s">
        <v>5984</v>
      </c>
      <c r="C183" t="s">
        <v>20</v>
      </c>
      <c r="D183" t="s">
        <v>21</v>
      </c>
      <c r="E183">
        <v>2222222</v>
      </c>
      <c r="F183" s="8" t="s">
        <v>22</v>
      </c>
      <c r="G183" s="2">
        <v>98</v>
      </c>
      <c r="H183" s="2" t="s">
        <v>3833</v>
      </c>
      <c r="I183" s="2" t="s">
        <v>4215</v>
      </c>
      <c r="J183" s="9" t="s">
        <v>4901</v>
      </c>
      <c r="K183" s="2" t="s">
        <v>4949</v>
      </c>
      <c r="L183" s="2">
        <v>1</v>
      </c>
      <c r="M183" s="24" t="s">
        <v>5971</v>
      </c>
      <c r="N183" s="2" t="s">
        <v>23</v>
      </c>
      <c r="O183" s="3" t="s">
        <v>180</v>
      </c>
      <c r="P183" s="18" t="s">
        <v>0</v>
      </c>
      <c r="Q183" s="6" t="s">
        <v>4475</v>
      </c>
      <c r="T183" s="23">
        <v>45674</v>
      </c>
      <c r="U183" s="23">
        <v>51151</v>
      </c>
      <c r="X183" s="20">
        <v>100000</v>
      </c>
      <c r="Z183" s="6" t="s">
        <v>5978</v>
      </c>
      <c r="AA183" s="14">
        <f t="shared" si="28"/>
        <v>5.9999999999999995E-4</v>
      </c>
      <c r="AB183">
        <v>49.231601999999995</v>
      </c>
      <c r="AC183">
        <v>51.200866079999997</v>
      </c>
    </row>
    <row r="184" spans="1:29" x14ac:dyDescent="0.3">
      <c r="A184">
        <v>144773</v>
      </c>
      <c r="B184" s="25" t="s">
        <v>5984</v>
      </c>
      <c r="C184" t="s">
        <v>20</v>
      </c>
      <c r="D184" t="s">
        <v>21</v>
      </c>
      <c r="E184">
        <v>2222222</v>
      </c>
      <c r="F184" s="8" t="s">
        <v>22</v>
      </c>
      <c r="G184" s="2">
        <v>98</v>
      </c>
      <c r="H184" s="2" t="s">
        <v>3833</v>
      </c>
      <c r="I184" s="2" t="s">
        <v>4580</v>
      </c>
      <c r="J184" s="9" t="s">
        <v>5022</v>
      </c>
      <c r="K184" s="2" t="s">
        <v>5023</v>
      </c>
      <c r="L184" s="2">
        <v>1</v>
      </c>
      <c r="M184" s="24" t="s">
        <v>5971</v>
      </c>
      <c r="N184" s="2" t="s">
        <v>23</v>
      </c>
      <c r="O184" s="3" t="s">
        <v>181</v>
      </c>
      <c r="P184" s="18" t="s">
        <v>0</v>
      </c>
      <c r="Q184" s="6" t="s">
        <v>4475</v>
      </c>
      <c r="T184" s="23">
        <v>45693</v>
      </c>
      <c r="U184" s="23">
        <v>49347</v>
      </c>
      <c r="X184" s="20">
        <v>60000</v>
      </c>
      <c r="Z184" s="6" t="s">
        <v>5978</v>
      </c>
      <c r="AA184" s="14">
        <f t="shared" si="28"/>
        <v>5.9999999999999995E-4</v>
      </c>
      <c r="AB184">
        <v>33.698549999999997</v>
      </c>
      <c r="AC184">
        <v>35.046492000000001</v>
      </c>
    </row>
    <row r="185" spans="1:29" x14ac:dyDescent="0.3">
      <c r="A185">
        <v>145901</v>
      </c>
      <c r="B185" s="25" t="s">
        <v>5984</v>
      </c>
      <c r="C185" t="s">
        <v>20</v>
      </c>
      <c r="D185" t="s">
        <v>21</v>
      </c>
      <c r="E185">
        <v>2222222</v>
      </c>
      <c r="F185" s="8" t="s">
        <v>22</v>
      </c>
      <c r="G185" s="2">
        <v>98</v>
      </c>
      <c r="H185" s="2" t="s">
        <v>3833</v>
      </c>
      <c r="I185" s="2" t="s">
        <v>3905</v>
      </c>
      <c r="J185" s="9" t="s">
        <v>4936</v>
      </c>
      <c r="K185" s="2" t="s">
        <v>4965</v>
      </c>
      <c r="L185" s="2">
        <v>1</v>
      </c>
      <c r="M185" s="24" t="s">
        <v>5971</v>
      </c>
      <c r="N185" s="2" t="s">
        <v>23</v>
      </c>
      <c r="O185" s="3" t="s">
        <v>182</v>
      </c>
      <c r="P185" s="18" t="s">
        <v>0</v>
      </c>
      <c r="Q185" s="6" t="s">
        <v>4475</v>
      </c>
      <c r="T185" s="23">
        <v>45773</v>
      </c>
      <c r="U185" s="23">
        <v>47234</v>
      </c>
      <c r="X185" s="20">
        <v>1275</v>
      </c>
      <c r="Z185" s="6" t="s">
        <v>5978</v>
      </c>
      <c r="AA185" s="14">
        <f t="shared" si="28"/>
        <v>5.9999999999999995E-4</v>
      </c>
      <c r="AB185">
        <v>0.59588999999999992</v>
      </c>
      <c r="AC185">
        <v>0.61972559999999999</v>
      </c>
    </row>
    <row r="186" spans="1:29" x14ac:dyDescent="0.3">
      <c r="A186">
        <v>146672</v>
      </c>
      <c r="B186" s="25" t="s">
        <v>5984</v>
      </c>
      <c r="C186" t="s">
        <v>20</v>
      </c>
      <c r="D186" t="s">
        <v>21</v>
      </c>
      <c r="E186">
        <v>2222222</v>
      </c>
      <c r="F186" s="8" t="s">
        <v>22</v>
      </c>
      <c r="G186" s="2">
        <v>98</v>
      </c>
      <c r="H186" s="2" t="s">
        <v>3833</v>
      </c>
      <c r="I186" s="2" t="s">
        <v>4735</v>
      </c>
      <c r="J186" s="9" t="s">
        <v>4929</v>
      </c>
      <c r="K186" s="2" t="s">
        <v>5024</v>
      </c>
      <c r="L186" s="2">
        <v>1</v>
      </c>
      <c r="M186" s="24" t="s">
        <v>5971</v>
      </c>
      <c r="N186" s="2" t="s">
        <v>23</v>
      </c>
      <c r="O186" s="3" t="s">
        <v>183</v>
      </c>
      <c r="P186" s="18" t="s">
        <v>0</v>
      </c>
      <c r="Q186" s="6" t="s">
        <v>4475</v>
      </c>
      <c r="T186" s="23">
        <v>45834</v>
      </c>
      <c r="U186" s="23">
        <v>47295</v>
      </c>
      <c r="X186" s="20">
        <v>5000</v>
      </c>
      <c r="Z186" s="6" t="s">
        <v>5978</v>
      </c>
      <c r="AA186" s="14">
        <f t="shared" si="28"/>
        <v>5.9999999999999995E-4</v>
      </c>
      <c r="AB186">
        <v>2.3882219999999998</v>
      </c>
      <c r="AC186">
        <v>2.4837508800000001</v>
      </c>
    </row>
    <row r="187" spans="1:29" x14ac:dyDescent="0.3">
      <c r="A187">
        <v>148355</v>
      </c>
      <c r="B187" s="25" t="s">
        <v>5984</v>
      </c>
      <c r="C187" t="s">
        <v>20</v>
      </c>
      <c r="D187" t="s">
        <v>21</v>
      </c>
      <c r="E187">
        <v>2222222</v>
      </c>
      <c r="F187" s="8" t="s">
        <v>22</v>
      </c>
      <c r="G187" s="2">
        <v>98</v>
      </c>
      <c r="H187" s="2" t="s">
        <v>3833</v>
      </c>
      <c r="I187" s="2" t="s">
        <v>3833</v>
      </c>
      <c r="J187" s="9" t="s">
        <v>5020</v>
      </c>
      <c r="K187" s="2" t="s">
        <v>4848</v>
      </c>
      <c r="L187" s="2">
        <v>1</v>
      </c>
      <c r="M187" s="24" t="s">
        <v>5971</v>
      </c>
      <c r="N187" s="2" t="s">
        <v>23</v>
      </c>
      <c r="O187" s="3" t="s">
        <v>178</v>
      </c>
      <c r="P187" s="18" t="s">
        <v>0</v>
      </c>
      <c r="Q187" s="6" t="s">
        <v>4475</v>
      </c>
      <c r="T187" s="23">
        <v>45954</v>
      </c>
      <c r="U187" s="23">
        <v>47414</v>
      </c>
      <c r="X187" s="20">
        <v>5000</v>
      </c>
      <c r="Z187" s="6" t="s">
        <v>5978</v>
      </c>
      <c r="AA187" s="14">
        <f t="shared" si="28"/>
        <v>5.9999999999999995E-4</v>
      </c>
      <c r="AB187">
        <v>2.5869419999999996</v>
      </c>
      <c r="AC187">
        <v>2.6904196799999998</v>
      </c>
    </row>
    <row r="188" spans="1:29" x14ac:dyDescent="0.3">
      <c r="A188">
        <v>150138</v>
      </c>
      <c r="B188" s="25" t="s">
        <v>5984</v>
      </c>
      <c r="C188" t="s">
        <v>20</v>
      </c>
      <c r="D188" t="s">
        <v>21</v>
      </c>
      <c r="E188">
        <v>2222222</v>
      </c>
      <c r="F188" s="8" t="s">
        <v>22</v>
      </c>
      <c r="G188" s="2">
        <v>98</v>
      </c>
      <c r="H188" s="2" t="s">
        <v>3833</v>
      </c>
      <c r="I188" s="2" t="s">
        <v>4215</v>
      </c>
      <c r="J188" s="9" t="s">
        <v>4901</v>
      </c>
      <c r="K188" s="2" t="s">
        <v>4949</v>
      </c>
      <c r="L188" s="2">
        <v>1</v>
      </c>
      <c r="M188" s="24" t="s">
        <v>5971</v>
      </c>
      <c r="N188" s="2" t="s">
        <v>23</v>
      </c>
      <c r="O188" s="3" t="s">
        <v>180</v>
      </c>
      <c r="P188" s="18" t="s">
        <v>0</v>
      </c>
      <c r="Q188" s="6" t="s">
        <v>4475</v>
      </c>
      <c r="T188" s="23">
        <v>46074</v>
      </c>
      <c r="U188" s="23">
        <v>46379</v>
      </c>
      <c r="X188" s="20">
        <v>900</v>
      </c>
      <c r="Z188" s="6" t="s">
        <v>5978</v>
      </c>
      <c r="AA188" s="14">
        <f t="shared" si="28"/>
        <v>5.9999999999999995E-4</v>
      </c>
      <c r="AB188">
        <v>0.27961199999999997</v>
      </c>
      <c r="AC188">
        <v>0.29079647999999997</v>
      </c>
    </row>
    <row r="189" spans="1:29" x14ac:dyDescent="0.3">
      <c r="A189">
        <v>150609</v>
      </c>
      <c r="B189" s="25" t="s">
        <v>5984</v>
      </c>
      <c r="C189" t="s">
        <v>20</v>
      </c>
      <c r="D189" t="s">
        <v>21</v>
      </c>
      <c r="E189">
        <v>2222222</v>
      </c>
      <c r="F189" s="8" t="s">
        <v>22</v>
      </c>
      <c r="G189" s="2">
        <v>98</v>
      </c>
      <c r="H189" s="2" t="s">
        <v>3833</v>
      </c>
      <c r="I189" s="2" t="s">
        <v>4518</v>
      </c>
      <c r="J189" s="9" t="s">
        <v>4836</v>
      </c>
      <c r="K189" s="2" t="s">
        <v>5025</v>
      </c>
      <c r="L189" s="2">
        <v>1</v>
      </c>
      <c r="M189" s="24" t="s">
        <v>5971</v>
      </c>
      <c r="N189" s="2" t="s">
        <v>23</v>
      </c>
      <c r="O189" s="3" t="s">
        <v>184</v>
      </c>
      <c r="P189" s="18" t="s">
        <v>3781</v>
      </c>
      <c r="Q189" s="6" t="s">
        <v>4475</v>
      </c>
      <c r="T189" s="23">
        <v>46104</v>
      </c>
      <c r="U189" s="23">
        <v>46318</v>
      </c>
      <c r="X189" s="20">
        <v>5000</v>
      </c>
      <c r="Z189" s="6" t="s">
        <v>5978</v>
      </c>
      <c r="AA189" s="14">
        <f t="shared" si="28"/>
        <v>5.9999999999999995E-4</v>
      </c>
      <c r="AB189">
        <v>1.3236959999999998</v>
      </c>
      <c r="AC189">
        <v>1.3766438399999998</v>
      </c>
    </row>
    <row r="190" spans="1:29" x14ac:dyDescent="0.3">
      <c r="A190">
        <v>147122</v>
      </c>
      <c r="B190" s="25" t="s">
        <v>5984</v>
      </c>
      <c r="C190" t="s">
        <v>20</v>
      </c>
      <c r="D190" t="s">
        <v>21</v>
      </c>
      <c r="E190">
        <v>2222222</v>
      </c>
      <c r="F190" s="8" t="s">
        <v>22</v>
      </c>
      <c r="G190" s="2">
        <v>98</v>
      </c>
      <c r="H190" s="2" t="s">
        <v>3834</v>
      </c>
      <c r="I190" s="2" t="s">
        <v>4724</v>
      </c>
      <c r="J190" s="9" t="s">
        <v>5026</v>
      </c>
      <c r="K190" s="2" t="s">
        <v>5027</v>
      </c>
      <c r="L190" s="2">
        <v>1</v>
      </c>
      <c r="M190" s="24" t="s">
        <v>5971</v>
      </c>
      <c r="N190" s="2" t="s">
        <v>23</v>
      </c>
      <c r="O190" s="3" t="s">
        <v>185</v>
      </c>
      <c r="P190" s="18" t="s">
        <v>3781</v>
      </c>
      <c r="Q190" s="6" t="s">
        <v>4475</v>
      </c>
      <c r="T190" s="23">
        <v>45866</v>
      </c>
      <c r="U190" s="23">
        <v>46595</v>
      </c>
      <c r="X190" s="20">
        <v>1000</v>
      </c>
      <c r="Z190" s="6" t="s">
        <v>5978</v>
      </c>
      <c r="AA190" s="14">
        <f t="shared" si="28"/>
        <v>5.9999999999999995E-4</v>
      </c>
      <c r="AB190">
        <v>0.32537999999999995</v>
      </c>
      <c r="AC190">
        <v>0.33839519999999995</v>
      </c>
    </row>
    <row r="191" spans="1:29" x14ac:dyDescent="0.3">
      <c r="A191">
        <v>147128</v>
      </c>
      <c r="B191" s="25" t="s">
        <v>5984</v>
      </c>
      <c r="C191" t="s">
        <v>20</v>
      </c>
      <c r="D191" t="s">
        <v>21</v>
      </c>
      <c r="E191">
        <v>2222222</v>
      </c>
      <c r="F191" s="8" t="s">
        <v>22</v>
      </c>
      <c r="G191" s="2">
        <v>98</v>
      </c>
      <c r="H191" s="2" t="s">
        <v>3834</v>
      </c>
      <c r="I191" s="2" t="s">
        <v>3949</v>
      </c>
      <c r="J191" s="9" t="s">
        <v>4911</v>
      </c>
      <c r="K191" s="2" t="s">
        <v>5028</v>
      </c>
      <c r="L191" s="2">
        <v>1</v>
      </c>
      <c r="M191" s="24" t="s">
        <v>5971</v>
      </c>
      <c r="N191" s="2" t="s">
        <v>23</v>
      </c>
      <c r="O191" s="3" t="s">
        <v>186</v>
      </c>
      <c r="P191" s="18" t="s">
        <v>3781</v>
      </c>
      <c r="Q191" s="6" t="s">
        <v>4475</v>
      </c>
      <c r="T191" s="23">
        <v>45867</v>
      </c>
      <c r="U191" s="23">
        <v>46415</v>
      </c>
      <c r="X191" s="20">
        <v>2000</v>
      </c>
      <c r="Z191" s="6" t="s">
        <v>5978</v>
      </c>
      <c r="AA191" s="14">
        <f t="shared" si="28"/>
        <v>5.9999999999999995E-4</v>
      </c>
      <c r="AB191">
        <v>0.43437599999999998</v>
      </c>
      <c r="AC191">
        <v>0.45175103999999999</v>
      </c>
    </row>
    <row r="192" spans="1:29" x14ac:dyDescent="0.3">
      <c r="A192">
        <v>147883</v>
      </c>
      <c r="B192" s="25" t="s">
        <v>5984</v>
      </c>
      <c r="C192" t="s">
        <v>20</v>
      </c>
      <c r="D192" t="s">
        <v>21</v>
      </c>
      <c r="E192">
        <v>2222222</v>
      </c>
      <c r="F192" s="8" t="s">
        <v>22</v>
      </c>
      <c r="G192" s="2">
        <v>98</v>
      </c>
      <c r="H192" s="2" t="s">
        <v>3834</v>
      </c>
      <c r="I192" s="2" t="s">
        <v>3949</v>
      </c>
      <c r="J192" s="9" t="s">
        <v>4751</v>
      </c>
      <c r="K192" s="2" t="s">
        <v>5029</v>
      </c>
      <c r="L192" s="2">
        <v>1</v>
      </c>
      <c r="M192" s="24" t="s">
        <v>5971</v>
      </c>
      <c r="N192" s="2" t="s">
        <v>23</v>
      </c>
      <c r="O192" s="3" t="s">
        <v>187</v>
      </c>
      <c r="P192" s="18" t="s">
        <v>0</v>
      </c>
      <c r="Q192" s="6" t="s">
        <v>4475</v>
      </c>
      <c r="T192" s="23">
        <v>45919</v>
      </c>
      <c r="U192" s="23">
        <v>46284</v>
      </c>
      <c r="X192" s="20">
        <v>500</v>
      </c>
      <c r="Z192" s="6" t="s">
        <v>5978</v>
      </c>
      <c r="AA192" s="14">
        <f t="shared" si="28"/>
        <v>5.9999999999999995E-4</v>
      </c>
      <c r="AB192">
        <v>5.3741999999999991E-2</v>
      </c>
      <c r="AC192">
        <v>5.5891679999999992E-2</v>
      </c>
    </row>
    <row r="193" spans="1:29" x14ac:dyDescent="0.3">
      <c r="A193">
        <v>150391</v>
      </c>
      <c r="B193" s="25" t="s">
        <v>5984</v>
      </c>
      <c r="C193" t="s">
        <v>20</v>
      </c>
      <c r="D193" t="s">
        <v>21</v>
      </c>
      <c r="E193">
        <v>2222222</v>
      </c>
      <c r="F193" s="8" t="s">
        <v>22</v>
      </c>
      <c r="G193" s="2">
        <v>98</v>
      </c>
      <c r="H193" s="2" t="s">
        <v>3834</v>
      </c>
      <c r="I193" s="2" t="s">
        <v>4724</v>
      </c>
      <c r="J193" s="9" t="s">
        <v>5021</v>
      </c>
      <c r="K193" s="2" t="s">
        <v>4926</v>
      </c>
      <c r="L193" s="2">
        <v>1</v>
      </c>
      <c r="M193" s="24" t="s">
        <v>5971</v>
      </c>
      <c r="N193" s="2" t="s">
        <v>23</v>
      </c>
      <c r="O193" s="3" t="s">
        <v>188</v>
      </c>
      <c r="P193" s="18" t="s">
        <v>3781</v>
      </c>
      <c r="Q193" s="6" t="s">
        <v>4475</v>
      </c>
      <c r="T193" s="23">
        <v>46090</v>
      </c>
      <c r="U193" s="23">
        <v>47550</v>
      </c>
      <c r="X193" s="20">
        <v>4920</v>
      </c>
      <c r="Z193" s="6" t="s">
        <v>5978</v>
      </c>
      <c r="AA193" s="14">
        <f t="shared" si="28"/>
        <v>5.9999999999999995E-4</v>
      </c>
      <c r="AB193">
        <v>2.7637739999999997</v>
      </c>
      <c r="AC193">
        <v>2.87432496</v>
      </c>
    </row>
    <row r="194" spans="1:29" x14ac:dyDescent="0.3">
      <c r="A194">
        <v>151657</v>
      </c>
      <c r="B194" s="25" t="s">
        <v>5984</v>
      </c>
      <c r="C194" t="s">
        <v>20</v>
      </c>
      <c r="D194" t="s">
        <v>21</v>
      </c>
      <c r="E194">
        <v>2222222</v>
      </c>
      <c r="F194" s="8" t="s">
        <v>22</v>
      </c>
      <c r="G194" s="2">
        <v>98</v>
      </c>
      <c r="H194" s="2" t="s">
        <v>3834</v>
      </c>
      <c r="I194" s="2" t="s">
        <v>3994</v>
      </c>
      <c r="J194" s="9" t="s">
        <v>4512</v>
      </c>
      <c r="K194" s="2" t="s">
        <v>4857</v>
      </c>
      <c r="L194" s="2">
        <v>1</v>
      </c>
      <c r="M194" s="24" t="s">
        <v>5971</v>
      </c>
      <c r="N194" s="2" t="s">
        <v>23</v>
      </c>
      <c r="O194" s="3" t="s">
        <v>189</v>
      </c>
      <c r="P194" s="18" t="s">
        <v>0</v>
      </c>
      <c r="Q194" s="6" t="s">
        <v>4475</v>
      </c>
      <c r="T194" s="23">
        <v>46188</v>
      </c>
      <c r="U194" s="23">
        <v>49841</v>
      </c>
      <c r="X194" s="20">
        <v>148000</v>
      </c>
      <c r="Z194" s="6" t="s">
        <v>5978</v>
      </c>
      <c r="AA194" s="14">
        <f t="shared" si="28"/>
        <v>5.9999999999999995E-4</v>
      </c>
      <c r="AB194">
        <v>88.405409999999989</v>
      </c>
      <c r="AC194">
        <v>91.94162639999999</v>
      </c>
    </row>
    <row r="195" spans="1:29" x14ac:dyDescent="0.3">
      <c r="A195">
        <v>151710</v>
      </c>
      <c r="B195" s="25" t="s">
        <v>5984</v>
      </c>
      <c r="C195" t="s">
        <v>20</v>
      </c>
      <c r="D195" t="s">
        <v>21</v>
      </c>
      <c r="E195">
        <v>2222222</v>
      </c>
      <c r="F195" s="8" t="s">
        <v>22</v>
      </c>
      <c r="G195" s="2">
        <v>98</v>
      </c>
      <c r="H195" s="2" t="s">
        <v>3834</v>
      </c>
      <c r="I195" s="2" t="s">
        <v>4405</v>
      </c>
      <c r="J195" s="9" t="s">
        <v>5030</v>
      </c>
      <c r="K195" s="2" t="s">
        <v>4924</v>
      </c>
      <c r="L195" s="2">
        <v>1</v>
      </c>
      <c r="M195" s="24" t="s">
        <v>5971</v>
      </c>
      <c r="N195" s="2" t="s">
        <v>23</v>
      </c>
      <c r="O195" s="3" t="s">
        <v>190</v>
      </c>
      <c r="P195" s="18" t="s">
        <v>3781</v>
      </c>
      <c r="Q195" s="6" t="s">
        <v>4475</v>
      </c>
      <c r="T195" s="23">
        <v>46182</v>
      </c>
      <c r="U195" s="23">
        <v>47278</v>
      </c>
      <c r="X195" s="20">
        <v>3500</v>
      </c>
      <c r="Z195" s="6" t="s">
        <v>5978</v>
      </c>
      <c r="AA195" s="14">
        <f t="shared" si="28"/>
        <v>5.9999999999999995E-4</v>
      </c>
      <c r="AB195">
        <v>2.0546279999999997</v>
      </c>
      <c r="AC195">
        <v>2.1368131199999998</v>
      </c>
    </row>
    <row r="196" spans="1:29" x14ac:dyDescent="0.3">
      <c r="A196">
        <v>151712</v>
      </c>
      <c r="B196" s="25" t="s">
        <v>5984</v>
      </c>
      <c r="C196" t="s">
        <v>20</v>
      </c>
      <c r="D196" t="s">
        <v>21</v>
      </c>
      <c r="E196">
        <v>2222222</v>
      </c>
      <c r="F196" s="8" t="s">
        <v>22</v>
      </c>
      <c r="G196" s="2">
        <v>98</v>
      </c>
      <c r="H196" s="2" t="s">
        <v>3834</v>
      </c>
      <c r="I196" s="2" t="s">
        <v>4724</v>
      </c>
      <c r="J196" s="9" t="s">
        <v>5026</v>
      </c>
      <c r="K196" s="2" t="s">
        <v>5027</v>
      </c>
      <c r="L196" s="2">
        <v>1</v>
      </c>
      <c r="M196" s="24" t="s">
        <v>5971</v>
      </c>
      <c r="N196" s="2" t="s">
        <v>23</v>
      </c>
      <c r="O196" s="3" t="s">
        <v>185</v>
      </c>
      <c r="P196" s="18" t="s">
        <v>3781</v>
      </c>
      <c r="Q196" s="6" t="s">
        <v>4475</v>
      </c>
      <c r="T196" s="23">
        <v>46182</v>
      </c>
      <c r="U196" s="23">
        <v>46272</v>
      </c>
      <c r="X196" s="20">
        <v>4720</v>
      </c>
      <c r="Z196" s="6" t="s">
        <v>5978</v>
      </c>
      <c r="AA196" s="14">
        <f t="shared" si="28"/>
        <v>5.9999999999999995E-4</v>
      </c>
      <c r="AB196">
        <v>2.8319999999999999</v>
      </c>
      <c r="AC196">
        <v>2.9452799999999999</v>
      </c>
    </row>
    <row r="197" spans="1:29" x14ac:dyDescent="0.3">
      <c r="A197">
        <v>151716</v>
      </c>
      <c r="B197" s="25" t="s">
        <v>5984</v>
      </c>
      <c r="C197" t="s">
        <v>20</v>
      </c>
      <c r="D197" t="s">
        <v>21</v>
      </c>
      <c r="E197">
        <v>2222222</v>
      </c>
      <c r="F197" s="8" t="s">
        <v>22</v>
      </c>
      <c r="G197" s="2">
        <v>98</v>
      </c>
      <c r="H197" s="2" t="s">
        <v>3834</v>
      </c>
      <c r="I197" s="2" t="s">
        <v>4724</v>
      </c>
      <c r="J197" s="9" t="s">
        <v>5021</v>
      </c>
      <c r="K197" s="2" t="s">
        <v>4926</v>
      </c>
      <c r="L197" s="2">
        <v>1</v>
      </c>
      <c r="M197" s="24" t="s">
        <v>5971</v>
      </c>
      <c r="N197" s="2" t="s">
        <v>23</v>
      </c>
      <c r="O197" s="3" t="s">
        <v>188</v>
      </c>
      <c r="P197" s="18" t="s">
        <v>3781</v>
      </c>
      <c r="Q197" s="6" t="s">
        <v>4475</v>
      </c>
      <c r="T197" s="23">
        <v>46182</v>
      </c>
      <c r="U197" s="23">
        <v>46272</v>
      </c>
      <c r="X197" s="20">
        <v>4800</v>
      </c>
      <c r="Z197" s="6" t="s">
        <v>5978</v>
      </c>
      <c r="AA197" s="14">
        <f t="shared" si="28"/>
        <v>5.9999999999999995E-4</v>
      </c>
      <c r="AB197">
        <v>2.88</v>
      </c>
      <c r="AC197">
        <v>2.9952000000000001</v>
      </c>
    </row>
    <row r="198" spans="1:29" x14ac:dyDescent="0.3">
      <c r="A198">
        <v>141983</v>
      </c>
      <c r="B198" s="25" t="s">
        <v>5984</v>
      </c>
      <c r="C198" t="s">
        <v>20</v>
      </c>
      <c r="D198" t="s">
        <v>21</v>
      </c>
      <c r="E198">
        <v>2222222</v>
      </c>
      <c r="F198" s="8" t="s">
        <v>22</v>
      </c>
      <c r="G198" s="2">
        <v>98</v>
      </c>
      <c r="H198" s="2" t="s">
        <v>3835</v>
      </c>
      <c r="I198" s="2" t="s">
        <v>3817</v>
      </c>
      <c r="J198" s="9" t="s">
        <v>4947</v>
      </c>
      <c r="K198" s="2" t="s">
        <v>5031</v>
      </c>
      <c r="L198" s="2">
        <v>1</v>
      </c>
      <c r="M198" s="24" t="s">
        <v>5971</v>
      </c>
      <c r="N198" s="2" t="s">
        <v>23</v>
      </c>
      <c r="O198" s="3" t="s">
        <v>191</v>
      </c>
      <c r="P198" s="18" t="s">
        <v>3781</v>
      </c>
      <c r="Q198" s="6" t="s">
        <v>4475</v>
      </c>
      <c r="T198" s="23">
        <v>45489</v>
      </c>
      <c r="U198" s="23">
        <v>46583</v>
      </c>
      <c r="X198" s="20">
        <v>4000</v>
      </c>
      <c r="Z198" s="6" t="s">
        <v>5978</v>
      </c>
      <c r="AA198" s="14">
        <f t="shared" si="28"/>
        <v>5.9999999999999995E-4</v>
      </c>
      <c r="AB198">
        <v>0.95587800000000001</v>
      </c>
      <c r="AC198">
        <v>0.99411312000000007</v>
      </c>
    </row>
    <row r="199" spans="1:29" x14ac:dyDescent="0.3">
      <c r="A199">
        <v>144285</v>
      </c>
      <c r="B199" s="25" t="s">
        <v>5984</v>
      </c>
      <c r="C199" t="s">
        <v>20</v>
      </c>
      <c r="D199" t="s">
        <v>21</v>
      </c>
      <c r="E199">
        <v>2222222</v>
      </c>
      <c r="F199" s="8" t="s">
        <v>22</v>
      </c>
      <c r="G199" s="2">
        <v>98</v>
      </c>
      <c r="H199" s="2" t="s">
        <v>3835</v>
      </c>
      <c r="I199" s="2" t="s">
        <v>4410</v>
      </c>
      <c r="J199" s="9" t="s">
        <v>5032</v>
      </c>
      <c r="K199" s="2" t="s">
        <v>5033</v>
      </c>
      <c r="L199" s="2">
        <v>1</v>
      </c>
      <c r="M199" s="24" t="s">
        <v>5971</v>
      </c>
      <c r="N199" s="2" t="s">
        <v>23</v>
      </c>
      <c r="O199" s="3" t="s">
        <v>192</v>
      </c>
      <c r="P199" s="18" t="s">
        <v>3781</v>
      </c>
      <c r="Q199" s="6" t="s">
        <v>4475</v>
      </c>
      <c r="T199" s="23">
        <v>45653</v>
      </c>
      <c r="U199" s="23">
        <v>47113</v>
      </c>
      <c r="X199" s="20">
        <v>5000</v>
      </c>
      <c r="Z199" s="6" t="s">
        <v>5978</v>
      </c>
      <c r="AA199" s="14">
        <f t="shared" si="28"/>
        <v>5.9999999999999995E-4</v>
      </c>
      <c r="AB199">
        <v>2.0600999999999998</v>
      </c>
      <c r="AC199">
        <v>2.1425039999999997</v>
      </c>
    </row>
    <row r="200" spans="1:29" x14ac:dyDescent="0.3">
      <c r="A200">
        <v>147653</v>
      </c>
      <c r="B200" s="25" t="s">
        <v>5984</v>
      </c>
      <c r="C200" t="s">
        <v>20</v>
      </c>
      <c r="D200" t="s">
        <v>21</v>
      </c>
      <c r="E200">
        <v>2222222</v>
      </c>
      <c r="F200" s="8" t="s">
        <v>22</v>
      </c>
      <c r="G200" s="2">
        <v>98</v>
      </c>
      <c r="H200" s="2" t="s">
        <v>3835</v>
      </c>
      <c r="I200" s="2" t="s">
        <v>4410</v>
      </c>
      <c r="J200" s="9" t="s">
        <v>5032</v>
      </c>
      <c r="K200" s="2" t="s">
        <v>5033</v>
      </c>
      <c r="L200" s="2">
        <v>1</v>
      </c>
      <c r="M200" s="24" t="s">
        <v>5971</v>
      </c>
      <c r="N200" s="2" t="s">
        <v>23</v>
      </c>
      <c r="O200" s="3" t="s">
        <v>192</v>
      </c>
      <c r="P200" s="18" t="s">
        <v>3781</v>
      </c>
      <c r="Q200" s="6" t="s">
        <v>4475</v>
      </c>
      <c r="T200" s="23">
        <v>45903</v>
      </c>
      <c r="U200" s="23">
        <v>47729</v>
      </c>
      <c r="X200" s="20">
        <v>5000</v>
      </c>
      <c r="Z200" s="6" t="s">
        <v>5978</v>
      </c>
      <c r="AA200" s="14">
        <f t="shared" si="28"/>
        <v>5.9999999999999995E-4</v>
      </c>
      <c r="AB200">
        <v>2.6334179999999998</v>
      </c>
      <c r="AC200">
        <v>2.7387547199999998</v>
      </c>
    </row>
    <row r="201" spans="1:29" x14ac:dyDescent="0.3">
      <c r="A201">
        <v>150679</v>
      </c>
      <c r="B201" s="25" t="s">
        <v>5984</v>
      </c>
      <c r="C201" t="s">
        <v>20</v>
      </c>
      <c r="D201" t="s">
        <v>21</v>
      </c>
      <c r="E201">
        <v>2222222</v>
      </c>
      <c r="F201" s="8" t="s">
        <v>22</v>
      </c>
      <c r="G201" s="2">
        <v>98</v>
      </c>
      <c r="H201" s="2" t="s">
        <v>3835</v>
      </c>
      <c r="I201" s="2" t="s">
        <v>4532</v>
      </c>
      <c r="J201" s="9" t="s">
        <v>4891</v>
      </c>
      <c r="K201" s="2" t="s">
        <v>4942</v>
      </c>
      <c r="L201" s="2">
        <v>1</v>
      </c>
      <c r="M201" s="24" t="s">
        <v>5971</v>
      </c>
      <c r="N201" s="2" t="s">
        <v>23</v>
      </c>
      <c r="O201" s="3" t="s">
        <v>193</v>
      </c>
      <c r="P201" s="18" t="s">
        <v>3781</v>
      </c>
      <c r="Q201" s="6" t="s">
        <v>4475</v>
      </c>
      <c r="T201" s="23">
        <v>46108</v>
      </c>
      <c r="U201" s="23">
        <v>47203</v>
      </c>
      <c r="X201" s="20">
        <v>4000</v>
      </c>
      <c r="Z201" s="6" t="s">
        <v>5978</v>
      </c>
      <c r="AA201" s="14">
        <f t="shared" si="28"/>
        <v>5.9999999999999995E-4</v>
      </c>
      <c r="AB201">
        <v>2.1892619999999998</v>
      </c>
      <c r="AC201">
        <v>2.2768324799999999</v>
      </c>
    </row>
    <row r="202" spans="1:29" x14ac:dyDescent="0.3">
      <c r="A202">
        <v>151560</v>
      </c>
      <c r="B202" s="25" t="s">
        <v>5984</v>
      </c>
      <c r="C202" t="s">
        <v>20</v>
      </c>
      <c r="D202" t="s">
        <v>21</v>
      </c>
      <c r="E202">
        <v>2222222</v>
      </c>
      <c r="F202" s="8" t="s">
        <v>22</v>
      </c>
      <c r="G202" s="2">
        <v>98</v>
      </c>
      <c r="H202" s="2" t="s">
        <v>3835</v>
      </c>
      <c r="I202" s="2" t="s">
        <v>4751</v>
      </c>
      <c r="J202" s="9" t="s">
        <v>5021</v>
      </c>
      <c r="K202" s="2" t="s">
        <v>4926</v>
      </c>
      <c r="L202" s="2">
        <v>1</v>
      </c>
      <c r="M202" s="24" t="s">
        <v>5971</v>
      </c>
      <c r="N202" s="2" t="s">
        <v>23</v>
      </c>
      <c r="O202" s="3" t="s">
        <v>194</v>
      </c>
      <c r="P202" s="18" t="s">
        <v>3781</v>
      </c>
      <c r="Q202" s="6" t="s">
        <v>4475</v>
      </c>
      <c r="T202" s="23">
        <v>46172</v>
      </c>
      <c r="U202" s="23">
        <v>47267</v>
      </c>
      <c r="X202" s="20">
        <v>4340</v>
      </c>
      <c r="Z202" s="6" t="s">
        <v>5978</v>
      </c>
      <c r="AA202" s="14">
        <f t="shared" si="28"/>
        <v>5.9999999999999995E-4</v>
      </c>
      <c r="AB202">
        <v>2.6039999999999996</v>
      </c>
      <c r="AC202">
        <v>2.7081599999999999</v>
      </c>
    </row>
    <row r="203" spans="1:29" x14ac:dyDescent="0.3">
      <c r="A203">
        <v>134603</v>
      </c>
      <c r="B203" s="25" t="s">
        <v>5984</v>
      </c>
      <c r="C203" t="s">
        <v>20</v>
      </c>
      <c r="D203" t="s">
        <v>21</v>
      </c>
      <c r="E203">
        <v>2222222</v>
      </c>
      <c r="F203" s="8" t="s">
        <v>22</v>
      </c>
      <c r="G203" s="2">
        <v>98</v>
      </c>
      <c r="H203" s="2" t="s">
        <v>3836</v>
      </c>
      <c r="I203" s="2" t="s">
        <v>3975</v>
      </c>
      <c r="J203" s="9" t="s">
        <v>4903</v>
      </c>
      <c r="K203" s="2" t="s">
        <v>5025</v>
      </c>
      <c r="L203" s="2">
        <v>1</v>
      </c>
      <c r="M203" s="24" t="s">
        <v>5971</v>
      </c>
      <c r="N203" s="2" t="s">
        <v>23</v>
      </c>
      <c r="O203" s="3" t="s">
        <v>195</v>
      </c>
      <c r="P203" s="18" t="s">
        <v>3781</v>
      </c>
      <c r="Q203" s="6" t="s">
        <v>4475</v>
      </c>
      <c r="T203" s="23">
        <v>45065</v>
      </c>
      <c r="U203" s="23">
        <v>46525</v>
      </c>
      <c r="X203" s="20">
        <v>5000</v>
      </c>
      <c r="Z203" s="6" t="s">
        <v>5978</v>
      </c>
      <c r="AA203" s="13">
        <f t="shared" ref="AA203:AA204" si="29">+(0.56/1000)</f>
        <v>5.6000000000000006E-4</v>
      </c>
      <c r="AB203">
        <v>0.91258159999999999</v>
      </c>
      <c r="AC203">
        <v>0.94908486400000003</v>
      </c>
    </row>
    <row r="204" spans="1:29" x14ac:dyDescent="0.3">
      <c r="A204">
        <v>148543</v>
      </c>
      <c r="B204" s="25" t="s">
        <v>5984</v>
      </c>
      <c r="C204" t="s">
        <v>20</v>
      </c>
      <c r="D204" t="s">
        <v>21</v>
      </c>
      <c r="E204">
        <v>2222222</v>
      </c>
      <c r="F204" s="8" t="s">
        <v>22</v>
      </c>
      <c r="G204" s="2">
        <v>98</v>
      </c>
      <c r="H204" s="2" t="s">
        <v>3837</v>
      </c>
      <c r="I204" s="2" t="s">
        <v>4552</v>
      </c>
      <c r="J204" s="9" t="s">
        <v>5034</v>
      </c>
      <c r="K204" s="2" t="s">
        <v>5035</v>
      </c>
      <c r="L204" s="2">
        <v>1</v>
      </c>
      <c r="M204" s="24" t="s">
        <v>5971</v>
      </c>
      <c r="N204" s="2" t="s">
        <v>23</v>
      </c>
      <c r="O204" s="3" t="s">
        <v>196</v>
      </c>
      <c r="P204" s="18" t="s">
        <v>0</v>
      </c>
      <c r="Q204" s="6" t="s">
        <v>4475</v>
      </c>
      <c r="T204" s="23">
        <v>45191</v>
      </c>
      <c r="U204" s="23">
        <v>47380</v>
      </c>
      <c r="X204" s="20">
        <v>6900</v>
      </c>
      <c r="Z204" s="6" t="s">
        <v>5978</v>
      </c>
      <c r="AA204" s="13">
        <f t="shared" si="29"/>
        <v>5.6000000000000006E-4</v>
      </c>
      <c r="AB204">
        <v>2.4878896000000004</v>
      </c>
      <c r="AC204">
        <v>2.5874051840000005</v>
      </c>
    </row>
    <row r="205" spans="1:29" x14ac:dyDescent="0.3">
      <c r="A205">
        <v>149628</v>
      </c>
      <c r="B205" s="25" t="s">
        <v>5984</v>
      </c>
      <c r="C205" t="s">
        <v>20</v>
      </c>
      <c r="D205" t="s">
        <v>21</v>
      </c>
      <c r="E205">
        <v>2222222</v>
      </c>
      <c r="F205" s="8" t="s">
        <v>22</v>
      </c>
      <c r="G205" s="2">
        <v>98</v>
      </c>
      <c r="H205" s="2" t="s">
        <v>3837</v>
      </c>
      <c r="I205" s="2" t="s">
        <v>4282</v>
      </c>
      <c r="J205" s="9" t="s">
        <v>5036</v>
      </c>
      <c r="K205" s="2" t="s">
        <v>5037</v>
      </c>
      <c r="L205" s="2">
        <v>1</v>
      </c>
      <c r="M205" s="24" t="s">
        <v>5971</v>
      </c>
      <c r="N205" s="2" t="s">
        <v>23</v>
      </c>
      <c r="O205" s="3" t="s">
        <v>197</v>
      </c>
      <c r="P205" s="18" t="s">
        <v>0</v>
      </c>
      <c r="Q205" s="6" t="s">
        <v>4475</v>
      </c>
      <c r="T205" s="23">
        <v>46037</v>
      </c>
      <c r="U205" s="23">
        <v>47132</v>
      </c>
      <c r="X205" s="20">
        <v>5000</v>
      </c>
      <c r="Z205" s="6" t="s">
        <v>5978</v>
      </c>
      <c r="AA205" s="14">
        <f t="shared" ref="AA205:AA206" si="30">+(0.6/1000)</f>
        <v>5.9999999999999995E-4</v>
      </c>
      <c r="AB205">
        <v>2.6021100000000001</v>
      </c>
      <c r="AC205">
        <v>2.7061944000000002</v>
      </c>
    </row>
    <row r="206" spans="1:29" x14ac:dyDescent="0.3">
      <c r="A206">
        <v>151121</v>
      </c>
      <c r="B206" s="25" t="s">
        <v>5984</v>
      </c>
      <c r="C206" t="s">
        <v>20</v>
      </c>
      <c r="D206" t="s">
        <v>21</v>
      </c>
      <c r="E206">
        <v>2222222</v>
      </c>
      <c r="F206" s="8" t="s">
        <v>22</v>
      </c>
      <c r="G206" s="2">
        <v>98</v>
      </c>
      <c r="H206" s="2" t="s">
        <v>3838</v>
      </c>
      <c r="I206" s="2" t="s">
        <v>4462</v>
      </c>
      <c r="J206" s="2" t="s">
        <v>5038</v>
      </c>
      <c r="K206" s="2" t="s">
        <v>5039</v>
      </c>
      <c r="L206" s="2">
        <v>1</v>
      </c>
      <c r="M206" s="24" t="s">
        <v>5971</v>
      </c>
      <c r="N206" s="2" t="s">
        <v>23</v>
      </c>
      <c r="O206" s="3" t="s">
        <v>198</v>
      </c>
      <c r="P206" s="18" t="s">
        <v>3781</v>
      </c>
      <c r="Q206" s="6" t="s">
        <v>4475</v>
      </c>
      <c r="T206" s="23">
        <v>46140</v>
      </c>
      <c r="U206" s="23">
        <v>46874</v>
      </c>
      <c r="X206" s="20">
        <v>2070</v>
      </c>
      <c r="Z206" s="6" t="s">
        <v>5978</v>
      </c>
      <c r="AA206" s="14">
        <f t="shared" si="30"/>
        <v>5.9999999999999995E-4</v>
      </c>
      <c r="AB206">
        <v>1.1980499999999998</v>
      </c>
      <c r="AC206">
        <v>1.2459719999999999</v>
      </c>
    </row>
    <row r="207" spans="1:29" x14ac:dyDescent="0.3">
      <c r="A207">
        <v>121130</v>
      </c>
      <c r="B207" s="25" t="s">
        <v>5984</v>
      </c>
      <c r="C207" t="s">
        <v>20</v>
      </c>
      <c r="D207" t="s">
        <v>21</v>
      </c>
      <c r="E207">
        <v>2222222</v>
      </c>
      <c r="F207" s="8" t="s">
        <v>22</v>
      </c>
      <c r="G207" s="2">
        <v>98</v>
      </c>
      <c r="H207" s="2" t="s">
        <v>3839</v>
      </c>
      <c r="I207" s="2" t="s">
        <v>4543</v>
      </c>
      <c r="J207" s="9" t="s">
        <v>4846</v>
      </c>
      <c r="K207" s="2" t="s">
        <v>5040</v>
      </c>
      <c r="L207" s="2">
        <v>1</v>
      </c>
      <c r="M207" s="24" t="s">
        <v>5971</v>
      </c>
      <c r="N207" s="2" t="s">
        <v>23</v>
      </c>
      <c r="O207" s="3" t="s">
        <v>199</v>
      </c>
      <c r="P207" s="18" t="s">
        <v>0</v>
      </c>
      <c r="Q207" s="6" t="s">
        <v>4475</v>
      </c>
      <c r="T207" s="23">
        <v>44354</v>
      </c>
      <c r="U207" s="23">
        <v>46637</v>
      </c>
      <c r="X207" s="20">
        <v>66305</v>
      </c>
      <c r="Z207" s="6" t="s">
        <v>5978</v>
      </c>
      <c r="AA207" s="15">
        <f>+(0.42/1000)</f>
        <v>4.1999999999999996E-4</v>
      </c>
      <c r="AB207">
        <v>4.6892537999999995</v>
      </c>
      <c r="AC207">
        <v>4.8768239519999996</v>
      </c>
    </row>
    <row r="208" spans="1:29" x14ac:dyDescent="0.3">
      <c r="A208">
        <v>135988</v>
      </c>
      <c r="B208" s="25" t="s">
        <v>5984</v>
      </c>
      <c r="C208" t="s">
        <v>20</v>
      </c>
      <c r="D208" t="s">
        <v>21</v>
      </c>
      <c r="E208">
        <v>2222222</v>
      </c>
      <c r="F208" s="8" t="s">
        <v>22</v>
      </c>
      <c r="G208" s="2">
        <v>98</v>
      </c>
      <c r="H208" s="2" t="s">
        <v>3839</v>
      </c>
      <c r="I208" s="2" t="s">
        <v>4194</v>
      </c>
      <c r="J208" s="9" t="s">
        <v>4827</v>
      </c>
      <c r="K208" s="2" t="s">
        <v>4964</v>
      </c>
      <c r="L208" s="2">
        <v>1</v>
      </c>
      <c r="M208" s="24" t="s">
        <v>5971</v>
      </c>
      <c r="N208" s="2" t="s">
        <v>23</v>
      </c>
      <c r="O208" s="3" t="s">
        <v>200</v>
      </c>
      <c r="P208" s="18" t="s">
        <v>0</v>
      </c>
      <c r="Q208" s="6" t="s">
        <v>4475</v>
      </c>
      <c r="T208" s="23">
        <v>45146</v>
      </c>
      <c r="U208" s="23">
        <v>46606</v>
      </c>
      <c r="X208" s="20">
        <v>5000</v>
      </c>
      <c r="Z208" s="6" t="s">
        <v>5978</v>
      </c>
      <c r="AA208" s="13">
        <f>+(0.56/1000)</f>
        <v>5.6000000000000006E-4</v>
      </c>
      <c r="AB208">
        <v>0.97932800000000009</v>
      </c>
      <c r="AC208">
        <v>1.01850112</v>
      </c>
    </row>
    <row r="209" spans="1:29" x14ac:dyDescent="0.3">
      <c r="A209">
        <v>141801</v>
      </c>
      <c r="B209" s="25" t="s">
        <v>5984</v>
      </c>
      <c r="C209" t="s">
        <v>20</v>
      </c>
      <c r="D209" t="s">
        <v>21</v>
      </c>
      <c r="E209">
        <v>2222222</v>
      </c>
      <c r="F209" s="8" t="s">
        <v>22</v>
      </c>
      <c r="G209" s="2">
        <v>98</v>
      </c>
      <c r="H209" s="2" t="s">
        <v>3839</v>
      </c>
      <c r="I209" s="2" t="s">
        <v>4752</v>
      </c>
      <c r="J209" s="9" t="s">
        <v>4935</v>
      </c>
      <c r="K209" s="2" t="s">
        <v>4949</v>
      </c>
      <c r="L209" s="2">
        <v>1</v>
      </c>
      <c r="M209" s="24" t="s">
        <v>5971</v>
      </c>
      <c r="N209" s="2" t="s">
        <v>23</v>
      </c>
      <c r="O209" s="3" t="s">
        <v>173</v>
      </c>
      <c r="P209" s="18" t="s">
        <v>0</v>
      </c>
      <c r="Q209" s="6" t="s">
        <v>4475</v>
      </c>
      <c r="T209" s="23">
        <v>45489</v>
      </c>
      <c r="U209" s="23">
        <v>46583</v>
      </c>
      <c r="X209" s="20">
        <v>40000</v>
      </c>
      <c r="Z209" s="6" t="s">
        <v>5978</v>
      </c>
      <c r="AA209" s="14">
        <f t="shared" ref="AA209:AA231" si="31">+(0.6/1000)</f>
        <v>5.9999999999999995E-4</v>
      </c>
      <c r="AB209">
        <v>9.3937259999999991</v>
      </c>
      <c r="AC209">
        <v>9.7694750399999997</v>
      </c>
    </row>
    <row r="210" spans="1:29" x14ac:dyDescent="0.3">
      <c r="A210">
        <v>142418</v>
      </c>
      <c r="B210" s="25" t="s">
        <v>5984</v>
      </c>
      <c r="C210" t="s">
        <v>20</v>
      </c>
      <c r="D210" t="s">
        <v>21</v>
      </c>
      <c r="E210">
        <v>2222222</v>
      </c>
      <c r="F210" s="8" t="s">
        <v>22</v>
      </c>
      <c r="G210" s="2">
        <v>98</v>
      </c>
      <c r="H210" s="2" t="s">
        <v>3839</v>
      </c>
      <c r="I210" s="2" t="s">
        <v>4636</v>
      </c>
      <c r="J210" s="9" t="s">
        <v>5041</v>
      </c>
      <c r="K210" s="2" t="s">
        <v>4966</v>
      </c>
      <c r="L210" s="2">
        <v>1</v>
      </c>
      <c r="M210" s="24" t="s">
        <v>5971</v>
      </c>
      <c r="N210" s="2" t="s">
        <v>23</v>
      </c>
      <c r="O210" s="3" t="s">
        <v>201</v>
      </c>
      <c r="P210" s="18" t="s">
        <v>0</v>
      </c>
      <c r="Q210" s="6" t="s">
        <v>4475</v>
      </c>
      <c r="T210" s="23">
        <v>45520</v>
      </c>
      <c r="U210" s="23">
        <v>48168</v>
      </c>
      <c r="X210" s="20">
        <v>11150</v>
      </c>
      <c r="Z210" s="6" t="s">
        <v>5978</v>
      </c>
      <c r="AA210" s="14">
        <f t="shared" si="31"/>
        <v>5.9999999999999995E-4</v>
      </c>
      <c r="AB210">
        <v>5.5998720000000004</v>
      </c>
      <c r="AC210">
        <v>5.8238668800000006</v>
      </c>
    </row>
    <row r="211" spans="1:29" x14ac:dyDescent="0.3">
      <c r="A211">
        <v>143077</v>
      </c>
      <c r="B211" s="25" t="s">
        <v>5984</v>
      </c>
      <c r="C211" t="s">
        <v>20</v>
      </c>
      <c r="D211" t="s">
        <v>21</v>
      </c>
      <c r="E211">
        <v>2222222</v>
      </c>
      <c r="F211" s="8" t="s">
        <v>22</v>
      </c>
      <c r="G211" s="2">
        <v>98</v>
      </c>
      <c r="H211" s="2" t="s">
        <v>3839</v>
      </c>
      <c r="I211" s="2" t="s">
        <v>4543</v>
      </c>
      <c r="J211" s="9" t="s">
        <v>4846</v>
      </c>
      <c r="K211" s="2" t="s">
        <v>5040</v>
      </c>
      <c r="L211" s="2">
        <v>1</v>
      </c>
      <c r="M211" s="24" t="s">
        <v>5971</v>
      </c>
      <c r="N211" s="2" t="s">
        <v>23</v>
      </c>
      <c r="O211" s="3" t="s">
        <v>199</v>
      </c>
      <c r="P211" s="18" t="s">
        <v>0</v>
      </c>
      <c r="Q211" s="6" t="s">
        <v>4475</v>
      </c>
      <c r="T211" s="23">
        <v>45565</v>
      </c>
      <c r="U211" s="23">
        <v>47026</v>
      </c>
      <c r="X211" s="20">
        <v>4500</v>
      </c>
      <c r="Z211" s="6" t="s">
        <v>5978</v>
      </c>
      <c r="AA211" s="14">
        <f t="shared" si="31"/>
        <v>5.9999999999999995E-4</v>
      </c>
      <c r="AB211">
        <v>1.9670339999999997</v>
      </c>
      <c r="AC211">
        <v>2.04571536</v>
      </c>
    </row>
    <row r="212" spans="1:29" x14ac:dyDescent="0.3">
      <c r="A212">
        <v>145928</v>
      </c>
      <c r="B212" s="25" t="s">
        <v>5984</v>
      </c>
      <c r="C212" t="s">
        <v>20</v>
      </c>
      <c r="D212" t="s">
        <v>21</v>
      </c>
      <c r="E212">
        <v>2222222</v>
      </c>
      <c r="F212" s="8" t="s">
        <v>22</v>
      </c>
      <c r="G212" s="2">
        <v>98</v>
      </c>
      <c r="H212" s="2" t="s">
        <v>3839</v>
      </c>
      <c r="I212" s="2" t="s">
        <v>4543</v>
      </c>
      <c r="J212" s="9" t="s">
        <v>4846</v>
      </c>
      <c r="K212" s="2" t="s">
        <v>5040</v>
      </c>
      <c r="L212" s="2">
        <v>1</v>
      </c>
      <c r="M212" s="24" t="s">
        <v>5971</v>
      </c>
      <c r="N212" s="2" t="s">
        <v>23</v>
      </c>
      <c r="O212" s="3" t="s">
        <v>199</v>
      </c>
      <c r="P212" s="18" t="s">
        <v>0</v>
      </c>
      <c r="Q212" s="6" t="s">
        <v>4475</v>
      </c>
      <c r="T212" s="23">
        <v>45776</v>
      </c>
      <c r="U212" s="23">
        <v>46015</v>
      </c>
      <c r="X212" s="20">
        <v>1000</v>
      </c>
      <c r="Z212" s="6" t="s">
        <v>5978</v>
      </c>
      <c r="AA212" s="14">
        <f t="shared" si="31"/>
        <v>5.9999999999999995E-4</v>
      </c>
      <c r="AB212">
        <v>0.6</v>
      </c>
      <c r="AC212">
        <v>0.624</v>
      </c>
    </row>
    <row r="213" spans="1:29" x14ac:dyDescent="0.3">
      <c r="A213">
        <v>145931</v>
      </c>
      <c r="B213" s="25" t="s">
        <v>5984</v>
      </c>
      <c r="C213" t="s">
        <v>20</v>
      </c>
      <c r="D213" t="s">
        <v>21</v>
      </c>
      <c r="E213">
        <v>2222222</v>
      </c>
      <c r="F213" s="8" t="s">
        <v>22</v>
      </c>
      <c r="G213" s="2">
        <v>98</v>
      </c>
      <c r="H213" s="2" t="s">
        <v>3839</v>
      </c>
      <c r="I213" s="2" t="s">
        <v>4543</v>
      </c>
      <c r="J213" s="9" t="s">
        <v>4846</v>
      </c>
      <c r="K213" s="2" t="s">
        <v>5040</v>
      </c>
      <c r="L213" s="2">
        <v>1</v>
      </c>
      <c r="M213" s="24" t="s">
        <v>5971</v>
      </c>
      <c r="N213" s="2" t="s">
        <v>23</v>
      </c>
      <c r="O213" s="3" t="s">
        <v>199</v>
      </c>
      <c r="P213" s="18" t="s">
        <v>0</v>
      </c>
      <c r="Q213" s="6" t="s">
        <v>4475</v>
      </c>
      <c r="T213" s="23">
        <v>45776</v>
      </c>
      <c r="U213" s="23">
        <v>46122</v>
      </c>
      <c r="X213" s="20">
        <v>1000</v>
      </c>
      <c r="Z213" s="6" t="s">
        <v>5978</v>
      </c>
      <c r="AA213" s="14">
        <f t="shared" si="31"/>
        <v>5.9999999999999995E-4</v>
      </c>
      <c r="AB213">
        <v>9.9635999999999988E-2</v>
      </c>
      <c r="AC213">
        <v>0.10362144</v>
      </c>
    </row>
    <row r="214" spans="1:29" x14ac:dyDescent="0.3">
      <c r="A214">
        <v>146357</v>
      </c>
      <c r="B214" s="25" t="s">
        <v>5984</v>
      </c>
      <c r="C214" t="s">
        <v>20</v>
      </c>
      <c r="D214" t="s">
        <v>21</v>
      </c>
      <c r="E214">
        <v>2222222</v>
      </c>
      <c r="F214" s="8" t="s">
        <v>22</v>
      </c>
      <c r="G214" s="2">
        <v>98</v>
      </c>
      <c r="H214" s="2" t="s">
        <v>3839</v>
      </c>
      <c r="I214" s="2" t="s">
        <v>4173</v>
      </c>
      <c r="J214" s="9" t="s">
        <v>4836</v>
      </c>
      <c r="K214" s="2" t="s">
        <v>5042</v>
      </c>
      <c r="L214" s="2">
        <v>1</v>
      </c>
      <c r="M214" s="24" t="s">
        <v>5971</v>
      </c>
      <c r="N214" s="2" t="s">
        <v>23</v>
      </c>
      <c r="O214" s="3" t="s">
        <v>202</v>
      </c>
      <c r="P214" s="18" t="s">
        <v>3781</v>
      </c>
      <c r="Q214" s="6" t="s">
        <v>4475</v>
      </c>
      <c r="T214" s="23">
        <v>45811</v>
      </c>
      <c r="U214" s="23">
        <v>47272</v>
      </c>
      <c r="X214" s="20">
        <v>4500</v>
      </c>
      <c r="Z214" s="6" t="s">
        <v>5978</v>
      </c>
      <c r="AA214" s="14">
        <f t="shared" si="31"/>
        <v>5.9999999999999995E-4</v>
      </c>
      <c r="AB214">
        <v>2.1493739999999999</v>
      </c>
      <c r="AC214">
        <v>2.2353489600000001</v>
      </c>
    </row>
    <row r="215" spans="1:29" x14ac:dyDescent="0.3">
      <c r="A215">
        <v>146452</v>
      </c>
      <c r="B215" s="25" t="s">
        <v>5984</v>
      </c>
      <c r="C215" t="s">
        <v>20</v>
      </c>
      <c r="D215" t="s">
        <v>21</v>
      </c>
      <c r="E215">
        <v>2222222</v>
      </c>
      <c r="F215" s="8" t="s">
        <v>22</v>
      </c>
      <c r="G215" s="2">
        <v>98</v>
      </c>
      <c r="H215" s="2" t="s">
        <v>3839</v>
      </c>
      <c r="I215" s="2" t="s">
        <v>4020</v>
      </c>
      <c r="J215" s="9" t="s">
        <v>5043</v>
      </c>
      <c r="K215" s="2" t="s">
        <v>4935</v>
      </c>
      <c r="L215" s="2">
        <v>1</v>
      </c>
      <c r="M215" s="24" t="s">
        <v>5971</v>
      </c>
      <c r="N215" s="2" t="s">
        <v>23</v>
      </c>
      <c r="O215" s="3" t="s">
        <v>203</v>
      </c>
      <c r="P215" s="18" t="s">
        <v>0</v>
      </c>
      <c r="Q215" s="6" t="s">
        <v>4475</v>
      </c>
      <c r="T215" s="23">
        <v>45818</v>
      </c>
      <c r="U215" s="23">
        <v>47279</v>
      </c>
      <c r="X215" s="20">
        <v>5000</v>
      </c>
      <c r="Z215" s="6" t="s">
        <v>5978</v>
      </c>
      <c r="AA215" s="14">
        <f t="shared" si="31"/>
        <v>5.9999999999999995E-4</v>
      </c>
      <c r="AB215">
        <v>2.3882219999999998</v>
      </c>
      <c r="AC215">
        <v>2.4837508800000001</v>
      </c>
    </row>
    <row r="216" spans="1:29" x14ac:dyDescent="0.3">
      <c r="A216">
        <v>148270</v>
      </c>
      <c r="B216" s="25" t="s">
        <v>5984</v>
      </c>
      <c r="C216" t="s">
        <v>20</v>
      </c>
      <c r="D216" t="s">
        <v>21</v>
      </c>
      <c r="E216">
        <v>2222222</v>
      </c>
      <c r="F216" s="8" t="s">
        <v>22</v>
      </c>
      <c r="G216" s="2">
        <v>98</v>
      </c>
      <c r="H216" s="2" t="s">
        <v>3839</v>
      </c>
      <c r="I216" s="2" t="s">
        <v>4173</v>
      </c>
      <c r="J216" s="9" t="s">
        <v>4836</v>
      </c>
      <c r="K216" s="2" t="s">
        <v>5042</v>
      </c>
      <c r="L216" s="2">
        <v>1</v>
      </c>
      <c r="M216" s="24" t="s">
        <v>5971</v>
      </c>
      <c r="N216" s="2" t="s">
        <v>23</v>
      </c>
      <c r="O216" s="3" t="s">
        <v>202</v>
      </c>
      <c r="P216" s="18" t="s">
        <v>3781</v>
      </c>
      <c r="Q216" s="6" t="s">
        <v>4475</v>
      </c>
      <c r="T216" s="23">
        <v>45950</v>
      </c>
      <c r="U216" s="23">
        <v>46300</v>
      </c>
      <c r="X216" s="20">
        <v>20000</v>
      </c>
      <c r="Z216" s="6" t="s">
        <v>5978</v>
      </c>
      <c r="AA216" s="14">
        <f t="shared" si="31"/>
        <v>5.9999999999999995E-4</v>
      </c>
      <c r="AB216">
        <v>5.1890999999999998</v>
      </c>
      <c r="AC216">
        <v>5.3966640000000003</v>
      </c>
    </row>
    <row r="217" spans="1:29" x14ac:dyDescent="0.3">
      <c r="A217">
        <v>148604</v>
      </c>
      <c r="B217" s="25" t="s">
        <v>5984</v>
      </c>
      <c r="C217" t="s">
        <v>20</v>
      </c>
      <c r="D217" t="s">
        <v>21</v>
      </c>
      <c r="E217">
        <v>2222222</v>
      </c>
      <c r="F217" s="8" t="s">
        <v>22</v>
      </c>
      <c r="G217" s="2">
        <v>98</v>
      </c>
      <c r="H217" s="2" t="s">
        <v>3839</v>
      </c>
      <c r="I217" s="2" t="s">
        <v>4173</v>
      </c>
      <c r="J217" s="9" t="s">
        <v>4836</v>
      </c>
      <c r="K217" s="2" t="s">
        <v>5044</v>
      </c>
      <c r="L217" s="2">
        <v>1</v>
      </c>
      <c r="M217" s="24" t="s">
        <v>5971</v>
      </c>
      <c r="N217" s="2" t="s">
        <v>23</v>
      </c>
      <c r="O217" s="3" t="s">
        <v>204</v>
      </c>
      <c r="P217" s="18" t="s">
        <v>3781</v>
      </c>
      <c r="Q217" s="6" t="s">
        <v>4475</v>
      </c>
      <c r="T217" s="23">
        <v>45974</v>
      </c>
      <c r="U217" s="23">
        <v>48531</v>
      </c>
      <c r="X217" s="20">
        <v>30000</v>
      </c>
      <c r="Z217" s="6" t="s">
        <v>5978</v>
      </c>
      <c r="AA217" s="14">
        <f t="shared" si="31"/>
        <v>5.9999999999999995E-4</v>
      </c>
      <c r="AB217">
        <v>16.857431999999999</v>
      </c>
      <c r="AC217">
        <v>17.53172928</v>
      </c>
    </row>
    <row r="218" spans="1:29" x14ac:dyDescent="0.3">
      <c r="A218">
        <v>148816</v>
      </c>
      <c r="B218" s="25" t="s">
        <v>5984</v>
      </c>
      <c r="C218" t="s">
        <v>20</v>
      </c>
      <c r="D218" t="s">
        <v>21</v>
      </c>
      <c r="E218">
        <v>2222222</v>
      </c>
      <c r="F218" s="8" t="s">
        <v>22</v>
      </c>
      <c r="G218" s="2">
        <v>98</v>
      </c>
      <c r="H218" s="2" t="s">
        <v>3839</v>
      </c>
      <c r="I218" s="2" t="s">
        <v>4173</v>
      </c>
      <c r="J218" s="9" t="s">
        <v>4836</v>
      </c>
      <c r="K218" s="2" t="s">
        <v>5042</v>
      </c>
      <c r="L218" s="2">
        <v>1</v>
      </c>
      <c r="M218" s="24" t="s">
        <v>5971</v>
      </c>
      <c r="N218" s="2" t="s">
        <v>23</v>
      </c>
      <c r="O218" s="3" t="s">
        <v>202</v>
      </c>
      <c r="P218" s="18" t="s">
        <v>3781</v>
      </c>
      <c r="Q218" s="6" t="s">
        <v>4475</v>
      </c>
      <c r="T218" s="23">
        <v>45982</v>
      </c>
      <c r="U218" s="23">
        <v>47808</v>
      </c>
      <c r="X218" s="20">
        <v>10000</v>
      </c>
      <c r="Z218" s="6" t="s">
        <v>5978</v>
      </c>
      <c r="AA218" s="14">
        <f t="shared" si="31"/>
        <v>5.9999999999999995E-4</v>
      </c>
      <c r="AB218">
        <v>5.4194759999999986</v>
      </c>
      <c r="AC218">
        <v>5.6362550399999991</v>
      </c>
    </row>
    <row r="219" spans="1:29" x14ac:dyDescent="0.3">
      <c r="A219">
        <v>149632</v>
      </c>
      <c r="B219" s="25" t="s">
        <v>5984</v>
      </c>
      <c r="C219" t="s">
        <v>20</v>
      </c>
      <c r="D219" t="s">
        <v>21</v>
      </c>
      <c r="E219">
        <v>2222222</v>
      </c>
      <c r="F219" s="8" t="s">
        <v>22</v>
      </c>
      <c r="G219" s="2">
        <v>98</v>
      </c>
      <c r="H219" s="2" t="s">
        <v>3839</v>
      </c>
      <c r="I219" s="2" t="s">
        <v>4497</v>
      </c>
      <c r="J219" s="9" t="s">
        <v>5045</v>
      </c>
      <c r="K219" s="2" t="s">
        <v>5046</v>
      </c>
      <c r="L219" s="2">
        <v>1</v>
      </c>
      <c r="M219" s="24" t="s">
        <v>5971</v>
      </c>
      <c r="N219" s="2" t="s">
        <v>23</v>
      </c>
      <c r="O219" s="3" t="s">
        <v>205</v>
      </c>
      <c r="P219" s="18" t="s">
        <v>3781</v>
      </c>
      <c r="Q219" s="6" t="s">
        <v>4475</v>
      </c>
      <c r="T219" s="23">
        <v>46037</v>
      </c>
      <c r="U219" s="23">
        <v>46766</v>
      </c>
      <c r="X219" s="20">
        <v>2000</v>
      </c>
      <c r="Z219" s="6" t="s">
        <v>5978</v>
      </c>
      <c r="AA219" s="14">
        <f t="shared" si="31"/>
        <v>5.9999999999999995E-4</v>
      </c>
      <c r="AB219">
        <v>0.93588599999999988</v>
      </c>
      <c r="AC219">
        <v>0.97332143999999987</v>
      </c>
    </row>
    <row r="220" spans="1:29" x14ac:dyDescent="0.3">
      <c r="A220">
        <v>151351</v>
      </c>
      <c r="B220" s="25" t="s">
        <v>5984</v>
      </c>
      <c r="C220" t="s">
        <v>20</v>
      </c>
      <c r="D220" t="s">
        <v>21</v>
      </c>
      <c r="E220">
        <v>2222222</v>
      </c>
      <c r="F220" s="8" t="s">
        <v>22</v>
      </c>
      <c r="G220" s="2">
        <v>98</v>
      </c>
      <c r="H220" s="2" t="s">
        <v>3839</v>
      </c>
      <c r="I220" s="2" t="s">
        <v>4020</v>
      </c>
      <c r="J220" s="9" t="s">
        <v>5043</v>
      </c>
      <c r="K220" s="2" t="s">
        <v>4935</v>
      </c>
      <c r="L220" s="2">
        <v>1</v>
      </c>
      <c r="M220" s="24" t="s">
        <v>5971</v>
      </c>
      <c r="N220" s="2" t="s">
        <v>23</v>
      </c>
      <c r="O220" s="3" t="s">
        <v>203</v>
      </c>
      <c r="P220" s="18" t="s">
        <v>0</v>
      </c>
      <c r="Q220" s="6" t="s">
        <v>4475</v>
      </c>
      <c r="T220" s="23">
        <v>46157</v>
      </c>
      <c r="U220" s="23">
        <v>47252</v>
      </c>
      <c r="X220" s="20">
        <v>3380</v>
      </c>
      <c r="Z220" s="6" t="s">
        <v>5978</v>
      </c>
      <c r="AA220" s="14">
        <f t="shared" si="31"/>
        <v>5.9999999999999995E-4</v>
      </c>
      <c r="AB220">
        <v>1.9397579999999996</v>
      </c>
      <c r="AC220">
        <v>2.0173483199999995</v>
      </c>
    </row>
    <row r="221" spans="1:29" x14ac:dyDescent="0.3">
      <c r="A221">
        <v>151360</v>
      </c>
      <c r="B221" s="25" t="s">
        <v>5984</v>
      </c>
      <c r="C221" t="s">
        <v>20</v>
      </c>
      <c r="D221" t="s">
        <v>21</v>
      </c>
      <c r="E221">
        <v>2222222</v>
      </c>
      <c r="F221" s="8" t="s">
        <v>22</v>
      </c>
      <c r="G221" s="2">
        <v>98</v>
      </c>
      <c r="H221" s="2" t="s">
        <v>3839</v>
      </c>
      <c r="I221" s="2" t="s">
        <v>4173</v>
      </c>
      <c r="J221" s="9" t="s">
        <v>4836</v>
      </c>
      <c r="K221" s="2" t="s">
        <v>5042</v>
      </c>
      <c r="L221" s="2">
        <v>1</v>
      </c>
      <c r="M221" s="24" t="s">
        <v>5971</v>
      </c>
      <c r="N221" s="2" t="s">
        <v>23</v>
      </c>
      <c r="O221" s="3" t="s">
        <v>202</v>
      </c>
      <c r="P221" s="18" t="s">
        <v>3781</v>
      </c>
      <c r="Q221" s="6" t="s">
        <v>4475</v>
      </c>
      <c r="T221" s="23">
        <v>46160</v>
      </c>
      <c r="U221" s="23">
        <v>47620</v>
      </c>
      <c r="X221" s="20">
        <v>4140</v>
      </c>
      <c r="Z221" s="6" t="s">
        <v>5978</v>
      </c>
      <c r="AA221" s="14">
        <f t="shared" si="31"/>
        <v>5.9999999999999995E-4</v>
      </c>
      <c r="AB221">
        <v>2.4083819999999996</v>
      </c>
      <c r="AC221">
        <v>2.5047172799999995</v>
      </c>
    </row>
    <row r="222" spans="1:29" x14ac:dyDescent="0.3">
      <c r="A222">
        <v>151845</v>
      </c>
      <c r="B222" s="25" t="s">
        <v>5984</v>
      </c>
      <c r="C222" t="s">
        <v>20</v>
      </c>
      <c r="D222" t="s">
        <v>21</v>
      </c>
      <c r="E222">
        <v>2222222</v>
      </c>
      <c r="F222" s="8" t="s">
        <v>22</v>
      </c>
      <c r="G222" s="2">
        <v>98</v>
      </c>
      <c r="H222" s="2" t="s">
        <v>3839</v>
      </c>
      <c r="I222" s="2" t="s">
        <v>4173</v>
      </c>
      <c r="J222" s="9" t="s">
        <v>4836</v>
      </c>
      <c r="K222" s="2" t="s">
        <v>5042</v>
      </c>
      <c r="L222" s="2">
        <v>1</v>
      </c>
      <c r="M222" s="24" t="s">
        <v>5971</v>
      </c>
      <c r="N222" s="2" t="s">
        <v>23</v>
      </c>
      <c r="O222" s="3" t="s">
        <v>202</v>
      </c>
      <c r="P222" s="18" t="s">
        <v>3781</v>
      </c>
      <c r="Q222" s="6" t="s">
        <v>4475</v>
      </c>
      <c r="T222" s="23">
        <v>46191</v>
      </c>
      <c r="U222" s="23">
        <v>47287</v>
      </c>
      <c r="X222" s="20">
        <v>2070</v>
      </c>
      <c r="Z222" s="6" t="s">
        <v>5978</v>
      </c>
      <c r="AA222" s="14">
        <f t="shared" si="31"/>
        <v>5.9999999999999995E-4</v>
      </c>
      <c r="AB222">
        <v>1.215174</v>
      </c>
      <c r="AC222">
        <v>1.2637809600000001</v>
      </c>
    </row>
    <row r="223" spans="1:29" x14ac:dyDescent="0.3">
      <c r="A223">
        <v>152026</v>
      </c>
      <c r="B223" s="25" t="s">
        <v>5984</v>
      </c>
      <c r="C223" t="s">
        <v>20</v>
      </c>
      <c r="D223" t="s">
        <v>21</v>
      </c>
      <c r="E223">
        <v>2222222</v>
      </c>
      <c r="F223" s="8" t="s">
        <v>22</v>
      </c>
      <c r="G223" s="2">
        <v>98</v>
      </c>
      <c r="H223" s="2" t="s">
        <v>3839</v>
      </c>
      <c r="I223" s="2" t="s">
        <v>4636</v>
      </c>
      <c r="J223" s="9" t="s">
        <v>5041</v>
      </c>
      <c r="K223" s="2" t="s">
        <v>4966</v>
      </c>
      <c r="L223" s="2">
        <v>1</v>
      </c>
      <c r="M223" s="24" t="s">
        <v>5971</v>
      </c>
      <c r="N223" s="2" t="s">
        <v>23</v>
      </c>
      <c r="O223" s="3" t="s">
        <v>201</v>
      </c>
      <c r="P223" s="18" t="s">
        <v>0</v>
      </c>
      <c r="Q223" s="6" t="s">
        <v>4475</v>
      </c>
      <c r="T223" s="23">
        <v>46205</v>
      </c>
      <c r="U223" s="23">
        <v>46295</v>
      </c>
      <c r="X223" s="20">
        <v>1130</v>
      </c>
      <c r="Z223" s="6" t="s">
        <v>5978</v>
      </c>
      <c r="AA223" s="14">
        <f t="shared" si="31"/>
        <v>5.9999999999999995E-4</v>
      </c>
      <c r="AB223">
        <v>0.67799999999999994</v>
      </c>
      <c r="AC223">
        <v>0.70511999999999997</v>
      </c>
    </row>
    <row r="224" spans="1:29" x14ac:dyDescent="0.3">
      <c r="A224">
        <v>147254</v>
      </c>
      <c r="B224" s="25" t="s">
        <v>5984</v>
      </c>
      <c r="C224" t="s">
        <v>20</v>
      </c>
      <c r="D224" t="s">
        <v>21</v>
      </c>
      <c r="E224">
        <v>2222222</v>
      </c>
      <c r="F224" s="8" t="s">
        <v>22</v>
      </c>
      <c r="G224" s="2">
        <v>98</v>
      </c>
      <c r="H224" s="2" t="s">
        <v>3840</v>
      </c>
      <c r="I224" s="2" t="s">
        <v>4753</v>
      </c>
      <c r="J224" s="9" t="s">
        <v>5047</v>
      </c>
      <c r="K224" s="2" t="s">
        <v>4942</v>
      </c>
      <c r="L224" s="2">
        <v>1</v>
      </c>
      <c r="M224" s="24" t="s">
        <v>5971</v>
      </c>
      <c r="N224" s="2" t="s">
        <v>23</v>
      </c>
      <c r="O224" s="3" t="s">
        <v>206</v>
      </c>
      <c r="P224" s="18" t="s">
        <v>3781</v>
      </c>
      <c r="Q224" s="6" t="s">
        <v>4475</v>
      </c>
      <c r="T224" s="23">
        <v>45877</v>
      </c>
      <c r="U224" s="23">
        <v>46972</v>
      </c>
      <c r="X224" s="20">
        <v>5000</v>
      </c>
      <c r="Z224" s="6" t="s">
        <v>5978</v>
      </c>
      <c r="AA224" s="14">
        <f t="shared" si="31"/>
        <v>5.9999999999999995E-4</v>
      </c>
      <c r="AB224">
        <v>2.2470539999999999</v>
      </c>
      <c r="AC224">
        <v>2.33693616</v>
      </c>
    </row>
    <row r="225" spans="1:29" x14ac:dyDescent="0.3">
      <c r="A225">
        <v>150114</v>
      </c>
      <c r="B225" s="25" t="s">
        <v>5984</v>
      </c>
      <c r="C225" t="s">
        <v>20</v>
      </c>
      <c r="D225" t="s">
        <v>21</v>
      </c>
      <c r="E225">
        <v>2222222</v>
      </c>
      <c r="F225" s="8" t="s">
        <v>22</v>
      </c>
      <c r="G225" s="2">
        <v>98</v>
      </c>
      <c r="H225" s="2" t="s">
        <v>3840</v>
      </c>
      <c r="I225" s="2" t="s">
        <v>4258</v>
      </c>
      <c r="J225" s="9" t="s">
        <v>5048</v>
      </c>
      <c r="K225" s="2" t="s">
        <v>5974</v>
      </c>
      <c r="L225" s="2">
        <v>1</v>
      </c>
      <c r="M225" s="24" t="s">
        <v>5971</v>
      </c>
      <c r="N225" s="2" t="s">
        <v>23</v>
      </c>
      <c r="O225" s="3" t="s">
        <v>207</v>
      </c>
      <c r="P225" s="18" t="s">
        <v>3781</v>
      </c>
      <c r="Q225" s="6" t="s">
        <v>4475</v>
      </c>
      <c r="T225" s="23">
        <v>46072</v>
      </c>
      <c r="U225" s="23">
        <v>46406</v>
      </c>
      <c r="X225" s="20">
        <v>3000</v>
      </c>
      <c r="Z225" s="6" t="s">
        <v>5978</v>
      </c>
      <c r="AA225" s="14">
        <f t="shared" si="31"/>
        <v>5.9999999999999995E-4</v>
      </c>
      <c r="AB225">
        <v>1.7999999999999998</v>
      </c>
      <c r="AC225">
        <v>1.8719999999999999</v>
      </c>
    </row>
    <row r="226" spans="1:29" x14ac:dyDescent="0.3">
      <c r="A226">
        <v>150839</v>
      </c>
      <c r="B226" s="25" t="s">
        <v>5984</v>
      </c>
      <c r="C226" t="s">
        <v>20</v>
      </c>
      <c r="D226" t="s">
        <v>21</v>
      </c>
      <c r="E226">
        <v>2222222</v>
      </c>
      <c r="F226" s="8" t="s">
        <v>22</v>
      </c>
      <c r="G226" s="2">
        <v>98</v>
      </c>
      <c r="H226" s="2" t="s">
        <v>3840</v>
      </c>
      <c r="I226" s="2" t="s">
        <v>4258</v>
      </c>
      <c r="J226" s="9" t="s">
        <v>5048</v>
      </c>
      <c r="K226" s="2" t="s">
        <v>5974</v>
      </c>
      <c r="L226" s="2">
        <v>1</v>
      </c>
      <c r="M226" s="24" t="s">
        <v>5971</v>
      </c>
      <c r="N226" s="2" t="s">
        <v>23</v>
      </c>
      <c r="O226" s="3" t="s">
        <v>207</v>
      </c>
      <c r="P226" s="18" t="s">
        <v>3781</v>
      </c>
      <c r="Q226" s="6" t="s">
        <v>4475</v>
      </c>
      <c r="T226" s="23">
        <v>46120</v>
      </c>
      <c r="U226" s="23">
        <v>46406</v>
      </c>
      <c r="X226" s="20">
        <v>4000</v>
      </c>
      <c r="Z226" s="6" t="s">
        <v>5978</v>
      </c>
      <c r="AA226" s="14">
        <f t="shared" si="31"/>
        <v>5.9999999999999995E-4</v>
      </c>
      <c r="AB226">
        <v>2.4</v>
      </c>
      <c r="AC226">
        <v>2.496</v>
      </c>
    </row>
    <row r="227" spans="1:29" x14ac:dyDescent="0.3">
      <c r="A227">
        <v>151044</v>
      </c>
      <c r="B227" s="25" t="s">
        <v>5984</v>
      </c>
      <c r="C227" t="s">
        <v>20</v>
      </c>
      <c r="D227" t="s">
        <v>21</v>
      </c>
      <c r="E227">
        <v>2222222</v>
      </c>
      <c r="F227" s="8" t="s">
        <v>22</v>
      </c>
      <c r="G227" s="2">
        <v>98</v>
      </c>
      <c r="H227" s="2" t="s">
        <v>3840</v>
      </c>
      <c r="I227" s="2" t="s">
        <v>3926</v>
      </c>
      <c r="J227" s="9" t="s">
        <v>5041</v>
      </c>
      <c r="K227" s="2" t="s">
        <v>4870</v>
      </c>
      <c r="L227" s="2">
        <v>1</v>
      </c>
      <c r="M227" s="24" t="s">
        <v>5971</v>
      </c>
      <c r="N227" s="2" t="s">
        <v>23</v>
      </c>
      <c r="O227" s="3" t="s">
        <v>208</v>
      </c>
      <c r="P227" s="18" t="s">
        <v>0</v>
      </c>
      <c r="Q227" s="6" t="s">
        <v>4475</v>
      </c>
      <c r="T227" s="23">
        <v>46139</v>
      </c>
      <c r="U227" s="23">
        <v>49430</v>
      </c>
      <c r="X227" s="20">
        <v>16000</v>
      </c>
      <c r="Z227" s="6" t="s">
        <v>5978</v>
      </c>
      <c r="AA227" s="14">
        <f t="shared" si="31"/>
        <v>5.9999999999999995E-4</v>
      </c>
      <c r="AB227">
        <v>9.5163720000000005</v>
      </c>
      <c r="AC227">
        <v>9.8970268800000003</v>
      </c>
    </row>
    <row r="228" spans="1:29" x14ac:dyDescent="0.3">
      <c r="A228">
        <v>151115</v>
      </c>
      <c r="B228" s="25" t="s">
        <v>5984</v>
      </c>
      <c r="C228" t="s">
        <v>20</v>
      </c>
      <c r="D228" t="s">
        <v>21</v>
      </c>
      <c r="E228">
        <v>2222222</v>
      </c>
      <c r="F228" s="8" t="s">
        <v>22</v>
      </c>
      <c r="G228" s="2">
        <v>98</v>
      </c>
      <c r="H228" s="2" t="s">
        <v>3840</v>
      </c>
      <c r="I228" s="2" t="s">
        <v>4560</v>
      </c>
      <c r="J228" s="9" t="s">
        <v>4988</v>
      </c>
      <c r="K228" s="2" t="s">
        <v>4983</v>
      </c>
      <c r="L228" s="2">
        <v>1</v>
      </c>
      <c r="M228" s="24" t="s">
        <v>5971</v>
      </c>
      <c r="N228" s="2" t="s">
        <v>23</v>
      </c>
      <c r="O228" s="3" t="s">
        <v>209</v>
      </c>
      <c r="P228" s="18" t="s">
        <v>0</v>
      </c>
      <c r="Q228" s="6" t="s">
        <v>4475</v>
      </c>
      <c r="T228" s="23">
        <v>46153</v>
      </c>
      <c r="U228" s="23">
        <v>49805</v>
      </c>
      <c r="X228" s="20">
        <v>54000</v>
      </c>
      <c r="Z228" s="6" t="s">
        <v>5978</v>
      </c>
      <c r="AA228" s="14">
        <f t="shared" si="31"/>
        <v>5.9999999999999995E-4</v>
      </c>
      <c r="AB228">
        <v>32.110619999999997</v>
      </c>
      <c r="AC228">
        <v>33.395044800000001</v>
      </c>
    </row>
    <row r="229" spans="1:29" x14ac:dyDescent="0.3">
      <c r="A229">
        <v>151252</v>
      </c>
      <c r="B229" s="25" t="s">
        <v>5984</v>
      </c>
      <c r="C229" t="s">
        <v>20</v>
      </c>
      <c r="D229" t="s">
        <v>21</v>
      </c>
      <c r="E229">
        <v>2222222</v>
      </c>
      <c r="F229" s="8" t="s">
        <v>22</v>
      </c>
      <c r="G229" s="2">
        <v>98</v>
      </c>
      <c r="H229" s="2" t="s">
        <v>3840</v>
      </c>
      <c r="I229" s="2" t="s">
        <v>4258</v>
      </c>
      <c r="J229" s="9" t="s">
        <v>5048</v>
      </c>
      <c r="K229" s="2" t="s">
        <v>5974</v>
      </c>
      <c r="L229" s="2">
        <v>1</v>
      </c>
      <c r="M229" s="24" t="s">
        <v>5971</v>
      </c>
      <c r="N229" s="2" t="s">
        <v>23</v>
      </c>
      <c r="O229" s="3" t="s">
        <v>207</v>
      </c>
      <c r="P229" s="18" t="s">
        <v>3781</v>
      </c>
      <c r="Q229" s="6" t="s">
        <v>4475</v>
      </c>
      <c r="T229" s="23">
        <v>46150</v>
      </c>
      <c r="U229" s="23">
        <v>46406</v>
      </c>
      <c r="X229" s="20">
        <v>5000</v>
      </c>
      <c r="Z229" s="6" t="s">
        <v>5978</v>
      </c>
      <c r="AA229" s="14">
        <f t="shared" si="31"/>
        <v>5.9999999999999995E-4</v>
      </c>
      <c r="AB229">
        <v>2.9999999999999996</v>
      </c>
      <c r="AC229">
        <v>3.1199999999999997</v>
      </c>
    </row>
    <row r="230" spans="1:29" x14ac:dyDescent="0.3">
      <c r="A230">
        <v>151448</v>
      </c>
      <c r="B230" s="25" t="s">
        <v>5984</v>
      </c>
      <c r="C230" t="s">
        <v>20</v>
      </c>
      <c r="D230" t="s">
        <v>21</v>
      </c>
      <c r="E230">
        <v>2222222</v>
      </c>
      <c r="F230" s="8" t="s">
        <v>22</v>
      </c>
      <c r="G230" s="2">
        <v>98</v>
      </c>
      <c r="H230" s="2" t="s">
        <v>3840</v>
      </c>
      <c r="I230" s="2" t="s">
        <v>4258</v>
      </c>
      <c r="J230" s="9" t="s">
        <v>5048</v>
      </c>
      <c r="K230" s="2" t="s">
        <v>5974</v>
      </c>
      <c r="L230" s="2">
        <v>1</v>
      </c>
      <c r="M230" s="24" t="s">
        <v>5971</v>
      </c>
      <c r="N230" s="2" t="s">
        <v>23</v>
      </c>
      <c r="O230" s="3" t="s">
        <v>207</v>
      </c>
      <c r="P230" s="18" t="s">
        <v>3781</v>
      </c>
      <c r="Q230" s="6" t="s">
        <v>4475</v>
      </c>
      <c r="T230" s="23">
        <v>46164</v>
      </c>
      <c r="U230" s="23">
        <v>46406</v>
      </c>
      <c r="X230" s="20">
        <v>2600</v>
      </c>
      <c r="Z230" s="6" t="s">
        <v>5978</v>
      </c>
      <c r="AA230" s="14">
        <f t="shared" si="31"/>
        <v>5.9999999999999995E-4</v>
      </c>
      <c r="AB230">
        <v>1.5599999999999998</v>
      </c>
      <c r="AC230">
        <v>1.6223999999999998</v>
      </c>
    </row>
    <row r="231" spans="1:29" x14ac:dyDescent="0.3">
      <c r="A231">
        <v>151575</v>
      </c>
      <c r="B231" s="25" t="s">
        <v>5984</v>
      </c>
      <c r="C231" t="s">
        <v>20</v>
      </c>
      <c r="D231" t="s">
        <v>21</v>
      </c>
      <c r="E231">
        <v>2222222</v>
      </c>
      <c r="F231" s="8" t="s">
        <v>22</v>
      </c>
      <c r="G231" s="2">
        <v>98</v>
      </c>
      <c r="H231" s="2" t="s">
        <v>3840</v>
      </c>
      <c r="I231" s="2" t="s">
        <v>4258</v>
      </c>
      <c r="J231" s="9" t="s">
        <v>5048</v>
      </c>
      <c r="K231" s="2" t="s">
        <v>5974</v>
      </c>
      <c r="L231" s="2">
        <v>1</v>
      </c>
      <c r="M231" s="24" t="s">
        <v>5971</v>
      </c>
      <c r="N231" s="2" t="s">
        <v>23</v>
      </c>
      <c r="O231" s="3" t="s">
        <v>207</v>
      </c>
      <c r="P231" s="18" t="s">
        <v>3781</v>
      </c>
      <c r="Q231" s="6" t="s">
        <v>4475</v>
      </c>
      <c r="T231" s="23">
        <v>46174</v>
      </c>
      <c r="U231" s="23">
        <v>46406</v>
      </c>
      <c r="X231" s="20">
        <v>2040</v>
      </c>
      <c r="Z231" s="6" t="s">
        <v>5978</v>
      </c>
      <c r="AA231" s="14">
        <f t="shared" si="31"/>
        <v>5.9999999999999995E-4</v>
      </c>
      <c r="AB231">
        <v>1.224</v>
      </c>
      <c r="AC231">
        <v>1.2729600000000001</v>
      </c>
    </row>
    <row r="232" spans="1:29" x14ac:dyDescent="0.3">
      <c r="A232">
        <v>104463</v>
      </c>
      <c r="B232" s="25" t="s">
        <v>5984</v>
      </c>
      <c r="C232" t="s">
        <v>20</v>
      </c>
      <c r="D232" t="s">
        <v>21</v>
      </c>
      <c r="E232">
        <v>2222222</v>
      </c>
      <c r="F232" s="8" t="s">
        <v>22</v>
      </c>
      <c r="G232" s="2">
        <v>98</v>
      </c>
      <c r="H232" s="2" t="s">
        <v>3841</v>
      </c>
      <c r="I232" s="2" t="s">
        <v>4335</v>
      </c>
      <c r="J232" s="9" t="s">
        <v>5049</v>
      </c>
      <c r="K232" s="2" t="s">
        <v>4950</v>
      </c>
      <c r="L232" s="2">
        <v>1</v>
      </c>
      <c r="M232" s="24" t="s">
        <v>5971</v>
      </c>
      <c r="N232" s="2" t="s">
        <v>23</v>
      </c>
      <c r="O232" s="3" t="s">
        <v>210</v>
      </c>
      <c r="P232" s="18" t="s">
        <v>0</v>
      </c>
      <c r="Q232" s="6" t="s">
        <v>4475</v>
      </c>
      <c r="T232" s="23">
        <v>43593</v>
      </c>
      <c r="U232" s="23">
        <v>44688</v>
      </c>
      <c r="X232" s="20">
        <v>2000</v>
      </c>
      <c r="Z232" s="6" t="s">
        <v>5978</v>
      </c>
      <c r="AA232" s="15">
        <f>+(0.42/1000)</f>
        <v>4.1999999999999996E-4</v>
      </c>
      <c r="AB232">
        <v>0.82031880000000001</v>
      </c>
      <c r="AC232">
        <v>0.85313155200000002</v>
      </c>
    </row>
    <row r="233" spans="1:29" x14ac:dyDescent="0.3">
      <c r="A233">
        <v>138534</v>
      </c>
      <c r="B233" s="25" t="s">
        <v>5984</v>
      </c>
      <c r="C233" t="s">
        <v>20</v>
      </c>
      <c r="D233" t="s">
        <v>21</v>
      </c>
      <c r="E233">
        <v>2222222</v>
      </c>
      <c r="F233" s="8" t="s">
        <v>22</v>
      </c>
      <c r="G233" s="2">
        <v>98</v>
      </c>
      <c r="H233" s="2" t="s">
        <v>3842</v>
      </c>
      <c r="I233" s="2" t="s">
        <v>4397</v>
      </c>
      <c r="J233" s="9" t="s">
        <v>4836</v>
      </c>
      <c r="K233" s="2" t="s">
        <v>5050</v>
      </c>
      <c r="L233" s="2">
        <v>1</v>
      </c>
      <c r="M233" s="24" t="s">
        <v>5971</v>
      </c>
      <c r="N233" s="2" t="s">
        <v>23</v>
      </c>
      <c r="O233" s="3" t="s">
        <v>211</v>
      </c>
      <c r="P233" s="18" t="s">
        <v>3781</v>
      </c>
      <c r="Q233" s="6" t="s">
        <v>4475</v>
      </c>
      <c r="T233" s="23">
        <v>45289</v>
      </c>
      <c r="U233" s="23">
        <v>46906</v>
      </c>
      <c r="X233" s="20">
        <v>20000</v>
      </c>
      <c r="Z233" s="6" t="s">
        <v>5978</v>
      </c>
      <c r="AA233" s="13">
        <f t="shared" ref="AA233:AA234" si="32">+(0.56/1000)</f>
        <v>5.6000000000000006E-4</v>
      </c>
      <c r="AB233">
        <v>4.9808976000000005</v>
      </c>
      <c r="AC233">
        <v>5.1801335040000005</v>
      </c>
    </row>
    <row r="234" spans="1:29" x14ac:dyDescent="0.3">
      <c r="A234">
        <v>140661</v>
      </c>
      <c r="B234" s="25" t="s">
        <v>5984</v>
      </c>
      <c r="C234" t="s">
        <v>20</v>
      </c>
      <c r="D234" t="s">
        <v>21</v>
      </c>
      <c r="E234">
        <v>2222222</v>
      </c>
      <c r="F234" s="8" t="s">
        <v>22</v>
      </c>
      <c r="G234" s="2">
        <v>98</v>
      </c>
      <c r="H234" s="2" t="s">
        <v>3842</v>
      </c>
      <c r="I234" s="2" t="s">
        <v>4754</v>
      </c>
      <c r="J234" s="9" t="s">
        <v>5051</v>
      </c>
      <c r="K234" s="2" t="s">
        <v>4904</v>
      </c>
      <c r="L234" s="2">
        <v>1</v>
      </c>
      <c r="M234" s="24" t="s">
        <v>5971</v>
      </c>
      <c r="N234" s="2" t="s">
        <v>23</v>
      </c>
      <c r="O234" s="3" t="s">
        <v>212</v>
      </c>
      <c r="P234" s="18" t="s">
        <v>3781</v>
      </c>
      <c r="Q234" s="6" t="s">
        <v>4475</v>
      </c>
      <c r="T234" s="23">
        <v>45401</v>
      </c>
      <c r="U234" s="23">
        <v>46131</v>
      </c>
      <c r="X234" s="20">
        <v>3000</v>
      </c>
      <c r="Z234" s="6" t="s">
        <v>5978</v>
      </c>
      <c r="AA234" s="13">
        <f t="shared" si="32"/>
        <v>5.6000000000000006E-4</v>
      </c>
      <c r="AB234">
        <v>1.1866344</v>
      </c>
      <c r="AC234">
        <v>1.2340997760000001</v>
      </c>
    </row>
    <row r="235" spans="1:29" x14ac:dyDescent="0.3">
      <c r="A235">
        <v>141967</v>
      </c>
      <c r="B235" s="25" t="s">
        <v>5984</v>
      </c>
      <c r="C235" t="s">
        <v>20</v>
      </c>
      <c r="D235" t="s">
        <v>21</v>
      </c>
      <c r="E235">
        <v>2222222</v>
      </c>
      <c r="F235" s="8" t="s">
        <v>22</v>
      </c>
      <c r="G235" s="2">
        <v>98</v>
      </c>
      <c r="H235" s="2" t="s">
        <v>3842</v>
      </c>
      <c r="I235" s="2" t="s">
        <v>4473</v>
      </c>
      <c r="J235" s="9" t="s">
        <v>5052</v>
      </c>
      <c r="K235" s="2" t="s">
        <v>4844</v>
      </c>
      <c r="L235" s="2">
        <v>1</v>
      </c>
      <c r="M235" s="24" t="s">
        <v>5971</v>
      </c>
      <c r="N235" s="2" t="s">
        <v>23</v>
      </c>
      <c r="O235" s="3" t="s">
        <v>213</v>
      </c>
      <c r="P235" s="18" t="s">
        <v>0</v>
      </c>
      <c r="Q235" s="6" t="s">
        <v>4475</v>
      </c>
      <c r="T235" s="23">
        <v>45489</v>
      </c>
      <c r="U235" s="23">
        <v>47041</v>
      </c>
      <c r="X235" s="20">
        <v>5000</v>
      </c>
      <c r="Z235" s="6" t="s">
        <v>5978</v>
      </c>
      <c r="AA235" s="14">
        <f t="shared" ref="AA235:AA241" si="33">+(0.6/1000)</f>
        <v>5.9999999999999995E-4</v>
      </c>
      <c r="AB235">
        <v>1.9609079999999997</v>
      </c>
      <c r="AC235">
        <v>2.0393443199999997</v>
      </c>
    </row>
    <row r="236" spans="1:29" x14ac:dyDescent="0.3">
      <c r="A236">
        <v>143750</v>
      </c>
      <c r="B236" s="25" t="s">
        <v>5984</v>
      </c>
      <c r="C236" t="s">
        <v>20</v>
      </c>
      <c r="D236" t="s">
        <v>21</v>
      </c>
      <c r="E236">
        <v>2222222</v>
      </c>
      <c r="F236" s="8" t="s">
        <v>22</v>
      </c>
      <c r="G236" s="2">
        <v>98</v>
      </c>
      <c r="H236" s="2" t="s">
        <v>3842</v>
      </c>
      <c r="I236" s="2" t="s">
        <v>4477</v>
      </c>
      <c r="J236" s="9" t="s">
        <v>5053</v>
      </c>
      <c r="K236" s="2" t="s">
        <v>4966</v>
      </c>
      <c r="L236" s="2">
        <v>1</v>
      </c>
      <c r="M236" s="24" t="s">
        <v>5971</v>
      </c>
      <c r="N236" s="2" t="s">
        <v>23</v>
      </c>
      <c r="O236" s="3" t="s">
        <v>214</v>
      </c>
      <c r="P236" s="18" t="s">
        <v>0</v>
      </c>
      <c r="Q236" s="6" t="s">
        <v>4475</v>
      </c>
      <c r="T236" s="23">
        <v>45614</v>
      </c>
      <c r="U236" s="23">
        <v>47074</v>
      </c>
      <c r="X236" s="20">
        <v>5000</v>
      </c>
      <c r="Z236" s="6" t="s">
        <v>5978</v>
      </c>
      <c r="AA236" s="14">
        <f t="shared" si="33"/>
        <v>5.9999999999999995E-4</v>
      </c>
      <c r="AB236">
        <v>2.0021339999999999</v>
      </c>
      <c r="AC236">
        <v>2.0822193599999999</v>
      </c>
    </row>
    <row r="237" spans="1:29" x14ac:dyDescent="0.3">
      <c r="A237">
        <v>147826</v>
      </c>
      <c r="B237" s="25" t="s">
        <v>5984</v>
      </c>
      <c r="C237" t="s">
        <v>20</v>
      </c>
      <c r="D237" t="s">
        <v>21</v>
      </c>
      <c r="E237">
        <v>2222222</v>
      </c>
      <c r="F237" s="8" t="s">
        <v>22</v>
      </c>
      <c r="G237" s="2">
        <v>98</v>
      </c>
      <c r="H237" s="2" t="s">
        <v>3842</v>
      </c>
      <c r="I237" s="2" t="s">
        <v>4315</v>
      </c>
      <c r="J237" s="9" t="s">
        <v>4962</v>
      </c>
      <c r="K237" s="2" t="s">
        <v>5054</v>
      </c>
      <c r="L237" s="2">
        <v>1</v>
      </c>
      <c r="M237" s="24" t="s">
        <v>5971</v>
      </c>
      <c r="N237" s="2" t="s">
        <v>23</v>
      </c>
      <c r="O237" s="3" t="s">
        <v>215</v>
      </c>
      <c r="P237" s="18" t="s">
        <v>3781</v>
      </c>
      <c r="Q237" s="6" t="s">
        <v>4475</v>
      </c>
      <c r="T237" s="23">
        <v>45915</v>
      </c>
      <c r="U237" s="23">
        <v>46461</v>
      </c>
      <c r="X237" s="20">
        <v>3000</v>
      </c>
      <c r="Z237" s="6" t="s">
        <v>5978</v>
      </c>
      <c r="AA237" s="14">
        <f t="shared" si="33"/>
        <v>5.9999999999999995E-4</v>
      </c>
      <c r="AB237">
        <v>1.1443979999999998</v>
      </c>
      <c r="AC237">
        <v>1.1901739199999999</v>
      </c>
    </row>
    <row r="238" spans="1:29" x14ac:dyDescent="0.3">
      <c r="A238">
        <v>150262</v>
      </c>
      <c r="B238" s="25" t="s">
        <v>5984</v>
      </c>
      <c r="C238" t="s">
        <v>20</v>
      </c>
      <c r="D238" t="s">
        <v>21</v>
      </c>
      <c r="E238">
        <v>2222222</v>
      </c>
      <c r="F238" s="8" t="s">
        <v>22</v>
      </c>
      <c r="G238" s="2">
        <v>98</v>
      </c>
      <c r="H238" s="2" t="s">
        <v>3842</v>
      </c>
      <c r="I238" s="2" t="s">
        <v>4755</v>
      </c>
      <c r="J238" s="9" t="s">
        <v>5055</v>
      </c>
      <c r="K238" s="2" t="s">
        <v>5056</v>
      </c>
      <c r="L238" s="2">
        <v>1</v>
      </c>
      <c r="M238" s="24" t="s">
        <v>5971</v>
      </c>
      <c r="N238" s="2" t="s">
        <v>23</v>
      </c>
      <c r="O238" s="3" t="s">
        <v>216</v>
      </c>
      <c r="P238" s="18" t="s">
        <v>3781</v>
      </c>
      <c r="Q238" s="6" t="s">
        <v>4475</v>
      </c>
      <c r="T238" s="23">
        <v>46177</v>
      </c>
      <c r="U238" s="23">
        <v>53482</v>
      </c>
      <c r="X238" s="20">
        <v>153000</v>
      </c>
      <c r="Z238" s="6" t="s">
        <v>5978</v>
      </c>
      <c r="AA238" s="14">
        <f t="shared" si="33"/>
        <v>5.9999999999999995E-4</v>
      </c>
      <c r="AB238">
        <v>91.673531999999994</v>
      </c>
      <c r="AC238">
        <v>95.340473279999998</v>
      </c>
    </row>
    <row r="239" spans="1:29" x14ac:dyDescent="0.3">
      <c r="A239">
        <v>151256</v>
      </c>
      <c r="B239" s="25" t="s">
        <v>5984</v>
      </c>
      <c r="C239" t="s">
        <v>20</v>
      </c>
      <c r="D239" t="s">
        <v>21</v>
      </c>
      <c r="E239">
        <v>2222222</v>
      </c>
      <c r="F239" s="8" t="s">
        <v>22</v>
      </c>
      <c r="G239" s="2">
        <v>98</v>
      </c>
      <c r="H239" s="2" t="s">
        <v>3842</v>
      </c>
      <c r="I239" s="2" t="s">
        <v>4473</v>
      </c>
      <c r="J239" s="9" t="s">
        <v>4990</v>
      </c>
      <c r="K239" s="2" t="s">
        <v>5057</v>
      </c>
      <c r="L239" s="2">
        <v>1</v>
      </c>
      <c r="M239" s="24" t="s">
        <v>5971</v>
      </c>
      <c r="N239" s="2" t="s">
        <v>23</v>
      </c>
      <c r="O239" s="3" t="s">
        <v>217</v>
      </c>
      <c r="P239" s="18" t="s">
        <v>3781</v>
      </c>
      <c r="Q239" s="6" t="s">
        <v>4475</v>
      </c>
      <c r="T239" s="23">
        <v>46150</v>
      </c>
      <c r="U239" s="23">
        <v>46515</v>
      </c>
      <c r="X239" s="20">
        <v>300</v>
      </c>
      <c r="Z239" s="6" t="s">
        <v>5978</v>
      </c>
      <c r="AA239" s="14">
        <f t="shared" si="33"/>
        <v>5.9999999999999995E-4</v>
      </c>
      <c r="AB239">
        <v>0.15202199999999999</v>
      </c>
      <c r="AC239">
        <v>0.15810288</v>
      </c>
    </row>
    <row r="240" spans="1:29" x14ac:dyDescent="0.3">
      <c r="A240">
        <v>149258</v>
      </c>
      <c r="B240" s="25" t="s">
        <v>5984</v>
      </c>
      <c r="C240" t="s">
        <v>20</v>
      </c>
      <c r="D240" t="s">
        <v>21</v>
      </c>
      <c r="E240">
        <v>2222222</v>
      </c>
      <c r="F240" s="8" t="s">
        <v>22</v>
      </c>
      <c r="G240" s="2">
        <v>98</v>
      </c>
      <c r="H240" s="2" t="s">
        <v>3843</v>
      </c>
      <c r="I240" s="2" t="s">
        <v>4473</v>
      </c>
      <c r="J240" s="9" t="s">
        <v>4951</v>
      </c>
      <c r="K240" s="2" t="s">
        <v>4875</v>
      </c>
      <c r="L240" s="2">
        <v>1</v>
      </c>
      <c r="M240" s="24" t="s">
        <v>5971</v>
      </c>
      <c r="N240" s="2" t="s">
        <v>23</v>
      </c>
      <c r="O240" s="3" t="s">
        <v>218</v>
      </c>
      <c r="P240" s="18" t="s">
        <v>0</v>
      </c>
      <c r="Q240" s="6" t="s">
        <v>4475</v>
      </c>
      <c r="T240" s="23">
        <v>46008</v>
      </c>
      <c r="U240" s="23">
        <v>46738</v>
      </c>
      <c r="X240" s="20">
        <v>5000</v>
      </c>
      <c r="Z240" s="6" t="s">
        <v>5978</v>
      </c>
      <c r="AA240" s="14">
        <f t="shared" si="33"/>
        <v>5.9999999999999995E-4</v>
      </c>
      <c r="AB240">
        <v>2.2313699999999996</v>
      </c>
      <c r="AC240">
        <v>2.3206247999999996</v>
      </c>
    </row>
    <row r="241" spans="1:29" x14ac:dyDescent="0.3">
      <c r="A241">
        <v>152322</v>
      </c>
      <c r="B241" s="25" t="s">
        <v>5984</v>
      </c>
      <c r="C241" t="s">
        <v>20</v>
      </c>
      <c r="D241" t="s">
        <v>21</v>
      </c>
      <c r="E241">
        <v>2222222</v>
      </c>
      <c r="F241" s="8" t="s">
        <v>22</v>
      </c>
      <c r="G241" s="2">
        <v>98</v>
      </c>
      <c r="H241" s="2" t="s">
        <v>3843</v>
      </c>
      <c r="I241" s="2" t="s">
        <v>4246</v>
      </c>
      <c r="J241" s="9" t="s">
        <v>5058</v>
      </c>
      <c r="K241" s="2" t="s">
        <v>4961</v>
      </c>
      <c r="L241" s="2">
        <v>1</v>
      </c>
      <c r="M241" s="24" t="s">
        <v>5971</v>
      </c>
      <c r="N241" s="2" t="s">
        <v>23</v>
      </c>
      <c r="O241" s="3" t="s">
        <v>219</v>
      </c>
      <c r="P241" s="18" t="s">
        <v>0</v>
      </c>
      <c r="Q241" s="6" t="s">
        <v>4475</v>
      </c>
      <c r="T241" s="23">
        <v>46229</v>
      </c>
      <c r="U241" s="23">
        <v>46319</v>
      </c>
      <c r="X241" s="20">
        <v>2550</v>
      </c>
      <c r="Z241" s="6" t="s">
        <v>5978</v>
      </c>
      <c r="AA241" s="14">
        <f t="shared" si="33"/>
        <v>5.9999999999999995E-4</v>
      </c>
      <c r="AB241">
        <v>1.5299999999999998</v>
      </c>
      <c r="AC241">
        <v>1.5911999999999999</v>
      </c>
    </row>
    <row r="242" spans="1:29" x14ac:dyDescent="0.3">
      <c r="A242">
        <v>140226</v>
      </c>
      <c r="B242" s="25" t="s">
        <v>5984</v>
      </c>
      <c r="C242" t="s">
        <v>20</v>
      </c>
      <c r="D242" t="s">
        <v>21</v>
      </c>
      <c r="E242">
        <v>2222222</v>
      </c>
      <c r="F242" s="8" t="s">
        <v>22</v>
      </c>
      <c r="G242" s="2">
        <v>98</v>
      </c>
      <c r="H242" s="2" t="s">
        <v>3844</v>
      </c>
      <c r="I242" s="2" t="s">
        <v>4331</v>
      </c>
      <c r="J242" s="9" t="s">
        <v>5059</v>
      </c>
      <c r="K242" s="2" t="s">
        <v>4853</v>
      </c>
      <c r="L242" s="2">
        <v>1</v>
      </c>
      <c r="M242" s="24" t="s">
        <v>5971</v>
      </c>
      <c r="N242" s="2" t="s">
        <v>23</v>
      </c>
      <c r="O242" s="3" t="s">
        <v>220</v>
      </c>
      <c r="P242" s="18" t="s">
        <v>0</v>
      </c>
      <c r="Q242" s="6" t="s">
        <v>4475</v>
      </c>
      <c r="T242" s="23">
        <v>45375</v>
      </c>
      <c r="U242" s="23">
        <v>46561</v>
      </c>
      <c r="X242" s="20">
        <v>5605</v>
      </c>
      <c r="Z242" s="6" t="s">
        <v>5978</v>
      </c>
      <c r="AA242" s="13">
        <f t="shared" ref="AA242:AA243" si="34">+(0.56/1000)</f>
        <v>5.6000000000000006E-4</v>
      </c>
      <c r="AB242">
        <v>0.83372240000000009</v>
      </c>
      <c r="AC242">
        <v>0.8670712960000001</v>
      </c>
    </row>
    <row r="243" spans="1:29" x14ac:dyDescent="0.3">
      <c r="A243">
        <v>137218</v>
      </c>
      <c r="B243" s="25" t="s">
        <v>5984</v>
      </c>
      <c r="C243" t="s">
        <v>20</v>
      </c>
      <c r="D243" t="s">
        <v>21</v>
      </c>
      <c r="E243">
        <v>2222222</v>
      </c>
      <c r="F243" s="8" t="s">
        <v>22</v>
      </c>
      <c r="G243" s="2">
        <v>98</v>
      </c>
      <c r="H243" s="2" t="s">
        <v>3845</v>
      </c>
      <c r="I243" s="2" t="s">
        <v>4325</v>
      </c>
      <c r="J243" s="9" t="s">
        <v>4997</v>
      </c>
      <c r="K243" s="2" t="s">
        <v>5021</v>
      </c>
      <c r="L243" s="2">
        <v>1</v>
      </c>
      <c r="M243" s="24" t="s">
        <v>5971</v>
      </c>
      <c r="N243" s="2" t="s">
        <v>23</v>
      </c>
      <c r="O243" s="3" t="s">
        <v>221</v>
      </c>
      <c r="P243" s="18" t="s">
        <v>3781</v>
      </c>
      <c r="Q243" s="6" t="s">
        <v>4475</v>
      </c>
      <c r="T243" s="23">
        <v>45211</v>
      </c>
      <c r="U243" s="23">
        <v>46306</v>
      </c>
      <c r="X243" s="20">
        <v>3000</v>
      </c>
      <c r="Z243" s="6" t="s">
        <v>5978</v>
      </c>
      <c r="AA243" s="13">
        <f t="shared" si="34"/>
        <v>5.6000000000000006E-4</v>
      </c>
      <c r="AB243">
        <v>0.17602480000000001</v>
      </c>
      <c r="AC243">
        <v>0.183065792</v>
      </c>
    </row>
    <row r="244" spans="1:29" x14ac:dyDescent="0.3">
      <c r="A244">
        <v>151453</v>
      </c>
      <c r="B244" s="25" t="s">
        <v>5984</v>
      </c>
      <c r="C244" t="s">
        <v>20</v>
      </c>
      <c r="D244" t="s">
        <v>21</v>
      </c>
      <c r="E244">
        <v>2222222</v>
      </c>
      <c r="F244" s="8" t="s">
        <v>22</v>
      </c>
      <c r="G244" s="2">
        <v>98</v>
      </c>
      <c r="H244" s="2" t="s">
        <v>3845</v>
      </c>
      <c r="I244" s="2" t="s">
        <v>4220</v>
      </c>
      <c r="J244" s="9" t="s">
        <v>5060</v>
      </c>
      <c r="K244" s="2" t="s">
        <v>4925</v>
      </c>
      <c r="L244" s="2">
        <v>1</v>
      </c>
      <c r="M244" s="24" t="s">
        <v>5971</v>
      </c>
      <c r="N244" s="2" t="s">
        <v>23</v>
      </c>
      <c r="O244" s="3" t="s">
        <v>222</v>
      </c>
      <c r="P244" s="18" t="s">
        <v>3781</v>
      </c>
      <c r="Q244" s="6" t="s">
        <v>4475</v>
      </c>
      <c r="T244" s="23">
        <v>46164</v>
      </c>
      <c r="U244" s="23">
        <v>46254</v>
      </c>
      <c r="X244" s="20">
        <v>1000</v>
      </c>
      <c r="Z244" s="6" t="s">
        <v>5978</v>
      </c>
      <c r="AA244" s="14">
        <f t="shared" ref="AA244:AA258" si="35">+(0.6/1000)</f>
        <v>5.9999999999999995E-4</v>
      </c>
      <c r="AB244">
        <v>0.6</v>
      </c>
      <c r="AC244">
        <v>0.624</v>
      </c>
    </row>
    <row r="245" spans="1:29" x14ac:dyDescent="0.3">
      <c r="A245">
        <v>151868</v>
      </c>
      <c r="B245" s="25" t="s">
        <v>5984</v>
      </c>
      <c r="C245" t="s">
        <v>20</v>
      </c>
      <c r="D245" t="s">
        <v>21</v>
      </c>
      <c r="E245">
        <v>2222222</v>
      </c>
      <c r="F245" s="8" t="s">
        <v>22</v>
      </c>
      <c r="G245" s="2">
        <v>98</v>
      </c>
      <c r="H245" s="2" t="s">
        <v>3845</v>
      </c>
      <c r="I245" s="2" t="s">
        <v>4220</v>
      </c>
      <c r="J245" s="9" t="s">
        <v>5060</v>
      </c>
      <c r="K245" s="2" t="s">
        <v>4925</v>
      </c>
      <c r="L245" s="2">
        <v>1</v>
      </c>
      <c r="M245" s="24" t="s">
        <v>5971</v>
      </c>
      <c r="N245" s="2" t="s">
        <v>23</v>
      </c>
      <c r="O245" s="3" t="s">
        <v>222</v>
      </c>
      <c r="P245" s="18" t="s">
        <v>3781</v>
      </c>
      <c r="Q245" s="6" t="s">
        <v>4475</v>
      </c>
      <c r="T245" s="23">
        <v>46192</v>
      </c>
      <c r="U245" s="23">
        <v>46282</v>
      </c>
      <c r="X245" s="20">
        <v>1000</v>
      </c>
      <c r="Z245" s="6" t="s">
        <v>5978</v>
      </c>
      <c r="AA245" s="14">
        <f t="shared" si="35"/>
        <v>5.9999999999999995E-4</v>
      </c>
      <c r="AB245">
        <v>0.6</v>
      </c>
      <c r="AC245">
        <v>0.624</v>
      </c>
    </row>
    <row r="246" spans="1:29" x14ac:dyDescent="0.3">
      <c r="A246">
        <v>151869</v>
      </c>
      <c r="B246" s="25" t="s">
        <v>5984</v>
      </c>
      <c r="C246" t="s">
        <v>20</v>
      </c>
      <c r="D246" t="s">
        <v>21</v>
      </c>
      <c r="E246">
        <v>2222222</v>
      </c>
      <c r="F246" s="8" t="s">
        <v>22</v>
      </c>
      <c r="G246" s="2">
        <v>98</v>
      </c>
      <c r="H246" s="2" t="s">
        <v>3845</v>
      </c>
      <c r="I246" s="2" t="s">
        <v>4220</v>
      </c>
      <c r="J246" s="9" t="s">
        <v>5060</v>
      </c>
      <c r="K246" s="2" t="s">
        <v>4925</v>
      </c>
      <c r="L246" s="2">
        <v>1</v>
      </c>
      <c r="M246" s="24" t="s">
        <v>5971</v>
      </c>
      <c r="N246" s="2" t="s">
        <v>23</v>
      </c>
      <c r="O246" s="3" t="s">
        <v>222</v>
      </c>
      <c r="P246" s="18" t="s">
        <v>3781</v>
      </c>
      <c r="Q246" s="6" t="s">
        <v>4475</v>
      </c>
      <c r="T246" s="23">
        <v>46192</v>
      </c>
      <c r="U246" s="23">
        <v>46252</v>
      </c>
      <c r="X246" s="20">
        <v>1000</v>
      </c>
      <c r="Z246" s="6" t="s">
        <v>5978</v>
      </c>
      <c r="AA246" s="14">
        <f t="shared" si="35"/>
        <v>5.9999999999999995E-4</v>
      </c>
      <c r="AB246">
        <v>0.6</v>
      </c>
      <c r="AC246">
        <v>0.624</v>
      </c>
    </row>
    <row r="247" spans="1:29" x14ac:dyDescent="0.3">
      <c r="A247">
        <v>151911</v>
      </c>
      <c r="B247" s="25" t="s">
        <v>5984</v>
      </c>
      <c r="C247" t="s">
        <v>20</v>
      </c>
      <c r="D247" t="s">
        <v>21</v>
      </c>
      <c r="E247">
        <v>2222222</v>
      </c>
      <c r="F247" s="8" t="s">
        <v>22</v>
      </c>
      <c r="G247" s="2">
        <v>98</v>
      </c>
      <c r="H247" s="2" t="s">
        <v>3845</v>
      </c>
      <c r="I247" s="2" t="s">
        <v>4220</v>
      </c>
      <c r="J247" s="9" t="s">
        <v>5060</v>
      </c>
      <c r="K247" s="2" t="s">
        <v>4925</v>
      </c>
      <c r="L247" s="2">
        <v>1</v>
      </c>
      <c r="M247" s="24" t="s">
        <v>5971</v>
      </c>
      <c r="N247" s="2" t="s">
        <v>23</v>
      </c>
      <c r="O247" s="3" t="s">
        <v>222</v>
      </c>
      <c r="P247" s="18" t="s">
        <v>3781</v>
      </c>
      <c r="Q247" s="6" t="s">
        <v>4475</v>
      </c>
      <c r="T247" s="23">
        <v>46197</v>
      </c>
      <c r="U247" s="23">
        <v>46287</v>
      </c>
      <c r="X247" s="20">
        <v>1000</v>
      </c>
      <c r="Z247" s="6" t="s">
        <v>5978</v>
      </c>
      <c r="AA247" s="14">
        <f t="shared" si="35"/>
        <v>5.9999999999999995E-4</v>
      </c>
      <c r="AB247">
        <v>0.6</v>
      </c>
      <c r="AC247">
        <v>0.624</v>
      </c>
    </row>
    <row r="248" spans="1:29" x14ac:dyDescent="0.3">
      <c r="A248">
        <v>151912</v>
      </c>
      <c r="B248" s="25" t="s">
        <v>5984</v>
      </c>
      <c r="C248" t="s">
        <v>20</v>
      </c>
      <c r="D248" t="s">
        <v>21</v>
      </c>
      <c r="E248">
        <v>2222222</v>
      </c>
      <c r="F248" s="8" t="s">
        <v>22</v>
      </c>
      <c r="G248" s="2">
        <v>98</v>
      </c>
      <c r="H248" s="2" t="s">
        <v>3845</v>
      </c>
      <c r="I248" s="2" t="s">
        <v>4220</v>
      </c>
      <c r="J248" s="9" t="s">
        <v>5060</v>
      </c>
      <c r="K248" s="2" t="s">
        <v>4925</v>
      </c>
      <c r="L248" s="2">
        <v>1</v>
      </c>
      <c r="M248" s="24" t="s">
        <v>5971</v>
      </c>
      <c r="N248" s="2" t="s">
        <v>23</v>
      </c>
      <c r="O248" s="3" t="s">
        <v>222</v>
      </c>
      <c r="P248" s="18" t="s">
        <v>3781</v>
      </c>
      <c r="Q248" s="6" t="s">
        <v>4475</v>
      </c>
      <c r="T248" s="23">
        <v>46197</v>
      </c>
      <c r="U248" s="23">
        <v>46257</v>
      </c>
      <c r="X248" s="20">
        <v>1000</v>
      </c>
      <c r="Z248" s="6" t="s">
        <v>5978</v>
      </c>
      <c r="AA248" s="14">
        <f t="shared" si="35"/>
        <v>5.9999999999999995E-4</v>
      </c>
      <c r="AB248">
        <v>0.6</v>
      </c>
      <c r="AC248">
        <v>0.624</v>
      </c>
    </row>
    <row r="249" spans="1:29" x14ac:dyDescent="0.3">
      <c r="A249">
        <v>151990</v>
      </c>
      <c r="B249" s="25" t="s">
        <v>5984</v>
      </c>
      <c r="C249" t="s">
        <v>20</v>
      </c>
      <c r="D249" t="s">
        <v>21</v>
      </c>
      <c r="E249">
        <v>2222222</v>
      </c>
      <c r="F249" s="8" t="s">
        <v>22</v>
      </c>
      <c r="G249" s="2">
        <v>98</v>
      </c>
      <c r="H249" s="2" t="s">
        <v>3845</v>
      </c>
      <c r="I249" s="2" t="s">
        <v>4220</v>
      </c>
      <c r="J249" s="9" t="s">
        <v>5060</v>
      </c>
      <c r="K249" s="2" t="s">
        <v>4925</v>
      </c>
      <c r="L249" s="2">
        <v>1</v>
      </c>
      <c r="M249" s="24" t="s">
        <v>5971</v>
      </c>
      <c r="N249" s="2" t="s">
        <v>23</v>
      </c>
      <c r="O249" s="3" t="s">
        <v>222</v>
      </c>
      <c r="P249" s="18" t="s">
        <v>3781</v>
      </c>
      <c r="Q249" s="6" t="s">
        <v>4475</v>
      </c>
      <c r="T249" s="23">
        <v>46204</v>
      </c>
      <c r="U249" s="23">
        <v>46242</v>
      </c>
      <c r="X249" s="20">
        <v>1000</v>
      </c>
      <c r="Z249" s="6" t="s">
        <v>5978</v>
      </c>
      <c r="AA249" s="14">
        <f t="shared" si="35"/>
        <v>5.9999999999999995E-4</v>
      </c>
      <c r="AB249">
        <v>0.6</v>
      </c>
      <c r="AC249">
        <v>0.624</v>
      </c>
    </row>
    <row r="250" spans="1:29" x14ac:dyDescent="0.3">
      <c r="A250">
        <v>151991</v>
      </c>
      <c r="B250" s="25" t="s">
        <v>5984</v>
      </c>
      <c r="C250" t="s">
        <v>20</v>
      </c>
      <c r="D250" t="s">
        <v>21</v>
      </c>
      <c r="E250">
        <v>2222222</v>
      </c>
      <c r="F250" s="8" t="s">
        <v>22</v>
      </c>
      <c r="G250" s="2">
        <v>98</v>
      </c>
      <c r="H250" s="2" t="s">
        <v>3845</v>
      </c>
      <c r="I250" s="2" t="s">
        <v>4220</v>
      </c>
      <c r="J250" s="9" t="s">
        <v>5060</v>
      </c>
      <c r="K250" s="2" t="s">
        <v>4925</v>
      </c>
      <c r="L250" s="2">
        <v>1</v>
      </c>
      <c r="M250" s="24" t="s">
        <v>5971</v>
      </c>
      <c r="N250" s="2" t="s">
        <v>23</v>
      </c>
      <c r="O250" s="3" t="s">
        <v>222</v>
      </c>
      <c r="P250" s="18" t="s">
        <v>3781</v>
      </c>
      <c r="Q250" s="6" t="s">
        <v>4475</v>
      </c>
      <c r="T250" s="23">
        <v>46204</v>
      </c>
      <c r="U250" s="23">
        <v>46272</v>
      </c>
      <c r="X250" s="20">
        <v>1000</v>
      </c>
      <c r="Z250" s="6" t="s">
        <v>5978</v>
      </c>
      <c r="AA250" s="14">
        <f t="shared" si="35"/>
        <v>5.9999999999999995E-4</v>
      </c>
      <c r="AB250">
        <v>0.6</v>
      </c>
      <c r="AC250">
        <v>0.624</v>
      </c>
    </row>
    <row r="251" spans="1:29" x14ac:dyDescent="0.3">
      <c r="A251">
        <v>151992</v>
      </c>
      <c r="B251" s="25" t="s">
        <v>5984</v>
      </c>
      <c r="C251" t="s">
        <v>20</v>
      </c>
      <c r="D251" t="s">
        <v>21</v>
      </c>
      <c r="E251">
        <v>2222222</v>
      </c>
      <c r="F251" s="8" t="s">
        <v>22</v>
      </c>
      <c r="G251" s="2">
        <v>98</v>
      </c>
      <c r="H251" s="2" t="s">
        <v>3845</v>
      </c>
      <c r="I251" s="2" t="s">
        <v>4220</v>
      </c>
      <c r="J251" s="9" t="s">
        <v>5060</v>
      </c>
      <c r="K251" s="2" t="s">
        <v>4925</v>
      </c>
      <c r="L251" s="2">
        <v>1</v>
      </c>
      <c r="M251" s="24" t="s">
        <v>5971</v>
      </c>
      <c r="N251" s="2" t="s">
        <v>23</v>
      </c>
      <c r="O251" s="3" t="s">
        <v>222</v>
      </c>
      <c r="P251" s="18" t="s">
        <v>3781</v>
      </c>
      <c r="Q251" s="6" t="s">
        <v>4475</v>
      </c>
      <c r="T251" s="23">
        <v>46204</v>
      </c>
      <c r="U251" s="23">
        <v>46294</v>
      </c>
      <c r="X251" s="20">
        <v>1000</v>
      </c>
      <c r="Z251" s="6" t="s">
        <v>5978</v>
      </c>
      <c r="AA251" s="14">
        <f t="shared" si="35"/>
        <v>5.9999999999999995E-4</v>
      </c>
      <c r="AB251">
        <v>0.6</v>
      </c>
      <c r="AC251">
        <v>0.624</v>
      </c>
    </row>
    <row r="252" spans="1:29" x14ac:dyDescent="0.3">
      <c r="A252">
        <v>152171</v>
      </c>
      <c r="B252" s="25" t="s">
        <v>5984</v>
      </c>
      <c r="C252" t="s">
        <v>20</v>
      </c>
      <c r="D252" t="s">
        <v>21</v>
      </c>
      <c r="E252">
        <v>2222222</v>
      </c>
      <c r="F252" s="8" t="s">
        <v>22</v>
      </c>
      <c r="G252" s="2">
        <v>98</v>
      </c>
      <c r="H252" s="2" t="s">
        <v>3845</v>
      </c>
      <c r="I252" s="2" t="s">
        <v>4220</v>
      </c>
      <c r="J252" s="9" t="s">
        <v>5060</v>
      </c>
      <c r="K252" s="2" t="s">
        <v>4925</v>
      </c>
      <c r="L252" s="2">
        <v>1</v>
      </c>
      <c r="M252" s="24" t="s">
        <v>5971</v>
      </c>
      <c r="N252" s="2" t="s">
        <v>23</v>
      </c>
      <c r="O252" s="3" t="s">
        <v>222</v>
      </c>
      <c r="P252" s="18" t="s">
        <v>3781</v>
      </c>
      <c r="Q252" s="6" t="s">
        <v>4475</v>
      </c>
      <c r="T252" s="23">
        <v>46217</v>
      </c>
      <c r="U252" s="23">
        <v>46255</v>
      </c>
      <c r="X252" s="20">
        <v>1000</v>
      </c>
      <c r="Z252" s="6" t="s">
        <v>5978</v>
      </c>
      <c r="AA252" s="14">
        <f t="shared" si="35"/>
        <v>5.9999999999999995E-4</v>
      </c>
      <c r="AB252">
        <v>0.6</v>
      </c>
      <c r="AC252">
        <v>0.624</v>
      </c>
    </row>
    <row r="253" spans="1:29" x14ac:dyDescent="0.3">
      <c r="A253">
        <v>152172</v>
      </c>
      <c r="B253" s="25" t="s">
        <v>5984</v>
      </c>
      <c r="C253" t="s">
        <v>20</v>
      </c>
      <c r="D253" t="s">
        <v>21</v>
      </c>
      <c r="E253">
        <v>2222222</v>
      </c>
      <c r="F253" s="8" t="s">
        <v>22</v>
      </c>
      <c r="G253" s="2">
        <v>98</v>
      </c>
      <c r="H253" s="2" t="s">
        <v>3845</v>
      </c>
      <c r="I253" s="2" t="s">
        <v>4220</v>
      </c>
      <c r="J253" s="9" t="s">
        <v>5060</v>
      </c>
      <c r="K253" s="2" t="s">
        <v>4925</v>
      </c>
      <c r="L253" s="2">
        <v>1</v>
      </c>
      <c r="M253" s="24" t="s">
        <v>5971</v>
      </c>
      <c r="N253" s="2" t="s">
        <v>23</v>
      </c>
      <c r="O253" s="3" t="s">
        <v>222</v>
      </c>
      <c r="P253" s="18" t="s">
        <v>3781</v>
      </c>
      <c r="Q253" s="6" t="s">
        <v>4475</v>
      </c>
      <c r="T253" s="23">
        <v>46217</v>
      </c>
      <c r="U253" s="23">
        <v>46285</v>
      </c>
      <c r="X253" s="20">
        <v>1000</v>
      </c>
      <c r="Z253" s="6" t="s">
        <v>5978</v>
      </c>
      <c r="AA253" s="14">
        <f t="shared" si="35"/>
        <v>5.9999999999999995E-4</v>
      </c>
      <c r="AB253">
        <v>0.6</v>
      </c>
      <c r="AC253">
        <v>0.624</v>
      </c>
    </row>
    <row r="254" spans="1:29" x14ac:dyDescent="0.3">
      <c r="A254">
        <v>152173</v>
      </c>
      <c r="B254" s="25" t="s">
        <v>5984</v>
      </c>
      <c r="C254" t="s">
        <v>20</v>
      </c>
      <c r="D254" t="s">
        <v>21</v>
      </c>
      <c r="E254">
        <v>2222222</v>
      </c>
      <c r="F254" s="8" t="s">
        <v>22</v>
      </c>
      <c r="G254" s="2">
        <v>98</v>
      </c>
      <c r="H254" s="2" t="s">
        <v>3845</v>
      </c>
      <c r="I254" s="2" t="s">
        <v>4220</v>
      </c>
      <c r="J254" s="9" t="s">
        <v>5060</v>
      </c>
      <c r="K254" s="2" t="s">
        <v>4925</v>
      </c>
      <c r="L254" s="2">
        <v>1</v>
      </c>
      <c r="M254" s="24" t="s">
        <v>5971</v>
      </c>
      <c r="N254" s="2" t="s">
        <v>23</v>
      </c>
      <c r="O254" s="3" t="s">
        <v>222</v>
      </c>
      <c r="P254" s="18" t="s">
        <v>3781</v>
      </c>
      <c r="Q254" s="6" t="s">
        <v>4475</v>
      </c>
      <c r="T254" s="23">
        <v>46217</v>
      </c>
      <c r="U254" s="23">
        <v>46304</v>
      </c>
      <c r="X254" s="20">
        <v>2000</v>
      </c>
      <c r="Z254" s="6" t="s">
        <v>5978</v>
      </c>
      <c r="AA254" s="14">
        <f t="shared" si="35"/>
        <v>5.9999999999999995E-4</v>
      </c>
      <c r="AB254">
        <v>1.2</v>
      </c>
      <c r="AC254">
        <v>1.248</v>
      </c>
    </row>
    <row r="255" spans="1:29" x14ac:dyDescent="0.3">
      <c r="A255">
        <v>152174</v>
      </c>
      <c r="B255" s="25" t="s">
        <v>5984</v>
      </c>
      <c r="C255" t="s">
        <v>20</v>
      </c>
      <c r="D255" t="s">
        <v>21</v>
      </c>
      <c r="E255">
        <v>2222222</v>
      </c>
      <c r="F255" s="8" t="s">
        <v>22</v>
      </c>
      <c r="G255" s="2">
        <v>98</v>
      </c>
      <c r="H255" s="2" t="s">
        <v>3845</v>
      </c>
      <c r="I255" s="2" t="s">
        <v>4220</v>
      </c>
      <c r="J255" s="9" t="s">
        <v>5060</v>
      </c>
      <c r="K255" s="2" t="s">
        <v>4925</v>
      </c>
      <c r="L255" s="2">
        <v>1</v>
      </c>
      <c r="M255" s="24" t="s">
        <v>5971</v>
      </c>
      <c r="N255" s="2" t="s">
        <v>23</v>
      </c>
      <c r="O255" s="3" t="s">
        <v>222</v>
      </c>
      <c r="P255" s="18" t="s">
        <v>3781</v>
      </c>
      <c r="Q255" s="6" t="s">
        <v>4475</v>
      </c>
      <c r="T255" s="23">
        <v>46217</v>
      </c>
      <c r="U255" s="23">
        <v>46307</v>
      </c>
      <c r="X255" s="20">
        <v>2000</v>
      </c>
      <c r="Z255" s="6" t="s">
        <v>5978</v>
      </c>
      <c r="AA255" s="14">
        <f t="shared" si="35"/>
        <v>5.9999999999999995E-4</v>
      </c>
      <c r="AB255">
        <v>1.2</v>
      </c>
      <c r="AC255">
        <v>1.248</v>
      </c>
    </row>
    <row r="256" spans="1:29" x14ac:dyDescent="0.3">
      <c r="A256">
        <v>152256</v>
      </c>
      <c r="B256" s="25" t="s">
        <v>5984</v>
      </c>
      <c r="C256" t="s">
        <v>20</v>
      </c>
      <c r="D256" t="s">
        <v>21</v>
      </c>
      <c r="E256">
        <v>2222222</v>
      </c>
      <c r="F256" s="8" t="s">
        <v>22</v>
      </c>
      <c r="G256" s="2">
        <v>98</v>
      </c>
      <c r="H256" s="2" t="s">
        <v>3845</v>
      </c>
      <c r="I256" s="2" t="s">
        <v>4220</v>
      </c>
      <c r="J256" s="9" t="s">
        <v>5060</v>
      </c>
      <c r="K256" s="2" t="s">
        <v>4925</v>
      </c>
      <c r="L256" s="2">
        <v>1</v>
      </c>
      <c r="M256" s="24" t="s">
        <v>5971</v>
      </c>
      <c r="N256" s="2" t="s">
        <v>23</v>
      </c>
      <c r="O256" s="3" t="s">
        <v>222</v>
      </c>
      <c r="P256" s="18" t="s">
        <v>3781</v>
      </c>
      <c r="Q256" s="6" t="s">
        <v>4475</v>
      </c>
      <c r="T256" s="23">
        <v>46223</v>
      </c>
      <c r="U256" s="23">
        <v>46264</v>
      </c>
      <c r="X256" s="20">
        <v>1000</v>
      </c>
      <c r="Z256" s="6" t="s">
        <v>5978</v>
      </c>
      <c r="AA256" s="14">
        <f t="shared" si="35"/>
        <v>5.9999999999999995E-4</v>
      </c>
      <c r="AB256">
        <v>0.6</v>
      </c>
      <c r="AC256">
        <v>0.624</v>
      </c>
    </row>
    <row r="257" spans="1:29" x14ac:dyDescent="0.3">
      <c r="A257">
        <v>152257</v>
      </c>
      <c r="B257" s="25" t="s">
        <v>5984</v>
      </c>
      <c r="C257" t="s">
        <v>20</v>
      </c>
      <c r="D257" t="s">
        <v>21</v>
      </c>
      <c r="E257">
        <v>2222222</v>
      </c>
      <c r="F257" s="8" t="s">
        <v>22</v>
      </c>
      <c r="G257" s="2">
        <v>98</v>
      </c>
      <c r="H257" s="2" t="s">
        <v>3845</v>
      </c>
      <c r="I257" s="2" t="s">
        <v>4220</v>
      </c>
      <c r="J257" s="9" t="s">
        <v>5060</v>
      </c>
      <c r="K257" s="2" t="s">
        <v>4925</v>
      </c>
      <c r="L257" s="2">
        <v>1</v>
      </c>
      <c r="M257" s="24" t="s">
        <v>5971</v>
      </c>
      <c r="N257" s="2" t="s">
        <v>23</v>
      </c>
      <c r="O257" s="3" t="s">
        <v>222</v>
      </c>
      <c r="P257" s="18" t="s">
        <v>3781</v>
      </c>
      <c r="Q257" s="6" t="s">
        <v>4475</v>
      </c>
      <c r="T257" s="23">
        <v>46223</v>
      </c>
      <c r="U257" s="23">
        <v>46294</v>
      </c>
      <c r="X257" s="20">
        <v>1000</v>
      </c>
      <c r="Z257" s="6" t="s">
        <v>5978</v>
      </c>
      <c r="AA257" s="14">
        <f t="shared" si="35"/>
        <v>5.9999999999999995E-4</v>
      </c>
      <c r="AB257">
        <v>0.6</v>
      </c>
      <c r="AC257">
        <v>0.624</v>
      </c>
    </row>
    <row r="258" spans="1:29" x14ac:dyDescent="0.3">
      <c r="A258">
        <v>150179</v>
      </c>
      <c r="B258" s="25" t="s">
        <v>5984</v>
      </c>
      <c r="C258" t="s">
        <v>20</v>
      </c>
      <c r="D258" t="s">
        <v>21</v>
      </c>
      <c r="E258">
        <v>2222222</v>
      </c>
      <c r="F258" s="8" t="s">
        <v>22</v>
      </c>
      <c r="G258" s="2">
        <v>98</v>
      </c>
      <c r="H258" s="2" t="s">
        <v>3846</v>
      </c>
      <c r="I258" s="2" t="s">
        <v>4220</v>
      </c>
      <c r="J258" s="9" t="s">
        <v>5061</v>
      </c>
      <c r="K258" s="2" t="s">
        <v>4987</v>
      </c>
      <c r="L258" s="2">
        <v>1</v>
      </c>
      <c r="M258" s="24" t="s">
        <v>5971</v>
      </c>
      <c r="N258" s="2" t="s">
        <v>23</v>
      </c>
      <c r="O258" s="3" t="s">
        <v>223</v>
      </c>
      <c r="P258" s="18" t="s">
        <v>0</v>
      </c>
      <c r="Q258" s="6" t="s">
        <v>4475</v>
      </c>
      <c r="T258" s="23">
        <v>46077</v>
      </c>
      <c r="U258" s="23">
        <v>46625</v>
      </c>
      <c r="X258" s="20">
        <v>1000</v>
      </c>
      <c r="Z258" s="6" t="s">
        <v>5978</v>
      </c>
      <c r="AA258" s="14">
        <f t="shared" si="35"/>
        <v>5.9999999999999995E-4</v>
      </c>
      <c r="AB258">
        <v>0.44846399999999997</v>
      </c>
      <c r="AC258">
        <v>0.46640255999999997</v>
      </c>
    </row>
    <row r="259" spans="1:29" x14ac:dyDescent="0.3">
      <c r="A259">
        <v>136484</v>
      </c>
      <c r="B259" s="25" t="s">
        <v>5984</v>
      </c>
      <c r="C259" t="s">
        <v>20</v>
      </c>
      <c r="D259" t="s">
        <v>21</v>
      </c>
      <c r="E259">
        <v>2222222</v>
      </c>
      <c r="F259" s="8" t="s">
        <v>22</v>
      </c>
      <c r="G259" s="2">
        <v>98</v>
      </c>
      <c r="H259" s="2" t="s">
        <v>3847</v>
      </c>
      <c r="I259" s="2" t="s">
        <v>4756</v>
      </c>
      <c r="J259" s="9" t="s">
        <v>5062</v>
      </c>
      <c r="K259" s="2" t="s">
        <v>4861</v>
      </c>
      <c r="L259" s="2">
        <v>1</v>
      </c>
      <c r="M259" s="24" t="s">
        <v>5971</v>
      </c>
      <c r="N259" s="2" t="s">
        <v>23</v>
      </c>
      <c r="O259" s="3" t="s">
        <v>224</v>
      </c>
      <c r="P259" s="18" t="s">
        <v>3781</v>
      </c>
      <c r="Q259" s="6" t="s">
        <v>4475</v>
      </c>
      <c r="T259" s="23">
        <v>45174</v>
      </c>
      <c r="U259" s="23">
        <v>46635</v>
      </c>
      <c r="X259" s="20">
        <v>5000</v>
      </c>
      <c r="Z259" s="6" t="s">
        <v>5978</v>
      </c>
      <c r="AA259" s="13">
        <f t="shared" ref="AA259:AA260" si="36">+(0.56/1000)</f>
        <v>5.6000000000000006E-4</v>
      </c>
      <c r="AB259">
        <v>2.2396136000000002</v>
      </c>
      <c r="AC259">
        <v>2.3291981440000002</v>
      </c>
    </row>
    <row r="260" spans="1:29" x14ac:dyDescent="0.3">
      <c r="A260">
        <v>130389</v>
      </c>
      <c r="B260" s="25" t="s">
        <v>5984</v>
      </c>
      <c r="C260" t="s">
        <v>20</v>
      </c>
      <c r="D260" t="s">
        <v>21</v>
      </c>
      <c r="E260">
        <v>2222222</v>
      </c>
      <c r="F260" s="8" t="s">
        <v>22</v>
      </c>
      <c r="G260" s="2">
        <v>98</v>
      </c>
      <c r="H260" s="2" t="s">
        <v>3848</v>
      </c>
      <c r="I260" s="2" t="s">
        <v>4757</v>
      </c>
      <c r="J260" s="9" t="s">
        <v>5063</v>
      </c>
      <c r="K260" s="2" t="s">
        <v>5064</v>
      </c>
      <c r="L260" s="2">
        <v>1</v>
      </c>
      <c r="M260" s="24" t="s">
        <v>5971</v>
      </c>
      <c r="N260" s="2" t="s">
        <v>23</v>
      </c>
      <c r="O260" s="3" t="s">
        <v>225</v>
      </c>
      <c r="P260" s="18" t="s">
        <v>0</v>
      </c>
      <c r="Q260" s="6" t="s">
        <v>4475</v>
      </c>
      <c r="T260" s="23">
        <v>44832</v>
      </c>
      <c r="U260" s="23">
        <v>47115</v>
      </c>
      <c r="X260" s="20">
        <v>23000</v>
      </c>
      <c r="Z260" s="6" t="s">
        <v>5978</v>
      </c>
      <c r="AA260" s="13">
        <f t="shared" si="36"/>
        <v>5.6000000000000006E-4</v>
      </c>
      <c r="AB260">
        <v>7.0665448000000008</v>
      </c>
      <c r="AC260">
        <v>7.3492065920000007</v>
      </c>
    </row>
    <row r="261" spans="1:29" x14ac:dyDescent="0.3">
      <c r="A261">
        <v>144150</v>
      </c>
      <c r="B261" s="25" t="s">
        <v>5984</v>
      </c>
      <c r="C261" t="s">
        <v>20</v>
      </c>
      <c r="D261" t="s">
        <v>21</v>
      </c>
      <c r="E261">
        <v>2222222</v>
      </c>
      <c r="F261" s="8" t="s">
        <v>22</v>
      </c>
      <c r="G261" s="2">
        <v>98</v>
      </c>
      <c r="H261" s="2" t="s">
        <v>3848</v>
      </c>
      <c r="I261" s="2" t="s">
        <v>4757</v>
      </c>
      <c r="J261" s="9" t="s">
        <v>4901</v>
      </c>
      <c r="K261" s="2" t="s">
        <v>4844</v>
      </c>
      <c r="L261" s="2">
        <v>1</v>
      </c>
      <c r="M261" s="24" t="s">
        <v>5971</v>
      </c>
      <c r="N261" s="2" t="s">
        <v>23</v>
      </c>
      <c r="O261" s="3" t="s">
        <v>226</v>
      </c>
      <c r="P261" s="18" t="s">
        <v>0</v>
      </c>
      <c r="Q261" s="6" t="s">
        <v>4475</v>
      </c>
      <c r="T261" s="23">
        <v>45642</v>
      </c>
      <c r="U261" s="23">
        <v>46461</v>
      </c>
      <c r="X261" s="20">
        <v>5000</v>
      </c>
      <c r="Z261" s="6" t="s">
        <v>5978</v>
      </c>
      <c r="AA261" s="14">
        <f t="shared" ref="AA261:AA266" si="37">+(0.6/1000)</f>
        <v>5.9999999999999995E-4</v>
      </c>
      <c r="AB261">
        <v>1.2511979999999998</v>
      </c>
      <c r="AC261">
        <v>1.3012459199999999</v>
      </c>
    </row>
    <row r="262" spans="1:29" x14ac:dyDescent="0.3">
      <c r="A262">
        <v>149942</v>
      </c>
      <c r="B262" s="25" t="s">
        <v>5984</v>
      </c>
      <c r="C262" t="s">
        <v>20</v>
      </c>
      <c r="D262" t="s">
        <v>21</v>
      </c>
      <c r="E262">
        <v>2222222</v>
      </c>
      <c r="F262" s="8" t="s">
        <v>22</v>
      </c>
      <c r="G262" s="2">
        <v>98</v>
      </c>
      <c r="H262" s="2" t="s">
        <v>3848</v>
      </c>
      <c r="I262" s="2" t="s">
        <v>4247</v>
      </c>
      <c r="J262" s="2" t="s">
        <v>4836</v>
      </c>
      <c r="K262" s="2" t="s">
        <v>5065</v>
      </c>
      <c r="L262" s="2">
        <v>1</v>
      </c>
      <c r="M262" s="24" t="s">
        <v>5971</v>
      </c>
      <c r="N262" s="2" t="s">
        <v>23</v>
      </c>
      <c r="O262" s="3" t="s">
        <v>227</v>
      </c>
      <c r="P262" s="18" t="s">
        <v>3781</v>
      </c>
      <c r="Q262" s="6" t="s">
        <v>4475</v>
      </c>
      <c r="T262" s="23">
        <v>46059</v>
      </c>
      <c r="U262" s="23">
        <v>47157</v>
      </c>
      <c r="X262" s="20">
        <v>5000</v>
      </c>
      <c r="Z262" s="6" t="s">
        <v>5978</v>
      </c>
      <c r="AA262" s="14">
        <f t="shared" si="37"/>
        <v>5.9999999999999995E-4</v>
      </c>
      <c r="AB262">
        <v>2.6740679999999997</v>
      </c>
      <c r="AC262">
        <v>2.78103072</v>
      </c>
    </row>
    <row r="263" spans="1:29" x14ac:dyDescent="0.3">
      <c r="A263">
        <v>150384</v>
      </c>
      <c r="B263" s="25" t="s">
        <v>5984</v>
      </c>
      <c r="C263" t="s">
        <v>20</v>
      </c>
      <c r="D263" t="s">
        <v>21</v>
      </c>
      <c r="E263">
        <v>2222222</v>
      </c>
      <c r="F263" s="8" t="s">
        <v>22</v>
      </c>
      <c r="G263" s="2">
        <v>98</v>
      </c>
      <c r="H263" s="2" t="s">
        <v>3848</v>
      </c>
      <c r="I263" s="2" t="s">
        <v>4184</v>
      </c>
      <c r="J263" s="9" t="s">
        <v>4939</v>
      </c>
      <c r="K263" s="2" t="s">
        <v>4913</v>
      </c>
      <c r="L263" s="2">
        <v>1</v>
      </c>
      <c r="M263" s="24" t="s">
        <v>5971</v>
      </c>
      <c r="N263" s="2" t="s">
        <v>23</v>
      </c>
      <c r="O263" s="3" t="s">
        <v>228</v>
      </c>
      <c r="P263" s="18" t="s">
        <v>0</v>
      </c>
      <c r="Q263" s="6" t="s">
        <v>4475</v>
      </c>
      <c r="T263" s="23">
        <v>46090</v>
      </c>
      <c r="U263" s="23">
        <v>47370</v>
      </c>
      <c r="X263" s="20">
        <v>5000</v>
      </c>
      <c r="Z263" s="6" t="s">
        <v>5978</v>
      </c>
      <c r="AA263" s="14">
        <f t="shared" si="37"/>
        <v>5.9999999999999995E-4</v>
      </c>
      <c r="AB263">
        <v>2.7880199999999995</v>
      </c>
      <c r="AC263">
        <v>2.8995407999999996</v>
      </c>
    </row>
    <row r="264" spans="1:29" x14ac:dyDescent="0.3">
      <c r="A264">
        <v>152134</v>
      </c>
      <c r="B264" s="25" t="s">
        <v>5984</v>
      </c>
      <c r="C264" t="s">
        <v>20</v>
      </c>
      <c r="D264" t="s">
        <v>21</v>
      </c>
      <c r="E264">
        <v>2222222</v>
      </c>
      <c r="F264" s="8" t="s">
        <v>22</v>
      </c>
      <c r="G264" s="2">
        <v>98</v>
      </c>
      <c r="H264" s="2" t="s">
        <v>3848</v>
      </c>
      <c r="I264" s="2" t="s">
        <v>4184</v>
      </c>
      <c r="J264" s="9" t="s">
        <v>4948</v>
      </c>
      <c r="K264" s="2" t="s">
        <v>4949</v>
      </c>
      <c r="L264" s="2">
        <v>1</v>
      </c>
      <c r="M264" s="24" t="s">
        <v>5971</v>
      </c>
      <c r="N264" s="2" t="s">
        <v>23</v>
      </c>
      <c r="O264" s="3" t="s">
        <v>229</v>
      </c>
      <c r="P264" s="18" t="s">
        <v>0</v>
      </c>
      <c r="Q264" s="6" t="s">
        <v>4475</v>
      </c>
      <c r="T264" s="23">
        <v>46213</v>
      </c>
      <c r="U264" s="23">
        <v>47673</v>
      </c>
      <c r="X264" s="20">
        <v>5000</v>
      </c>
      <c r="Z264" s="6" t="s">
        <v>5978</v>
      </c>
      <c r="AA264" s="14">
        <f t="shared" si="37"/>
        <v>5.9999999999999995E-4</v>
      </c>
      <c r="AB264">
        <v>2.9999999999999996</v>
      </c>
      <c r="AC264">
        <v>3.1199999999999997</v>
      </c>
    </row>
    <row r="265" spans="1:29" x14ac:dyDescent="0.3">
      <c r="A265">
        <v>149067</v>
      </c>
      <c r="B265" s="25" t="s">
        <v>5984</v>
      </c>
      <c r="C265" t="s">
        <v>20</v>
      </c>
      <c r="D265" t="s">
        <v>21</v>
      </c>
      <c r="E265">
        <v>2222222</v>
      </c>
      <c r="F265" s="8" t="s">
        <v>22</v>
      </c>
      <c r="G265" s="2">
        <v>98</v>
      </c>
      <c r="H265" s="2" t="s">
        <v>3849</v>
      </c>
      <c r="I265" s="2" t="s">
        <v>3938</v>
      </c>
      <c r="J265" s="9" t="s">
        <v>5066</v>
      </c>
      <c r="K265" s="2" t="s">
        <v>5973</v>
      </c>
      <c r="L265" s="2">
        <v>1</v>
      </c>
      <c r="M265" s="24" t="s">
        <v>5971</v>
      </c>
      <c r="N265" s="2" t="s">
        <v>23</v>
      </c>
      <c r="O265" s="3" t="s">
        <v>230</v>
      </c>
      <c r="P265" s="18" t="s">
        <v>3781</v>
      </c>
      <c r="Q265" s="6" t="s">
        <v>4475</v>
      </c>
      <c r="T265" s="23">
        <v>45995</v>
      </c>
      <c r="U265" s="23">
        <v>47455</v>
      </c>
      <c r="X265" s="20">
        <v>5000</v>
      </c>
      <c r="Z265" s="6" t="s">
        <v>5978</v>
      </c>
      <c r="AA265" s="14">
        <f t="shared" si="37"/>
        <v>5.9999999999999995E-4</v>
      </c>
      <c r="AB265">
        <v>2.7663359999999999</v>
      </c>
      <c r="AC265">
        <v>2.87698944</v>
      </c>
    </row>
    <row r="266" spans="1:29" x14ac:dyDescent="0.3">
      <c r="A266">
        <v>150690</v>
      </c>
      <c r="B266" s="25" t="s">
        <v>5984</v>
      </c>
      <c r="C266" t="s">
        <v>20</v>
      </c>
      <c r="D266" t="s">
        <v>21</v>
      </c>
      <c r="E266">
        <v>2222222</v>
      </c>
      <c r="F266" s="8" t="s">
        <v>22</v>
      </c>
      <c r="G266" s="2">
        <v>98</v>
      </c>
      <c r="H266" s="2" t="s">
        <v>3849</v>
      </c>
      <c r="I266" s="2" t="s">
        <v>3938</v>
      </c>
      <c r="J266" s="9" t="s">
        <v>5066</v>
      </c>
      <c r="K266" s="2" t="s">
        <v>5973</v>
      </c>
      <c r="L266" s="2">
        <v>1</v>
      </c>
      <c r="M266" s="24" t="s">
        <v>5971</v>
      </c>
      <c r="N266" s="2" t="s">
        <v>23</v>
      </c>
      <c r="O266" s="3" t="s">
        <v>230</v>
      </c>
      <c r="P266" s="18" t="s">
        <v>3781</v>
      </c>
      <c r="Q266" s="6" t="s">
        <v>4475</v>
      </c>
      <c r="T266" s="23">
        <v>46108</v>
      </c>
      <c r="U266" s="23">
        <v>46198</v>
      </c>
      <c r="X266" s="20">
        <v>480</v>
      </c>
      <c r="Z266" s="6" t="s">
        <v>5978</v>
      </c>
      <c r="AA266" s="14">
        <f t="shared" si="37"/>
        <v>5.9999999999999995E-4</v>
      </c>
      <c r="AB266">
        <v>0.28799999999999998</v>
      </c>
      <c r="AC266">
        <v>0.29952000000000001</v>
      </c>
    </row>
    <row r="267" spans="1:29" x14ac:dyDescent="0.3">
      <c r="A267">
        <v>120239</v>
      </c>
      <c r="B267" s="25" t="s">
        <v>5984</v>
      </c>
      <c r="C267" t="s">
        <v>20</v>
      </c>
      <c r="D267" t="s">
        <v>21</v>
      </c>
      <c r="E267">
        <v>2222222</v>
      </c>
      <c r="F267" s="8" t="s">
        <v>22</v>
      </c>
      <c r="G267" s="2">
        <v>98</v>
      </c>
      <c r="H267" s="2" t="s">
        <v>3850</v>
      </c>
      <c r="I267" s="2" t="s">
        <v>4758</v>
      </c>
      <c r="J267" s="9" t="s">
        <v>5063</v>
      </c>
      <c r="K267" s="2" t="s">
        <v>4961</v>
      </c>
      <c r="L267" s="2">
        <v>1</v>
      </c>
      <c r="M267" s="24" t="s">
        <v>5971</v>
      </c>
      <c r="N267" s="2" t="s">
        <v>23</v>
      </c>
      <c r="O267" s="3" t="s">
        <v>231</v>
      </c>
      <c r="P267" s="18" t="s">
        <v>0</v>
      </c>
      <c r="Q267" s="6" t="s">
        <v>4475</v>
      </c>
      <c r="T267" s="23">
        <v>44309</v>
      </c>
      <c r="U267" s="23">
        <v>46880</v>
      </c>
      <c r="X267" s="20">
        <v>9155</v>
      </c>
      <c r="Z267" s="6" t="s">
        <v>5978</v>
      </c>
      <c r="AA267" s="15">
        <f t="shared" ref="AA267:AA268" si="38">+(0.42/1000)</f>
        <v>4.1999999999999996E-4</v>
      </c>
      <c r="AB267">
        <v>3.6638279999999996</v>
      </c>
      <c r="AC267">
        <v>3.8103811199999997</v>
      </c>
    </row>
    <row r="268" spans="1:29" x14ac:dyDescent="0.3">
      <c r="A268">
        <v>125310</v>
      </c>
      <c r="B268" s="25" t="s">
        <v>5984</v>
      </c>
      <c r="C268" t="s">
        <v>20</v>
      </c>
      <c r="D268" t="s">
        <v>21</v>
      </c>
      <c r="E268">
        <v>2222222</v>
      </c>
      <c r="F268" s="8" t="s">
        <v>22</v>
      </c>
      <c r="G268" s="2">
        <v>98</v>
      </c>
      <c r="H268" s="2" t="s">
        <v>3850</v>
      </c>
      <c r="I268" s="2" t="s">
        <v>4758</v>
      </c>
      <c r="J268" s="9" t="s">
        <v>5063</v>
      </c>
      <c r="K268" s="2" t="s">
        <v>4961</v>
      </c>
      <c r="L268" s="2">
        <v>1</v>
      </c>
      <c r="M268" s="24" t="s">
        <v>5971</v>
      </c>
      <c r="N268" s="2" t="s">
        <v>23</v>
      </c>
      <c r="O268" s="3" t="s">
        <v>231</v>
      </c>
      <c r="P268" s="18" t="s">
        <v>0</v>
      </c>
      <c r="Q268" s="6" t="s">
        <v>4475</v>
      </c>
      <c r="T268" s="23">
        <v>44559</v>
      </c>
      <c r="U268" s="23">
        <v>44649</v>
      </c>
      <c r="X268" s="20">
        <v>1340</v>
      </c>
      <c r="Z268" s="6" t="s">
        <v>5978</v>
      </c>
      <c r="AA268" s="15">
        <f t="shared" si="38"/>
        <v>4.1999999999999996E-4</v>
      </c>
      <c r="AB268">
        <v>0.56279999999999997</v>
      </c>
      <c r="AC268">
        <v>0.58531199999999994</v>
      </c>
    </row>
    <row r="269" spans="1:29" x14ac:dyDescent="0.3">
      <c r="A269">
        <v>150531</v>
      </c>
      <c r="B269" s="25" t="s">
        <v>5984</v>
      </c>
      <c r="C269" t="s">
        <v>20</v>
      </c>
      <c r="D269" t="s">
        <v>21</v>
      </c>
      <c r="E269">
        <v>2222222</v>
      </c>
      <c r="F269" s="8" t="s">
        <v>22</v>
      </c>
      <c r="G269" s="2">
        <v>98</v>
      </c>
      <c r="H269" s="2" t="s">
        <v>3851</v>
      </c>
      <c r="I269" s="2" t="s">
        <v>4306</v>
      </c>
      <c r="J269" s="9" t="s">
        <v>5067</v>
      </c>
      <c r="K269" s="2" t="s">
        <v>4998</v>
      </c>
      <c r="L269" s="2">
        <v>1</v>
      </c>
      <c r="M269" s="24" t="s">
        <v>5971</v>
      </c>
      <c r="N269" s="2" t="s">
        <v>23</v>
      </c>
      <c r="O269" s="3" t="s">
        <v>232</v>
      </c>
      <c r="P269" s="18" t="s">
        <v>3781</v>
      </c>
      <c r="Q269" s="6" t="s">
        <v>4475</v>
      </c>
      <c r="T269" s="23">
        <v>46107</v>
      </c>
      <c r="U269" s="23">
        <v>48663</v>
      </c>
      <c r="X269" s="20">
        <v>10000</v>
      </c>
      <c r="Z269" s="6" t="s">
        <v>5978</v>
      </c>
      <c r="AA269" s="14">
        <f t="shared" ref="AA269:AA279" si="39">+(0.6/1000)</f>
        <v>5.9999999999999995E-4</v>
      </c>
      <c r="AB269">
        <v>5.826935999999999</v>
      </c>
      <c r="AC269">
        <v>6.0600134399999988</v>
      </c>
    </row>
    <row r="270" spans="1:29" x14ac:dyDescent="0.3">
      <c r="A270">
        <v>145826</v>
      </c>
      <c r="B270" s="25" t="s">
        <v>5984</v>
      </c>
      <c r="C270" t="s">
        <v>20</v>
      </c>
      <c r="D270" t="s">
        <v>21</v>
      </c>
      <c r="E270">
        <v>2222222</v>
      </c>
      <c r="F270" s="8" t="s">
        <v>22</v>
      </c>
      <c r="G270" s="2">
        <v>98</v>
      </c>
      <c r="H270" s="2" t="s">
        <v>3852</v>
      </c>
      <c r="I270" s="2" t="s">
        <v>4331</v>
      </c>
      <c r="J270" s="9" t="s">
        <v>5068</v>
      </c>
      <c r="K270" s="2" t="s">
        <v>4841</v>
      </c>
      <c r="L270" s="2">
        <v>1</v>
      </c>
      <c r="M270" s="24" t="s">
        <v>5971</v>
      </c>
      <c r="N270" s="2" t="s">
        <v>23</v>
      </c>
      <c r="O270" s="3" t="s">
        <v>233</v>
      </c>
      <c r="P270" s="18" t="s">
        <v>0</v>
      </c>
      <c r="Q270" s="6" t="s">
        <v>4475</v>
      </c>
      <c r="T270" s="23">
        <v>45777</v>
      </c>
      <c r="U270" s="23">
        <v>48699</v>
      </c>
      <c r="X270" s="20">
        <v>25800</v>
      </c>
      <c r="Z270" s="6" t="s">
        <v>5978</v>
      </c>
      <c r="AA270" s="14">
        <f t="shared" si="39"/>
        <v>5.9999999999999995E-4</v>
      </c>
      <c r="AB270">
        <v>14.109323999999999</v>
      </c>
      <c r="AC270">
        <v>14.673696959999999</v>
      </c>
    </row>
    <row r="271" spans="1:29" x14ac:dyDescent="0.3">
      <c r="A271">
        <v>150030</v>
      </c>
      <c r="B271" s="25" t="s">
        <v>5984</v>
      </c>
      <c r="C271" t="s">
        <v>20</v>
      </c>
      <c r="D271" t="s">
        <v>21</v>
      </c>
      <c r="E271">
        <v>2222222</v>
      </c>
      <c r="F271" s="8" t="s">
        <v>22</v>
      </c>
      <c r="G271" s="2">
        <v>98</v>
      </c>
      <c r="H271" s="2" t="s">
        <v>3852</v>
      </c>
      <c r="I271" s="2" t="s">
        <v>4468</v>
      </c>
      <c r="J271" s="9" t="s">
        <v>4826</v>
      </c>
      <c r="K271" s="2" t="s">
        <v>4937</v>
      </c>
      <c r="L271" s="2">
        <v>1</v>
      </c>
      <c r="M271" s="24" t="s">
        <v>5971</v>
      </c>
      <c r="N271" s="2" t="s">
        <v>23</v>
      </c>
      <c r="O271" s="3" t="s">
        <v>234</v>
      </c>
      <c r="P271" s="18" t="s">
        <v>0</v>
      </c>
      <c r="Q271" s="6" t="s">
        <v>4475</v>
      </c>
      <c r="T271" s="23">
        <v>46073</v>
      </c>
      <c r="U271" s="23">
        <v>47536</v>
      </c>
      <c r="X271" s="20">
        <v>7300</v>
      </c>
      <c r="Z271" s="6" t="s">
        <v>5978</v>
      </c>
      <c r="AA271" s="14">
        <f t="shared" si="39"/>
        <v>5.9999999999999995E-4</v>
      </c>
      <c r="AB271">
        <v>4.0437659999999997</v>
      </c>
      <c r="AC271">
        <v>4.2055166399999999</v>
      </c>
    </row>
    <row r="272" spans="1:29" x14ac:dyDescent="0.3">
      <c r="A272">
        <v>146258</v>
      </c>
      <c r="B272" s="25" t="s">
        <v>5984</v>
      </c>
      <c r="C272" t="s">
        <v>20</v>
      </c>
      <c r="D272" t="s">
        <v>21</v>
      </c>
      <c r="E272">
        <v>2222222</v>
      </c>
      <c r="F272" s="8" t="s">
        <v>22</v>
      </c>
      <c r="G272" s="2">
        <v>98</v>
      </c>
      <c r="H272" s="2" t="s">
        <v>3853</v>
      </c>
      <c r="I272" s="2" t="s">
        <v>4537</v>
      </c>
      <c r="J272" s="9" t="s">
        <v>5069</v>
      </c>
      <c r="K272" s="2" t="s">
        <v>5070</v>
      </c>
      <c r="L272" s="2">
        <v>1</v>
      </c>
      <c r="M272" s="24" t="s">
        <v>5971</v>
      </c>
      <c r="N272" s="2" t="s">
        <v>23</v>
      </c>
      <c r="O272" s="3" t="s">
        <v>235</v>
      </c>
      <c r="P272" s="18" t="s">
        <v>3781</v>
      </c>
      <c r="Q272" s="6" t="s">
        <v>4475</v>
      </c>
      <c r="T272" s="23">
        <v>45805</v>
      </c>
      <c r="U272" s="23">
        <v>47630</v>
      </c>
      <c r="X272" s="20">
        <v>5600</v>
      </c>
      <c r="Z272" s="6" t="s">
        <v>5978</v>
      </c>
      <c r="AA272" s="14">
        <f t="shared" si="39"/>
        <v>5.9999999999999995E-4</v>
      </c>
      <c r="AB272">
        <v>2.7976619999999999</v>
      </c>
      <c r="AC272">
        <v>2.9095684799999999</v>
      </c>
    </row>
    <row r="273" spans="1:29" x14ac:dyDescent="0.3">
      <c r="A273">
        <v>146263</v>
      </c>
      <c r="B273" s="25" t="s">
        <v>5984</v>
      </c>
      <c r="C273" t="s">
        <v>20</v>
      </c>
      <c r="D273" t="s">
        <v>21</v>
      </c>
      <c r="E273">
        <v>2222222</v>
      </c>
      <c r="F273" s="8" t="s">
        <v>22</v>
      </c>
      <c r="G273" s="2">
        <v>98</v>
      </c>
      <c r="H273" s="2" t="s">
        <v>3853</v>
      </c>
      <c r="I273" s="2" t="s">
        <v>4537</v>
      </c>
      <c r="J273" s="9" t="s">
        <v>5069</v>
      </c>
      <c r="K273" s="2" t="s">
        <v>5070</v>
      </c>
      <c r="L273" s="2">
        <v>1</v>
      </c>
      <c r="M273" s="24" t="s">
        <v>5971</v>
      </c>
      <c r="N273" s="2" t="s">
        <v>23</v>
      </c>
      <c r="O273" s="3" t="s">
        <v>235</v>
      </c>
      <c r="P273" s="18" t="s">
        <v>3781</v>
      </c>
      <c r="Q273" s="6" t="s">
        <v>4475</v>
      </c>
      <c r="T273" s="23">
        <v>45805</v>
      </c>
      <c r="U273" s="23">
        <v>47630</v>
      </c>
      <c r="X273" s="20">
        <v>5000</v>
      </c>
      <c r="Z273" s="6" t="s">
        <v>5978</v>
      </c>
      <c r="AA273" s="14">
        <f t="shared" si="39"/>
        <v>5.9999999999999995E-4</v>
      </c>
      <c r="AB273">
        <v>2.4752879999999995</v>
      </c>
      <c r="AC273">
        <v>2.5742995199999994</v>
      </c>
    </row>
    <row r="274" spans="1:29" x14ac:dyDescent="0.3">
      <c r="A274">
        <v>146266</v>
      </c>
      <c r="B274" s="25" t="s">
        <v>5984</v>
      </c>
      <c r="C274" t="s">
        <v>20</v>
      </c>
      <c r="D274" t="s">
        <v>21</v>
      </c>
      <c r="E274">
        <v>2222222</v>
      </c>
      <c r="F274" s="8" t="s">
        <v>22</v>
      </c>
      <c r="G274" s="2">
        <v>98</v>
      </c>
      <c r="H274" s="2" t="s">
        <v>3853</v>
      </c>
      <c r="I274" s="2" t="s">
        <v>4536</v>
      </c>
      <c r="J274" s="9" t="s">
        <v>5071</v>
      </c>
      <c r="K274" s="2" t="s">
        <v>5030</v>
      </c>
      <c r="L274" s="2">
        <v>1</v>
      </c>
      <c r="M274" s="24" t="s">
        <v>5971</v>
      </c>
      <c r="N274" s="2" t="s">
        <v>23</v>
      </c>
      <c r="O274" s="3" t="s">
        <v>236</v>
      </c>
      <c r="P274" s="18" t="s">
        <v>3781</v>
      </c>
      <c r="Q274" s="6" t="s">
        <v>4475</v>
      </c>
      <c r="T274" s="23">
        <v>45805</v>
      </c>
      <c r="U274" s="23">
        <v>46900</v>
      </c>
      <c r="X274" s="20">
        <v>6000</v>
      </c>
      <c r="Z274" s="6" t="s">
        <v>5978</v>
      </c>
      <c r="AA274" s="14">
        <f t="shared" si="39"/>
        <v>5.9999999999999995E-4</v>
      </c>
      <c r="AB274">
        <v>2.3767499999999999</v>
      </c>
      <c r="AC274">
        <v>2.4718200000000001</v>
      </c>
    </row>
    <row r="275" spans="1:29" x14ac:dyDescent="0.3">
      <c r="A275">
        <v>147236</v>
      </c>
      <c r="B275" s="25" t="s">
        <v>5984</v>
      </c>
      <c r="C275" t="s">
        <v>20</v>
      </c>
      <c r="D275" t="s">
        <v>21</v>
      </c>
      <c r="E275">
        <v>2222222</v>
      </c>
      <c r="F275" s="8" t="s">
        <v>22</v>
      </c>
      <c r="G275" s="2">
        <v>98</v>
      </c>
      <c r="H275" s="2" t="s">
        <v>3854</v>
      </c>
      <c r="I275" s="2" t="s">
        <v>4759</v>
      </c>
      <c r="J275" s="9" t="s">
        <v>5041</v>
      </c>
      <c r="K275" s="2" t="s">
        <v>4935</v>
      </c>
      <c r="L275" s="2">
        <v>1</v>
      </c>
      <c r="M275" s="24" t="s">
        <v>5971</v>
      </c>
      <c r="N275" s="2" t="s">
        <v>23</v>
      </c>
      <c r="O275" s="3" t="s">
        <v>237</v>
      </c>
      <c r="P275" s="18" t="s">
        <v>0</v>
      </c>
      <c r="Q275" s="6" t="s">
        <v>4475</v>
      </c>
      <c r="T275" s="23">
        <v>45884</v>
      </c>
      <c r="U275" s="23">
        <v>46979</v>
      </c>
      <c r="X275" s="20">
        <v>18000</v>
      </c>
      <c r="Z275" s="6" t="s">
        <v>5978</v>
      </c>
      <c r="AA275" s="14">
        <f t="shared" si="39"/>
        <v>5.9999999999999995E-4</v>
      </c>
      <c r="AB275">
        <v>8.6423759999999987</v>
      </c>
      <c r="AC275">
        <v>8.9880710399999995</v>
      </c>
    </row>
    <row r="276" spans="1:29" x14ac:dyDescent="0.3">
      <c r="A276">
        <v>143790</v>
      </c>
      <c r="B276" s="25" t="s">
        <v>5984</v>
      </c>
      <c r="C276" t="s">
        <v>20</v>
      </c>
      <c r="D276" t="s">
        <v>21</v>
      </c>
      <c r="E276">
        <v>2222222</v>
      </c>
      <c r="F276" s="8" t="s">
        <v>22</v>
      </c>
      <c r="G276" s="2">
        <v>98</v>
      </c>
      <c r="H276" s="2" t="s">
        <v>3855</v>
      </c>
      <c r="I276" s="2" t="s">
        <v>4590</v>
      </c>
      <c r="J276" s="9" t="s">
        <v>5038</v>
      </c>
      <c r="K276" s="2" t="s">
        <v>4887</v>
      </c>
      <c r="L276" s="2">
        <v>1</v>
      </c>
      <c r="M276" s="24" t="s">
        <v>5971</v>
      </c>
      <c r="N276" s="2" t="s">
        <v>23</v>
      </c>
      <c r="O276" s="3" t="s">
        <v>238</v>
      </c>
      <c r="P276" s="18" t="s">
        <v>3781</v>
      </c>
      <c r="Q276" s="6" t="s">
        <v>4475</v>
      </c>
      <c r="T276" s="23">
        <v>45624</v>
      </c>
      <c r="U276" s="23">
        <v>47453</v>
      </c>
      <c r="X276" s="20">
        <v>10000</v>
      </c>
      <c r="Z276" s="6" t="s">
        <v>5978</v>
      </c>
      <c r="AA276" s="14">
        <f t="shared" si="39"/>
        <v>5.9999999999999995E-4</v>
      </c>
      <c r="AB276">
        <v>4.586112</v>
      </c>
      <c r="AC276">
        <v>4.7695564800000003</v>
      </c>
    </row>
    <row r="277" spans="1:29" x14ac:dyDescent="0.3">
      <c r="A277">
        <v>144966</v>
      </c>
      <c r="B277" s="25" t="s">
        <v>5984</v>
      </c>
      <c r="C277" t="s">
        <v>20</v>
      </c>
      <c r="D277" t="s">
        <v>21</v>
      </c>
      <c r="E277">
        <v>2222222</v>
      </c>
      <c r="F277" s="8" t="s">
        <v>22</v>
      </c>
      <c r="G277" s="2">
        <v>98</v>
      </c>
      <c r="H277" s="2" t="s">
        <v>3855</v>
      </c>
      <c r="I277" s="2" t="s">
        <v>4590</v>
      </c>
      <c r="J277" s="9" t="s">
        <v>5073</v>
      </c>
      <c r="K277" s="2" t="s">
        <v>5074</v>
      </c>
      <c r="L277" s="2">
        <v>1</v>
      </c>
      <c r="M277" s="24" t="s">
        <v>5971</v>
      </c>
      <c r="N277" s="2" t="s">
        <v>23</v>
      </c>
      <c r="O277" s="3" t="s">
        <v>239</v>
      </c>
      <c r="P277" s="18" t="s">
        <v>3781</v>
      </c>
      <c r="Q277" s="6" t="s">
        <v>4475</v>
      </c>
      <c r="T277" s="23">
        <v>45702</v>
      </c>
      <c r="U277" s="23">
        <v>46799</v>
      </c>
      <c r="X277" s="20">
        <v>3500</v>
      </c>
      <c r="Z277" s="6" t="s">
        <v>5978</v>
      </c>
      <c r="AA277" s="14">
        <f t="shared" si="39"/>
        <v>5.9999999999999995E-4</v>
      </c>
      <c r="AB277">
        <v>1.2415019999999999</v>
      </c>
      <c r="AC277">
        <v>1.2911620799999999</v>
      </c>
    </row>
    <row r="278" spans="1:29" x14ac:dyDescent="0.3">
      <c r="A278">
        <v>149233</v>
      </c>
      <c r="B278" s="25" t="s">
        <v>5984</v>
      </c>
      <c r="C278" t="s">
        <v>20</v>
      </c>
      <c r="D278" t="s">
        <v>21</v>
      </c>
      <c r="E278">
        <v>2222222</v>
      </c>
      <c r="F278" s="8" t="s">
        <v>22</v>
      </c>
      <c r="G278" s="2">
        <v>98</v>
      </c>
      <c r="H278" s="2" t="s">
        <v>3855</v>
      </c>
      <c r="I278" s="2" t="s">
        <v>4590</v>
      </c>
      <c r="J278" s="9" t="s">
        <v>5073</v>
      </c>
      <c r="K278" s="2" t="s">
        <v>5074</v>
      </c>
      <c r="L278" s="2">
        <v>1</v>
      </c>
      <c r="M278" s="24" t="s">
        <v>5971</v>
      </c>
      <c r="N278" s="2" t="s">
        <v>23</v>
      </c>
      <c r="O278" s="3" t="s">
        <v>239</v>
      </c>
      <c r="P278" s="18" t="s">
        <v>3781</v>
      </c>
      <c r="Q278" s="6" t="s">
        <v>4475</v>
      </c>
      <c r="T278" s="23">
        <v>46012</v>
      </c>
      <c r="U278" s="23">
        <v>47837</v>
      </c>
      <c r="X278" s="20">
        <v>11000</v>
      </c>
      <c r="Z278" s="6" t="s">
        <v>5978</v>
      </c>
      <c r="AA278" s="14">
        <f t="shared" si="39"/>
        <v>5.9999999999999995E-4</v>
      </c>
      <c r="AB278">
        <v>6.0688619999999993</v>
      </c>
      <c r="AC278">
        <v>6.3116164799999996</v>
      </c>
    </row>
    <row r="279" spans="1:29" x14ac:dyDescent="0.3">
      <c r="A279">
        <v>152275</v>
      </c>
      <c r="B279" s="25" t="s">
        <v>5984</v>
      </c>
      <c r="C279" t="s">
        <v>20</v>
      </c>
      <c r="D279" t="s">
        <v>21</v>
      </c>
      <c r="E279">
        <v>2222222</v>
      </c>
      <c r="F279" s="8" t="s">
        <v>22</v>
      </c>
      <c r="G279" s="2">
        <v>98</v>
      </c>
      <c r="H279" s="2" t="s">
        <v>3856</v>
      </c>
      <c r="I279" s="2" t="s">
        <v>4721</v>
      </c>
      <c r="J279" s="9" t="s">
        <v>4830</v>
      </c>
      <c r="K279" s="2" t="s">
        <v>5075</v>
      </c>
      <c r="L279" s="2">
        <v>1</v>
      </c>
      <c r="M279" s="24" t="s">
        <v>5971</v>
      </c>
      <c r="N279" s="2" t="s">
        <v>23</v>
      </c>
      <c r="O279" s="3" t="s">
        <v>240</v>
      </c>
      <c r="P279" s="18" t="s">
        <v>3781</v>
      </c>
      <c r="Q279" s="6" t="s">
        <v>4475</v>
      </c>
      <c r="T279" s="23">
        <v>46224</v>
      </c>
      <c r="U279" s="23">
        <v>46650</v>
      </c>
      <c r="X279" s="20">
        <v>5000</v>
      </c>
      <c r="Z279" s="6" t="s">
        <v>5978</v>
      </c>
      <c r="AA279" s="14">
        <f t="shared" si="39"/>
        <v>5.9999999999999995E-4</v>
      </c>
      <c r="AB279">
        <v>2.9999999999999996</v>
      </c>
      <c r="AC279">
        <v>3.1199999999999997</v>
      </c>
    </row>
    <row r="280" spans="1:29" x14ac:dyDescent="0.3">
      <c r="A280">
        <v>114370</v>
      </c>
      <c r="B280" s="25" t="s">
        <v>5984</v>
      </c>
      <c r="C280" t="s">
        <v>20</v>
      </c>
      <c r="D280" t="s">
        <v>21</v>
      </c>
      <c r="E280">
        <v>2222222</v>
      </c>
      <c r="F280" s="8" t="s">
        <v>22</v>
      </c>
      <c r="G280" s="2">
        <v>98</v>
      </c>
      <c r="H280" s="2" t="s">
        <v>3857</v>
      </c>
      <c r="I280" s="2" t="s">
        <v>3857</v>
      </c>
      <c r="J280" s="9" t="s">
        <v>5076</v>
      </c>
      <c r="K280" s="2" t="s">
        <v>5075</v>
      </c>
      <c r="L280" s="2">
        <v>1</v>
      </c>
      <c r="M280" s="24" t="s">
        <v>5971</v>
      </c>
      <c r="N280" s="2" t="s">
        <v>23</v>
      </c>
      <c r="O280" s="3" t="s">
        <v>241</v>
      </c>
      <c r="P280" s="18" t="s">
        <v>3781</v>
      </c>
      <c r="Q280" s="6" t="s">
        <v>4475</v>
      </c>
      <c r="T280" s="23">
        <v>44049</v>
      </c>
      <c r="U280" s="23">
        <v>46970</v>
      </c>
      <c r="X280" s="20">
        <v>31535</v>
      </c>
      <c r="Z280" s="6" t="s">
        <v>5978</v>
      </c>
      <c r="AA280" s="15">
        <f t="shared" ref="AA280:AA283" si="40">+(0.42/1000)</f>
        <v>4.1999999999999996E-4</v>
      </c>
      <c r="AB280">
        <v>5.3802587999999991</v>
      </c>
      <c r="AC280">
        <v>5.5954691519999988</v>
      </c>
    </row>
    <row r="281" spans="1:29" x14ac:dyDescent="0.3">
      <c r="A281">
        <v>114894</v>
      </c>
      <c r="B281" s="25" t="s">
        <v>5984</v>
      </c>
      <c r="C281" t="s">
        <v>20</v>
      </c>
      <c r="D281" t="s">
        <v>21</v>
      </c>
      <c r="E281">
        <v>2222222</v>
      </c>
      <c r="F281" s="8" t="s">
        <v>22</v>
      </c>
      <c r="G281" s="2">
        <v>98</v>
      </c>
      <c r="H281" s="2" t="s">
        <v>3858</v>
      </c>
      <c r="I281" s="2" t="s">
        <v>3895</v>
      </c>
      <c r="J281" s="9" t="s">
        <v>5036</v>
      </c>
      <c r="K281" s="2" t="s">
        <v>5077</v>
      </c>
      <c r="L281" s="2">
        <v>1</v>
      </c>
      <c r="M281" s="24" t="s">
        <v>5971</v>
      </c>
      <c r="N281" s="2" t="s">
        <v>23</v>
      </c>
      <c r="O281" s="3" t="s">
        <v>242</v>
      </c>
      <c r="P281" s="18" t="s">
        <v>0</v>
      </c>
      <c r="Q281" s="6" t="s">
        <v>4475</v>
      </c>
      <c r="T281" s="23">
        <v>44071</v>
      </c>
      <c r="U281" s="23">
        <v>46642</v>
      </c>
      <c r="X281" s="20">
        <v>64345</v>
      </c>
      <c r="Z281" s="6" t="s">
        <v>5978</v>
      </c>
      <c r="AA281" s="15">
        <f t="shared" si="40"/>
        <v>4.1999999999999996E-4</v>
      </c>
      <c r="AB281">
        <v>7.376976599999999</v>
      </c>
      <c r="AC281">
        <v>7.6720556639999993</v>
      </c>
    </row>
    <row r="282" spans="1:29" x14ac:dyDescent="0.3">
      <c r="A282">
        <v>114626</v>
      </c>
      <c r="B282" s="25" t="s">
        <v>5984</v>
      </c>
      <c r="C282" t="s">
        <v>20</v>
      </c>
      <c r="D282" t="s">
        <v>21</v>
      </c>
      <c r="E282">
        <v>2222222</v>
      </c>
      <c r="F282" s="8" t="s">
        <v>22</v>
      </c>
      <c r="G282" s="2">
        <v>98</v>
      </c>
      <c r="H282" s="2" t="s">
        <v>3859</v>
      </c>
      <c r="I282" s="2" t="s">
        <v>4760</v>
      </c>
      <c r="J282" s="9" t="s">
        <v>4815</v>
      </c>
      <c r="K282" s="2" t="s">
        <v>5078</v>
      </c>
      <c r="L282" s="2">
        <v>1</v>
      </c>
      <c r="M282" s="24" t="s">
        <v>5971</v>
      </c>
      <c r="N282" s="2" t="s">
        <v>23</v>
      </c>
      <c r="O282" s="3" t="s">
        <v>243</v>
      </c>
      <c r="P282" s="18" t="s">
        <v>0</v>
      </c>
      <c r="Q282" s="6" t="s">
        <v>4475</v>
      </c>
      <c r="T282" s="23">
        <v>44062</v>
      </c>
      <c r="U282" s="23">
        <v>46252</v>
      </c>
      <c r="X282" s="20">
        <v>8720</v>
      </c>
      <c r="Z282" s="6" t="s">
        <v>5978</v>
      </c>
      <c r="AA282" s="15">
        <f t="shared" si="40"/>
        <v>4.1999999999999996E-4</v>
      </c>
      <c r="AB282">
        <v>3.3708695999999998</v>
      </c>
      <c r="AC282">
        <v>3.505704384</v>
      </c>
    </row>
    <row r="283" spans="1:29" x14ac:dyDescent="0.3">
      <c r="A283">
        <v>124129</v>
      </c>
      <c r="B283" s="25" t="s">
        <v>5984</v>
      </c>
      <c r="C283" t="s">
        <v>20</v>
      </c>
      <c r="D283" t="s">
        <v>21</v>
      </c>
      <c r="E283">
        <v>2222222</v>
      </c>
      <c r="F283" s="8" t="s">
        <v>22</v>
      </c>
      <c r="G283" s="2">
        <v>98</v>
      </c>
      <c r="H283" s="2" t="s">
        <v>3860</v>
      </c>
      <c r="I283" s="2" t="s">
        <v>3921</v>
      </c>
      <c r="J283" s="9" t="s">
        <v>5079</v>
      </c>
      <c r="K283" s="2" t="s">
        <v>4857</v>
      </c>
      <c r="L283" s="2">
        <v>1</v>
      </c>
      <c r="M283" s="24" t="s">
        <v>5971</v>
      </c>
      <c r="N283" s="2" t="s">
        <v>23</v>
      </c>
      <c r="O283" s="3" t="s">
        <v>244</v>
      </c>
      <c r="P283" s="18" t="s">
        <v>0</v>
      </c>
      <c r="Q283" s="6" t="s">
        <v>4475</v>
      </c>
      <c r="T283" s="23">
        <v>44515</v>
      </c>
      <c r="U283" s="23">
        <v>47072</v>
      </c>
      <c r="X283" s="20">
        <v>32500</v>
      </c>
      <c r="Z283" s="6" t="s">
        <v>5978</v>
      </c>
      <c r="AA283" s="15">
        <f t="shared" si="40"/>
        <v>4.1999999999999996E-4</v>
      </c>
      <c r="AB283">
        <v>6.5080679999999989</v>
      </c>
      <c r="AC283">
        <v>6.7683907199999993</v>
      </c>
    </row>
    <row r="284" spans="1:29" x14ac:dyDescent="0.3">
      <c r="A284">
        <v>141170</v>
      </c>
      <c r="B284" s="25" t="s">
        <v>5984</v>
      </c>
      <c r="C284" t="s">
        <v>20</v>
      </c>
      <c r="D284" t="s">
        <v>21</v>
      </c>
      <c r="E284">
        <v>2222222</v>
      </c>
      <c r="F284" s="8" t="s">
        <v>22</v>
      </c>
      <c r="G284" s="2">
        <v>98</v>
      </c>
      <c r="H284" s="2" t="s">
        <v>3860</v>
      </c>
      <c r="I284" s="2" t="s">
        <v>4201</v>
      </c>
      <c r="J284" s="9" t="s">
        <v>5080</v>
      </c>
      <c r="K284" s="2" t="s">
        <v>5024</v>
      </c>
      <c r="L284" s="2">
        <v>1</v>
      </c>
      <c r="M284" s="24" t="s">
        <v>5971</v>
      </c>
      <c r="N284" s="2" t="s">
        <v>23</v>
      </c>
      <c r="O284" s="3" t="s">
        <v>245</v>
      </c>
      <c r="P284" s="18" t="s">
        <v>0</v>
      </c>
      <c r="Q284" s="6" t="s">
        <v>4475</v>
      </c>
      <c r="T284" s="23">
        <v>45442</v>
      </c>
      <c r="U284" s="23">
        <v>49277</v>
      </c>
      <c r="X284" s="20">
        <v>34000</v>
      </c>
      <c r="Z284" s="6" t="s">
        <v>5978</v>
      </c>
      <c r="AA284" s="14">
        <f t="shared" ref="AA284:AA295" si="41">+(0.6/1000)</f>
        <v>5.9999999999999995E-4</v>
      </c>
      <c r="AB284">
        <v>18.921479999999999</v>
      </c>
      <c r="AC284">
        <v>19.6783392</v>
      </c>
    </row>
    <row r="285" spans="1:29" x14ac:dyDescent="0.3">
      <c r="A285">
        <v>144409</v>
      </c>
      <c r="B285" s="25" t="s">
        <v>5984</v>
      </c>
      <c r="C285" t="s">
        <v>20</v>
      </c>
      <c r="D285" t="s">
        <v>21</v>
      </c>
      <c r="E285">
        <v>2222222</v>
      </c>
      <c r="F285" s="8" t="s">
        <v>22</v>
      </c>
      <c r="G285" s="2">
        <v>98</v>
      </c>
      <c r="H285" s="2" t="s">
        <v>3860</v>
      </c>
      <c r="I285" s="2" t="s">
        <v>4587</v>
      </c>
      <c r="J285" s="9" t="s">
        <v>4891</v>
      </c>
      <c r="K285" s="2" t="s">
        <v>4893</v>
      </c>
      <c r="L285" s="2">
        <v>1</v>
      </c>
      <c r="M285" s="24" t="s">
        <v>5971</v>
      </c>
      <c r="N285" s="2" t="s">
        <v>23</v>
      </c>
      <c r="O285" s="3" t="s">
        <v>246</v>
      </c>
      <c r="P285" s="18" t="s">
        <v>3781</v>
      </c>
      <c r="Q285" s="6" t="s">
        <v>4475</v>
      </c>
      <c r="T285" s="23">
        <v>45662</v>
      </c>
      <c r="U285" s="23">
        <v>47122</v>
      </c>
      <c r="X285" s="20">
        <v>3650</v>
      </c>
      <c r="Z285" s="6" t="s">
        <v>5978</v>
      </c>
      <c r="AA285" s="14">
        <f t="shared" si="41"/>
        <v>5.9999999999999995E-4</v>
      </c>
      <c r="AB285">
        <v>1.5069839999999999</v>
      </c>
      <c r="AC285">
        <v>1.5672633599999999</v>
      </c>
    </row>
    <row r="286" spans="1:29" x14ac:dyDescent="0.3">
      <c r="A286">
        <v>144620</v>
      </c>
      <c r="B286" s="25" t="s">
        <v>5984</v>
      </c>
      <c r="C286" t="s">
        <v>20</v>
      </c>
      <c r="D286" t="s">
        <v>21</v>
      </c>
      <c r="E286">
        <v>2222222</v>
      </c>
      <c r="F286" s="8" t="s">
        <v>22</v>
      </c>
      <c r="G286" s="2">
        <v>98</v>
      </c>
      <c r="H286" s="2" t="s">
        <v>3860</v>
      </c>
      <c r="I286" s="2" t="s">
        <v>4636</v>
      </c>
      <c r="J286" s="9" t="s">
        <v>4903</v>
      </c>
      <c r="K286" s="2" t="s">
        <v>5056</v>
      </c>
      <c r="L286" s="2">
        <v>1</v>
      </c>
      <c r="M286" s="24" t="s">
        <v>5971</v>
      </c>
      <c r="N286" s="2" t="s">
        <v>23</v>
      </c>
      <c r="O286" s="3" t="s">
        <v>247</v>
      </c>
      <c r="P286" s="18" t="s">
        <v>3781</v>
      </c>
      <c r="Q286" s="6" t="s">
        <v>4475</v>
      </c>
      <c r="T286" s="23">
        <v>45679</v>
      </c>
      <c r="U286" s="23">
        <v>46773</v>
      </c>
      <c r="X286" s="20">
        <v>3000</v>
      </c>
      <c r="Z286" s="6" t="s">
        <v>5978</v>
      </c>
      <c r="AA286" s="14">
        <f t="shared" si="41"/>
        <v>5.9999999999999995E-4</v>
      </c>
      <c r="AB286">
        <v>0.92355599999999993</v>
      </c>
      <c r="AC286">
        <v>0.96049823999999995</v>
      </c>
    </row>
    <row r="287" spans="1:29" x14ac:dyDescent="0.3">
      <c r="A287">
        <v>146828</v>
      </c>
      <c r="B287" s="25" t="s">
        <v>5984</v>
      </c>
      <c r="C287" t="s">
        <v>20</v>
      </c>
      <c r="D287" t="s">
        <v>21</v>
      </c>
      <c r="E287">
        <v>2222222</v>
      </c>
      <c r="F287" s="8" t="s">
        <v>22</v>
      </c>
      <c r="G287" s="2">
        <v>98</v>
      </c>
      <c r="H287" s="2" t="s">
        <v>3860</v>
      </c>
      <c r="I287" s="2" t="s">
        <v>4105</v>
      </c>
      <c r="J287" s="9" t="s">
        <v>4967</v>
      </c>
      <c r="K287" s="2" t="s">
        <v>5081</v>
      </c>
      <c r="L287" s="2">
        <v>1</v>
      </c>
      <c r="M287" s="24" t="s">
        <v>5971</v>
      </c>
      <c r="N287" s="2" t="s">
        <v>23</v>
      </c>
      <c r="O287" s="3" t="s">
        <v>248</v>
      </c>
      <c r="P287" s="18" t="s">
        <v>3781</v>
      </c>
      <c r="Q287" s="6" t="s">
        <v>4475</v>
      </c>
      <c r="T287" s="23">
        <v>45846</v>
      </c>
      <c r="U287" s="23">
        <v>46941</v>
      </c>
      <c r="X287" s="20">
        <v>4000</v>
      </c>
      <c r="Z287" s="6" t="s">
        <v>5978</v>
      </c>
      <c r="AA287" s="14">
        <f t="shared" si="41"/>
        <v>5.9999999999999995E-4</v>
      </c>
      <c r="AB287">
        <v>1.7314259999999999</v>
      </c>
      <c r="AC287">
        <v>1.80068304</v>
      </c>
    </row>
    <row r="288" spans="1:29" x14ac:dyDescent="0.3">
      <c r="A288">
        <v>147069</v>
      </c>
      <c r="B288" s="25" t="s">
        <v>5984</v>
      </c>
      <c r="C288" t="s">
        <v>20</v>
      </c>
      <c r="D288" t="s">
        <v>21</v>
      </c>
      <c r="E288">
        <v>2222222</v>
      </c>
      <c r="F288" s="8" t="s">
        <v>22</v>
      </c>
      <c r="G288" s="2">
        <v>98</v>
      </c>
      <c r="H288" s="2" t="s">
        <v>3860</v>
      </c>
      <c r="I288" s="2" t="s">
        <v>4315</v>
      </c>
      <c r="J288" s="9" t="s">
        <v>4907</v>
      </c>
      <c r="K288" s="2" t="s">
        <v>5082</v>
      </c>
      <c r="L288" s="2">
        <v>1</v>
      </c>
      <c r="M288" s="24" t="s">
        <v>5971</v>
      </c>
      <c r="N288" s="2" t="s">
        <v>23</v>
      </c>
      <c r="O288" s="3" t="s">
        <v>249</v>
      </c>
      <c r="P288" s="18" t="s">
        <v>3781</v>
      </c>
      <c r="Q288" s="6" t="s">
        <v>4475</v>
      </c>
      <c r="T288" s="23">
        <v>45861</v>
      </c>
      <c r="U288" s="23">
        <v>46409</v>
      </c>
      <c r="X288" s="20">
        <v>2680</v>
      </c>
      <c r="Z288" s="6" t="s">
        <v>5978</v>
      </c>
      <c r="AA288" s="14">
        <f t="shared" si="41"/>
        <v>5.9999999999999995E-4</v>
      </c>
      <c r="AB288">
        <v>0.58472999999999997</v>
      </c>
      <c r="AC288">
        <v>0.60811919999999997</v>
      </c>
    </row>
    <row r="289" spans="1:29" x14ac:dyDescent="0.3">
      <c r="A289">
        <v>149223</v>
      </c>
      <c r="B289" s="25" t="s">
        <v>5984</v>
      </c>
      <c r="C289" t="s">
        <v>20</v>
      </c>
      <c r="D289" t="s">
        <v>21</v>
      </c>
      <c r="E289">
        <v>2222222</v>
      </c>
      <c r="F289" s="8" t="s">
        <v>22</v>
      </c>
      <c r="G289" s="2">
        <v>98</v>
      </c>
      <c r="H289" s="2" t="s">
        <v>3860</v>
      </c>
      <c r="I289" s="2" t="s">
        <v>4672</v>
      </c>
      <c r="J289" s="9" t="s">
        <v>4981</v>
      </c>
      <c r="K289" s="2" t="s">
        <v>5083</v>
      </c>
      <c r="L289" s="2">
        <v>1</v>
      </c>
      <c r="M289" s="24" t="s">
        <v>5971</v>
      </c>
      <c r="N289" s="2" t="s">
        <v>23</v>
      </c>
      <c r="O289" s="3" t="s">
        <v>250</v>
      </c>
      <c r="P289" s="18" t="s">
        <v>3781</v>
      </c>
      <c r="Q289" s="6" t="s">
        <v>4475</v>
      </c>
      <c r="T289" s="23">
        <v>46006</v>
      </c>
      <c r="U289" s="23">
        <v>46735</v>
      </c>
      <c r="X289" s="20">
        <v>5000</v>
      </c>
      <c r="Z289" s="6" t="s">
        <v>5978</v>
      </c>
      <c r="AA289" s="14">
        <f t="shared" si="41"/>
        <v>5.9999999999999995E-4</v>
      </c>
      <c r="AB289">
        <v>1.197444</v>
      </c>
      <c r="AC289">
        <v>1.2453417600000001</v>
      </c>
    </row>
    <row r="290" spans="1:29" x14ac:dyDescent="0.3">
      <c r="A290">
        <v>149305</v>
      </c>
      <c r="B290" s="25" t="s">
        <v>5984</v>
      </c>
      <c r="C290" t="s">
        <v>20</v>
      </c>
      <c r="D290" t="s">
        <v>21</v>
      </c>
      <c r="E290">
        <v>2222222</v>
      </c>
      <c r="F290" s="8" t="s">
        <v>22</v>
      </c>
      <c r="G290" s="2">
        <v>98</v>
      </c>
      <c r="H290" s="2" t="s">
        <v>3860</v>
      </c>
      <c r="I290" s="2" t="s">
        <v>4603</v>
      </c>
      <c r="J290" s="9" t="s">
        <v>5084</v>
      </c>
      <c r="K290" s="2" t="s">
        <v>5085</v>
      </c>
      <c r="L290" s="2">
        <v>1</v>
      </c>
      <c r="M290" s="24" t="s">
        <v>5971</v>
      </c>
      <c r="N290" s="2" t="s">
        <v>23</v>
      </c>
      <c r="O290" s="3" t="s">
        <v>251</v>
      </c>
      <c r="P290" s="18" t="s">
        <v>0</v>
      </c>
      <c r="Q290" s="6" t="s">
        <v>4475</v>
      </c>
      <c r="T290" s="23">
        <v>46012</v>
      </c>
      <c r="U290" s="23">
        <v>47472</v>
      </c>
      <c r="X290" s="20">
        <v>5000</v>
      </c>
      <c r="Z290" s="6" t="s">
        <v>5978</v>
      </c>
      <c r="AA290" s="14">
        <f t="shared" si="41"/>
        <v>5.9999999999999995E-4</v>
      </c>
      <c r="AB290">
        <v>2.6827320000000001</v>
      </c>
      <c r="AC290">
        <v>2.7900412800000001</v>
      </c>
    </row>
    <row r="291" spans="1:29" x14ac:dyDescent="0.3">
      <c r="A291">
        <v>150523</v>
      </c>
      <c r="B291" s="25" t="s">
        <v>5984</v>
      </c>
      <c r="C291" t="s">
        <v>20</v>
      </c>
      <c r="D291" t="s">
        <v>21</v>
      </c>
      <c r="E291">
        <v>2222222</v>
      </c>
      <c r="F291" s="8" t="s">
        <v>22</v>
      </c>
      <c r="G291" s="2">
        <v>98</v>
      </c>
      <c r="H291" s="2" t="s">
        <v>3860</v>
      </c>
      <c r="I291" s="2" t="s">
        <v>4414</v>
      </c>
      <c r="J291" s="9" t="s">
        <v>4826</v>
      </c>
      <c r="K291" s="2" t="s">
        <v>4853</v>
      </c>
      <c r="L291" s="2">
        <v>1</v>
      </c>
      <c r="M291" s="24" t="s">
        <v>5971</v>
      </c>
      <c r="N291" s="2" t="s">
        <v>23</v>
      </c>
      <c r="O291" s="3" t="s">
        <v>252</v>
      </c>
      <c r="P291" s="18" t="s">
        <v>0</v>
      </c>
      <c r="Q291" s="6" t="s">
        <v>4475</v>
      </c>
      <c r="T291" s="23">
        <v>46099</v>
      </c>
      <c r="U291" s="23">
        <v>47559</v>
      </c>
      <c r="X291" s="20">
        <v>5000</v>
      </c>
      <c r="Z291" s="6" t="s">
        <v>5978</v>
      </c>
      <c r="AA291" s="14">
        <f t="shared" si="41"/>
        <v>5.9999999999999995E-4</v>
      </c>
      <c r="AB291">
        <v>2.8234439999999998</v>
      </c>
      <c r="AC291">
        <v>2.9363817599999997</v>
      </c>
    </row>
    <row r="292" spans="1:29" x14ac:dyDescent="0.3">
      <c r="A292">
        <v>151230</v>
      </c>
      <c r="B292" s="25" t="s">
        <v>5984</v>
      </c>
      <c r="C292" t="s">
        <v>20</v>
      </c>
      <c r="D292" t="s">
        <v>21</v>
      </c>
      <c r="E292">
        <v>2222222</v>
      </c>
      <c r="F292" s="8" t="s">
        <v>22</v>
      </c>
      <c r="G292" s="2">
        <v>98</v>
      </c>
      <c r="H292" s="2" t="s">
        <v>3860</v>
      </c>
      <c r="I292" s="2" t="s">
        <v>4587</v>
      </c>
      <c r="J292" s="9" t="s">
        <v>5086</v>
      </c>
      <c r="K292" s="2" t="s">
        <v>5081</v>
      </c>
      <c r="L292" s="2">
        <v>1</v>
      </c>
      <c r="M292" s="24" t="s">
        <v>5971</v>
      </c>
      <c r="N292" s="2" t="s">
        <v>23</v>
      </c>
      <c r="O292" s="3" t="s">
        <v>253</v>
      </c>
      <c r="P292" s="18" t="s">
        <v>3781</v>
      </c>
      <c r="Q292" s="6" t="s">
        <v>4475</v>
      </c>
      <c r="T292" s="23">
        <v>46148</v>
      </c>
      <c r="U292" s="23">
        <v>46238</v>
      </c>
      <c r="X292" s="20">
        <v>2945</v>
      </c>
      <c r="Z292" s="6" t="s">
        <v>5978</v>
      </c>
      <c r="AA292" s="14">
        <f t="shared" si="41"/>
        <v>5.9999999999999995E-4</v>
      </c>
      <c r="AB292">
        <v>1.7669999999999999</v>
      </c>
      <c r="AC292">
        <v>1.83768</v>
      </c>
    </row>
    <row r="293" spans="1:29" x14ac:dyDescent="0.3">
      <c r="A293">
        <v>152142</v>
      </c>
      <c r="B293" s="25" t="s">
        <v>5984</v>
      </c>
      <c r="C293" t="s">
        <v>20</v>
      </c>
      <c r="D293" t="s">
        <v>21</v>
      </c>
      <c r="E293">
        <v>2222222</v>
      </c>
      <c r="F293" s="8" t="s">
        <v>22</v>
      </c>
      <c r="G293" s="2">
        <v>98</v>
      </c>
      <c r="H293" s="2" t="s">
        <v>3860</v>
      </c>
      <c r="I293" s="2" t="s">
        <v>4506</v>
      </c>
      <c r="J293" s="9" t="s">
        <v>5032</v>
      </c>
      <c r="K293" s="2" t="s">
        <v>5087</v>
      </c>
      <c r="L293" s="2">
        <v>1</v>
      </c>
      <c r="M293" s="24" t="s">
        <v>5971</v>
      </c>
      <c r="N293" s="2" t="s">
        <v>23</v>
      </c>
      <c r="O293" s="3" t="s">
        <v>254</v>
      </c>
      <c r="P293" s="18" t="s">
        <v>3781</v>
      </c>
      <c r="Q293" s="6" t="s">
        <v>4475</v>
      </c>
      <c r="T293" s="23">
        <v>46215</v>
      </c>
      <c r="U293" s="23">
        <v>46945</v>
      </c>
      <c r="X293" s="20">
        <v>5000</v>
      </c>
      <c r="Z293" s="6" t="s">
        <v>5978</v>
      </c>
      <c r="AA293" s="14">
        <f t="shared" si="41"/>
        <v>5.9999999999999995E-4</v>
      </c>
      <c r="AB293">
        <v>2.9999999999999996</v>
      </c>
      <c r="AC293">
        <v>3.1199999999999997</v>
      </c>
    </row>
    <row r="294" spans="1:29" x14ac:dyDescent="0.3">
      <c r="A294">
        <v>149897</v>
      </c>
      <c r="B294" s="25" t="s">
        <v>5984</v>
      </c>
      <c r="C294" t="s">
        <v>20</v>
      </c>
      <c r="D294" t="s">
        <v>21</v>
      </c>
      <c r="E294">
        <v>2222222</v>
      </c>
      <c r="F294" s="8" t="s">
        <v>22</v>
      </c>
      <c r="G294" s="2">
        <v>98</v>
      </c>
      <c r="H294" s="2" t="s">
        <v>3861</v>
      </c>
      <c r="I294" s="2" t="s">
        <v>4637</v>
      </c>
      <c r="J294" s="9" t="s">
        <v>4903</v>
      </c>
      <c r="K294" s="2" t="s">
        <v>5088</v>
      </c>
      <c r="L294" s="2">
        <v>1</v>
      </c>
      <c r="M294" s="24" t="s">
        <v>5971</v>
      </c>
      <c r="N294" s="2" t="s">
        <v>23</v>
      </c>
      <c r="O294" s="3" t="s">
        <v>255</v>
      </c>
      <c r="P294" s="18" t="s">
        <v>3781</v>
      </c>
      <c r="Q294" s="6" t="s">
        <v>4475</v>
      </c>
      <c r="T294" s="23">
        <v>46056</v>
      </c>
      <c r="U294" s="23">
        <v>47154</v>
      </c>
      <c r="X294" s="20">
        <v>5000</v>
      </c>
      <c r="Z294" s="6" t="s">
        <v>5978</v>
      </c>
      <c r="AA294" s="14">
        <f t="shared" si="41"/>
        <v>5.9999999999999995E-4</v>
      </c>
      <c r="AB294">
        <v>2.6740679999999997</v>
      </c>
      <c r="AC294">
        <v>2.78103072</v>
      </c>
    </row>
    <row r="295" spans="1:29" x14ac:dyDescent="0.3">
      <c r="A295">
        <v>149869</v>
      </c>
      <c r="B295" s="25" t="s">
        <v>5984</v>
      </c>
      <c r="C295" t="s">
        <v>20</v>
      </c>
      <c r="D295" t="s">
        <v>21</v>
      </c>
      <c r="E295">
        <v>2222222</v>
      </c>
      <c r="F295" s="8" t="s">
        <v>22</v>
      </c>
      <c r="G295" s="2">
        <v>98</v>
      </c>
      <c r="H295" s="2" t="s">
        <v>3862</v>
      </c>
      <c r="I295" s="2" t="s">
        <v>4761</v>
      </c>
      <c r="J295" s="9" t="s">
        <v>4836</v>
      </c>
      <c r="K295" s="2" t="s">
        <v>4880</v>
      </c>
      <c r="L295" s="2">
        <v>1</v>
      </c>
      <c r="M295" s="24" t="s">
        <v>5971</v>
      </c>
      <c r="N295" s="2" t="s">
        <v>23</v>
      </c>
      <c r="O295" s="3" t="s">
        <v>256</v>
      </c>
      <c r="P295" s="18" t="s">
        <v>3781</v>
      </c>
      <c r="Q295" s="6" t="s">
        <v>4475</v>
      </c>
      <c r="T295" s="23">
        <v>46059</v>
      </c>
      <c r="U295" s="23">
        <v>48618</v>
      </c>
      <c r="X295" s="20">
        <v>9500</v>
      </c>
      <c r="Z295" s="6" t="s">
        <v>5978</v>
      </c>
      <c r="AA295" s="14">
        <f t="shared" si="41"/>
        <v>5.9999999999999995E-4</v>
      </c>
      <c r="AB295">
        <v>5.4787140000000001</v>
      </c>
      <c r="AC295">
        <v>5.6978625599999999</v>
      </c>
    </row>
    <row r="296" spans="1:29" x14ac:dyDescent="0.3">
      <c r="A296">
        <v>131310</v>
      </c>
      <c r="B296" s="25" t="s">
        <v>5984</v>
      </c>
      <c r="C296" t="s">
        <v>20</v>
      </c>
      <c r="D296" t="s">
        <v>21</v>
      </c>
      <c r="E296">
        <v>2222222</v>
      </c>
      <c r="F296" s="8" t="s">
        <v>22</v>
      </c>
      <c r="G296" s="2">
        <v>98</v>
      </c>
      <c r="H296" s="2" t="s">
        <v>3863</v>
      </c>
      <c r="I296" s="2" t="s">
        <v>4762</v>
      </c>
      <c r="J296" s="9" t="s">
        <v>5089</v>
      </c>
      <c r="K296" s="2" t="s">
        <v>4966</v>
      </c>
      <c r="L296" s="2">
        <v>1</v>
      </c>
      <c r="M296" s="24" t="s">
        <v>5971</v>
      </c>
      <c r="N296" s="2" t="s">
        <v>23</v>
      </c>
      <c r="O296" s="3" t="s">
        <v>257</v>
      </c>
      <c r="P296" s="18" t="s">
        <v>0</v>
      </c>
      <c r="Q296" s="6" t="s">
        <v>4475</v>
      </c>
      <c r="T296" s="23">
        <v>44891</v>
      </c>
      <c r="U296" s="23">
        <v>46815</v>
      </c>
      <c r="X296" s="20">
        <v>10000</v>
      </c>
      <c r="Z296" s="6" t="s">
        <v>5978</v>
      </c>
      <c r="AA296" s="13">
        <f>+(0.56/1000)</f>
        <v>5.6000000000000006E-4</v>
      </c>
      <c r="AB296">
        <v>2.3815344000000001</v>
      </c>
      <c r="AC296">
        <v>2.4767957760000003</v>
      </c>
    </row>
    <row r="297" spans="1:29" x14ac:dyDescent="0.3">
      <c r="A297">
        <v>146501</v>
      </c>
      <c r="B297" s="25" t="s">
        <v>5984</v>
      </c>
      <c r="C297" t="s">
        <v>20</v>
      </c>
      <c r="D297" t="s">
        <v>21</v>
      </c>
      <c r="E297">
        <v>2222222</v>
      </c>
      <c r="F297" s="8" t="s">
        <v>22</v>
      </c>
      <c r="G297" s="2">
        <v>98</v>
      </c>
      <c r="H297" s="2" t="s">
        <v>3864</v>
      </c>
      <c r="I297" s="2" t="s">
        <v>4763</v>
      </c>
      <c r="J297" s="9" t="s">
        <v>5090</v>
      </c>
      <c r="K297" s="2" t="s">
        <v>5091</v>
      </c>
      <c r="L297" s="2">
        <v>1</v>
      </c>
      <c r="M297" s="24" t="s">
        <v>5971</v>
      </c>
      <c r="N297" s="2" t="s">
        <v>23</v>
      </c>
      <c r="O297" s="3" t="s">
        <v>258</v>
      </c>
      <c r="P297" s="18" t="s">
        <v>3781</v>
      </c>
      <c r="Q297" s="6" t="s">
        <v>4475</v>
      </c>
      <c r="T297" s="23">
        <v>45827</v>
      </c>
      <c r="U297" s="23">
        <v>46923</v>
      </c>
      <c r="X297" s="20">
        <v>8000</v>
      </c>
      <c r="Z297" s="6" t="s">
        <v>5978</v>
      </c>
      <c r="AA297" s="14">
        <f t="shared" ref="AA297:AA298" si="42">+(0.6/1000)</f>
        <v>5.9999999999999995E-4</v>
      </c>
      <c r="AB297">
        <v>3.295356</v>
      </c>
      <c r="AC297">
        <v>3.4271702400000001</v>
      </c>
    </row>
    <row r="298" spans="1:29" x14ac:dyDescent="0.3">
      <c r="A298">
        <v>145390</v>
      </c>
      <c r="B298" s="25" t="s">
        <v>5984</v>
      </c>
      <c r="C298" t="s">
        <v>20</v>
      </c>
      <c r="D298" t="s">
        <v>21</v>
      </c>
      <c r="E298">
        <v>2222222</v>
      </c>
      <c r="F298" s="8" t="s">
        <v>22</v>
      </c>
      <c r="G298" s="2">
        <v>98</v>
      </c>
      <c r="H298" s="2" t="s">
        <v>3865</v>
      </c>
      <c r="I298" s="2" t="s">
        <v>4543</v>
      </c>
      <c r="J298" s="9" t="s">
        <v>5092</v>
      </c>
      <c r="K298" s="2" t="s">
        <v>4861</v>
      </c>
      <c r="L298" s="2">
        <v>1</v>
      </c>
      <c r="M298" s="24" t="s">
        <v>5971</v>
      </c>
      <c r="N298" s="2" t="s">
        <v>23</v>
      </c>
      <c r="O298" s="3" t="s">
        <v>259</v>
      </c>
      <c r="P298" s="18" t="s">
        <v>3781</v>
      </c>
      <c r="Q298" s="6" t="s">
        <v>4475</v>
      </c>
      <c r="T298" s="23">
        <v>45734</v>
      </c>
      <c r="U298" s="23">
        <v>46282</v>
      </c>
      <c r="X298" s="20">
        <v>3900</v>
      </c>
      <c r="Z298" s="6" t="s">
        <v>5978</v>
      </c>
      <c r="AA298" s="14">
        <f t="shared" si="42"/>
        <v>5.9999999999999995E-4</v>
      </c>
      <c r="AB298">
        <v>0.290466</v>
      </c>
      <c r="AC298">
        <v>0.30208464000000002</v>
      </c>
    </row>
    <row r="299" spans="1:29" x14ac:dyDescent="0.3">
      <c r="A299">
        <v>136761</v>
      </c>
      <c r="B299" s="25" t="s">
        <v>5984</v>
      </c>
      <c r="C299" t="s">
        <v>20</v>
      </c>
      <c r="D299" t="s">
        <v>21</v>
      </c>
      <c r="E299">
        <v>2222222</v>
      </c>
      <c r="F299" s="8" t="s">
        <v>22</v>
      </c>
      <c r="G299" s="2">
        <v>98</v>
      </c>
      <c r="H299" s="2" t="s">
        <v>3866</v>
      </c>
      <c r="I299" s="2" t="s">
        <v>4764</v>
      </c>
      <c r="J299" s="9" t="s">
        <v>5093</v>
      </c>
      <c r="K299" s="2" t="s">
        <v>4761</v>
      </c>
      <c r="L299" s="2">
        <v>1</v>
      </c>
      <c r="M299" s="24" t="s">
        <v>5971</v>
      </c>
      <c r="N299" s="2" t="s">
        <v>23</v>
      </c>
      <c r="O299" s="3" t="s">
        <v>260</v>
      </c>
      <c r="P299" s="18" t="s">
        <v>3781</v>
      </c>
      <c r="Q299" s="6" t="s">
        <v>4475</v>
      </c>
      <c r="T299" s="23">
        <v>45202</v>
      </c>
      <c r="U299" s="23">
        <v>47120</v>
      </c>
      <c r="X299" s="20">
        <v>13705</v>
      </c>
      <c r="Z299" s="6" t="s">
        <v>5978</v>
      </c>
      <c r="AA299" s="13">
        <f>+(0.56/1000)</f>
        <v>5.6000000000000006E-4</v>
      </c>
      <c r="AB299">
        <v>4.7210464000000005</v>
      </c>
      <c r="AC299">
        <v>4.9098882560000003</v>
      </c>
    </row>
    <row r="300" spans="1:29" x14ac:dyDescent="0.3">
      <c r="A300">
        <v>145769</v>
      </c>
      <c r="B300" s="25" t="s">
        <v>5984</v>
      </c>
      <c r="C300" t="s">
        <v>20</v>
      </c>
      <c r="D300" t="s">
        <v>21</v>
      </c>
      <c r="E300">
        <v>2222222</v>
      </c>
      <c r="F300" s="8" t="s">
        <v>22</v>
      </c>
      <c r="G300" s="2">
        <v>98</v>
      </c>
      <c r="H300" s="2" t="s">
        <v>3867</v>
      </c>
      <c r="I300" s="2" t="s">
        <v>3820</v>
      </c>
      <c r="J300" s="9" t="s">
        <v>4988</v>
      </c>
      <c r="K300" s="2" t="s">
        <v>5018</v>
      </c>
      <c r="L300" s="2">
        <v>1</v>
      </c>
      <c r="M300" s="24" t="s">
        <v>5971</v>
      </c>
      <c r="N300" s="2" t="s">
        <v>23</v>
      </c>
      <c r="O300" s="3" t="s">
        <v>261</v>
      </c>
      <c r="P300" s="18" t="s">
        <v>0</v>
      </c>
      <c r="Q300" s="6" t="s">
        <v>4475</v>
      </c>
      <c r="T300" s="23">
        <v>45773</v>
      </c>
      <c r="U300" s="23">
        <v>49425</v>
      </c>
      <c r="X300" s="20">
        <v>24800</v>
      </c>
      <c r="Z300" s="6" t="s">
        <v>5978</v>
      </c>
      <c r="AA300" s="14">
        <f t="shared" ref="AA300:AA303" si="43">+(0.6/1000)</f>
        <v>5.9999999999999995E-4</v>
      </c>
      <c r="AB300">
        <v>14.003219999999999</v>
      </c>
      <c r="AC300">
        <v>14.5633488</v>
      </c>
    </row>
    <row r="301" spans="1:29" x14ac:dyDescent="0.3">
      <c r="A301">
        <v>146798</v>
      </c>
      <c r="B301" s="25" t="s">
        <v>5984</v>
      </c>
      <c r="C301" t="s">
        <v>20</v>
      </c>
      <c r="D301" t="s">
        <v>21</v>
      </c>
      <c r="E301">
        <v>2222222</v>
      </c>
      <c r="F301" s="8" t="s">
        <v>22</v>
      </c>
      <c r="G301" s="2">
        <v>98</v>
      </c>
      <c r="H301" s="2" t="s">
        <v>3867</v>
      </c>
      <c r="I301" s="2" t="s">
        <v>4331</v>
      </c>
      <c r="J301" s="9" t="s">
        <v>4838</v>
      </c>
      <c r="K301" s="2" t="s">
        <v>4779</v>
      </c>
      <c r="L301" s="2">
        <v>1</v>
      </c>
      <c r="M301" s="24" t="s">
        <v>5971</v>
      </c>
      <c r="N301" s="2" t="s">
        <v>23</v>
      </c>
      <c r="O301" s="3" t="s">
        <v>262</v>
      </c>
      <c r="P301" s="18" t="s">
        <v>0</v>
      </c>
      <c r="Q301" s="6" t="s">
        <v>4475</v>
      </c>
      <c r="T301" s="23">
        <v>45845</v>
      </c>
      <c r="U301" s="23">
        <v>47670</v>
      </c>
      <c r="X301" s="20">
        <v>3260</v>
      </c>
      <c r="Z301" s="6" t="s">
        <v>5978</v>
      </c>
      <c r="AA301" s="14">
        <f t="shared" si="43"/>
        <v>5.9999999999999995E-4</v>
      </c>
      <c r="AB301">
        <v>1.8643319999999997</v>
      </c>
      <c r="AC301">
        <v>1.9389052799999997</v>
      </c>
    </row>
    <row r="302" spans="1:29" x14ac:dyDescent="0.3">
      <c r="A302">
        <v>150311</v>
      </c>
      <c r="B302" s="25" t="s">
        <v>5984</v>
      </c>
      <c r="C302" t="s">
        <v>20</v>
      </c>
      <c r="D302" t="s">
        <v>21</v>
      </c>
      <c r="E302">
        <v>2222222</v>
      </c>
      <c r="F302" s="8" t="s">
        <v>22</v>
      </c>
      <c r="G302" s="2">
        <v>98</v>
      </c>
      <c r="H302" s="2" t="s">
        <v>3867</v>
      </c>
      <c r="I302" s="2" t="s">
        <v>4765</v>
      </c>
      <c r="J302" s="9" t="s">
        <v>5068</v>
      </c>
      <c r="K302" s="2" t="s">
        <v>4953</v>
      </c>
      <c r="L302" s="2">
        <v>1</v>
      </c>
      <c r="M302" s="24" t="s">
        <v>5971</v>
      </c>
      <c r="N302" s="2" t="s">
        <v>23</v>
      </c>
      <c r="O302" s="3" t="s">
        <v>263</v>
      </c>
      <c r="P302" s="18" t="s">
        <v>0</v>
      </c>
      <c r="Q302" s="6" t="s">
        <v>4475</v>
      </c>
      <c r="T302" s="23">
        <v>46085</v>
      </c>
      <c r="U302" s="23">
        <v>46237</v>
      </c>
      <c r="X302" s="20">
        <v>1000</v>
      </c>
      <c r="Z302" s="6" t="s">
        <v>5978</v>
      </c>
      <c r="AA302" s="14">
        <f t="shared" si="43"/>
        <v>5.9999999999999995E-4</v>
      </c>
      <c r="AB302">
        <v>0.12346199999999999</v>
      </c>
      <c r="AC302">
        <v>0.12840047999999998</v>
      </c>
    </row>
    <row r="303" spans="1:29" x14ac:dyDescent="0.3">
      <c r="A303">
        <v>152000</v>
      </c>
      <c r="B303" s="25" t="s">
        <v>5984</v>
      </c>
      <c r="C303" t="s">
        <v>20</v>
      </c>
      <c r="D303" t="s">
        <v>21</v>
      </c>
      <c r="E303">
        <v>2222222</v>
      </c>
      <c r="F303" s="8" t="s">
        <v>22</v>
      </c>
      <c r="G303" s="2">
        <v>98</v>
      </c>
      <c r="H303" s="2" t="s">
        <v>3867</v>
      </c>
      <c r="I303" s="2" t="s">
        <v>4669</v>
      </c>
      <c r="J303" s="9" t="s">
        <v>4998</v>
      </c>
      <c r="K303" s="2" t="s">
        <v>5975</v>
      </c>
      <c r="L303" s="2">
        <v>1</v>
      </c>
      <c r="M303" s="24" t="s">
        <v>5971</v>
      </c>
      <c r="N303" s="2" t="s">
        <v>23</v>
      </c>
      <c r="O303" s="3" t="s">
        <v>264</v>
      </c>
      <c r="P303" s="18" t="s">
        <v>3781</v>
      </c>
      <c r="Q303" s="6" t="s">
        <v>4475</v>
      </c>
      <c r="T303" s="23">
        <v>46223</v>
      </c>
      <c r="U303" s="23">
        <v>49875</v>
      </c>
      <c r="X303" s="20">
        <v>50000</v>
      </c>
      <c r="Z303" s="6" t="s">
        <v>5978</v>
      </c>
      <c r="AA303" s="14">
        <f t="shared" si="43"/>
        <v>5.9999999999999995E-4</v>
      </c>
      <c r="AB303">
        <v>29.999999999999996</v>
      </c>
      <c r="AC303">
        <v>31.199999999999996</v>
      </c>
    </row>
    <row r="304" spans="1:29" x14ac:dyDescent="0.3">
      <c r="A304">
        <v>139498</v>
      </c>
      <c r="B304" s="25" t="s">
        <v>5984</v>
      </c>
      <c r="C304" t="s">
        <v>20</v>
      </c>
      <c r="D304" t="s">
        <v>21</v>
      </c>
      <c r="E304">
        <v>2222222</v>
      </c>
      <c r="F304" s="8" t="s">
        <v>22</v>
      </c>
      <c r="G304" s="2">
        <v>98</v>
      </c>
      <c r="H304" s="2" t="s">
        <v>3868</v>
      </c>
      <c r="I304" s="2" t="s">
        <v>4627</v>
      </c>
      <c r="J304" s="9" t="s">
        <v>4936</v>
      </c>
      <c r="K304" s="2" t="s">
        <v>5094</v>
      </c>
      <c r="L304" s="2">
        <v>1</v>
      </c>
      <c r="M304" s="24" t="s">
        <v>5971</v>
      </c>
      <c r="N304" s="2" t="s">
        <v>23</v>
      </c>
      <c r="O304" s="3" t="s">
        <v>265</v>
      </c>
      <c r="P304" s="18" t="s">
        <v>0</v>
      </c>
      <c r="Q304" s="6" t="s">
        <v>4475</v>
      </c>
      <c r="T304" s="23">
        <v>45332</v>
      </c>
      <c r="U304" s="23">
        <v>46794</v>
      </c>
      <c r="X304" s="20">
        <v>5000</v>
      </c>
      <c r="Z304" s="6" t="s">
        <v>5978</v>
      </c>
      <c r="AA304" s="13">
        <f>+(0.56/1000)</f>
        <v>5.6000000000000006E-4</v>
      </c>
      <c r="AB304">
        <v>2.7212696000000003</v>
      </c>
      <c r="AC304">
        <v>2.8301203840000002</v>
      </c>
    </row>
    <row r="305" spans="1:29" x14ac:dyDescent="0.3">
      <c r="A305">
        <v>150151</v>
      </c>
      <c r="B305" s="25" t="s">
        <v>5984</v>
      </c>
      <c r="C305" t="s">
        <v>20</v>
      </c>
      <c r="D305" t="s">
        <v>21</v>
      </c>
      <c r="E305">
        <v>2222222</v>
      </c>
      <c r="F305" s="8" t="s">
        <v>22</v>
      </c>
      <c r="G305" s="2">
        <v>98</v>
      </c>
      <c r="H305" s="2" t="s">
        <v>3869</v>
      </c>
      <c r="I305" s="2" t="s">
        <v>3921</v>
      </c>
      <c r="J305" s="9" t="s">
        <v>4981</v>
      </c>
      <c r="K305" s="2" t="s">
        <v>5095</v>
      </c>
      <c r="L305" s="2">
        <v>1</v>
      </c>
      <c r="M305" s="24" t="s">
        <v>5971</v>
      </c>
      <c r="N305" s="2" t="s">
        <v>23</v>
      </c>
      <c r="O305" s="3" t="s">
        <v>266</v>
      </c>
      <c r="P305" s="18" t="s">
        <v>3781</v>
      </c>
      <c r="Q305" s="6" t="s">
        <v>4475</v>
      </c>
      <c r="T305" s="23">
        <v>46081</v>
      </c>
      <c r="U305" s="23">
        <v>51560</v>
      </c>
      <c r="X305" s="20">
        <v>150000</v>
      </c>
      <c r="Z305" s="6" t="s">
        <v>5978</v>
      </c>
      <c r="AA305" s="14">
        <f>+(0.6/1000)</f>
        <v>5.9999999999999995E-4</v>
      </c>
      <c r="AB305">
        <v>89.155667999999991</v>
      </c>
      <c r="AC305">
        <v>92.721894719999995</v>
      </c>
    </row>
    <row r="306" spans="1:29" x14ac:dyDescent="0.3">
      <c r="A306">
        <v>133042</v>
      </c>
      <c r="B306" s="25" t="s">
        <v>5984</v>
      </c>
      <c r="C306" t="s">
        <v>20</v>
      </c>
      <c r="D306" t="s">
        <v>21</v>
      </c>
      <c r="E306">
        <v>2222222</v>
      </c>
      <c r="F306" s="8" t="s">
        <v>22</v>
      </c>
      <c r="G306" s="2">
        <v>98</v>
      </c>
      <c r="H306" s="2" t="s">
        <v>3870</v>
      </c>
      <c r="I306" s="2" t="s">
        <v>4766</v>
      </c>
      <c r="J306" s="9" t="s">
        <v>5096</v>
      </c>
      <c r="K306" s="2" t="s">
        <v>5097</v>
      </c>
      <c r="L306" s="2">
        <v>1</v>
      </c>
      <c r="M306" s="24" t="s">
        <v>5971</v>
      </c>
      <c r="N306" s="2" t="s">
        <v>23</v>
      </c>
      <c r="O306" s="3" t="s">
        <v>267</v>
      </c>
      <c r="P306" s="18" t="s">
        <v>3781</v>
      </c>
      <c r="Q306" s="6" t="s">
        <v>4475</v>
      </c>
      <c r="T306" s="23">
        <v>44985</v>
      </c>
      <c r="U306" s="23">
        <v>47178</v>
      </c>
      <c r="X306" s="20">
        <v>20000</v>
      </c>
      <c r="Z306" s="6" t="s">
        <v>5978</v>
      </c>
      <c r="AA306" s="13">
        <f>+(0.56/1000)</f>
        <v>5.6000000000000006E-4</v>
      </c>
      <c r="AB306">
        <v>7.2318064000000009</v>
      </c>
      <c r="AC306">
        <v>7.5210786560000011</v>
      </c>
    </row>
    <row r="307" spans="1:29" x14ac:dyDescent="0.3">
      <c r="A307">
        <v>142988</v>
      </c>
      <c r="B307" s="25" t="s">
        <v>5984</v>
      </c>
      <c r="C307" t="s">
        <v>20</v>
      </c>
      <c r="D307" t="s">
        <v>21</v>
      </c>
      <c r="E307">
        <v>2222222</v>
      </c>
      <c r="F307" s="8" t="s">
        <v>22</v>
      </c>
      <c r="G307" s="2">
        <v>98</v>
      </c>
      <c r="H307" s="2" t="s">
        <v>3870</v>
      </c>
      <c r="I307" s="2" t="s">
        <v>4105</v>
      </c>
      <c r="J307" s="9" t="s">
        <v>5098</v>
      </c>
      <c r="K307" s="2" t="s">
        <v>5973</v>
      </c>
      <c r="L307" s="2">
        <v>1</v>
      </c>
      <c r="M307" s="24" t="s">
        <v>5971</v>
      </c>
      <c r="N307" s="2" t="s">
        <v>23</v>
      </c>
      <c r="O307" s="3" t="s">
        <v>268</v>
      </c>
      <c r="P307" s="18" t="s">
        <v>3781</v>
      </c>
      <c r="Q307" s="6" t="s">
        <v>4475</v>
      </c>
      <c r="T307" s="23">
        <v>45565</v>
      </c>
      <c r="U307" s="23">
        <v>47027</v>
      </c>
      <c r="X307" s="20">
        <v>13600</v>
      </c>
      <c r="Z307" s="6" t="s">
        <v>5978</v>
      </c>
      <c r="AA307" s="14">
        <f t="shared" ref="AA307:AA313" si="44">+(0.6/1000)</f>
        <v>5.9999999999999995E-4</v>
      </c>
      <c r="AB307">
        <v>5.1787679999999998</v>
      </c>
      <c r="AC307">
        <v>5.3859187200000003</v>
      </c>
    </row>
    <row r="308" spans="1:29" x14ac:dyDescent="0.3">
      <c r="A308">
        <v>144544</v>
      </c>
      <c r="B308" s="25" t="s">
        <v>5984</v>
      </c>
      <c r="C308" t="s">
        <v>20</v>
      </c>
      <c r="D308" t="s">
        <v>21</v>
      </c>
      <c r="E308">
        <v>2222222</v>
      </c>
      <c r="F308" s="8" t="s">
        <v>22</v>
      </c>
      <c r="G308" s="2">
        <v>98</v>
      </c>
      <c r="H308" s="2" t="s">
        <v>3870</v>
      </c>
      <c r="I308" s="2" t="s">
        <v>4334</v>
      </c>
      <c r="J308" s="9" t="s">
        <v>4943</v>
      </c>
      <c r="K308" s="2" t="s">
        <v>5099</v>
      </c>
      <c r="L308" s="2">
        <v>1</v>
      </c>
      <c r="M308" s="24" t="s">
        <v>5971</v>
      </c>
      <c r="N308" s="2" t="s">
        <v>23</v>
      </c>
      <c r="O308" s="3" t="s">
        <v>269</v>
      </c>
      <c r="P308" s="18" t="s">
        <v>0</v>
      </c>
      <c r="Q308" s="6" t="s">
        <v>4475</v>
      </c>
      <c r="T308" s="23">
        <v>45671</v>
      </c>
      <c r="U308" s="23">
        <v>47586</v>
      </c>
      <c r="X308" s="20">
        <v>3750</v>
      </c>
      <c r="Z308" s="6" t="s">
        <v>5978</v>
      </c>
      <c r="AA308" s="14">
        <f t="shared" si="44"/>
        <v>5.9999999999999995E-4</v>
      </c>
      <c r="AB308">
        <v>1.8244199999999997</v>
      </c>
      <c r="AC308">
        <v>1.8973967999999997</v>
      </c>
    </row>
    <row r="309" spans="1:29" x14ac:dyDescent="0.3">
      <c r="A309">
        <v>149196</v>
      </c>
      <c r="B309" s="25" t="s">
        <v>5984</v>
      </c>
      <c r="C309" t="s">
        <v>20</v>
      </c>
      <c r="D309" t="s">
        <v>21</v>
      </c>
      <c r="E309">
        <v>2222222</v>
      </c>
      <c r="F309" s="8" t="s">
        <v>22</v>
      </c>
      <c r="G309" s="2">
        <v>98</v>
      </c>
      <c r="H309" s="2" t="s">
        <v>3870</v>
      </c>
      <c r="I309" s="2" t="s">
        <v>3949</v>
      </c>
      <c r="J309" s="9" t="s">
        <v>5100</v>
      </c>
      <c r="K309" s="2" t="s">
        <v>4949</v>
      </c>
      <c r="L309" s="2">
        <v>1</v>
      </c>
      <c r="M309" s="24" t="s">
        <v>5971</v>
      </c>
      <c r="N309" s="2" t="s">
        <v>23</v>
      </c>
      <c r="O309" s="3" t="s">
        <v>270</v>
      </c>
      <c r="P309" s="18" t="s">
        <v>0</v>
      </c>
      <c r="Q309" s="6" t="s">
        <v>4475</v>
      </c>
      <c r="T309" s="23">
        <v>46005</v>
      </c>
      <c r="U309" s="23">
        <v>47830</v>
      </c>
      <c r="X309" s="20">
        <v>6120</v>
      </c>
      <c r="Z309" s="6" t="s">
        <v>5978</v>
      </c>
      <c r="AA309" s="14">
        <f t="shared" si="44"/>
        <v>5.9999999999999995E-4</v>
      </c>
      <c r="AB309">
        <v>3.4078739999999996</v>
      </c>
      <c r="AC309">
        <v>3.5441889599999996</v>
      </c>
    </row>
    <row r="310" spans="1:29" x14ac:dyDescent="0.3">
      <c r="A310">
        <v>151235</v>
      </c>
      <c r="B310" s="25" t="s">
        <v>5984</v>
      </c>
      <c r="C310" t="s">
        <v>20</v>
      </c>
      <c r="D310" t="s">
        <v>21</v>
      </c>
      <c r="E310">
        <v>2222222</v>
      </c>
      <c r="F310" s="8" t="s">
        <v>22</v>
      </c>
      <c r="G310" s="2">
        <v>98</v>
      </c>
      <c r="H310" s="2" t="s">
        <v>3870</v>
      </c>
      <c r="I310" s="2" t="s">
        <v>4508</v>
      </c>
      <c r="J310" s="9" t="s">
        <v>5064</v>
      </c>
      <c r="K310" s="2" t="s">
        <v>5085</v>
      </c>
      <c r="L310" s="2">
        <v>1</v>
      </c>
      <c r="M310" s="24" t="s">
        <v>5971</v>
      </c>
      <c r="N310" s="2" t="s">
        <v>23</v>
      </c>
      <c r="O310" s="3" t="s">
        <v>271</v>
      </c>
      <c r="P310" s="18" t="s">
        <v>0</v>
      </c>
      <c r="Q310" s="6" t="s">
        <v>4475</v>
      </c>
      <c r="T310" s="23">
        <v>46149</v>
      </c>
      <c r="U310" s="23">
        <v>46514</v>
      </c>
      <c r="X310" s="20">
        <v>1550</v>
      </c>
      <c r="Z310" s="6" t="s">
        <v>5978</v>
      </c>
      <c r="AA310" s="14">
        <f t="shared" si="44"/>
        <v>5.9999999999999995E-4</v>
      </c>
      <c r="AB310">
        <v>0.78367799999999999</v>
      </c>
      <c r="AC310">
        <v>0.81502512000000005</v>
      </c>
    </row>
    <row r="311" spans="1:29" x14ac:dyDescent="0.3">
      <c r="A311">
        <v>151724</v>
      </c>
      <c r="B311" s="25" t="s">
        <v>5984</v>
      </c>
      <c r="C311" t="s">
        <v>20</v>
      </c>
      <c r="D311" t="s">
        <v>21</v>
      </c>
      <c r="E311">
        <v>2222222</v>
      </c>
      <c r="F311" s="8" t="s">
        <v>22</v>
      </c>
      <c r="G311" s="2">
        <v>98</v>
      </c>
      <c r="H311" s="2" t="s">
        <v>3870</v>
      </c>
      <c r="I311" s="2" t="s">
        <v>4672</v>
      </c>
      <c r="J311" s="9" t="s">
        <v>4960</v>
      </c>
      <c r="K311" s="2" t="s">
        <v>5101</v>
      </c>
      <c r="L311" s="2">
        <v>1</v>
      </c>
      <c r="M311" s="24" t="s">
        <v>5971</v>
      </c>
      <c r="N311" s="2" t="s">
        <v>23</v>
      </c>
      <c r="O311" s="3" t="s">
        <v>272</v>
      </c>
      <c r="P311" s="18" t="s">
        <v>3781</v>
      </c>
      <c r="Q311" s="6" t="s">
        <v>4475</v>
      </c>
      <c r="T311" s="23">
        <v>46183</v>
      </c>
      <c r="U311" s="23">
        <v>46914</v>
      </c>
      <c r="X311" s="20">
        <v>5000</v>
      </c>
      <c r="Z311" s="6" t="s">
        <v>5978</v>
      </c>
      <c r="AA311" s="14">
        <f t="shared" si="44"/>
        <v>5.9999999999999995E-4</v>
      </c>
      <c r="AB311">
        <v>2.8948679999999998</v>
      </c>
      <c r="AC311">
        <v>3.01066272</v>
      </c>
    </row>
    <row r="312" spans="1:29" x14ac:dyDescent="0.3">
      <c r="A312">
        <v>152012</v>
      </c>
      <c r="B312" s="25" t="s">
        <v>5984</v>
      </c>
      <c r="C312" t="s">
        <v>20</v>
      </c>
      <c r="D312" t="s">
        <v>21</v>
      </c>
      <c r="E312">
        <v>2222222</v>
      </c>
      <c r="F312" s="8" t="s">
        <v>22</v>
      </c>
      <c r="G312" s="2">
        <v>98</v>
      </c>
      <c r="H312" s="2" t="s">
        <v>3870</v>
      </c>
      <c r="I312" s="2" t="s">
        <v>4767</v>
      </c>
      <c r="J312" s="9" t="s">
        <v>4864</v>
      </c>
      <c r="K312" s="2" t="s">
        <v>5064</v>
      </c>
      <c r="L312" s="2">
        <v>1</v>
      </c>
      <c r="M312" s="24" t="s">
        <v>5971</v>
      </c>
      <c r="N312" s="2" t="s">
        <v>23</v>
      </c>
      <c r="O312" s="3" t="s">
        <v>273</v>
      </c>
      <c r="P312" s="18" t="s">
        <v>0</v>
      </c>
      <c r="Q312" s="6" t="s">
        <v>4475</v>
      </c>
      <c r="T312" s="23">
        <v>46216</v>
      </c>
      <c r="U312" s="23">
        <v>47799</v>
      </c>
      <c r="X312" s="20">
        <v>16100</v>
      </c>
      <c r="Z312" s="6" t="s">
        <v>5978</v>
      </c>
      <c r="AA312" s="14">
        <f t="shared" si="44"/>
        <v>5.9999999999999995E-4</v>
      </c>
      <c r="AB312">
        <v>9.6599999999999984</v>
      </c>
      <c r="AC312">
        <v>10.046399999999998</v>
      </c>
    </row>
    <row r="313" spans="1:29" x14ac:dyDescent="0.3">
      <c r="A313">
        <v>152030</v>
      </c>
      <c r="B313" s="25" t="s">
        <v>5984</v>
      </c>
      <c r="C313" t="s">
        <v>20</v>
      </c>
      <c r="D313" t="s">
        <v>21</v>
      </c>
      <c r="E313">
        <v>2222222</v>
      </c>
      <c r="F313" s="8" t="s">
        <v>22</v>
      </c>
      <c r="G313" s="2">
        <v>98</v>
      </c>
      <c r="H313" s="2" t="s">
        <v>3870</v>
      </c>
      <c r="I313" s="2" t="s">
        <v>3921</v>
      </c>
      <c r="J313" s="9" t="s">
        <v>5102</v>
      </c>
      <c r="K313" s="2" t="s">
        <v>4875</v>
      </c>
      <c r="L313" s="2">
        <v>1</v>
      </c>
      <c r="M313" s="24" t="s">
        <v>5971</v>
      </c>
      <c r="N313" s="2" t="s">
        <v>23</v>
      </c>
      <c r="O313" s="3" t="s">
        <v>274</v>
      </c>
      <c r="P313" s="18" t="s">
        <v>0</v>
      </c>
      <c r="Q313" s="6" t="s">
        <v>4475</v>
      </c>
      <c r="T313" s="23">
        <v>46212</v>
      </c>
      <c r="U313" s="23">
        <v>47314</v>
      </c>
      <c r="X313" s="20">
        <v>8000</v>
      </c>
      <c r="Z313" s="6" t="s">
        <v>5978</v>
      </c>
      <c r="AA313" s="14">
        <f t="shared" si="44"/>
        <v>5.9999999999999995E-4</v>
      </c>
      <c r="AB313">
        <v>4.8</v>
      </c>
      <c r="AC313">
        <v>4.992</v>
      </c>
    </row>
    <row r="314" spans="1:29" x14ac:dyDescent="0.3">
      <c r="A314">
        <v>129523</v>
      </c>
      <c r="B314" s="25" t="s">
        <v>5984</v>
      </c>
      <c r="C314" t="s">
        <v>20</v>
      </c>
      <c r="D314" t="s">
        <v>21</v>
      </c>
      <c r="E314">
        <v>2222222</v>
      </c>
      <c r="F314" s="8" t="s">
        <v>22</v>
      </c>
      <c r="G314" s="2">
        <v>98</v>
      </c>
      <c r="H314" s="2" t="s">
        <v>3871</v>
      </c>
      <c r="I314" s="2" t="s">
        <v>4184</v>
      </c>
      <c r="J314" s="9" t="s">
        <v>5031</v>
      </c>
      <c r="K314" s="2" t="s">
        <v>5074</v>
      </c>
      <c r="L314" s="2">
        <v>1</v>
      </c>
      <c r="M314" s="24" t="s">
        <v>5971</v>
      </c>
      <c r="N314" s="2" t="s">
        <v>23</v>
      </c>
      <c r="O314" s="3" t="s">
        <v>275</v>
      </c>
      <c r="P314" s="18" t="s">
        <v>3781</v>
      </c>
      <c r="Q314" s="6" t="s">
        <v>4475</v>
      </c>
      <c r="T314" s="23">
        <v>44816</v>
      </c>
      <c r="U314" s="23">
        <v>46642</v>
      </c>
      <c r="X314" s="20">
        <v>15000</v>
      </c>
      <c r="Z314" s="6" t="s">
        <v>5978</v>
      </c>
      <c r="AA314" s="13">
        <f t="shared" ref="AA314:AA315" si="45">+(0.56/1000)</f>
        <v>5.6000000000000006E-4</v>
      </c>
      <c r="AB314">
        <v>2.6027232000000002</v>
      </c>
      <c r="AC314">
        <v>2.7068321280000003</v>
      </c>
    </row>
    <row r="315" spans="1:29" x14ac:dyDescent="0.3">
      <c r="A315">
        <v>138947</v>
      </c>
      <c r="B315" s="25" t="s">
        <v>5984</v>
      </c>
      <c r="C315" t="s">
        <v>20</v>
      </c>
      <c r="D315" t="s">
        <v>21</v>
      </c>
      <c r="E315">
        <v>2222222</v>
      </c>
      <c r="F315" s="8" t="s">
        <v>22</v>
      </c>
      <c r="G315" s="2">
        <v>98</v>
      </c>
      <c r="H315" s="2" t="s">
        <v>3871</v>
      </c>
      <c r="I315" s="2" t="s">
        <v>4184</v>
      </c>
      <c r="J315" s="9" t="s">
        <v>5031</v>
      </c>
      <c r="K315" s="2" t="s">
        <v>5074</v>
      </c>
      <c r="L315" s="2">
        <v>1</v>
      </c>
      <c r="M315" s="24" t="s">
        <v>5971</v>
      </c>
      <c r="N315" s="2" t="s">
        <v>23</v>
      </c>
      <c r="O315" s="3" t="s">
        <v>275</v>
      </c>
      <c r="P315" s="18" t="s">
        <v>3781</v>
      </c>
      <c r="Q315" s="6" t="s">
        <v>4475</v>
      </c>
      <c r="T315" s="23">
        <v>45307</v>
      </c>
      <c r="U315" s="23">
        <v>46767</v>
      </c>
      <c r="X315" s="20">
        <v>5000</v>
      </c>
      <c r="Z315" s="6" t="s">
        <v>5978</v>
      </c>
      <c r="AA315" s="13">
        <f t="shared" si="45"/>
        <v>5.6000000000000006E-4</v>
      </c>
      <c r="AB315">
        <v>1.3033048</v>
      </c>
      <c r="AC315">
        <v>1.355436992</v>
      </c>
    </row>
    <row r="316" spans="1:29" x14ac:dyDescent="0.3">
      <c r="A316">
        <v>141094</v>
      </c>
      <c r="B316" s="25" t="s">
        <v>5984</v>
      </c>
      <c r="C316" t="s">
        <v>20</v>
      </c>
      <c r="D316" t="s">
        <v>21</v>
      </c>
      <c r="E316">
        <v>2222222</v>
      </c>
      <c r="F316" s="8" t="s">
        <v>22</v>
      </c>
      <c r="G316" s="2">
        <v>98</v>
      </c>
      <c r="H316" s="2" t="s">
        <v>3871</v>
      </c>
      <c r="I316" s="2" t="s">
        <v>3906</v>
      </c>
      <c r="J316" s="9" t="s">
        <v>4962</v>
      </c>
      <c r="K316" s="2" t="s">
        <v>5103</v>
      </c>
      <c r="L316" s="2">
        <v>1</v>
      </c>
      <c r="M316" s="24" t="s">
        <v>5971</v>
      </c>
      <c r="N316" s="2" t="s">
        <v>23</v>
      </c>
      <c r="O316" s="3" t="s">
        <v>276</v>
      </c>
      <c r="P316" s="18" t="s">
        <v>3781</v>
      </c>
      <c r="Q316" s="6" t="s">
        <v>4475</v>
      </c>
      <c r="T316" s="23">
        <v>45431</v>
      </c>
      <c r="U316" s="23">
        <v>49174</v>
      </c>
      <c r="X316" s="20">
        <v>16920</v>
      </c>
      <c r="Z316" s="6" t="s">
        <v>5978</v>
      </c>
      <c r="AA316" s="14">
        <f t="shared" ref="AA316:AA325" si="46">+(0.6/1000)</f>
        <v>5.9999999999999995E-4</v>
      </c>
      <c r="AB316">
        <v>9.0523199999999999</v>
      </c>
      <c r="AC316">
        <v>9.4144128000000009</v>
      </c>
    </row>
    <row r="317" spans="1:29" x14ac:dyDescent="0.3">
      <c r="A317">
        <v>146384</v>
      </c>
      <c r="B317" s="25" t="s">
        <v>5984</v>
      </c>
      <c r="C317" t="s">
        <v>20</v>
      </c>
      <c r="D317" t="s">
        <v>21</v>
      </c>
      <c r="E317">
        <v>2222222</v>
      </c>
      <c r="F317" s="8" t="s">
        <v>22</v>
      </c>
      <c r="G317" s="2">
        <v>98</v>
      </c>
      <c r="H317" s="2" t="s">
        <v>3871</v>
      </c>
      <c r="I317" s="2" t="s">
        <v>3905</v>
      </c>
      <c r="J317" s="9" t="s">
        <v>4891</v>
      </c>
      <c r="K317" s="2" t="s">
        <v>5104</v>
      </c>
      <c r="L317" s="2">
        <v>1</v>
      </c>
      <c r="M317" s="24" t="s">
        <v>5971</v>
      </c>
      <c r="N317" s="2" t="s">
        <v>23</v>
      </c>
      <c r="O317" s="3" t="s">
        <v>277</v>
      </c>
      <c r="P317" s="18" t="s">
        <v>3781</v>
      </c>
      <c r="Q317" s="6" t="s">
        <v>4475</v>
      </c>
      <c r="T317" s="23">
        <v>45813</v>
      </c>
      <c r="U317" s="23">
        <v>47274</v>
      </c>
      <c r="X317" s="20">
        <v>3270</v>
      </c>
      <c r="Z317" s="6" t="s">
        <v>5978</v>
      </c>
      <c r="AA317" s="14">
        <f t="shared" si="46"/>
        <v>5.9999999999999995E-4</v>
      </c>
      <c r="AB317">
        <v>1.5483239999999998</v>
      </c>
      <c r="AC317">
        <v>1.6102569599999998</v>
      </c>
    </row>
    <row r="318" spans="1:29" x14ac:dyDescent="0.3">
      <c r="A318">
        <v>146717</v>
      </c>
      <c r="B318" s="25" t="s">
        <v>5984</v>
      </c>
      <c r="C318" t="s">
        <v>20</v>
      </c>
      <c r="D318" t="s">
        <v>21</v>
      </c>
      <c r="E318">
        <v>2222222</v>
      </c>
      <c r="F318" s="8" t="s">
        <v>22</v>
      </c>
      <c r="G318" s="2">
        <v>98</v>
      </c>
      <c r="H318" s="2" t="s">
        <v>3871</v>
      </c>
      <c r="I318" s="2" t="s">
        <v>4768</v>
      </c>
      <c r="J318" s="9" t="s">
        <v>4906</v>
      </c>
      <c r="K318" s="2" t="s">
        <v>5105</v>
      </c>
      <c r="L318" s="2">
        <v>1</v>
      </c>
      <c r="M318" s="24" t="s">
        <v>5971</v>
      </c>
      <c r="N318" s="2" t="s">
        <v>23</v>
      </c>
      <c r="O318" s="3" t="s">
        <v>278</v>
      </c>
      <c r="P318" s="18" t="s">
        <v>0</v>
      </c>
      <c r="Q318" s="6" t="s">
        <v>4475</v>
      </c>
      <c r="T318" s="23">
        <v>45838</v>
      </c>
      <c r="U318" s="23">
        <v>46934</v>
      </c>
      <c r="X318" s="20">
        <v>5000</v>
      </c>
      <c r="Z318" s="6" t="s">
        <v>5978</v>
      </c>
      <c r="AA318" s="14">
        <f t="shared" si="46"/>
        <v>5.9999999999999995E-4</v>
      </c>
      <c r="AB318">
        <v>2.1748079999999996</v>
      </c>
      <c r="AC318">
        <v>2.2618003199999999</v>
      </c>
    </row>
    <row r="319" spans="1:29" x14ac:dyDescent="0.3">
      <c r="A319">
        <v>149917</v>
      </c>
      <c r="B319" s="25" t="s">
        <v>5984</v>
      </c>
      <c r="C319" t="s">
        <v>20</v>
      </c>
      <c r="D319" t="s">
        <v>21</v>
      </c>
      <c r="E319">
        <v>2222222</v>
      </c>
      <c r="F319" s="8" t="s">
        <v>22</v>
      </c>
      <c r="G319" s="2">
        <v>98</v>
      </c>
      <c r="H319" s="2" t="s">
        <v>3871</v>
      </c>
      <c r="I319" s="2" t="s">
        <v>4184</v>
      </c>
      <c r="J319" s="9" t="s">
        <v>5031</v>
      </c>
      <c r="K319" s="2" t="s">
        <v>5074</v>
      </c>
      <c r="L319" s="2">
        <v>1</v>
      </c>
      <c r="M319" s="24" t="s">
        <v>5971</v>
      </c>
      <c r="N319" s="2" t="s">
        <v>23</v>
      </c>
      <c r="O319" s="3" t="s">
        <v>275</v>
      </c>
      <c r="P319" s="18" t="s">
        <v>3781</v>
      </c>
      <c r="Q319" s="6" t="s">
        <v>4475</v>
      </c>
      <c r="T319" s="23">
        <v>46057</v>
      </c>
      <c r="U319" s="23">
        <v>46605</v>
      </c>
      <c r="X319" s="20">
        <v>3170</v>
      </c>
      <c r="Z319" s="6" t="s">
        <v>5978</v>
      </c>
      <c r="AA319" s="14">
        <f t="shared" si="46"/>
        <v>5.9999999999999995E-4</v>
      </c>
      <c r="AB319">
        <v>1.4215979999999999</v>
      </c>
      <c r="AC319">
        <v>1.47846192</v>
      </c>
    </row>
    <row r="320" spans="1:29" x14ac:dyDescent="0.3">
      <c r="A320">
        <v>150670</v>
      </c>
      <c r="B320" s="25" t="s">
        <v>5984</v>
      </c>
      <c r="C320" t="s">
        <v>20</v>
      </c>
      <c r="D320" t="s">
        <v>21</v>
      </c>
      <c r="E320">
        <v>2222222</v>
      </c>
      <c r="F320" s="8" t="s">
        <v>22</v>
      </c>
      <c r="G320" s="2">
        <v>98</v>
      </c>
      <c r="H320" s="2" t="s">
        <v>3871</v>
      </c>
      <c r="I320" s="2" t="s">
        <v>4184</v>
      </c>
      <c r="J320" s="9" t="s">
        <v>5106</v>
      </c>
      <c r="K320" s="2" t="s">
        <v>4761</v>
      </c>
      <c r="L320" s="2">
        <v>1</v>
      </c>
      <c r="M320" s="24" t="s">
        <v>5971</v>
      </c>
      <c r="N320" s="2" t="s">
        <v>23</v>
      </c>
      <c r="O320" s="3" t="s">
        <v>279</v>
      </c>
      <c r="P320" s="18" t="s">
        <v>3781</v>
      </c>
      <c r="Q320" s="6" t="s">
        <v>4475</v>
      </c>
      <c r="T320" s="23">
        <v>46112</v>
      </c>
      <c r="U320" s="23">
        <v>47572</v>
      </c>
      <c r="X320" s="20">
        <v>35000</v>
      </c>
      <c r="Z320" s="6" t="s">
        <v>5978</v>
      </c>
      <c r="AA320" s="14">
        <f t="shared" si="46"/>
        <v>5.9999999999999995E-4</v>
      </c>
      <c r="AB320">
        <v>19.687397999999998</v>
      </c>
      <c r="AC320">
        <v>20.47489392</v>
      </c>
    </row>
    <row r="321" spans="1:29" x14ac:dyDescent="0.3">
      <c r="A321">
        <v>152224</v>
      </c>
      <c r="B321" s="25" t="s">
        <v>5984</v>
      </c>
      <c r="C321" t="s">
        <v>20</v>
      </c>
      <c r="D321" t="s">
        <v>21</v>
      </c>
      <c r="E321">
        <v>2222222</v>
      </c>
      <c r="F321" s="8" t="s">
        <v>22</v>
      </c>
      <c r="G321" s="2">
        <v>98</v>
      </c>
      <c r="H321" s="2" t="s">
        <v>3871</v>
      </c>
      <c r="I321" s="2" t="s">
        <v>4184</v>
      </c>
      <c r="J321" s="9" t="s">
        <v>5107</v>
      </c>
      <c r="K321" s="2" t="s">
        <v>5018</v>
      </c>
      <c r="L321" s="2">
        <v>1</v>
      </c>
      <c r="M321" s="24" t="s">
        <v>5971</v>
      </c>
      <c r="N321" s="2" t="s">
        <v>23</v>
      </c>
      <c r="O321" s="3" t="s">
        <v>280</v>
      </c>
      <c r="P321" s="18" t="s">
        <v>0</v>
      </c>
      <c r="Q321" s="6" t="s">
        <v>4475</v>
      </c>
      <c r="T321" s="23">
        <v>46220</v>
      </c>
      <c r="U321" s="23">
        <v>46950</v>
      </c>
      <c r="X321" s="20">
        <v>1250</v>
      </c>
      <c r="Z321" s="6" t="s">
        <v>5978</v>
      </c>
      <c r="AA321" s="14">
        <f t="shared" si="46"/>
        <v>5.9999999999999995E-4</v>
      </c>
      <c r="AB321">
        <v>0.74999999999999989</v>
      </c>
      <c r="AC321">
        <v>0.77999999999999992</v>
      </c>
    </row>
    <row r="322" spans="1:29" x14ac:dyDescent="0.3">
      <c r="A322">
        <v>152318</v>
      </c>
      <c r="B322" s="25" t="s">
        <v>5984</v>
      </c>
      <c r="C322" t="s">
        <v>20</v>
      </c>
      <c r="D322" t="s">
        <v>21</v>
      </c>
      <c r="E322">
        <v>2222222</v>
      </c>
      <c r="F322" s="8" t="s">
        <v>22</v>
      </c>
      <c r="G322" s="2">
        <v>98</v>
      </c>
      <c r="H322" s="2" t="s">
        <v>3872</v>
      </c>
      <c r="I322" s="2" t="s">
        <v>4184</v>
      </c>
      <c r="J322" s="9" t="s">
        <v>5061</v>
      </c>
      <c r="K322" s="2" t="s">
        <v>5108</v>
      </c>
      <c r="L322" s="2">
        <v>1</v>
      </c>
      <c r="M322" s="24" t="s">
        <v>5971</v>
      </c>
      <c r="N322" s="2" t="s">
        <v>23</v>
      </c>
      <c r="O322" s="3" t="s">
        <v>281</v>
      </c>
      <c r="P322" s="18" t="s">
        <v>0</v>
      </c>
      <c r="Q322" s="6" t="s">
        <v>4475</v>
      </c>
      <c r="T322" s="23">
        <v>46227</v>
      </c>
      <c r="U322" s="23">
        <v>47687</v>
      </c>
      <c r="X322" s="20">
        <v>2575</v>
      </c>
      <c r="Z322" s="6" t="s">
        <v>5978</v>
      </c>
      <c r="AA322" s="14">
        <f t="shared" si="46"/>
        <v>5.9999999999999995E-4</v>
      </c>
      <c r="AB322">
        <v>1.5449999999999999</v>
      </c>
      <c r="AC322">
        <v>1.6068</v>
      </c>
    </row>
    <row r="323" spans="1:29" x14ac:dyDescent="0.3">
      <c r="A323">
        <v>143390</v>
      </c>
      <c r="B323" s="25" t="s">
        <v>5984</v>
      </c>
      <c r="C323" t="s">
        <v>20</v>
      </c>
      <c r="D323" t="s">
        <v>21</v>
      </c>
      <c r="E323">
        <v>2222222</v>
      </c>
      <c r="F323" s="8" t="s">
        <v>22</v>
      </c>
      <c r="G323" s="2">
        <v>98</v>
      </c>
      <c r="H323" s="2" t="s">
        <v>3873</v>
      </c>
      <c r="I323" s="2" t="s">
        <v>4769</v>
      </c>
      <c r="J323" s="9" t="s">
        <v>5109</v>
      </c>
      <c r="K323" s="2" t="s">
        <v>4876</v>
      </c>
      <c r="L323" s="2">
        <v>1</v>
      </c>
      <c r="M323" s="24" t="s">
        <v>5971</v>
      </c>
      <c r="N323" s="2" t="s">
        <v>23</v>
      </c>
      <c r="O323" s="3" t="s">
        <v>282</v>
      </c>
      <c r="P323" s="18" t="s">
        <v>0</v>
      </c>
      <c r="Q323" s="6" t="s">
        <v>4475</v>
      </c>
      <c r="T323" s="23">
        <v>45595</v>
      </c>
      <c r="U323" s="23">
        <v>46689</v>
      </c>
      <c r="X323" s="20">
        <v>31000</v>
      </c>
      <c r="Z323" s="6" t="s">
        <v>5978</v>
      </c>
      <c r="AA323" s="14">
        <f t="shared" si="46"/>
        <v>5.9999999999999995E-4</v>
      </c>
      <c r="AB323">
        <v>8.7359639999999992</v>
      </c>
      <c r="AC323">
        <v>9.0854025599999986</v>
      </c>
    </row>
    <row r="324" spans="1:29" x14ac:dyDescent="0.3">
      <c r="A324">
        <v>151254</v>
      </c>
      <c r="B324" s="25" t="s">
        <v>5984</v>
      </c>
      <c r="C324" t="s">
        <v>20</v>
      </c>
      <c r="D324" t="s">
        <v>21</v>
      </c>
      <c r="E324">
        <v>2222222</v>
      </c>
      <c r="F324" s="8" t="s">
        <v>22</v>
      </c>
      <c r="G324" s="2">
        <v>98</v>
      </c>
      <c r="H324" s="2" t="s">
        <v>3873</v>
      </c>
      <c r="I324" s="2" t="s">
        <v>4685</v>
      </c>
      <c r="J324" s="9" t="s">
        <v>4981</v>
      </c>
      <c r="K324" s="2" t="s">
        <v>5110</v>
      </c>
      <c r="L324" s="2">
        <v>1</v>
      </c>
      <c r="M324" s="24" t="s">
        <v>5971</v>
      </c>
      <c r="N324" s="2" t="s">
        <v>23</v>
      </c>
      <c r="O324" s="3" t="s">
        <v>283</v>
      </c>
      <c r="P324" s="18" t="s">
        <v>3781</v>
      </c>
      <c r="Q324" s="6" t="s">
        <v>4475</v>
      </c>
      <c r="T324" s="23">
        <v>46150</v>
      </c>
      <c r="U324" s="23">
        <v>46606</v>
      </c>
      <c r="X324" s="20">
        <v>1750</v>
      </c>
      <c r="Z324" s="6" t="s">
        <v>5978</v>
      </c>
      <c r="AA324" s="14">
        <f t="shared" si="46"/>
        <v>5.9999999999999995E-4</v>
      </c>
      <c r="AB324">
        <v>0.92222399999999993</v>
      </c>
      <c r="AC324">
        <v>0.95911296000000001</v>
      </c>
    </row>
    <row r="325" spans="1:29" x14ac:dyDescent="0.3">
      <c r="A325">
        <v>151443</v>
      </c>
      <c r="B325" s="25" t="s">
        <v>5984</v>
      </c>
      <c r="C325" t="s">
        <v>20</v>
      </c>
      <c r="D325" t="s">
        <v>21</v>
      </c>
      <c r="E325">
        <v>2222222</v>
      </c>
      <c r="F325" s="8" t="s">
        <v>22</v>
      </c>
      <c r="G325" s="2">
        <v>98</v>
      </c>
      <c r="H325" s="2" t="s">
        <v>3874</v>
      </c>
      <c r="I325" s="2" t="s">
        <v>4770</v>
      </c>
      <c r="J325" s="9" t="s">
        <v>5111</v>
      </c>
      <c r="K325" s="2" t="s">
        <v>4870</v>
      </c>
      <c r="L325" s="2">
        <v>1</v>
      </c>
      <c r="M325" s="24" t="s">
        <v>5971</v>
      </c>
      <c r="N325" s="2" t="s">
        <v>23</v>
      </c>
      <c r="O325" s="3" t="s">
        <v>284</v>
      </c>
      <c r="P325" s="18" t="s">
        <v>0</v>
      </c>
      <c r="Q325" s="6" t="s">
        <v>4475</v>
      </c>
      <c r="T325" s="23">
        <v>46169</v>
      </c>
      <c r="U325" s="23">
        <v>46899</v>
      </c>
      <c r="X325" s="20">
        <v>2000</v>
      </c>
      <c r="Z325" s="6" t="s">
        <v>5978</v>
      </c>
      <c r="AA325" s="14">
        <f t="shared" si="46"/>
        <v>5.9999999999999995E-4</v>
      </c>
      <c r="AB325">
        <v>1.1144639999999999</v>
      </c>
      <c r="AC325">
        <v>1.1590425599999998</v>
      </c>
    </row>
    <row r="326" spans="1:29" x14ac:dyDescent="0.3">
      <c r="A326">
        <v>123974</v>
      </c>
      <c r="B326" s="25" t="s">
        <v>5984</v>
      </c>
      <c r="C326" t="s">
        <v>20</v>
      </c>
      <c r="D326" t="s">
        <v>21</v>
      </c>
      <c r="E326">
        <v>2222222</v>
      </c>
      <c r="F326" s="8" t="s">
        <v>22</v>
      </c>
      <c r="G326" s="2">
        <v>98</v>
      </c>
      <c r="H326" s="2" t="s">
        <v>3875</v>
      </c>
      <c r="I326" s="2" t="s">
        <v>4771</v>
      </c>
      <c r="J326" s="9" t="s">
        <v>4826</v>
      </c>
      <c r="K326" s="2" t="s">
        <v>5023</v>
      </c>
      <c r="L326" s="2">
        <v>1</v>
      </c>
      <c r="M326" s="24" t="s">
        <v>5971</v>
      </c>
      <c r="N326" s="2" t="s">
        <v>23</v>
      </c>
      <c r="O326" s="3" t="s">
        <v>285</v>
      </c>
      <c r="P326" s="18" t="s">
        <v>0</v>
      </c>
      <c r="Q326" s="6" t="s">
        <v>4475</v>
      </c>
      <c r="T326" s="23">
        <v>44498</v>
      </c>
      <c r="U326" s="23">
        <v>46323</v>
      </c>
      <c r="X326" s="20">
        <v>9500</v>
      </c>
      <c r="Z326" s="6" t="s">
        <v>5978</v>
      </c>
      <c r="AA326" s="15">
        <f>+(0.42/1000)</f>
        <v>4.1999999999999996E-4</v>
      </c>
      <c r="AB326">
        <v>0.27952259999999995</v>
      </c>
      <c r="AC326">
        <v>0.29070350399999995</v>
      </c>
    </row>
    <row r="327" spans="1:29" x14ac:dyDescent="0.3">
      <c r="A327">
        <v>141756</v>
      </c>
      <c r="B327" s="25" t="s">
        <v>5984</v>
      </c>
      <c r="C327" t="s">
        <v>20</v>
      </c>
      <c r="D327" t="s">
        <v>21</v>
      </c>
      <c r="E327">
        <v>2222222</v>
      </c>
      <c r="F327" s="8" t="s">
        <v>22</v>
      </c>
      <c r="G327" s="2">
        <v>98</v>
      </c>
      <c r="H327" s="2" t="s">
        <v>3876</v>
      </c>
      <c r="I327" s="2" t="s">
        <v>3796</v>
      </c>
      <c r="J327" s="9" t="s">
        <v>5112</v>
      </c>
      <c r="K327" s="2" t="s">
        <v>5113</v>
      </c>
      <c r="L327" s="2">
        <v>1</v>
      </c>
      <c r="M327" s="24" t="s">
        <v>5971</v>
      </c>
      <c r="N327" s="2" t="s">
        <v>23</v>
      </c>
      <c r="O327" s="3" t="s">
        <v>286</v>
      </c>
      <c r="P327" s="18" t="s">
        <v>0</v>
      </c>
      <c r="Q327" s="6" t="s">
        <v>4475</v>
      </c>
      <c r="T327" s="23">
        <v>45481</v>
      </c>
      <c r="U327" s="23">
        <v>47306</v>
      </c>
      <c r="X327" s="20">
        <v>50000</v>
      </c>
      <c r="Z327" s="6" t="s">
        <v>5978</v>
      </c>
      <c r="AA327" s="14">
        <f t="shared" ref="AA327:AA329" si="47">+(0.6/1000)</f>
        <v>5.9999999999999995E-4</v>
      </c>
      <c r="AB327">
        <v>20.937456000000001</v>
      </c>
      <c r="AC327">
        <v>21.774954240000003</v>
      </c>
    </row>
    <row r="328" spans="1:29" x14ac:dyDescent="0.3">
      <c r="A328">
        <v>149931</v>
      </c>
      <c r="B328" s="25" t="s">
        <v>5984</v>
      </c>
      <c r="C328" t="s">
        <v>20</v>
      </c>
      <c r="D328" t="s">
        <v>21</v>
      </c>
      <c r="E328">
        <v>2222222</v>
      </c>
      <c r="F328" s="8" t="s">
        <v>22</v>
      </c>
      <c r="G328" s="2">
        <v>98</v>
      </c>
      <c r="H328" s="2" t="s">
        <v>3876</v>
      </c>
      <c r="I328" s="2" t="s">
        <v>4239</v>
      </c>
      <c r="J328" s="9" t="s">
        <v>4836</v>
      </c>
      <c r="K328" s="2" t="s">
        <v>5031</v>
      </c>
      <c r="L328" s="2">
        <v>1</v>
      </c>
      <c r="M328" s="24" t="s">
        <v>5971</v>
      </c>
      <c r="N328" s="2" t="s">
        <v>23</v>
      </c>
      <c r="O328" s="3" t="s">
        <v>287</v>
      </c>
      <c r="P328" s="18" t="s">
        <v>3781</v>
      </c>
      <c r="Q328" s="6" t="s">
        <v>4475</v>
      </c>
      <c r="T328" s="23">
        <v>46059</v>
      </c>
      <c r="U328" s="23">
        <v>47157</v>
      </c>
      <c r="X328" s="20">
        <v>3000</v>
      </c>
      <c r="Z328" s="6" t="s">
        <v>5978</v>
      </c>
      <c r="AA328" s="14">
        <f t="shared" si="47"/>
        <v>5.9999999999999995E-4</v>
      </c>
      <c r="AB328">
        <v>1.604454</v>
      </c>
      <c r="AC328">
        <v>1.66863216</v>
      </c>
    </row>
    <row r="329" spans="1:29" x14ac:dyDescent="0.3">
      <c r="A329">
        <v>150804</v>
      </c>
      <c r="B329" s="25" t="s">
        <v>5984</v>
      </c>
      <c r="C329" t="s">
        <v>20</v>
      </c>
      <c r="D329" t="s">
        <v>21</v>
      </c>
      <c r="E329">
        <v>2222222</v>
      </c>
      <c r="F329" s="8" t="s">
        <v>22</v>
      </c>
      <c r="G329" s="2">
        <v>98</v>
      </c>
      <c r="H329" s="2" t="s">
        <v>3876</v>
      </c>
      <c r="I329" s="2" t="s">
        <v>3917</v>
      </c>
      <c r="J329" s="9" t="s">
        <v>5114</v>
      </c>
      <c r="K329" s="2" t="s">
        <v>5115</v>
      </c>
      <c r="L329" s="2">
        <v>1</v>
      </c>
      <c r="M329" s="24" t="s">
        <v>5971</v>
      </c>
      <c r="N329" s="2" t="s">
        <v>23</v>
      </c>
      <c r="O329" s="3" t="s">
        <v>288</v>
      </c>
      <c r="P329" s="18" t="s">
        <v>3781</v>
      </c>
      <c r="Q329" s="6" t="s">
        <v>4475</v>
      </c>
      <c r="T329" s="23">
        <v>46119</v>
      </c>
      <c r="U329" s="23">
        <v>47580</v>
      </c>
      <c r="X329" s="20">
        <v>5000</v>
      </c>
      <c r="Z329" s="6" t="s">
        <v>5978</v>
      </c>
      <c r="AA329" s="14">
        <f t="shared" si="47"/>
        <v>5.9999999999999995E-4</v>
      </c>
      <c r="AB329">
        <v>2.8689779999999998</v>
      </c>
      <c r="AC329">
        <v>2.9837371199999998</v>
      </c>
    </row>
    <row r="330" spans="1:29" x14ac:dyDescent="0.3">
      <c r="A330">
        <v>123760</v>
      </c>
      <c r="B330" s="25" t="s">
        <v>5984</v>
      </c>
      <c r="C330" t="s">
        <v>20</v>
      </c>
      <c r="D330" t="s">
        <v>21</v>
      </c>
      <c r="E330">
        <v>2222222</v>
      </c>
      <c r="F330" s="8" t="s">
        <v>22</v>
      </c>
      <c r="G330" s="2">
        <v>98</v>
      </c>
      <c r="H330" s="2" t="s">
        <v>3877</v>
      </c>
      <c r="I330" s="2" t="s">
        <v>4701</v>
      </c>
      <c r="J330" s="9" t="s">
        <v>5116</v>
      </c>
      <c r="K330" s="2" t="s">
        <v>5117</v>
      </c>
      <c r="L330" s="2">
        <v>1</v>
      </c>
      <c r="M330" s="24" t="s">
        <v>5971</v>
      </c>
      <c r="N330" s="2" t="s">
        <v>23</v>
      </c>
      <c r="O330" s="3" t="s">
        <v>289</v>
      </c>
      <c r="P330" s="18" t="s">
        <v>0</v>
      </c>
      <c r="Q330" s="6" t="s">
        <v>4475</v>
      </c>
      <c r="T330" s="23">
        <v>44484</v>
      </c>
      <c r="U330" s="23">
        <v>46309</v>
      </c>
      <c r="X330" s="20">
        <v>8740</v>
      </c>
      <c r="Z330" s="6" t="s">
        <v>5978</v>
      </c>
      <c r="AA330" s="15">
        <f>+(0.42/1000)</f>
        <v>4.1999999999999996E-4</v>
      </c>
      <c r="AB330">
        <v>3.6707999999999998</v>
      </c>
      <c r="AC330">
        <v>3.8176320000000001</v>
      </c>
    </row>
    <row r="331" spans="1:29" x14ac:dyDescent="0.3">
      <c r="A331">
        <v>131457</v>
      </c>
      <c r="B331" s="25" t="s">
        <v>5984</v>
      </c>
      <c r="C331" t="s">
        <v>20</v>
      </c>
      <c r="D331" t="s">
        <v>21</v>
      </c>
      <c r="E331">
        <v>2222222</v>
      </c>
      <c r="F331" s="8" t="s">
        <v>22</v>
      </c>
      <c r="G331" s="2">
        <v>98</v>
      </c>
      <c r="H331" t="s">
        <v>3877</v>
      </c>
      <c r="I331" t="s">
        <v>4772</v>
      </c>
      <c r="J331" s="9" t="s">
        <v>5093</v>
      </c>
      <c r="K331" t="s">
        <v>5118</v>
      </c>
      <c r="L331" s="2">
        <v>1</v>
      </c>
      <c r="M331" s="24" t="s">
        <v>5971</v>
      </c>
      <c r="N331" s="2" t="s">
        <v>23</v>
      </c>
      <c r="O331" s="18" t="s">
        <v>290</v>
      </c>
      <c r="P331" s="18" t="s">
        <v>3781</v>
      </c>
      <c r="Q331" s="6" t="s">
        <v>4475</v>
      </c>
      <c r="T331" s="23">
        <v>44891</v>
      </c>
      <c r="U331" s="23">
        <v>44981</v>
      </c>
      <c r="X331" s="20">
        <v>4100</v>
      </c>
      <c r="Z331" s="6" t="s">
        <v>5978</v>
      </c>
      <c r="AA331" s="13">
        <f>+(0.56/1000)</f>
        <v>5.6000000000000006E-4</v>
      </c>
      <c r="AB331">
        <v>2.2960000000000003</v>
      </c>
      <c r="AC331">
        <v>2.3878400000000002</v>
      </c>
    </row>
    <row r="332" spans="1:29" x14ac:dyDescent="0.3">
      <c r="A332">
        <v>110695</v>
      </c>
      <c r="B332" s="25" t="s">
        <v>5984</v>
      </c>
      <c r="C332" t="s">
        <v>20</v>
      </c>
      <c r="D332" t="s">
        <v>21</v>
      </c>
      <c r="E332">
        <v>2222222</v>
      </c>
      <c r="F332" s="8" t="s">
        <v>22</v>
      </c>
      <c r="G332" s="2">
        <v>98</v>
      </c>
      <c r="H332" t="s">
        <v>3878</v>
      </c>
      <c r="I332" t="s">
        <v>4239</v>
      </c>
      <c r="J332" s="9" t="s">
        <v>5119</v>
      </c>
      <c r="K332" t="s">
        <v>4829</v>
      </c>
      <c r="L332" s="2">
        <v>1</v>
      </c>
      <c r="M332" s="24" t="s">
        <v>5971</v>
      </c>
      <c r="N332" s="2" t="s">
        <v>23</v>
      </c>
      <c r="O332" s="18" t="s">
        <v>291</v>
      </c>
      <c r="P332" s="18" t="s">
        <v>3781</v>
      </c>
      <c r="Q332" s="6" t="s">
        <v>4475</v>
      </c>
      <c r="T332" s="23">
        <v>43860</v>
      </c>
      <c r="U332" s="23">
        <v>45757</v>
      </c>
      <c r="X332" s="20">
        <v>7825</v>
      </c>
      <c r="Z332" s="6" t="s">
        <v>5978</v>
      </c>
      <c r="AA332" s="15">
        <f t="shared" ref="AA332:AA335" si="48">+(0.42/1000)</f>
        <v>4.1999999999999996E-4</v>
      </c>
      <c r="AB332">
        <v>3.2500103999999999</v>
      </c>
      <c r="AC332">
        <v>3.380010816</v>
      </c>
    </row>
    <row r="333" spans="1:29" x14ac:dyDescent="0.3">
      <c r="A333">
        <v>105140</v>
      </c>
      <c r="B333" s="25" t="s">
        <v>5984</v>
      </c>
      <c r="C333" t="s">
        <v>20</v>
      </c>
      <c r="D333" t="s">
        <v>21</v>
      </c>
      <c r="E333">
        <v>2222222</v>
      </c>
      <c r="F333" s="8" t="s">
        <v>22</v>
      </c>
      <c r="G333" s="2">
        <v>98</v>
      </c>
      <c r="H333" t="s">
        <v>3879</v>
      </c>
      <c r="I333" t="s">
        <v>4151</v>
      </c>
      <c r="J333" s="9" t="s">
        <v>5120</v>
      </c>
      <c r="K333" t="s">
        <v>4856</v>
      </c>
      <c r="L333" s="2">
        <v>1</v>
      </c>
      <c r="M333" s="24" t="s">
        <v>5971</v>
      </c>
      <c r="N333" s="2" t="s">
        <v>23</v>
      </c>
      <c r="O333" s="18" t="s">
        <v>292</v>
      </c>
      <c r="P333" s="18" t="s">
        <v>0</v>
      </c>
      <c r="Q333" s="6" t="s">
        <v>4475</v>
      </c>
      <c r="T333" s="23">
        <v>43642</v>
      </c>
      <c r="U333" s="23">
        <v>46270</v>
      </c>
      <c r="X333" s="20">
        <v>10000</v>
      </c>
      <c r="Z333" s="6" t="s">
        <v>5978</v>
      </c>
      <c r="AA333" s="15">
        <f t="shared" si="48"/>
        <v>4.1999999999999996E-4</v>
      </c>
      <c r="AB333">
        <v>0.16892819999999997</v>
      </c>
      <c r="AC333">
        <v>0.17568532799999997</v>
      </c>
    </row>
    <row r="334" spans="1:29" x14ac:dyDescent="0.3">
      <c r="A334">
        <v>118203</v>
      </c>
      <c r="B334" s="25" t="s">
        <v>5984</v>
      </c>
      <c r="C334" t="s">
        <v>20</v>
      </c>
      <c r="D334" t="s">
        <v>21</v>
      </c>
      <c r="E334">
        <v>2222222</v>
      </c>
      <c r="F334" s="8" t="s">
        <v>22</v>
      </c>
      <c r="G334" s="2">
        <v>98</v>
      </c>
      <c r="H334" t="s">
        <v>3879</v>
      </c>
      <c r="I334" t="s">
        <v>4500</v>
      </c>
      <c r="J334" s="9" t="s">
        <v>4891</v>
      </c>
      <c r="K334" t="s">
        <v>4926</v>
      </c>
      <c r="L334" s="2">
        <v>1</v>
      </c>
      <c r="M334" s="24" t="s">
        <v>5971</v>
      </c>
      <c r="N334" s="2" t="s">
        <v>23</v>
      </c>
      <c r="O334" s="18" t="s">
        <v>293</v>
      </c>
      <c r="P334" s="18" t="s">
        <v>3781</v>
      </c>
      <c r="Q334" s="6" t="s">
        <v>4475</v>
      </c>
      <c r="T334" s="23">
        <v>44216</v>
      </c>
      <c r="U334" s="23">
        <v>44761</v>
      </c>
      <c r="X334" s="20">
        <v>890</v>
      </c>
      <c r="Z334" s="6" t="s">
        <v>5978</v>
      </c>
      <c r="AA334" s="15">
        <f t="shared" si="48"/>
        <v>4.1999999999999996E-4</v>
      </c>
      <c r="AB334">
        <v>0.37379999999999997</v>
      </c>
      <c r="AC334">
        <v>0.38875199999999999</v>
      </c>
    </row>
    <row r="335" spans="1:29" x14ac:dyDescent="0.3">
      <c r="A335">
        <v>127717</v>
      </c>
      <c r="B335" s="25" t="s">
        <v>5984</v>
      </c>
      <c r="C335" t="s">
        <v>20</v>
      </c>
      <c r="D335" t="s">
        <v>21</v>
      </c>
      <c r="E335">
        <v>2222222</v>
      </c>
      <c r="F335" s="8" t="s">
        <v>22</v>
      </c>
      <c r="G335" s="2">
        <v>98</v>
      </c>
      <c r="H335" t="s">
        <v>3879</v>
      </c>
      <c r="I335" t="s">
        <v>4773</v>
      </c>
      <c r="J335" s="9" t="s">
        <v>4864</v>
      </c>
      <c r="K335" t="s">
        <v>4964</v>
      </c>
      <c r="L335" s="2">
        <v>1</v>
      </c>
      <c r="M335" s="24" t="s">
        <v>5971</v>
      </c>
      <c r="N335" s="2" t="s">
        <v>23</v>
      </c>
      <c r="O335" s="18" t="s">
        <v>294</v>
      </c>
      <c r="P335" s="18" t="s">
        <v>0</v>
      </c>
      <c r="Q335" s="6" t="s">
        <v>4475</v>
      </c>
      <c r="T335" s="23">
        <v>44686</v>
      </c>
      <c r="U335" s="23">
        <v>45781</v>
      </c>
      <c r="X335" s="20">
        <v>5000</v>
      </c>
      <c r="Z335" s="6" t="s">
        <v>5978</v>
      </c>
      <c r="AA335" s="15">
        <f t="shared" si="48"/>
        <v>4.1999999999999996E-4</v>
      </c>
      <c r="AB335">
        <v>1.3677215999999999</v>
      </c>
      <c r="AC335">
        <v>1.4224304639999998</v>
      </c>
    </row>
    <row r="336" spans="1:29" x14ac:dyDescent="0.3">
      <c r="A336">
        <v>130013</v>
      </c>
      <c r="B336" s="25" t="s">
        <v>5984</v>
      </c>
      <c r="C336" t="s">
        <v>20</v>
      </c>
      <c r="D336" t="s">
        <v>21</v>
      </c>
      <c r="E336">
        <v>2222222</v>
      </c>
      <c r="F336" s="8" t="s">
        <v>22</v>
      </c>
      <c r="G336" s="2">
        <v>98</v>
      </c>
      <c r="H336" t="s">
        <v>3879</v>
      </c>
      <c r="I336" t="s">
        <v>4773</v>
      </c>
      <c r="J336" s="9" t="s">
        <v>4864</v>
      </c>
      <c r="K336" t="s">
        <v>4964</v>
      </c>
      <c r="L336" s="2">
        <v>1</v>
      </c>
      <c r="M336" s="24" t="s">
        <v>5971</v>
      </c>
      <c r="N336" s="2" t="s">
        <v>23</v>
      </c>
      <c r="O336" s="18" t="s">
        <v>294</v>
      </c>
      <c r="P336" s="18" t="s">
        <v>0</v>
      </c>
      <c r="Q336" s="6" t="s">
        <v>4475</v>
      </c>
      <c r="T336" s="23">
        <v>44811</v>
      </c>
      <c r="U336" s="23">
        <v>45915</v>
      </c>
      <c r="X336" s="20">
        <v>1500</v>
      </c>
      <c r="Z336" s="6" t="s">
        <v>5978</v>
      </c>
      <c r="AA336" s="13">
        <f t="shared" ref="AA336:AA338" si="49">+(0.56/1000)</f>
        <v>5.6000000000000006E-4</v>
      </c>
      <c r="AB336">
        <v>0.62954080000000012</v>
      </c>
      <c r="AC336">
        <v>0.65472243200000013</v>
      </c>
    </row>
    <row r="337" spans="1:29" x14ac:dyDescent="0.3">
      <c r="A337">
        <v>137401</v>
      </c>
      <c r="B337" s="25" t="s">
        <v>5984</v>
      </c>
      <c r="C337" t="s">
        <v>20</v>
      </c>
      <c r="D337" t="s">
        <v>21</v>
      </c>
      <c r="E337">
        <v>2222222</v>
      </c>
      <c r="F337" s="8" t="s">
        <v>22</v>
      </c>
      <c r="G337" s="2">
        <v>98</v>
      </c>
      <c r="H337" t="s">
        <v>3879</v>
      </c>
      <c r="I337" t="s">
        <v>4215</v>
      </c>
      <c r="J337" s="9" t="s">
        <v>4826</v>
      </c>
      <c r="K337" t="s">
        <v>4964</v>
      </c>
      <c r="L337" s="2">
        <v>1</v>
      </c>
      <c r="M337" s="24" t="s">
        <v>5971</v>
      </c>
      <c r="N337" s="2" t="s">
        <v>23</v>
      </c>
      <c r="O337" s="18" t="s">
        <v>295</v>
      </c>
      <c r="P337" s="18" t="s">
        <v>0</v>
      </c>
      <c r="Q337" s="6" t="s">
        <v>4475</v>
      </c>
      <c r="T337" s="23">
        <v>45221</v>
      </c>
      <c r="U337" s="23">
        <v>46681</v>
      </c>
      <c r="X337" s="20">
        <v>4500</v>
      </c>
      <c r="Z337" s="6" t="s">
        <v>5978</v>
      </c>
      <c r="AA337" s="13">
        <f t="shared" si="49"/>
        <v>5.6000000000000006E-4</v>
      </c>
      <c r="AB337">
        <v>1.0012688000000001</v>
      </c>
      <c r="AC337">
        <v>1.041319552</v>
      </c>
    </row>
    <row r="338" spans="1:29" x14ac:dyDescent="0.3">
      <c r="A338">
        <v>138592</v>
      </c>
      <c r="B338" s="25" t="s">
        <v>5984</v>
      </c>
      <c r="C338" t="s">
        <v>20</v>
      </c>
      <c r="D338" t="s">
        <v>21</v>
      </c>
      <c r="E338">
        <v>2222222</v>
      </c>
      <c r="F338" s="8" t="s">
        <v>22</v>
      </c>
      <c r="G338" s="2">
        <v>98</v>
      </c>
      <c r="H338" t="s">
        <v>3879</v>
      </c>
      <c r="I338" t="s">
        <v>4587</v>
      </c>
      <c r="J338" s="9" t="s">
        <v>4852</v>
      </c>
      <c r="K338" t="s">
        <v>5121</v>
      </c>
      <c r="L338" s="2">
        <v>1</v>
      </c>
      <c r="M338" s="24" t="s">
        <v>5971</v>
      </c>
      <c r="N338" s="2" t="s">
        <v>23</v>
      </c>
      <c r="O338" s="18" t="s">
        <v>296</v>
      </c>
      <c r="P338" s="18" t="s">
        <v>0</v>
      </c>
      <c r="Q338" s="6" t="s">
        <v>4475</v>
      </c>
      <c r="T338" s="23">
        <v>45287</v>
      </c>
      <c r="U338" s="23">
        <v>49029</v>
      </c>
      <c r="X338" s="20">
        <v>21100</v>
      </c>
      <c r="Z338" s="6" t="s">
        <v>5978</v>
      </c>
      <c r="AA338" s="13">
        <f t="shared" si="49"/>
        <v>5.6000000000000006E-4</v>
      </c>
      <c r="AB338">
        <v>10.277988000000001</v>
      </c>
      <c r="AC338">
        <v>10.68910752</v>
      </c>
    </row>
    <row r="339" spans="1:29" x14ac:dyDescent="0.3">
      <c r="A339">
        <v>143453</v>
      </c>
      <c r="B339" s="25" t="s">
        <v>5984</v>
      </c>
      <c r="C339" t="s">
        <v>20</v>
      </c>
      <c r="D339" t="s">
        <v>21</v>
      </c>
      <c r="E339">
        <v>2222222</v>
      </c>
      <c r="F339" s="8" t="s">
        <v>22</v>
      </c>
      <c r="G339" s="2">
        <v>98</v>
      </c>
      <c r="H339" t="s">
        <v>3879</v>
      </c>
      <c r="I339" t="s">
        <v>4720</v>
      </c>
      <c r="J339" s="9" t="s">
        <v>5122</v>
      </c>
      <c r="K339" t="s">
        <v>5123</v>
      </c>
      <c r="L339" s="2">
        <v>1</v>
      </c>
      <c r="M339" s="24" t="s">
        <v>5971</v>
      </c>
      <c r="N339" s="2" t="s">
        <v>23</v>
      </c>
      <c r="O339" s="18" t="s">
        <v>297</v>
      </c>
      <c r="P339" s="18" t="s">
        <v>3781</v>
      </c>
      <c r="Q339" s="6" t="s">
        <v>4475</v>
      </c>
      <c r="T339" s="23">
        <v>45593</v>
      </c>
      <c r="U339" s="23">
        <v>48240</v>
      </c>
      <c r="X339" s="20">
        <v>9350</v>
      </c>
      <c r="Z339" s="6" t="s">
        <v>5978</v>
      </c>
      <c r="AA339" s="14">
        <f t="shared" ref="AA339:AA346" si="50">+(0.6/1000)</f>
        <v>5.9999999999999995E-4</v>
      </c>
      <c r="AB339">
        <v>4.8442559999999997</v>
      </c>
      <c r="AC339">
        <v>5.0380262399999998</v>
      </c>
    </row>
    <row r="340" spans="1:29" x14ac:dyDescent="0.3">
      <c r="A340">
        <v>144636</v>
      </c>
      <c r="B340" s="25" t="s">
        <v>5984</v>
      </c>
      <c r="C340" t="s">
        <v>20</v>
      </c>
      <c r="D340" t="s">
        <v>21</v>
      </c>
      <c r="E340">
        <v>2222222</v>
      </c>
      <c r="F340" s="8" t="s">
        <v>22</v>
      </c>
      <c r="G340" s="2">
        <v>98</v>
      </c>
      <c r="H340" t="s">
        <v>3879</v>
      </c>
      <c r="I340" t="s">
        <v>4236</v>
      </c>
      <c r="J340" s="9" t="s">
        <v>5061</v>
      </c>
      <c r="K340" t="s">
        <v>5018</v>
      </c>
      <c r="L340" s="2">
        <v>1</v>
      </c>
      <c r="M340" s="24" t="s">
        <v>5971</v>
      </c>
      <c r="N340" s="2" t="s">
        <v>23</v>
      </c>
      <c r="O340" s="18" t="s">
        <v>298</v>
      </c>
      <c r="P340" s="18" t="s">
        <v>0</v>
      </c>
      <c r="Q340" s="6" t="s">
        <v>4475</v>
      </c>
      <c r="T340" s="23">
        <v>45688</v>
      </c>
      <c r="U340" s="23">
        <v>47516</v>
      </c>
      <c r="X340" s="20">
        <v>12000</v>
      </c>
      <c r="Z340" s="6" t="s">
        <v>5978</v>
      </c>
      <c r="AA340" s="14">
        <f t="shared" si="50"/>
        <v>5.9999999999999995E-4</v>
      </c>
      <c r="AB340">
        <v>5.7092399999999994</v>
      </c>
      <c r="AC340">
        <v>5.9376096</v>
      </c>
    </row>
    <row r="341" spans="1:29" x14ac:dyDescent="0.3">
      <c r="A341">
        <v>146228</v>
      </c>
      <c r="B341" s="25" t="s">
        <v>5984</v>
      </c>
      <c r="C341" t="s">
        <v>20</v>
      </c>
      <c r="D341" t="s">
        <v>21</v>
      </c>
      <c r="E341">
        <v>2222222</v>
      </c>
      <c r="F341" s="8" t="s">
        <v>22</v>
      </c>
      <c r="G341" s="2">
        <v>98</v>
      </c>
      <c r="H341" t="s">
        <v>3879</v>
      </c>
      <c r="I341" t="s">
        <v>4151</v>
      </c>
      <c r="J341" s="9" t="s">
        <v>5120</v>
      </c>
      <c r="K341" t="s">
        <v>4856</v>
      </c>
      <c r="L341" s="2">
        <v>1</v>
      </c>
      <c r="M341" s="24" t="s">
        <v>5971</v>
      </c>
      <c r="N341" s="2" t="s">
        <v>23</v>
      </c>
      <c r="O341" s="18" t="s">
        <v>292</v>
      </c>
      <c r="P341" s="18" t="s">
        <v>0</v>
      </c>
      <c r="Q341" s="6" t="s">
        <v>4475</v>
      </c>
      <c r="T341" s="23">
        <v>45802</v>
      </c>
      <c r="U341" s="23">
        <v>47262</v>
      </c>
      <c r="X341" s="20">
        <v>5000</v>
      </c>
      <c r="Z341" s="6" t="s">
        <v>5978</v>
      </c>
      <c r="AA341" s="14">
        <f t="shared" si="50"/>
        <v>5.9999999999999995E-4</v>
      </c>
      <c r="AB341">
        <v>2.3352659999999998</v>
      </c>
      <c r="AC341">
        <v>2.4286766399999999</v>
      </c>
    </row>
    <row r="342" spans="1:29" x14ac:dyDescent="0.3">
      <c r="A342">
        <v>146268</v>
      </c>
      <c r="B342" s="25" t="s">
        <v>5984</v>
      </c>
      <c r="C342" t="s">
        <v>20</v>
      </c>
      <c r="D342" t="s">
        <v>21</v>
      </c>
      <c r="E342">
        <v>2222222</v>
      </c>
      <c r="F342" s="8" t="s">
        <v>22</v>
      </c>
      <c r="G342" s="2">
        <v>98</v>
      </c>
      <c r="H342" t="s">
        <v>3879</v>
      </c>
      <c r="I342" t="s">
        <v>3931</v>
      </c>
      <c r="J342" s="9" t="s">
        <v>4998</v>
      </c>
      <c r="K342" t="s">
        <v>5057</v>
      </c>
      <c r="L342" s="2">
        <v>1</v>
      </c>
      <c r="M342" s="24" t="s">
        <v>5971</v>
      </c>
      <c r="N342" s="2" t="s">
        <v>23</v>
      </c>
      <c r="O342" s="18" t="s">
        <v>299</v>
      </c>
      <c r="P342" s="18" t="s">
        <v>3781</v>
      </c>
      <c r="Q342" s="6" t="s">
        <v>4475</v>
      </c>
      <c r="T342" s="23">
        <v>45806</v>
      </c>
      <c r="U342" s="23">
        <v>46901</v>
      </c>
      <c r="X342" s="20">
        <v>1500</v>
      </c>
      <c r="Z342" s="6" t="s">
        <v>5978</v>
      </c>
      <c r="AA342" s="14">
        <f t="shared" si="50"/>
        <v>5.9999999999999995E-4</v>
      </c>
      <c r="AB342">
        <v>0.6032519999999999</v>
      </c>
      <c r="AC342">
        <v>0.62738207999999995</v>
      </c>
    </row>
    <row r="343" spans="1:29" x14ac:dyDescent="0.3">
      <c r="A343">
        <v>148112</v>
      </c>
      <c r="B343" s="25" t="s">
        <v>5984</v>
      </c>
      <c r="C343" t="s">
        <v>20</v>
      </c>
      <c r="D343" t="s">
        <v>21</v>
      </c>
      <c r="E343">
        <v>2222222</v>
      </c>
      <c r="F343" s="8" t="s">
        <v>22</v>
      </c>
      <c r="G343" s="2">
        <v>98</v>
      </c>
      <c r="H343" t="s">
        <v>3879</v>
      </c>
      <c r="I343" t="s">
        <v>4410</v>
      </c>
      <c r="J343" s="9" t="s">
        <v>5124</v>
      </c>
      <c r="K343" t="s">
        <v>5125</v>
      </c>
      <c r="L343" s="2">
        <v>1</v>
      </c>
      <c r="M343" s="24" t="s">
        <v>5971</v>
      </c>
      <c r="N343" s="2" t="s">
        <v>23</v>
      </c>
      <c r="O343" s="18" t="s">
        <v>300</v>
      </c>
      <c r="P343" s="18" t="s">
        <v>0</v>
      </c>
      <c r="Q343" s="6" t="s">
        <v>4475</v>
      </c>
      <c r="T343" s="23">
        <v>45937</v>
      </c>
      <c r="U343" s="23">
        <v>47397</v>
      </c>
      <c r="X343" s="20">
        <v>5000</v>
      </c>
      <c r="Z343" s="6" t="s">
        <v>5978</v>
      </c>
      <c r="AA343" s="14">
        <f t="shared" si="50"/>
        <v>5.9999999999999995E-4</v>
      </c>
      <c r="AB343">
        <v>2.5869419999999996</v>
      </c>
      <c r="AC343">
        <v>2.6904196799999998</v>
      </c>
    </row>
    <row r="344" spans="1:29" x14ac:dyDescent="0.3">
      <c r="A344">
        <v>149203</v>
      </c>
      <c r="B344" s="25" t="s">
        <v>5984</v>
      </c>
      <c r="C344" t="s">
        <v>20</v>
      </c>
      <c r="D344" t="s">
        <v>21</v>
      </c>
      <c r="E344">
        <v>2222222</v>
      </c>
      <c r="F344" s="8" t="s">
        <v>22</v>
      </c>
      <c r="G344" s="2">
        <v>98</v>
      </c>
      <c r="H344" t="s">
        <v>3879</v>
      </c>
      <c r="I344" t="s">
        <v>4627</v>
      </c>
      <c r="J344" s="9" t="s">
        <v>5126</v>
      </c>
      <c r="K344" t="s">
        <v>4815</v>
      </c>
      <c r="L344" s="2">
        <v>1</v>
      </c>
      <c r="M344" s="24" t="s">
        <v>5971</v>
      </c>
      <c r="N344" s="2" t="s">
        <v>23</v>
      </c>
      <c r="O344" s="18" t="s">
        <v>301</v>
      </c>
      <c r="P344" s="18" t="s">
        <v>0</v>
      </c>
      <c r="Q344" s="6" t="s">
        <v>4475</v>
      </c>
      <c r="T344" s="23">
        <v>46009</v>
      </c>
      <c r="U344" s="23">
        <v>47834</v>
      </c>
      <c r="X344" s="20">
        <v>12800</v>
      </c>
      <c r="Z344" s="6" t="s">
        <v>5978</v>
      </c>
      <c r="AA344" s="14">
        <f t="shared" si="50"/>
        <v>5.9999999999999995E-4</v>
      </c>
      <c r="AB344">
        <v>7.0312379999999992</v>
      </c>
      <c r="AC344">
        <v>7.3124875199999995</v>
      </c>
    </row>
    <row r="345" spans="1:29" x14ac:dyDescent="0.3">
      <c r="A345">
        <v>152242</v>
      </c>
      <c r="B345" s="25" t="s">
        <v>5984</v>
      </c>
      <c r="C345" t="s">
        <v>20</v>
      </c>
      <c r="D345" t="s">
        <v>21</v>
      </c>
      <c r="E345">
        <v>2222222</v>
      </c>
      <c r="F345" s="8" t="s">
        <v>22</v>
      </c>
      <c r="G345" s="2">
        <v>98</v>
      </c>
      <c r="H345" t="s">
        <v>3879</v>
      </c>
      <c r="I345" t="s">
        <v>3827</v>
      </c>
      <c r="J345" s="9" t="s">
        <v>4950</v>
      </c>
      <c r="K345" t="s">
        <v>5127</v>
      </c>
      <c r="L345" s="2">
        <v>1</v>
      </c>
      <c r="M345" s="24" t="s">
        <v>5971</v>
      </c>
      <c r="N345" s="2" t="s">
        <v>23</v>
      </c>
      <c r="O345" s="18" t="s">
        <v>302</v>
      </c>
      <c r="P345" s="18" t="s">
        <v>0</v>
      </c>
      <c r="Q345" s="6" t="s">
        <v>4475</v>
      </c>
      <c r="T345" s="23">
        <v>46223</v>
      </c>
      <c r="U345" s="23">
        <v>47318</v>
      </c>
      <c r="X345" s="20">
        <v>5000</v>
      </c>
      <c r="Z345" s="6" t="s">
        <v>5978</v>
      </c>
      <c r="AA345" s="14">
        <f t="shared" si="50"/>
        <v>5.9999999999999995E-4</v>
      </c>
      <c r="AB345">
        <v>2.9999999999999996</v>
      </c>
      <c r="AC345">
        <v>3.1199999999999997</v>
      </c>
    </row>
    <row r="346" spans="1:29" x14ac:dyDescent="0.3">
      <c r="A346">
        <v>152365</v>
      </c>
      <c r="B346" s="25" t="s">
        <v>5984</v>
      </c>
      <c r="C346" t="s">
        <v>20</v>
      </c>
      <c r="D346" t="s">
        <v>21</v>
      </c>
      <c r="E346">
        <v>2222222</v>
      </c>
      <c r="F346" s="8" t="s">
        <v>22</v>
      </c>
      <c r="G346" s="2">
        <v>98</v>
      </c>
      <c r="H346" t="s">
        <v>3879</v>
      </c>
      <c r="I346" t="s">
        <v>4774</v>
      </c>
      <c r="J346" s="9" t="s">
        <v>4945</v>
      </c>
      <c r="K346" t="s">
        <v>4839</v>
      </c>
      <c r="L346" s="2">
        <v>1</v>
      </c>
      <c r="M346" s="24" t="s">
        <v>5971</v>
      </c>
      <c r="N346" s="2" t="s">
        <v>23</v>
      </c>
      <c r="O346" s="18" t="s">
        <v>303</v>
      </c>
      <c r="P346" s="18" t="s">
        <v>0</v>
      </c>
      <c r="Q346" s="6" t="s">
        <v>4475</v>
      </c>
      <c r="T346" s="23">
        <v>46233</v>
      </c>
      <c r="U346" s="23">
        <v>47328</v>
      </c>
      <c r="X346" s="20">
        <v>11000</v>
      </c>
      <c r="Z346" s="6" t="s">
        <v>5978</v>
      </c>
      <c r="AA346" s="14">
        <f t="shared" si="50"/>
        <v>5.9999999999999995E-4</v>
      </c>
      <c r="AB346">
        <v>6.6</v>
      </c>
      <c r="AC346">
        <v>6.8639999999999999</v>
      </c>
    </row>
    <row r="347" spans="1:29" x14ac:dyDescent="0.3">
      <c r="A347">
        <v>138921</v>
      </c>
      <c r="B347" s="25" t="s">
        <v>5984</v>
      </c>
      <c r="C347" t="s">
        <v>20</v>
      </c>
      <c r="D347" t="s">
        <v>21</v>
      </c>
      <c r="E347">
        <v>2222222</v>
      </c>
      <c r="F347" s="8" t="s">
        <v>22</v>
      </c>
      <c r="G347" s="2">
        <v>98</v>
      </c>
      <c r="H347" t="s">
        <v>3880</v>
      </c>
      <c r="I347" t="s">
        <v>4003</v>
      </c>
      <c r="J347" s="9" t="s">
        <v>5049</v>
      </c>
      <c r="K347" t="s">
        <v>4857</v>
      </c>
      <c r="L347" s="2">
        <v>1</v>
      </c>
      <c r="M347" s="24" t="s">
        <v>5971</v>
      </c>
      <c r="N347" s="2" t="s">
        <v>23</v>
      </c>
      <c r="O347" s="18" t="s">
        <v>304</v>
      </c>
      <c r="P347" s="18" t="s">
        <v>0</v>
      </c>
      <c r="Q347" s="6" t="s">
        <v>4475</v>
      </c>
      <c r="T347" s="23">
        <v>45306</v>
      </c>
      <c r="U347" s="23">
        <v>46766</v>
      </c>
      <c r="X347" s="20">
        <v>2420</v>
      </c>
      <c r="Z347" s="6" t="s">
        <v>5978</v>
      </c>
      <c r="AA347" s="13">
        <f t="shared" ref="AA347:AA348" si="51">+(0.56/1000)</f>
        <v>5.6000000000000006E-4</v>
      </c>
      <c r="AB347">
        <v>0.63075040000000004</v>
      </c>
      <c r="AC347">
        <v>0.65598041600000012</v>
      </c>
    </row>
    <row r="348" spans="1:29" x14ac:dyDescent="0.3">
      <c r="A348">
        <v>134422</v>
      </c>
      <c r="B348" s="25" t="s">
        <v>5984</v>
      </c>
      <c r="C348" t="s">
        <v>20</v>
      </c>
      <c r="D348" t="s">
        <v>21</v>
      </c>
      <c r="E348">
        <v>2222222</v>
      </c>
      <c r="F348" s="8" t="s">
        <v>22</v>
      </c>
      <c r="G348" s="2">
        <v>98</v>
      </c>
      <c r="H348" t="s">
        <v>3881</v>
      </c>
      <c r="I348" t="s">
        <v>4603</v>
      </c>
      <c r="J348" s="9" t="s">
        <v>5128</v>
      </c>
      <c r="K348" t="s">
        <v>4870</v>
      </c>
      <c r="L348" s="2">
        <v>1</v>
      </c>
      <c r="M348" s="24" t="s">
        <v>5971</v>
      </c>
      <c r="N348" s="2" t="s">
        <v>23</v>
      </c>
      <c r="O348" s="18" t="s">
        <v>305</v>
      </c>
      <c r="P348" s="18" t="s">
        <v>0</v>
      </c>
      <c r="Q348" s="6" t="s">
        <v>4475</v>
      </c>
      <c r="T348" s="23">
        <v>45055</v>
      </c>
      <c r="U348" s="23">
        <v>45785</v>
      </c>
      <c r="X348" s="20">
        <v>5000</v>
      </c>
      <c r="Z348" s="6" t="s">
        <v>5978</v>
      </c>
      <c r="AA348" s="13">
        <f t="shared" si="51"/>
        <v>5.6000000000000006E-4</v>
      </c>
      <c r="AB348">
        <v>0.41270320000000005</v>
      </c>
      <c r="AC348">
        <v>0.42921132800000006</v>
      </c>
    </row>
    <row r="349" spans="1:29" x14ac:dyDescent="0.3">
      <c r="A349">
        <v>146865</v>
      </c>
      <c r="B349" s="25" t="s">
        <v>5984</v>
      </c>
      <c r="C349" t="s">
        <v>20</v>
      </c>
      <c r="D349" t="s">
        <v>21</v>
      </c>
      <c r="E349">
        <v>2222222</v>
      </c>
      <c r="F349" s="8" t="s">
        <v>22</v>
      </c>
      <c r="G349" s="2">
        <v>98</v>
      </c>
      <c r="H349" t="s">
        <v>3881</v>
      </c>
      <c r="I349" t="s">
        <v>4775</v>
      </c>
      <c r="J349" s="9" t="s">
        <v>5129</v>
      </c>
      <c r="K349" t="s">
        <v>5130</v>
      </c>
      <c r="L349" s="2">
        <v>1</v>
      </c>
      <c r="M349" s="24" t="s">
        <v>5971</v>
      </c>
      <c r="N349" s="2" t="s">
        <v>23</v>
      </c>
      <c r="O349" s="18" t="s">
        <v>306</v>
      </c>
      <c r="P349" s="18" t="s">
        <v>0</v>
      </c>
      <c r="Q349" s="6" t="s">
        <v>4475</v>
      </c>
      <c r="T349" s="23">
        <v>45854</v>
      </c>
      <c r="U349" s="23">
        <v>47679</v>
      </c>
      <c r="X349" s="20">
        <v>6300</v>
      </c>
      <c r="Z349" s="6" t="s">
        <v>5978</v>
      </c>
      <c r="AA349" s="14">
        <f t="shared" ref="AA349:AA358" si="52">+(0.6/1000)</f>
        <v>5.9999999999999995E-4</v>
      </c>
      <c r="AB349">
        <v>0.54964199999999996</v>
      </c>
      <c r="AC349">
        <v>0.57162767999999997</v>
      </c>
    </row>
    <row r="350" spans="1:29" x14ac:dyDescent="0.3">
      <c r="A350">
        <v>145339</v>
      </c>
      <c r="B350" s="25" t="s">
        <v>5984</v>
      </c>
      <c r="C350" t="s">
        <v>20</v>
      </c>
      <c r="D350" t="s">
        <v>21</v>
      </c>
      <c r="E350">
        <v>2222222</v>
      </c>
      <c r="F350" s="8" t="s">
        <v>22</v>
      </c>
      <c r="G350" s="2">
        <v>98</v>
      </c>
      <c r="H350" t="s">
        <v>3882</v>
      </c>
      <c r="I350" t="s">
        <v>3805</v>
      </c>
      <c r="J350" s="9" t="s">
        <v>5063</v>
      </c>
      <c r="K350" t="s">
        <v>4919</v>
      </c>
      <c r="L350" s="2">
        <v>1</v>
      </c>
      <c r="M350" s="24" t="s">
        <v>5971</v>
      </c>
      <c r="N350" s="2" t="s">
        <v>23</v>
      </c>
      <c r="O350" s="18" t="s">
        <v>307</v>
      </c>
      <c r="P350" s="18" t="s">
        <v>0</v>
      </c>
      <c r="Q350" s="6" t="s">
        <v>4475</v>
      </c>
      <c r="T350" s="23">
        <v>45730</v>
      </c>
      <c r="U350" s="23">
        <v>48286</v>
      </c>
      <c r="X350" s="20">
        <v>80000</v>
      </c>
      <c r="Z350" s="6" t="s">
        <v>5978</v>
      </c>
      <c r="AA350" s="14">
        <f t="shared" si="52"/>
        <v>5.9999999999999995E-4</v>
      </c>
      <c r="AB350">
        <v>42.86835</v>
      </c>
      <c r="AC350">
        <v>44.583083999999999</v>
      </c>
    </row>
    <row r="351" spans="1:29" x14ac:dyDescent="0.3">
      <c r="A351">
        <v>145340</v>
      </c>
      <c r="B351" s="25" t="s">
        <v>5984</v>
      </c>
      <c r="C351" t="s">
        <v>20</v>
      </c>
      <c r="D351" t="s">
        <v>21</v>
      </c>
      <c r="E351">
        <v>2222222</v>
      </c>
      <c r="F351" s="8" t="s">
        <v>22</v>
      </c>
      <c r="G351" s="2">
        <v>98</v>
      </c>
      <c r="H351" t="s">
        <v>3882</v>
      </c>
      <c r="I351" t="s">
        <v>4319</v>
      </c>
      <c r="J351" s="9" t="s">
        <v>5131</v>
      </c>
      <c r="K351" t="s">
        <v>4832</v>
      </c>
      <c r="L351" s="2">
        <v>1</v>
      </c>
      <c r="M351" s="24" t="s">
        <v>5971</v>
      </c>
      <c r="N351" s="2" t="s">
        <v>23</v>
      </c>
      <c r="O351" s="18" t="s">
        <v>308</v>
      </c>
      <c r="P351" s="18" t="s">
        <v>3781</v>
      </c>
      <c r="Q351" s="6" t="s">
        <v>4475</v>
      </c>
      <c r="T351" s="23">
        <v>45730</v>
      </c>
      <c r="U351" s="23">
        <v>48286</v>
      </c>
      <c r="X351" s="20">
        <v>80000</v>
      </c>
      <c r="Z351" s="6" t="s">
        <v>5978</v>
      </c>
      <c r="AA351" s="14">
        <f t="shared" si="52"/>
        <v>5.9999999999999995E-4</v>
      </c>
      <c r="AB351">
        <v>42.480461999999996</v>
      </c>
      <c r="AC351">
        <v>44.179680479999995</v>
      </c>
    </row>
    <row r="352" spans="1:29" x14ac:dyDescent="0.3">
      <c r="A352">
        <v>142736</v>
      </c>
      <c r="B352" s="25" t="s">
        <v>5984</v>
      </c>
      <c r="C352" t="s">
        <v>20</v>
      </c>
      <c r="D352" t="s">
        <v>21</v>
      </c>
      <c r="E352">
        <v>2222222</v>
      </c>
      <c r="F352" s="8" t="s">
        <v>22</v>
      </c>
      <c r="G352" s="2">
        <v>98</v>
      </c>
      <c r="H352" t="s">
        <v>3883</v>
      </c>
      <c r="I352" t="s">
        <v>3938</v>
      </c>
      <c r="J352" s="9" t="s">
        <v>4836</v>
      </c>
      <c r="K352" t="s">
        <v>4880</v>
      </c>
      <c r="L352" s="2">
        <v>1</v>
      </c>
      <c r="M352" s="24" t="s">
        <v>5971</v>
      </c>
      <c r="N352" s="2" t="s">
        <v>23</v>
      </c>
      <c r="O352" s="18" t="s">
        <v>309</v>
      </c>
      <c r="P352" s="18" t="s">
        <v>3781</v>
      </c>
      <c r="Q352" s="6" t="s">
        <v>4475</v>
      </c>
      <c r="T352" s="23">
        <v>45540</v>
      </c>
      <c r="U352" s="23">
        <v>46635</v>
      </c>
      <c r="X352" s="20">
        <v>5000</v>
      </c>
      <c r="Z352" s="6" t="s">
        <v>5978</v>
      </c>
      <c r="AA352" s="14">
        <f t="shared" si="52"/>
        <v>5.9999999999999995E-4</v>
      </c>
      <c r="AB352">
        <v>1.3724879999999999</v>
      </c>
      <c r="AC352">
        <v>1.4273875199999999</v>
      </c>
    </row>
    <row r="353" spans="1:29" x14ac:dyDescent="0.3">
      <c r="A353">
        <v>145712</v>
      </c>
      <c r="B353" s="25" t="s">
        <v>5984</v>
      </c>
      <c r="C353" t="s">
        <v>20</v>
      </c>
      <c r="D353" t="s">
        <v>21</v>
      </c>
      <c r="E353">
        <v>2222222</v>
      </c>
      <c r="F353" s="8" t="s">
        <v>22</v>
      </c>
      <c r="G353" s="2">
        <v>98</v>
      </c>
      <c r="H353" t="s">
        <v>3883</v>
      </c>
      <c r="I353" t="s">
        <v>3938</v>
      </c>
      <c r="J353" s="9" t="s">
        <v>4836</v>
      </c>
      <c r="K353" t="s">
        <v>4880</v>
      </c>
      <c r="L353" s="2">
        <v>1</v>
      </c>
      <c r="M353" s="24" t="s">
        <v>5971</v>
      </c>
      <c r="N353" s="2" t="s">
        <v>23</v>
      </c>
      <c r="O353" s="18" t="s">
        <v>309</v>
      </c>
      <c r="P353" s="18" t="s">
        <v>3781</v>
      </c>
      <c r="Q353" s="6" t="s">
        <v>4475</v>
      </c>
      <c r="T353" s="23">
        <v>45757</v>
      </c>
      <c r="U353" s="23">
        <v>46853</v>
      </c>
      <c r="X353" s="20">
        <v>2000</v>
      </c>
      <c r="Z353" s="6" t="s">
        <v>5978</v>
      </c>
      <c r="AA353" s="14">
        <f t="shared" si="52"/>
        <v>5.9999999999999995E-4</v>
      </c>
      <c r="AB353">
        <v>0.7734359999999999</v>
      </c>
      <c r="AC353">
        <v>0.80437343999999988</v>
      </c>
    </row>
    <row r="354" spans="1:29" x14ac:dyDescent="0.3">
      <c r="A354">
        <v>150623</v>
      </c>
      <c r="B354" s="25" t="s">
        <v>5984</v>
      </c>
      <c r="C354" t="s">
        <v>20</v>
      </c>
      <c r="D354" t="s">
        <v>21</v>
      </c>
      <c r="E354">
        <v>2222222</v>
      </c>
      <c r="F354" s="8" t="s">
        <v>22</v>
      </c>
      <c r="G354" s="2">
        <v>98</v>
      </c>
      <c r="H354" t="s">
        <v>3883</v>
      </c>
      <c r="I354" t="s">
        <v>3904</v>
      </c>
      <c r="J354" s="9" t="s">
        <v>4838</v>
      </c>
      <c r="K354" t="s">
        <v>5068</v>
      </c>
      <c r="L354" s="2">
        <v>1</v>
      </c>
      <c r="M354" s="24" t="s">
        <v>5971</v>
      </c>
      <c r="N354" s="2" t="s">
        <v>23</v>
      </c>
      <c r="O354" s="18" t="s">
        <v>310</v>
      </c>
      <c r="P354" s="18" t="s">
        <v>0</v>
      </c>
      <c r="Q354" s="6" t="s">
        <v>4475</v>
      </c>
      <c r="T354" s="23">
        <v>46109</v>
      </c>
      <c r="U354" s="23">
        <v>48665</v>
      </c>
      <c r="X354" s="20">
        <v>20000</v>
      </c>
      <c r="Z354" s="6" t="s">
        <v>5978</v>
      </c>
      <c r="AA354" s="14">
        <f t="shared" si="52"/>
        <v>5.9999999999999995E-4</v>
      </c>
      <c r="AB354">
        <v>11.626745999999999</v>
      </c>
      <c r="AC354">
        <v>12.091815839999999</v>
      </c>
    </row>
    <row r="355" spans="1:29" x14ac:dyDescent="0.3">
      <c r="A355">
        <v>150740</v>
      </c>
      <c r="B355" s="25" t="s">
        <v>5984</v>
      </c>
      <c r="C355" t="s">
        <v>20</v>
      </c>
      <c r="D355" t="s">
        <v>21</v>
      </c>
      <c r="E355">
        <v>2222222</v>
      </c>
      <c r="F355" s="8" t="s">
        <v>22</v>
      </c>
      <c r="G355" s="2">
        <v>98</v>
      </c>
      <c r="H355" t="s">
        <v>3883</v>
      </c>
      <c r="I355" t="s">
        <v>3938</v>
      </c>
      <c r="J355" s="9" t="s">
        <v>4836</v>
      </c>
      <c r="K355" t="s">
        <v>4880</v>
      </c>
      <c r="L355" s="2">
        <v>1</v>
      </c>
      <c r="M355" s="24" t="s">
        <v>5971</v>
      </c>
      <c r="N355" s="2" t="s">
        <v>23</v>
      </c>
      <c r="O355" s="18" t="s">
        <v>309</v>
      </c>
      <c r="P355" s="18" t="s">
        <v>3781</v>
      </c>
      <c r="Q355" s="6" t="s">
        <v>4475</v>
      </c>
      <c r="T355" s="23">
        <v>46112</v>
      </c>
      <c r="U355" s="23">
        <v>47937</v>
      </c>
      <c r="X355" s="20">
        <v>7500</v>
      </c>
      <c r="Z355" s="6" t="s">
        <v>5978</v>
      </c>
      <c r="AA355" s="14">
        <f t="shared" si="52"/>
        <v>5.9999999999999995E-4</v>
      </c>
      <c r="AB355">
        <v>4.3418760000000001</v>
      </c>
      <c r="AC355">
        <v>4.5155510400000001</v>
      </c>
    </row>
    <row r="356" spans="1:29" x14ac:dyDescent="0.3">
      <c r="A356">
        <v>151241</v>
      </c>
      <c r="B356" s="25" t="s">
        <v>5984</v>
      </c>
      <c r="C356" t="s">
        <v>20</v>
      </c>
      <c r="D356" t="s">
        <v>21</v>
      </c>
      <c r="E356">
        <v>2222222</v>
      </c>
      <c r="F356" s="8" t="s">
        <v>22</v>
      </c>
      <c r="G356" s="2">
        <v>98</v>
      </c>
      <c r="H356" t="s">
        <v>3883</v>
      </c>
      <c r="I356" t="s">
        <v>4686</v>
      </c>
      <c r="J356" s="9" t="s">
        <v>5132</v>
      </c>
      <c r="K356" t="s">
        <v>5973</v>
      </c>
      <c r="L356" s="2">
        <v>1</v>
      </c>
      <c r="M356" s="24" t="s">
        <v>5971</v>
      </c>
      <c r="N356" s="2" t="s">
        <v>23</v>
      </c>
      <c r="O356" s="18" t="s">
        <v>311</v>
      </c>
      <c r="P356" s="18" t="s">
        <v>3781</v>
      </c>
      <c r="Q356" s="6" t="s">
        <v>4475</v>
      </c>
      <c r="T356" s="23">
        <v>46149</v>
      </c>
      <c r="U356" s="23">
        <v>47974</v>
      </c>
      <c r="X356" s="20">
        <v>5000</v>
      </c>
      <c r="Z356" s="6" t="s">
        <v>5978</v>
      </c>
      <c r="AA356" s="14">
        <f t="shared" si="52"/>
        <v>5.9999999999999995E-4</v>
      </c>
      <c r="AB356">
        <v>2.9293679999999997</v>
      </c>
      <c r="AC356">
        <v>3.0465427199999997</v>
      </c>
    </row>
    <row r="357" spans="1:29" x14ac:dyDescent="0.3">
      <c r="A357">
        <v>151345</v>
      </c>
      <c r="B357" s="25" t="s">
        <v>5984</v>
      </c>
      <c r="C357" t="s">
        <v>20</v>
      </c>
      <c r="D357" t="s">
        <v>21</v>
      </c>
      <c r="E357">
        <v>2222222</v>
      </c>
      <c r="F357" s="8" t="s">
        <v>22</v>
      </c>
      <c r="G357" s="2">
        <v>98</v>
      </c>
      <c r="H357" t="s">
        <v>3883</v>
      </c>
      <c r="I357" t="s">
        <v>4686</v>
      </c>
      <c r="J357" s="9" t="s">
        <v>5132</v>
      </c>
      <c r="K357" t="s">
        <v>5973</v>
      </c>
      <c r="L357" s="2">
        <v>1</v>
      </c>
      <c r="M357" s="24" t="s">
        <v>5971</v>
      </c>
      <c r="N357" s="2" t="s">
        <v>23</v>
      </c>
      <c r="O357" s="18" t="s">
        <v>311</v>
      </c>
      <c r="P357" s="18" t="s">
        <v>3781</v>
      </c>
      <c r="Q357" s="6" t="s">
        <v>4475</v>
      </c>
      <c r="T357" s="23">
        <v>46157</v>
      </c>
      <c r="U357" s="23">
        <v>47252</v>
      </c>
      <c r="X357" s="20">
        <v>1030</v>
      </c>
      <c r="Z357" s="6" t="s">
        <v>5978</v>
      </c>
      <c r="AA357" s="14">
        <f t="shared" si="52"/>
        <v>5.9999999999999995E-4</v>
      </c>
      <c r="AB357">
        <v>0.30849599999999994</v>
      </c>
      <c r="AC357">
        <v>0.32083583999999993</v>
      </c>
    </row>
    <row r="358" spans="1:29" x14ac:dyDescent="0.3">
      <c r="A358">
        <v>145941</v>
      </c>
      <c r="B358" s="25" t="s">
        <v>5984</v>
      </c>
      <c r="C358" t="s">
        <v>20</v>
      </c>
      <c r="D358" t="s">
        <v>21</v>
      </c>
      <c r="E358">
        <v>2222222</v>
      </c>
      <c r="F358" s="8" t="s">
        <v>22</v>
      </c>
      <c r="G358" s="2">
        <v>98</v>
      </c>
      <c r="H358" t="s">
        <v>3884</v>
      </c>
      <c r="I358" t="s">
        <v>4776</v>
      </c>
      <c r="J358" s="9" t="s">
        <v>5046</v>
      </c>
      <c r="K358" t="s">
        <v>5133</v>
      </c>
      <c r="L358" s="2">
        <v>1</v>
      </c>
      <c r="M358" s="24" t="s">
        <v>5971</v>
      </c>
      <c r="N358" s="2" t="s">
        <v>23</v>
      </c>
      <c r="O358" s="18" t="s">
        <v>312</v>
      </c>
      <c r="P358" s="18" t="s">
        <v>3781</v>
      </c>
      <c r="Q358" s="6" t="s">
        <v>4475</v>
      </c>
      <c r="T358" s="23">
        <v>45776</v>
      </c>
      <c r="U358" s="23">
        <v>46872</v>
      </c>
      <c r="X358" s="20">
        <v>4900</v>
      </c>
      <c r="Z358" s="6" t="s">
        <v>5978</v>
      </c>
      <c r="AA358" s="14">
        <f t="shared" si="52"/>
        <v>5.9999999999999995E-4</v>
      </c>
      <c r="AB358">
        <v>1.9420619999999997</v>
      </c>
      <c r="AC358">
        <v>2.01974448</v>
      </c>
    </row>
    <row r="359" spans="1:29" x14ac:dyDescent="0.3">
      <c r="A359">
        <v>127418</v>
      </c>
      <c r="B359" s="25" t="s">
        <v>5984</v>
      </c>
      <c r="C359" t="s">
        <v>20</v>
      </c>
      <c r="D359" t="s">
        <v>21</v>
      </c>
      <c r="E359">
        <v>2222222</v>
      </c>
      <c r="F359" s="8" t="s">
        <v>22</v>
      </c>
      <c r="G359" s="2">
        <v>98</v>
      </c>
      <c r="H359" t="s">
        <v>3885</v>
      </c>
      <c r="I359" t="s">
        <v>3820</v>
      </c>
      <c r="J359" s="9" t="s">
        <v>4815</v>
      </c>
      <c r="K359" t="s">
        <v>4950</v>
      </c>
      <c r="L359" s="2">
        <v>1</v>
      </c>
      <c r="M359" s="24" t="s">
        <v>5971</v>
      </c>
      <c r="N359" s="2" t="s">
        <v>23</v>
      </c>
      <c r="O359" s="18" t="s">
        <v>313</v>
      </c>
      <c r="P359" s="18" t="s">
        <v>0</v>
      </c>
      <c r="Q359" s="6" t="s">
        <v>4475</v>
      </c>
      <c r="T359" s="23">
        <v>44678</v>
      </c>
      <c r="U359" s="23">
        <v>46604</v>
      </c>
      <c r="X359" s="20">
        <v>26000</v>
      </c>
      <c r="Z359" s="6" t="s">
        <v>5978</v>
      </c>
      <c r="AA359" s="15">
        <f>+(0.42/1000)</f>
        <v>4.1999999999999996E-4</v>
      </c>
      <c r="AB359">
        <v>3.1651661999999994</v>
      </c>
      <c r="AC359">
        <v>3.2917728479999995</v>
      </c>
    </row>
    <row r="360" spans="1:29" x14ac:dyDescent="0.3">
      <c r="A360">
        <v>143517</v>
      </c>
      <c r="B360" s="25" t="s">
        <v>5984</v>
      </c>
      <c r="C360" t="s">
        <v>20</v>
      </c>
      <c r="D360" t="s">
        <v>21</v>
      </c>
      <c r="E360">
        <v>2222222</v>
      </c>
      <c r="F360" s="8" t="s">
        <v>22</v>
      </c>
      <c r="G360" s="2">
        <v>98</v>
      </c>
      <c r="H360" t="s">
        <v>3886</v>
      </c>
      <c r="I360" t="s">
        <v>4547</v>
      </c>
      <c r="J360" s="9" t="s">
        <v>5063</v>
      </c>
      <c r="K360" t="s">
        <v>5134</v>
      </c>
      <c r="L360" s="2">
        <v>1</v>
      </c>
      <c r="M360" s="24" t="s">
        <v>5971</v>
      </c>
      <c r="N360" s="2" t="s">
        <v>23</v>
      </c>
      <c r="O360" s="18" t="s">
        <v>314</v>
      </c>
      <c r="P360" s="18" t="s">
        <v>0</v>
      </c>
      <c r="Q360" s="6" t="s">
        <v>4475</v>
      </c>
      <c r="T360" s="23">
        <v>45597</v>
      </c>
      <c r="U360" s="23">
        <v>47150</v>
      </c>
      <c r="X360" s="20">
        <v>3760</v>
      </c>
      <c r="Z360" s="6" t="s">
        <v>5978</v>
      </c>
      <c r="AA360" s="14">
        <f t="shared" ref="AA360:AA363" si="53">+(0.6/1000)</f>
        <v>5.9999999999999995E-4</v>
      </c>
      <c r="AB360">
        <v>1.6481159999999999</v>
      </c>
      <c r="AC360">
        <v>1.7140406399999999</v>
      </c>
    </row>
    <row r="361" spans="1:29" x14ac:dyDescent="0.3">
      <c r="A361">
        <v>148715</v>
      </c>
      <c r="B361" s="25" t="s">
        <v>5984</v>
      </c>
      <c r="C361" t="s">
        <v>20</v>
      </c>
      <c r="D361" t="s">
        <v>21</v>
      </c>
      <c r="E361">
        <v>2222222</v>
      </c>
      <c r="F361" s="8" t="s">
        <v>22</v>
      </c>
      <c r="G361" s="2">
        <v>98</v>
      </c>
      <c r="H361" t="s">
        <v>3886</v>
      </c>
      <c r="I361" t="s">
        <v>3891</v>
      </c>
      <c r="J361" s="9" t="s">
        <v>4838</v>
      </c>
      <c r="K361" t="s">
        <v>4826</v>
      </c>
      <c r="L361" s="2">
        <v>1</v>
      </c>
      <c r="M361" s="24" t="s">
        <v>5971</v>
      </c>
      <c r="N361" s="2" t="s">
        <v>23</v>
      </c>
      <c r="O361" s="18" t="s">
        <v>315</v>
      </c>
      <c r="P361" s="18" t="s">
        <v>0</v>
      </c>
      <c r="Q361" s="6" t="s">
        <v>4475</v>
      </c>
      <c r="T361" s="23">
        <v>45977</v>
      </c>
      <c r="U361" s="23">
        <v>46250</v>
      </c>
      <c r="X361" s="20">
        <v>1500</v>
      </c>
      <c r="Z361" s="6" t="s">
        <v>5978</v>
      </c>
      <c r="AA361" s="14">
        <f t="shared" si="53"/>
        <v>5.9999999999999995E-4</v>
      </c>
      <c r="AB361">
        <v>0.105444</v>
      </c>
      <c r="AC361">
        <v>0.10966176</v>
      </c>
    </row>
    <row r="362" spans="1:29" x14ac:dyDescent="0.3">
      <c r="A362">
        <v>149390</v>
      </c>
      <c r="B362" s="25" t="s">
        <v>5984</v>
      </c>
      <c r="C362" t="s">
        <v>20</v>
      </c>
      <c r="D362" t="s">
        <v>21</v>
      </c>
      <c r="E362">
        <v>2222222</v>
      </c>
      <c r="F362" s="8" t="s">
        <v>22</v>
      </c>
      <c r="G362" s="2">
        <v>98</v>
      </c>
      <c r="H362" t="s">
        <v>3886</v>
      </c>
      <c r="I362" t="s">
        <v>4246</v>
      </c>
      <c r="J362" s="9" t="s">
        <v>4874</v>
      </c>
      <c r="K362" t="s">
        <v>5078</v>
      </c>
      <c r="L362" s="2">
        <v>1</v>
      </c>
      <c r="M362" s="24" t="s">
        <v>5971</v>
      </c>
      <c r="N362" s="2" t="s">
        <v>23</v>
      </c>
      <c r="O362" s="18" t="s">
        <v>316</v>
      </c>
      <c r="P362" s="18" t="s">
        <v>0</v>
      </c>
      <c r="Q362" s="6" t="s">
        <v>4475</v>
      </c>
      <c r="T362" s="23">
        <v>46027</v>
      </c>
      <c r="U362" s="23">
        <v>46392</v>
      </c>
      <c r="X362" s="20">
        <v>2000</v>
      </c>
      <c r="Z362" s="6" t="s">
        <v>5978</v>
      </c>
      <c r="AA362" s="14">
        <f t="shared" si="53"/>
        <v>5.9999999999999995E-4</v>
      </c>
      <c r="AB362">
        <v>0.81884999999999997</v>
      </c>
      <c r="AC362">
        <v>0.85160400000000003</v>
      </c>
    </row>
    <row r="363" spans="1:29" x14ac:dyDescent="0.3">
      <c r="A363">
        <v>150753</v>
      </c>
      <c r="B363" s="25" t="s">
        <v>5984</v>
      </c>
      <c r="C363" t="s">
        <v>20</v>
      </c>
      <c r="D363" t="s">
        <v>21</v>
      </c>
      <c r="E363">
        <v>2222222</v>
      </c>
      <c r="F363" s="8" t="s">
        <v>22</v>
      </c>
      <c r="G363" s="2">
        <v>98</v>
      </c>
      <c r="H363" t="s">
        <v>3886</v>
      </c>
      <c r="I363" t="s">
        <v>4134</v>
      </c>
      <c r="J363" s="9" t="s">
        <v>4988</v>
      </c>
      <c r="K363" t="s">
        <v>5135</v>
      </c>
      <c r="L363" s="2">
        <v>1</v>
      </c>
      <c r="M363" s="24" t="s">
        <v>5971</v>
      </c>
      <c r="N363" s="2" t="s">
        <v>23</v>
      </c>
      <c r="O363" s="18" t="s">
        <v>317</v>
      </c>
      <c r="P363" s="18" t="s">
        <v>0</v>
      </c>
      <c r="Q363" s="6" t="s">
        <v>4475</v>
      </c>
      <c r="T363" s="23">
        <v>46155</v>
      </c>
      <c r="U363" s="23">
        <v>49807</v>
      </c>
      <c r="X363" s="20">
        <v>60000</v>
      </c>
      <c r="Z363" s="6" t="s">
        <v>5978</v>
      </c>
      <c r="AA363" s="14">
        <f t="shared" si="53"/>
        <v>5.9999999999999995E-4</v>
      </c>
      <c r="AB363">
        <v>35.645339999999997</v>
      </c>
      <c r="AC363">
        <v>37.071153599999995</v>
      </c>
    </row>
    <row r="364" spans="1:29" x14ac:dyDescent="0.3">
      <c r="A364">
        <v>104642</v>
      </c>
      <c r="B364" s="25" t="s">
        <v>5984</v>
      </c>
      <c r="C364" t="s">
        <v>20</v>
      </c>
      <c r="D364" t="s">
        <v>21</v>
      </c>
      <c r="E364">
        <v>2222222</v>
      </c>
      <c r="F364" s="8" t="s">
        <v>22</v>
      </c>
      <c r="G364" s="2">
        <v>98</v>
      </c>
      <c r="H364" t="s">
        <v>3887</v>
      </c>
      <c r="I364" t="s">
        <v>4599</v>
      </c>
      <c r="J364" s="9" t="s">
        <v>5136</v>
      </c>
      <c r="K364" t="s">
        <v>4966</v>
      </c>
      <c r="L364" s="2">
        <v>1</v>
      </c>
      <c r="M364" s="24" t="s">
        <v>5971</v>
      </c>
      <c r="N364" s="2" t="s">
        <v>23</v>
      </c>
      <c r="O364" s="18" t="s">
        <v>318</v>
      </c>
      <c r="P364" s="18" t="s">
        <v>0</v>
      </c>
      <c r="Q364" s="6" t="s">
        <v>4475</v>
      </c>
      <c r="T364" s="23">
        <v>43605</v>
      </c>
      <c r="U364" s="23">
        <v>47441</v>
      </c>
      <c r="X364" s="20">
        <v>15500</v>
      </c>
      <c r="Z364" s="6" t="s">
        <v>5978</v>
      </c>
      <c r="AA364" s="15">
        <f>+(0.42/1000)</f>
        <v>4.1999999999999996E-4</v>
      </c>
      <c r="AB364">
        <v>2.1320879999999995</v>
      </c>
      <c r="AC364">
        <v>2.2173715199999995</v>
      </c>
    </row>
    <row r="365" spans="1:29" x14ac:dyDescent="0.3">
      <c r="A365">
        <v>136766</v>
      </c>
      <c r="B365" s="25" t="s">
        <v>5984</v>
      </c>
      <c r="C365" t="s">
        <v>20</v>
      </c>
      <c r="D365" t="s">
        <v>21</v>
      </c>
      <c r="E365">
        <v>2222222</v>
      </c>
      <c r="F365" s="8" t="s">
        <v>22</v>
      </c>
      <c r="G365" s="2">
        <v>98</v>
      </c>
      <c r="H365" t="s">
        <v>3887</v>
      </c>
      <c r="I365" t="s">
        <v>4777</v>
      </c>
      <c r="J365" s="9" t="s">
        <v>4950</v>
      </c>
      <c r="K365" t="s">
        <v>4953</v>
      </c>
      <c r="L365" s="2">
        <v>1</v>
      </c>
      <c r="M365" s="24" t="s">
        <v>5971</v>
      </c>
      <c r="N365" s="2" t="s">
        <v>23</v>
      </c>
      <c r="O365" s="18" t="s">
        <v>319</v>
      </c>
      <c r="P365" s="18" t="s">
        <v>0</v>
      </c>
      <c r="Q365" s="6" t="s">
        <v>4475</v>
      </c>
      <c r="T365" s="23">
        <v>45189</v>
      </c>
      <c r="U365" s="23">
        <v>46285</v>
      </c>
      <c r="X365" s="20">
        <v>5000</v>
      </c>
      <c r="Z365" s="6" t="s">
        <v>5978</v>
      </c>
      <c r="AA365" s="13">
        <f>+(0.56/1000)</f>
        <v>5.6000000000000006E-4</v>
      </c>
      <c r="AB365">
        <v>0.201964</v>
      </c>
      <c r="AC365">
        <v>0.21004256000000002</v>
      </c>
    </row>
    <row r="366" spans="1:29" x14ac:dyDescent="0.3">
      <c r="A366">
        <v>141962</v>
      </c>
      <c r="B366" s="25" t="s">
        <v>5984</v>
      </c>
      <c r="C366" t="s">
        <v>20</v>
      </c>
      <c r="D366" t="s">
        <v>21</v>
      </c>
      <c r="E366">
        <v>2222222</v>
      </c>
      <c r="F366" s="8" t="s">
        <v>22</v>
      </c>
      <c r="G366" s="2">
        <v>98</v>
      </c>
      <c r="H366" t="s">
        <v>3887</v>
      </c>
      <c r="I366" t="s">
        <v>4778</v>
      </c>
      <c r="J366" s="9" t="s">
        <v>4988</v>
      </c>
      <c r="K366" t="s">
        <v>4875</v>
      </c>
      <c r="L366" s="2">
        <v>1</v>
      </c>
      <c r="M366" s="24" t="s">
        <v>5971</v>
      </c>
      <c r="N366" s="2" t="s">
        <v>23</v>
      </c>
      <c r="O366" s="18" t="s">
        <v>320</v>
      </c>
      <c r="P366" s="18" t="s">
        <v>0</v>
      </c>
      <c r="Q366" s="6" t="s">
        <v>4475</v>
      </c>
      <c r="T366" s="23">
        <v>45488</v>
      </c>
      <c r="U366" s="23">
        <v>46766</v>
      </c>
      <c r="X366" s="20">
        <v>5000</v>
      </c>
      <c r="Z366" s="6" t="s">
        <v>5978</v>
      </c>
      <c r="AA366" s="14">
        <f t="shared" ref="AA366:AA367" si="54">+(0.6/1000)</f>
        <v>5.9999999999999995E-4</v>
      </c>
      <c r="AB366">
        <v>1.5319439999999998</v>
      </c>
      <c r="AC366">
        <v>1.5932217599999998</v>
      </c>
    </row>
    <row r="367" spans="1:29" x14ac:dyDescent="0.3">
      <c r="A367">
        <v>152343</v>
      </c>
      <c r="B367" s="25" t="s">
        <v>5984</v>
      </c>
      <c r="C367" t="s">
        <v>20</v>
      </c>
      <c r="D367" t="s">
        <v>21</v>
      </c>
      <c r="E367">
        <v>2222222</v>
      </c>
      <c r="F367" s="8" t="s">
        <v>22</v>
      </c>
      <c r="G367" s="2">
        <v>98</v>
      </c>
      <c r="H367" t="s">
        <v>3887</v>
      </c>
      <c r="I367" t="s">
        <v>4778</v>
      </c>
      <c r="J367" s="9" t="s">
        <v>4988</v>
      </c>
      <c r="K367" t="s">
        <v>4875</v>
      </c>
      <c r="L367" s="2">
        <v>1</v>
      </c>
      <c r="M367" s="24" t="s">
        <v>5971</v>
      </c>
      <c r="N367" s="2" t="s">
        <v>23</v>
      </c>
      <c r="O367" s="18" t="s">
        <v>320</v>
      </c>
      <c r="P367" s="18" t="s">
        <v>0</v>
      </c>
      <c r="Q367" s="6" t="s">
        <v>4475</v>
      </c>
      <c r="T367" s="23">
        <v>46231</v>
      </c>
      <c r="U367" s="23">
        <v>46961</v>
      </c>
      <c r="X367" s="20">
        <v>4000</v>
      </c>
      <c r="Z367" s="6" t="s">
        <v>5978</v>
      </c>
      <c r="AA367" s="14">
        <f t="shared" si="54"/>
        <v>5.9999999999999995E-4</v>
      </c>
      <c r="AB367">
        <v>2.4</v>
      </c>
      <c r="AC367">
        <v>2.496</v>
      </c>
    </row>
    <row r="368" spans="1:29" x14ac:dyDescent="0.3">
      <c r="A368">
        <v>136666</v>
      </c>
      <c r="B368" s="25" t="s">
        <v>5984</v>
      </c>
      <c r="C368" t="s">
        <v>20</v>
      </c>
      <c r="D368" t="s">
        <v>21</v>
      </c>
      <c r="E368">
        <v>2222222</v>
      </c>
      <c r="F368" s="8" t="s">
        <v>22</v>
      </c>
      <c r="G368" s="2">
        <v>98</v>
      </c>
      <c r="H368" t="s">
        <v>3888</v>
      </c>
      <c r="I368" t="s">
        <v>4170</v>
      </c>
      <c r="J368" s="9" t="s">
        <v>5137</v>
      </c>
      <c r="K368" t="s">
        <v>4832</v>
      </c>
      <c r="L368" s="2">
        <v>1</v>
      </c>
      <c r="M368" s="24" t="s">
        <v>5971</v>
      </c>
      <c r="N368" s="2" t="s">
        <v>23</v>
      </c>
      <c r="O368" s="18" t="s">
        <v>173</v>
      </c>
      <c r="P368" s="18" t="s">
        <v>3781</v>
      </c>
      <c r="Q368" s="6" t="s">
        <v>4475</v>
      </c>
      <c r="T368" s="23">
        <v>45188</v>
      </c>
      <c r="U368" s="23">
        <v>46649</v>
      </c>
      <c r="X368" s="20">
        <v>26000</v>
      </c>
      <c r="Z368" s="6" t="s">
        <v>5978</v>
      </c>
      <c r="AA368" s="13">
        <f>+(0.56/1000)</f>
        <v>5.6000000000000006E-4</v>
      </c>
      <c r="AB368">
        <v>5.2545640000000002</v>
      </c>
      <c r="AC368">
        <v>5.46474656</v>
      </c>
    </row>
    <row r="369" spans="1:29" x14ac:dyDescent="0.3">
      <c r="A369">
        <v>145716</v>
      </c>
      <c r="B369" s="25" t="s">
        <v>5984</v>
      </c>
      <c r="C369" t="s">
        <v>20</v>
      </c>
      <c r="D369" t="s">
        <v>21</v>
      </c>
      <c r="E369">
        <v>2222222</v>
      </c>
      <c r="F369" s="8" t="s">
        <v>22</v>
      </c>
      <c r="G369" s="2">
        <v>98</v>
      </c>
      <c r="H369" t="s">
        <v>3888</v>
      </c>
      <c r="I369" t="s">
        <v>4170</v>
      </c>
      <c r="J369" s="9" t="s">
        <v>5137</v>
      </c>
      <c r="K369" t="s">
        <v>4832</v>
      </c>
      <c r="L369" s="2">
        <v>1</v>
      </c>
      <c r="M369" s="24" t="s">
        <v>5971</v>
      </c>
      <c r="N369" s="2" t="s">
        <v>23</v>
      </c>
      <c r="O369" s="18" t="s">
        <v>173</v>
      </c>
      <c r="P369" s="18" t="s">
        <v>3781</v>
      </c>
      <c r="Q369" s="6" t="s">
        <v>4475</v>
      </c>
      <c r="T369" s="23">
        <v>45767</v>
      </c>
      <c r="U369" s="23">
        <v>46863</v>
      </c>
      <c r="X369" s="20">
        <v>30000</v>
      </c>
      <c r="Z369" s="6" t="s">
        <v>5978</v>
      </c>
      <c r="AA369" s="14">
        <f t="shared" ref="AA369:AA370" si="55">+(0.6/1000)</f>
        <v>5.9999999999999995E-4</v>
      </c>
      <c r="AB369">
        <v>11.348375999999998</v>
      </c>
      <c r="AC369">
        <v>11.802311039999999</v>
      </c>
    </row>
    <row r="370" spans="1:29" x14ac:dyDescent="0.3">
      <c r="A370">
        <v>150571</v>
      </c>
      <c r="B370" s="25" t="s">
        <v>5984</v>
      </c>
      <c r="C370" t="s">
        <v>20</v>
      </c>
      <c r="D370" t="s">
        <v>21</v>
      </c>
      <c r="E370">
        <v>2222222</v>
      </c>
      <c r="F370" s="8" t="s">
        <v>22</v>
      </c>
      <c r="G370" s="2">
        <v>98</v>
      </c>
      <c r="H370" t="s">
        <v>3889</v>
      </c>
      <c r="I370" t="s">
        <v>4779</v>
      </c>
      <c r="J370" s="9" t="s">
        <v>5089</v>
      </c>
      <c r="L370" s="2">
        <v>1</v>
      </c>
      <c r="M370" s="24" t="s">
        <v>5971</v>
      </c>
      <c r="N370" s="2" t="s">
        <v>23</v>
      </c>
      <c r="O370" s="18" t="s">
        <v>321</v>
      </c>
      <c r="P370" s="18" t="s">
        <v>0</v>
      </c>
      <c r="Q370" s="6" t="s">
        <v>4475</v>
      </c>
      <c r="T370" s="23">
        <v>46101</v>
      </c>
      <c r="U370" s="23">
        <v>46465</v>
      </c>
      <c r="X370" s="20">
        <v>5000</v>
      </c>
      <c r="Z370" s="6" t="s">
        <v>5978</v>
      </c>
      <c r="AA370" s="14">
        <f t="shared" si="55"/>
        <v>5.9999999999999995E-4</v>
      </c>
      <c r="AB370">
        <v>2.0587439999999999</v>
      </c>
      <c r="AC370">
        <v>2.14109376</v>
      </c>
    </row>
    <row r="371" spans="1:29" x14ac:dyDescent="0.3">
      <c r="A371">
        <v>137290</v>
      </c>
      <c r="B371" s="25" t="s">
        <v>5984</v>
      </c>
      <c r="C371" t="s">
        <v>20</v>
      </c>
      <c r="D371" t="s">
        <v>21</v>
      </c>
      <c r="E371">
        <v>2222222</v>
      </c>
      <c r="F371" s="8" t="s">
        <v>22</v>
      </c>
      <c r="G371" s="2">
        <v>98</v>
      </c>
      <c r="H371" t="s">
        <v>3890</v>
      </c>
      <c r="I371" t="s">
        <v>3988</v>
      </c>
      <c r="J371" s="9" t="s">
        <v>5138</v>
      </c>
      <c r="K371" t="s">
        <v>4872</v>
      </c>
      <c r="L371" s="2">
        <v>1</v>
      </c>
      <c r="M371" s="24" t="s">
        <v>5971</v>
      </c>
      <c r="N371" s="2" t="s">
        <v>23</v>
      </c>
      <c r="O371" s="18" t="s">
        <v>322</v>
      </c>
      <c r="P371" s="18" t="s">
        <v>3781</v>
      </c>
      <c r="Q371" s="6" t="s">
        <v>4475</v>
      </c>
      <c r="T371" s="23">
        <v>45230</v>
      </c>
      <c r="U371" s="23">
        <v>47513</v>
      </c>
      <c r="X371" s="20">
        <v>20000</v>
      </c>
      <c r="Z371" s="6" t="s">
        <v>5978</v>
      </c>
      <c r="AA371" s="13">
        <f>+(0.56/1000)</f>
        <v>5.6000000000000006E-4</v>
      </c>
      <c r="AB371">
        <v>7.8869448000000011</v>
      </c>
      <c r="AC371">
        <v>8.2024225920000013</v>
      </c>
    </row>
    <row r="372" spans="1:29" x14ac:dyDescent="0.3">
      <c r="A372">
        <v>143706</v>
      </c>
      <c r="B372" s="25" t="s">
        <v>5984</v>
      </c>
      <c r="C372" t="s">
        <v>20</v>
      </c>
      <c r="D372" t="s">
        <v>21</v>
      </c>
      <c r="E372">
        <v>2222222</v>
      </c>
      <c r="F372" s="8" t="s">
        <v>22</v>
      </c>
      <c r="G372" s="2">
        <v>98</v>
      </c>
      <c r="H372" t="s">
        <v>3890</v>
      </c>
      <c r="I372" t="s">
        <v>3988</v>
      </c>
      <c r="J372" s="9" t="s">
        <v>5139</v>
      </c>
      <c r="K372" t="s">
        <v>4915</v>
      </c>
      <c r="L372" s="2">
        <v>1</v>
      </c>
      <c r="M372" s="24" t="s">
        <v>5971</v>
      </c>
      <c r="N372" s="2" t="s">
        <v>23</v>
      </c>
      <c r="O372" s="18" t="s">
        <v>323</v>
      </c>
      <c r="P372" s="18" t="s">
        <v>3781</v>
      </c>
      <c r="Q372" s="6" t="s">
        <v>4475</v>
      </c>
      <c r="T372" s="23">
        <v>45618</v>
      </c>
      <c r="U372" s="23">
        <v>48174</v>
      </c>
      <c r="X372" s="20">
        <v>13800</v>
      </c>
      <c r="Z372" s="6" t="s">
        <v>5978</v>
      </c>
      <c r="AA372" s="14">
        <f t="shared" ref="AA372:AA379" si="56">+(0.6/1000)</f>
        <v>5.9999999999999995E-4</v>
      </c>
      <c r="AB372">
        <v>7.0786379999999989</v>
      </c>
      <c r="AC372">
        <v>7.3617835199999995</v>
      </c>
    </row>
    <row r="373" spans="1:29" x14ac:dyDescent="0.3">
      <c r="A373">
        <v>143776</v>
      </c>
      <c r="B373" s="25" t="s">
        <v>5984</v>
      </c>
      <c r="C373" t="s">
        <v>20</v>
      </c>
      <c r="D373" t="s">
        <v>21</v>
      </c>
      <c r="E373">
        <v>2222222</v>
      </c>
      <c r="F373" s="8" t="s">
        <v>22</v>
      </c>
      <c r="G373" s="2">
        <v>98</v>
      </c>
      <c r="H373" t="s">
        <v>3890</v>
      </c>
      <c r="I373" t="s">
        <v>4191</v>
      </c>
      <c r="J373" s="9" t="s">
        <v>4865</v>
      </c>
      <c r="K373" t="s">
        <v>5035</v>
      </c>
      <c r="L373" s="2">
        <v>1</v>
      </c>
      <c r="M373" s="24" t="s">
        <v>5971</v>
      </c>
      <c r="N373" s="2" t="s">
        <v>23</v>
      </c>
      <c r="O373" s="18" t="s">
        <v>324</v>
      </c>
      <c r="P373" s="18" t="s">
        <v>0</v>
      </c>
      <c r="Q373" s="6" t="s">
        <v>4475</v>
      </c>
      <c r="T373" s="23">
        <v>45615</v>
      </c>
      <c r="U373" s="23">
        <v>46710</v>
      </c>
      <c r="X373" s="20">
        <v>2420</v>
      </c>
      <c r="Z373" s="6" t="s">
        <v>5978</v>
      </c>
      <c r="AA373" s="14">
        <f t="shared" si="56"/>
        <v>5.9999999999999995E-4</v>
      </c>
      <c r="AB373">
        <v>0.73696199999999989</v>
      </c>
      <c r="AC373">
        <v>0.76644047999999987</v>
      </c>
    </row>
    <row r="374" spans="1:29" x14ac:dyDescent="0.3">
      <c r="A374">
        <v>146348</v>
      </c>
      <c r="B374" s="25" t="s">
        <v>5984</v>
      </c>
      <c r="C374" t="s">
        <v>20</v>
      </c>
      <c r="D374" t="s">
        <v>21</v>
      </c>
      <c r="E374">
        <v>2222222</v>
      </c>
      <c r="F374" s="8" t="s">
        <v>22</v>
      </c>
      <c r="G374" s="2">
        <v>98</v>
      </c>
      <c r="H374" t="s">
        <v>3890</v>
      </c>
      <c r="I374" t="s">
        <v>4599</v>
      </c>
      <c r="J374" s="9" t="s">
        <v>5139</v>
      </c>
      <c r="K374" t="s">
        <v>5048</v>
      </c>
      <c r="L374" s="2">
        <v>1</v>
      </c>
      <c r="M374" s="24" t="s">
        <v>5971</v>
      </c>
      <c r="N374" s="2" t="s">
        <v>23</v>
      </c>
      <c r="O374" s="18" t="s">
        <v>325</v>
      </c>
      <c r="P374" s="18" t="s">
        <v>3781</v>
      </c>
      <c r="Q374" s="6" t="s">
        <v>4475</v>
      </c>
      <c r="T374" s="23">
        <v>45812</v>
      </c>
      <c r="U374" s="23">
        <v>46908</v>
      </c>
      <c r="X374" s="20">
        <v>4000</v>
      </c>
      <c r="Z374" s="6" t="s">
        <v>5978</v>
      </c>
      <c r="AA374" s="14">
        <f t="shared" si="56"/>
        <v>5.9999999999999995E-4</v>
      </c>
      <c r="AB374">
        <v>1.671216</v>
      </c>
      <c r="AC374">
        <v>1.7380646400000002</v>
      </c>
    </row>
    <row r="375" spans="1:29" x14ac:dyDescent="0.3">
      <c r="A375">
        <v>147315</v>
      </c>
      <c r="B375" s="25" t="s">
        <v>5984</v>
      </c>
      <c r="C375" t="s">
        <v>20</v>
      </c>
      <c r="D375" t="s">
        <v>21</v>
      </c>
      <c r="E375">
        <v>2222222</v>
      </c>
      <c r="F375" s="8" t="s">
        <v>22</v>
      </c>
      <c r="G375" s="2">
        <v>98</v>
      </c>
      <c r="H375" t="s">
        <v>3890</v>
      </c>
      <c r="I375" t="s">
        <v>4051</v>
      </c>
      <c r="J375" s="9" t="s">
        <v>5140</v>
      </c>
      <c r="K375" t="s">
        <v>4924</v>
      </c>
      <c r="L375" s="2">
        <v>1</v>
      </c>
      <c r="M375" s="24" t="s">
        <v>5971</v>
      </c>
      <c r="N375" s="2" t="s">
        <v>23</v>
      </c>
      <c r="O375" s="18" t="s">
        <v>326</v>
      </c>
      <c r="P375" s="18" t="s">
        <v>3781</v>
      </c>
      <c r="Q375" s="6" t="s">
        <v>4475</v>
      </c>
      <c r="T375" s="23">
        <v>45882</v>
      </c>
      <c r="U375" s="23">
        <v>46982</v>
      </c>
      <c r="X375" s="20">
        <v>2500</v>
      </c>
      <c r="Z375" s="6" t="s">
        <v>5978</v>
      </c>
      <c r="AA375" s="14">
        <f t="shared" si="56"/>
        <v>5.9999999999999995E-4</v>
      </c>
      <c r="AB375">
        <v>1.1235599999999999</v>
      </c>
      <c r="AC375">
        <v>1.1685023999999999</v>
      </c>
    </row>
    <row r="376" spans="1:29" x14ac:dyDescent="0.3">
      <c r="A376">
        <v>149568</v>
      </c>
      <c r="B376" s="25" t="s">
        <v>5984</v>
      </c>
      <c r="C376" t="s">
        <v>20</v>
      </c>
      <c r="D376" t="s">
        <v>21</v>
      </c>
      <c r="E376">
        <v>2222222</v>
      </c>
      <c r="F376" s="8" t="s">
        <v>22</v>
      </c>
      <c r="G376" s="2">
        <v>98</v>
      </c>
      <c r="H376" t="s">
        <v>3890</v>
      </c>
      <c r="I376" t="s">
        <v>3886</v>
      </c>
      <c r="J376" s="9" t="s">
        <v>4836</v>
      </c>
      <c r="K376" t="s">
        <v>5011</v>
      </c>
      <c r="L376" s="2">
        <v>1</v>
      </c>
      <c r="M376" s="24" t="s">
        <v>5971</v>
      </c>
      <c r="N376" s="2" t="s">
        <v>23</v>
      </c>
      <c r="O376" s="18" t="s">
        <v>327</v>
      </c>
      <c r="P376" s="18" t="s">
        <v>3781</v>
      </c>
      <c r="Q376" s="6" t="s">
        <v>4475</v>
      </c>
      <c r="T376" s="23">
        <v>46041</v>
      </c>
      <c r="U376" s="23">
        <v>49692</v>
      </c>
      <c r="X376" s="20">
        <v>17550</v>
      </c>
      <c r="Z376" s="6" t="s">
        <v>5978</v>
      </c>
      <c r="AA376" s="14">
        <f t="shared" si="56"/>
        <v>5.9999999999999995E-4</v>
      </c>
      <c r="AB376">
        <v>10.483205999999997</v>
      </c>
      <c r="AC376">
        <v>10.902534239999998</v>
      </c>
    </row>
    <row r="377" spans="1:29" x14ac:dyDescent="0.3">
      <c r="A377">
        <v>149990</v>
      </c>
      <c r="B377" s="25" t="s">
        <v>5984</v>
      </c>
      <c r="C377" t="s">
        <v>20</v>
      </c>
      <c r="D377" t="s">
        <v>21</v>
      </c>
      <c r="E377">
        <v>2222222</v>
      </c>
      <c r="F377" s="8" t="s">
        <v>22</v>
      </c>
      <c r="G377" s="2">
        <v>98</v>
      </c>
      <c r="H377" t="s">
        <v>3890</v>
      </c>
      <c r="I377" t="s">
        <v>4051</v>
      </c>
      <c r="J377" s="9" t="s">
        <v>5140</v>
      </c>
      <c r="K377" t="s">
        <v>4924</v>
      </c>
      <c r="L377" s="2">
        <v>1</v>
      </c>
      <c r="M377" s="24" t="s">
        <v>5971</v>
      </c>
      <c r="N377" s="2" t="s">
        <v>23</v>
      </c>
      <c r="O377" s="18" t="s">
        <v>326</v>
      </c>
      <c r="P377" s="18" t="s">
        <v>3781</v>
      </c>
      <c r="Q377" s="6" t="s">
        <v>4475</v>
      </c>
      <c r="T377" s="23">
        <v>46063</v>
      </c>
      <c r="U377" s="23">
        <v>46795</v>
      </c>
      <c r="X377" s="20">
        <v>2000</v>
      </c>
      <c r="Z377" s="6" t="s">
        <v>5978</v>
      </c>
      <c r="AA377" s="14">
        <f t="shared" si="56"/>
        <v>5.9999999999999995E-4</v>
      </c>
      <c r="AB377">
        <v>0.98264999999999991</v>
      </c>
      <c r="AC377">
        <v>1.0219559999999999</v>
      </c>
    </row>
    <row r="378" spans="1:29" x14ac:dyDescent="0.3">
      <c r="A378">
        <v>152277</v>
      </c>
      <c r="B378" s="25" t="s">
        <v>5984</v>
      </c>
      <c r="C378" t="s">
        <v>20</v>
      </c>
      <c r="D378" t="s">
        <v>21</v>
      </c>
      <c r="E378">
        <v>2222222</v>
      </c>
      <c r="F378" s="8" t="s">
        <v>22</v>
      </c>
      <c r="G378" s="2">
        <v>98</v>
      </c>
      <c r="H378" t="s">
        <v>3890</v>
      </c>
      <c r="I378" t="s">
        <v>3988</v>
      </c>
      <c r="J378" s="9" t="s">
        <v>5138</v>
      </c>
      <c r="K378" t="s">
        <v>4872</v>
      </c>
      <c r="L378" s="2">
        <v>1</v>
      </c>
      <c r="M378" s="24" t="s">
        <v>5971</v>
      </c>
      <c r="N378" s="2" t="s">
        <v>23</v>
      </c>
      <c r="O378" s="18" t="s">
        <v>322</v>
      </c>
      <c r="P378" s="18" t="s">
        <v>3781</v>
      </c>
      <c r="Q378" s="6" t="s">
        <v>4475</v>
      </c>
      <c r="T378" s="23">
        <v>46224</v>
      </c>
      <c r="U378" s="23">
        <v>46314</v>
      </c>
      <c r="X378" s="20">
        <v>1500</v>
      </c>
      <c r="Z378" s="6" t="s">
        <v>5978</v>
      </c>
      <c r="AA378" s="14">
        <f t="shared" si="56"/>
        <v>5.9999999999999995E-4</v>
      </c>
      <c r="AB378">
        <v>0.89999999999999991</v>
      </c>
      <c r="AC378">
        <v>0.93599999999999994</v>
      </c>
    </row>
    <row r="379" spans="1:29" x14ac:dyDescent="0.3">
      <c r="A379">
        <v>152366</v>
      </c>
      <c r="B379" s="25" t="s">
        <v>5984</v>
      </c>
      <c r="C379" t="s">
        <v>20</v>
      </c>
      <c r="D379" t="s">
        <v>21</v>
      </c>
      <c r="E379">
        <v>2222222</v>
      </c>
      <c r="F379" s="8" t="s">
        <v>22</v>
      </c>
      <c r="G379" s="2">
        <v>98</v>
      </c>
      <c r="H379" t="s">
        <v>3890</v>
      </c>
      <c r="I379" t="s">
        <v>3988</v>
      </c>
      <c r="J379" s="9" t="s">
        <v>4852</v>
      </c>
      <c r="K379" t="s">
        <v>5130</v>
      </c>
      <c r="L379" s="2">
        <v>1</v>
      </c>
      <c r="M379" s="24" t="s">
        <v>5971</v>
      </c>
      <c r="N379" s="2" t="s">
        <v>23</v>
      </c>
      <c r="O379" s="18" t="s">
        <v>328</v>
      </c>
      <c r="P379" s="18" t="s">
        <v>0</v>
      </c>
      <c r="Q379" s="6" t="s">
        <v>4475</v>
      </c>
      <c r="T379" s="23">
        <v>46232</v>
      </c>
      <c r="U379" s="23">
        <v>46322</v>
      </c>
      <c r="X379" s="20">
        <v>1910</v>
      </c>
      <c r="Z379" s="6" t="s">
        <v>5978</v>
      </c>
      <c r="AA379" s="14">
        <f t="shared" si="56"/>
        <v>5.9999999999999995E-4</v>
      </c>
      <c r="AB379">
        <v>1.1459999999999999</v>
      </c>
      <c r="AC379">
        <v>1.19184</v>
      </c>
    </row>
    <row r="380" spans="1:29" x14ac:dyDescent="0.3">
      <c r="A380">
        <v>117969</v>
      </c>
      <c r="B380" s="25" t="s">
        <v>5984</v>
      </c>
      <c r="C380" t="s">
        <v>20</v>
      </c>
      <c r="D380" t="s">
        <v>21</v>
      </c>
      <c r="E380">
        <v>2222222</v>
      </c>
      <c r="F380" s="8" t="s">
        <v>22</v>
      </c>
      <c r="G380" s="2">
        <v>98</v>
      </c>
      <c r="H380" t="s">
        <v>3891</v>
      </c>
      <c r="I380" t="s">
        <v>4246</v>
      </c>
      <c r="J380" s="9" t="s">
        <v>4989</v>
      </c>
      <c r="K380" t="s">
        <v>5078</v>
      </c>
      <c r="L380" s="2">
        <v>1</v>
      </c>
      <c r="M380" s="24" t="s">
        <v>5971</v>
      </c>
      <c r="N380" s="2" t="s">
        <v>23</v>
      </c>
      <c r="O380" s="18" t="s">
        <v>46</v>
      </c>
      <c r="P380" s="18" t="s">
        <v>0</v>
      </c>
      <c r="Q380" s="6" t="s">
        <v>4475</v>
      </c>
      <c r="T380" s="23">
        <v>44221</v>
      </c>
      <c r="U380" s="23">
        <v>46784</v>
      </c>
      <c r="X380" s="20">
        <v>15000</v>
      </c>
      <c r="Z380" s="6" t="s">
        <v>5978</v>
      </c>
      <c r="AA380" s="15">
        <f>+(0.42/1000)</f>
        <v>4.1999999999999996E-4</v>
      </c>
      <c r="AB380">
        <v>2.2003673999999998</v>
      </c>
      <c r="AC380">
        <v>2.2883820959999999</v>
      </c>
    </row>
    <row r="381" spans="1:29" x14ac:dyDescent="0.3">
      <c r="A381">
        <v>129623</v>
      </c>
      <c r="B381" s="25" t="s">
        <v>5984</v>
      </c>
      <c r="C381" t="s">
        <v>20</v>
      </c>
      <c r="D381" t="s">
        <v>21</v>
      </c>
      <c r="E381">
        <v>2222222</v>
      </c>
      <c r="F381" s="8" t="s">
        <v>22</v>
      </c>
      <c r="G381" s="2">
        <v>98</v>
      </c>
      <c r="H381" t="s">
        <v>3891</v>
      </c>
      <c r="I381" t="s">
        <v>4246</v>
      </c>
      <c r="J381" s="9" t="s">
        <v>5055</v>
      </c>
      <c r="K381" t="s">
        <v>4926</v>
      </c>
      <c r="L381" s="2">
        <v>1</v>
      </c>
      <c r="M381" s="24" t="s">
        <v>5971</v>
      </c>
      <c r="N381" s="2" t="s">
        <v>23</v>
      </c>
      <c r="O381" s="18" t="s">
        <v>329</v>
      </c>
      <c r="P381" s="18" t="s">
        <v>3781</v>
      </c>
      <c r="Q381" s="6" t="s">
        <v>4475</v>
      </c>
      <c r="T381" s="23">
        <v>44796</v>
      </c>
      <c r="U381" s="23">
        <v>47018</v>
      </c>
      <c r="X381" s="20">
        <v>30000</v>
      </c>
      <c r="Z381" s="6" t="s">
        <v>5978</v>
      </c>
      <c r="AA381" s="13">
        <f t="shared" ref="AA381:AA387" si="57">+(0.56/1000)</f>
        <v>5.6000000000000006E-4</v>
      </c>
      <c r="AB381">
        <v>7.7332136000000009</v>
      </c>
      <c r="AC381">
        <v>8.0425421440000004</v>
      </c>
    </row>
    <row r="382" spans="1:29" x14ac:dyDescent="0.3">
      <c r="A382">
        <v>130938</v>
      </c>
      <c r="B382" s="25" t="s">
        <v>5984</v>
      </c>
      <c r="C382" t="s">
        <v>20</v>
      </c>
      <c r="D382" t="s">
        <v>21</v>
      </c>
      <c r="E382">
        <v>2222222</v>
      </c>
      <c r="F382" s="8" t="s">
        <v>22</v>
      </c>
      <c r="G382" s="2">
        <v>98</v>
      </c>
      <c r="H382" t="s">
        <v>3891</v>
      </c>
      <c r="I382" t="s">
        <v>4475</v>
      </c>
      <c r="J382" s="9" t="s">
        <v>4836</v>
      </c>
      <c r="K382" t="s">
        <v>4832</v>
      </c>
      <c r="L382" s="2">
        <v>1</v>
      </c>
      <c r="M382" s="24" t="s">
        <v>5971</v>
      </c>
      <c r="N382" s="2" t="s">
        <v>23</v>
      </c>
      <c r="O382" s="18" t="s">
        <v>330</v>
      </c>
      <c r="P382" s="18" t="s">
        <v>3781</v>
      </c>
      <c r="Q382" s="6" t="s">
        <v>4475</v>
      </c>
      <c r="T382" s="23">
        <v>44864</v>
      </c>
      <c r="U382" s="23">
        <v>46324</v>
      </c>
      <c r="X382" s="20">
        <v>4475</v>
      </c>
      <c r="Z382" s="6" t="s">
        <v>5978</v>
      </c>
      <c r="AA382" s="13">
        <f t="shared" si="57"/>
        <v>5.6000000000000006E-4</v>
      </c>
      <c r="AB382">
        <v>0.71824480000000002</v>
      </c>
      <c r="AC382">
        <v>0.74697459200000005</v>
      </c>
    </row>
    <row r="383" spans="1:29" x14ac:dyDescent="0.3">
      <c r="A383">
        <v>134348</v>
      </c>
      <c r="B383" s="25" t="s">
        <v>5984</v>
      </c>
      <c r="C383" t="s">
        <v>20</v>
      </c>
      <c r="D383" t="s">
        <v>21</v>
      </c>
      <c r="E383">
        <v>2222222</v>
      </c>
      <c r="F383" s="8" t="s">
        <v>22</v>
      </c>
      <c r="G383" s="2">
        <v>98</v>
      </c>
      <c r="H383" t="s">
        <v>3891</v>
      </c>
      <c r="I383" t="s">
        <v>3867</v>
      </c>
      <c r="J383" s="9" t="s">
        <v>5141</v>
      </c>
      <c r="K383" t="s">
        <v>5057</v>
      </c>
      <c r="L383" s="2">
        <v>1</v>
      </c>
      <c r="M383" s="24" t="s">
        <v>5971</v>
      </c>
      <c r="N383" s="2" t="s">
        <v>23</v>
      </c>
      <c r="O383" s="18" t="s">
        <v>331</v>
      </c>
      <c r="P383" s="18" t="s">
        <v>3781</v>
      </c>
      <c r="Q383" s="6" t="s">
        <v>4475</v>
      </c>
      <c r="T383" s="23">
        <v>45051</v>
      </c>
      <c r="U383" s="23">
        <v>47618</v>
      </c>
      <c r="X383" s="20">
        <v>24200</v>
      </c>
      <c r="Z383" s="6" t="s">
        <v>5978</v>
      </c>
      <c r="AA383" s="13">
        <f t="shared" si="57"/>
        <v>5.6000000000000006E-4</v>
      </c>
      <c r="AB383">
        <v>13.126769600000001</v>
      </c>
      <c r="AC383">
        <v>13.651840384000002</v>
      </c>
    </row>
    <row r="384" spans="1:29" x14ac:dyDescent="0.3">
      <c r="A384">
        <v>138329</v>
      </c>
      <c r="B384" s="25" t="s">
        <v>5984</v>
      </c>
      <c r="C384" t="s">
        <v>20</v>
      </c>
      <c r="D384" t="s">
        <v>21</v>
      </c>
      <c r="E384">
        <v>2222222</v>
      </c>
      <c r="F384" s="8" t="s">
        <v>22</v>
      </c>
      <c r="G384" s="2">
        <v>98</v>
      </c>
      <c r="H384" t="s">
        <v>3891</v>
      </c>
      <c r="I384" t="s">
        <v>4043</v>
      </c>
      <c r="J384" t="s">
        <v>5142</v>
      </c>
      <c r="K384" t="s">
        <v>4893</v>
      </c>
      <c r="L384" s="2">
        <v>1</v>
      </c>
      <c r="M384" s="24" t="s">
        <v>5971</v>
      </c>
      <c r="N384" s="2" t="s">
        <v>23</v>
      </c>
      <c r="O384" s="18" t="s">
        <v>332</v>
      </c>
      <c r="P384" s="18" t="s">
        <v>0</v>
      </c>
      <c r="Q384" s="6" t="s">
        <v>4475</v>
      </c>
      <c r="T384" s="23">
        <v>45322</v>
      </c>
      <c r="U384" s="23">
        <v>50802</v>
      </c>
      <c r="X384" s="20">
        <v>100000</v>
      </c>
      <c r="Z384" s="6" t="s">
        <v>5978</v>
      </c>
      <c r="AA384" s="13">
        <f t="shared" si="57"/>
        <v>5.6000000000000006E-4</v>
      </c>
      <c r="AB384">
        <v>51.894836000000012</v>
      </c>
      <c r="AC384">
        <v>53.970629440000017</v>
      </c>
    </row>
    <row r="385" spans="1:29" x14ac:dyDescent="0.3">
      <c r="A385">
        <v>139030</v>
      </c>
      <c r="B385" s="25" t="s">
        <v>5984</v>
      </c>
      <c r="C385" t="s">
        <v>20</v>
      </c>
      <c r="D385" t="s">
        <v>21</v>
      </c>
      <c r="E385">
        <v>2222222</v>
      </c>
      <c r="F385" s="8" t="s">
        <v>22</v>
      </c>
      <c r="G385" s="2">
        <v>98</v>
      </c>
      <c r="H385" t="s">
        <v>3891</v>
      </c>
      <c r="I385" t="s">
        <v>4043</v>
      </c>
      <c r="J385" s="9" t="s">
        <v>5143</v>
      </c>
      <c r="K385" t="s">
        <v>4924</v>
      </c>
      <c r="L385" s="2">
        <v>1</v>
      </c>
      <c r="M385" s="24" t="s">
        <v>5971</v>
      </c>
      <c r="N385" s="2" t="s">
        <v>23</v>
      </c>
      <c r="O385" s="18" t="s">
        <v>333</v>
      </c>
      <c r="P385" s="18" t="s">
        <v>3781</v>
      </c>
      <c r="Q385" s="6" t="s">
        <v>4475</v>
      </c>
      <c r="T385" s="23">
        <v>45316</v>
      </c>
      <c r="U385" s="23">
        <v>46776</v>
      </c>
      <c r="X385" s="20">
        <v>5000</v>
      </c>
      <c r="Z385" s="6" t="s">
        <v>5978</v>
      </c>
      <c r="AA385" s="13">
        <f t="shared" si="57"/>
        <v>5.6000000000000006E-4</v>
      </c>
      <c r="AB385">
        <v>1.3033048</v>
      </c>
      <c r="AC385">
        <v>1.355436992</v>
      </c>
    </row>
    <row r="386" spans="1:29" x14ac:dyDescent="0.3">
      <c r="A386">
        <v>140027</v>
      </c>
      <c r="B386" s="25" t="s">
        <v>5984</v>
      </c>
      <c r="C386" t="s">
        <v>20</v>
      </c>
      <c r="D386" t="s">
        <v>21</v>
      </c>
      <c r="E386">
        <v>2222222</v>
      </c>
      <c r="F386" s="8" t="s">
        <v>22</v>
      </c>
      <c r="G386" s="2">
        <v>98</v>
      </c>
      <c r="H386" t="s">
        <v>3891</v>
      </c>
      <c r="I386" t="s">
        <v>3891</v>
      </c>
      <c r="J386" s="9" t="s">
        <v>4852</v>
      </c>
      <c r="K386" t="s">
        <v>5144</v>
      </c>
      <c r="L386" s="2">
        <v>1</v>
      </c>
      <c r="M386" s="24" t="s">
        <v>5971</v>
      </c>
      <c r="N386" s="2" t="s">
        <v>23</v>
      </c>
      <c r="O386" s="18" t="s">
        <v>334</v>
      </c>
      <c r="P386" s="18" t="s">
        <v>0</v>
      </c>
      <c r="Q386" s="6" t="s">
        <v>4475</v>
      </c>
      <c r="T386" s="23">
        <v>45362</v>
      </c>
      <c r="U386" s="23">
        <v>46822</v>
      </c>
      <c r="X386" s="20">
        <v>1000</v>
      </c>
      <c r="Z386" s="6" t="s">
        <v>5978</v>
      </c>
      <c r="AA386" s="13">
        <f t="shared" si="57"/>
        <v>5.6000000000000006E-4</v>
      </c>
      <c r="AB386">
        <v>0.28570640000000003</v>
      </c>
      <c r="AC386">
        <v>0.29713465600000005</v>
      </c>
    </row>
    <row r="387" spans="1:29" x14ac:dyDescent="0.3">
      <c r="A387">
        <v>140353</v>
      </c>
      <c r="B387" s="25" t="s">
        <v>5984</v>
      </c>
      <c r="C387" t="s">
        <v>20</v>
      </c>
      <c r="D387" t="s">
        <v>21</v>
      </c>
      <c r="E387">
        <v>2222222</v>
      </c>
      <c r="F387" s="8" t="s">
        <v>22</v>
      </c>
      <c r="G387" s="2">
        <v>98</v>
      </c>
      <c r="H387" t="s">
        <v>3891</v>
      </c>
      <c r="I387" t="s">
        <v>4275</v>
      </c>
      <c r="J387" s="9" t="s">
        <v>4836</v>
      </c>
      <c r="K387" t="s">
        <v>5145</v>
      </c>
      <c r="L387" s="2">
        <v>1</v>
      </c>
      <c r="M387" s="24" t="s">
        <v>5971</v>
      </c>
      <c r="N387" s="2" t="s">
        <v>23</v>
      </c>
      <c r="O387" s="18" t="s">
        <v>335</v>
      </c>
      <c r="P387" s="18" t="s">
        <v>3781</v>
      </c>
      <c r="Q387" s="6" t="s">
        <v>4475</v>
      </c>
      <c r="T387" s="23">
        <v>45383</v>
      </c>
      <c r="U387" s="23">
        <v>46478</v>
      </c>
      <c r="X387" s="20">
        <v>3650</v>
      </c>
      <c r="Z387" s="6" t="s">
        <v>5978</v>
      </c>
      <c r="AA387" s="13">
        <f t="shared" si="57"/>
        <v>5.6000000000000006E-4</v>
      </c>
      <c r="AB387">
        <v>0.6197912000000001</v>
      </c>
      <c r="AC387">
        <v>0.6445828480000001</v>
      </c>
    </row>
    <row r="388" spans="1:29" x14ac:dyDescent="0.3">
      <c r="A388">
        <v>142178</v>
      </c>
      <c r="B388" s="25" t="s">
        <v>5984</v>
      </c>
      <c r="C388" t="s">
        <v>20</v>
      </c>
      <c r="D388" t="s">
        <v>21</v>
      </c>
      <c r="E388">
        <v>2222222</v>
      </c>
      <c r="F388" s="8" t="s">
        <v>22</v>
      </c>
      <c r="G388" s="2">
        <v>98</v>
      </c>
      <c r="H388" t="s">
        <v>3891</v>
      </c>
      <c r="I388" t="s">
        <v>4399</v>
      </c>
      <c r="J388" s="9" t="s">
        <v>4916</v>
      </c>
      <c r="K388" t="s">
        <v>4991</v>
      </c>
      <c r="L388" s="2">
        <v>1</v>
      </c>
      <c r="M388" s="24" t="s">
        <v>5971</v>
      </c>
      <c r="N388" s="2" t="s">
        <v>23</v>
      </c>
      <c r="O388" s="18" t="s">
        <v>336</v>
      </c>
      <c r="P388" s="18" t="s">
        <v>3781</v>
      </c>
      <c r="Q388" s="6" t="s">
        <v>4475</v>
      </c>
      <c r="T388" s="23">
        <v>45501</v>
      </c>
      <c r="U388" s="23">
        <v>46595</v>
      </c>
      <c r="X388" s="20">
        <v>2580</v>
      </c>
      <c r="Z388" s="6" t="s">
        <v>5978</v>
      </c>
      <c r="AA388" s="14">
        <f t="shared" ref="AA388:AA397" si="58">+(0.6/1000)</f>
        <v>5.9999999999999995E-4</v>
      </c>
      <c r="AB388">
        <v>0.61653599999999986</v>
      </c>
      <c r="AC388">
        <v>0.6411974399999999</v>
      </c>
    </row>
    <row r="389" spans="1:29" x14ac:dyDescent="0.3">
      <c r="A389">
        <v>145150</v>
      </c>
      <c r="B389" s="25" t="s">
        <v>5984</v>
      </c>
      <c r="C389" t="s">
        <v>20</v>
      </c>
      <c r="D389" t="s">
        <v>21</v>
      </c>
      <c r="E389">
        <v>2222222</v>
      </c>
      <c r="F389" s="8" t="s">
        <v>22</v>
      </c>
      <c r="G389" s="2">
        <v>98</v>
      </c>
      <c r="H389" t="s">
        <v>3891</v>
      </c>
      <c r="I389" t="s">
        <v>3806</v>
      </c>
      <c r="J389" s="9" t="s">
        <v>4911</v>
      </c>
      <c r="K389" t="s">
        <v>5146</v>
      </c>
      <c r="L389" s="2">
        <v>1</v>
      </c>
      <c r="M389" s="24" t="s">
        <v>5971</v>
      </c>
      <c r="N389" s="2" t="s">
        <v>23</v>
      </c>
      <c r="O389" s="18" t="s">
        <v>337</v>
      </c>
      <c r="P389" s="18" t="s">
        <v>3781</v>
      </c>
      <c r="Q389" s="6" t="s">
        <v>4475</v>
      </c>
      <c r="T389" s="23">
        <v>45731</v>
      </c>
      <c r="U389" s="23">
        <v>48287</v>
      </c>
      <c r="X389" s="20">
        <v>8200</v>
      </c>
      <c r="Z389" s="6" t="s">
        <v>5978</v>
      </c>
      <c r="AA389" s="14">
        <f t="shared" si="58"/>
        <v>5.9999999999999995E-4</v>
      </c>
      <c r="AB389">
        <v>4.7640899999999995</v>
      </c>
      <c r="AC389">
        <v>4.9546535999999994</v>
      </c>
    </row>
    <row r="390" spans="1:29" x14ac:dyDescent="0.3">
      <c r="A390">
        <v>145433</v>
      </c>
      <c r="B390" s="25" t="s">
        <v>5984</v>
      </c>
      <c r="C390" t="s">
        <v>20</v>
      </c>
      <c r="D390" t="s">
        <v>21</v>
      </c>
      <c r="E390">
        <v>2222222</v>
      </c>
      <c r="F390" s="8" t="s">
        <v>22</v>
      </c>
      <c r="G390" s="2">
        <v>98</v>
      </c>
      <c r="H390" t="s">
        <v>3891</v>
      </c>
      <c r="I390" t="s">
        <v>3893</v>
      </c>
      <c r="J390" s="9" t="s">
        <v>5147</v>
      </c>
      <c r="K390" t="s">
        <v>5019</v>
      </c>
      <c r="L390" s="2">
        <v>1</v>
      </c>
      <c r="M390" s="24" t="s">
        <v>5971</v>
      </c>
      <c r="N390" s="2" t="s">
        <v>23</v>
      </c>
      <c r="O390" s="18" t="s">
        <v>338</v>
      </c>
      <c r="P390" s="18" t="s">
        <v>3781</v>
      </c>
      <c r="Q390" s="6" t="s">
        <v>4475</v>
      </c>
      <c r="T390" s="23">
        <v>45741</v>
      </c>
      <c r="U390" s="23">
        <v>48662</v>
      </c>
      <c r="X390" s="20">
        <v>10000</v>
      </c>
      <c r="Z390" s="6" t="s">
        <v>5978</v>
      </c>
      <c r="AA390" s="14">
        <f t="shared" si="58"/>
        <v>5.9999999999999995E-4</v>
      </c>
      <c r="AB390">
        <v>5.4513660000000002</v>
      </c>
      <c r="AC390">
        <v>5.6694206400000002</v>
      </c>
    </row>
    <row r="391" spans="1:29" x14ac:dyDescent="0.3">
      <c r="A391">
        <v>147162</v>
      </c>
      <c r="B391" s="25" t="s">
        <v>5984</v>
      </c>
      <c r="C391" t="s">
        <v>20</v>
      </c>
      <c r="D391" t="s">
        <v>21</v>
      </c>
      <c r="E391">
        <v>2222222</v>
      </c>
      <c r="F391" s="8" t="s">
        <v>22</v>
      </c>
      <c r="G391" s="2">
        <v>98</v>
      </c>
      <c r="H391" t="s">
        <v>3891</v>
      </c>
      <c r="I391" t="s">
        <v>3806</v>
      </c>
      <c r="J391" s="9" t="s">
        <v>4836</v>
      </c>
      <c r="K391" t="s">
        <v>4969</v>
      </c>
      <c r="L391" s="2">
        <v>1</v>
      </c>
      <c r="M391" s="24" t="s">
        <v>5971</v>
      </c>
      <c r="N391" s="2" t="s">
        <v>23</v>
      </c>
      <c r="O391" s="18" t="s">
        <v>339</v>
      </c>
      <c r="P391" s="18" t="s">
        <v>3781</v>
      </c>
      <c r="Q391" s="6" t="s">
        <v>4475</v>
      </c>
      <c r="T391" s="23">
        <v>45868</v>
      </c>
      <c r="U391" s="23">
        <v>47693</v>
      </c>
      <c r="X391" s="20">
        <v>2970</v>
      </c>
      <c r="Z391" s="6" t="s">
        <v>5978</v>
      </c>
      <c r="AA391" s="14">
        <f t="shared" si="58"/>
        <v>5.9999999999999995E-4</v>
      </c>
      <c r="AB391">
        <v>1.5524219999999997</v>
      </c>
      <c r="AC391">
        <v>1.6145188799999999</v>
      </c>
    </row>
    <row r="392" spans="1:29" x14ac:dyDescent="0.3">
      <c r="A392">
        <v>147540</v>
      </c>
      <c r="B392" s="25" t="s">
        <v>5984</v>
      </c>
      <c r="C392" t="s">
        <v>20</v>
      </c>
      <c r="D392" t="s">
        <v>21</v>
      </c>
      <c r="E392">
        <v>2222222</v>
      </c>
      <c r="F392" s="8" t="s">
        <v>22</v>
      </c>
      <c r="G392" s="2">
        <v>98</v>
      </c>
      <c r="H392" t="s">
        <v>3891</v>
      </c>
      <c r="I392" t="s">
        <v>3891</v>
      </c>
      <c r="J392" s="9" t="s">
        <v>4970</v>
      </c>
      <c r="K392" t="s">
        <v>4925</v>
      </c>
      <c r="L392" s="2">
        <v>1</v>
      </c>
      <c r="M392" s="24" t="s">
        <v>5971</v>
      </c>
      <c r="N392" s="2" t="s">
        <v>23</v>
      </c>
      <c r="O392" s="18" t="s">
        <v>340</v>
      </c>
      <c r="P392" s="18" t="s">
        <v>3781</v>
      </c>
      <c r="Q392" s="6" t="s">
        <v>4475</v>
      </c>
      <c r="T392" s="23">
        <v>45896</v>
      </c>
      <c r="U392" s="23">
        <v>47721</v>
      </c>
      <c r="X392" s="20">
        <v>4380</v>
      </c>
      <c r="Z392" s="6" t="s">
        <v>5978</v>
      </c>
      <c r="AA392" s="14">
        <f t="shared" si="58"/>
        <v>5.9999999999999995E-4</v>
      </c>
      <c r="AB392">
        <v>2.3737319999999995</v>
      </c>
      <c r="AC392">
        <v>2.4686812799999998</v>
      </c>
    </row>
    <row r="393" spans="1:29" x14ac:dyDescent="0.3">
      <c r="A393">
        <v>148561</v>
      </c>
      <c r="B393" s="25" t="s">
        <v>5984</v>
      </c>
      <c r="C393" t="s">
        <v>20</v>
      </c>
      <c r="D393" t="s">
        <v>21</v>
      </c>
      <c r="E393">
        <v>2222222</v>
      </c>
      <c r="F393" s="8" t="s">
        <v>22</v>
      </c>
      <c r="G393" s="2">
        <v>98</v>
      </c>
      <c r="H393" t="s">
        <v>3891</v>
      </c>
      <c r="I393" t="s">
        <v>4646</v>
      </c>
      <c r="J393" s="9" t="s">
        <v>4917</v>
      </c>
      <c r="K393" t="s">
        <v>5148</v>
      </c>
      <c r="L393" s="2">
        <v>1</v>
      </c>
      <c r="M393" s="24" t="s">
        <v>5971</v>
      </c>
      <c r="N393" s="2" t="s">
        <v>23</v>
      </c>
      <c r="O393" s="18" t="s">
        <v>341</v>
      </c>
      <c r="P393" s="18" t="s">
        <v>3781</v>
      </c>
      <c r="Q393" s="6" t="s">
        <v>4475</v>
      </c>
      <c r="T393" s="23">
        <v>45680</v>
      </c>
      <c r="U393" s="23">
        <v>46757</v>
      </c>
      <c r="X393" s="20">
        <v>5000</v>
      </c>
      <c r="Z393" s="6" t="s">
        <v>5978</v>
      </c>
      <c r="AA393" s="14">
        <f t="shared" si="58"/>
        <v>5.9999999999999995E-4</v>
      </c>
      <c r="AB393">
        <v>1.649454</v>
      </c>
      <c r="AC393">
        <v>1.71543216</v>
      </c>
    </row>
    <row r="394" spans="1:29" x14ac:dyDescent="0.3">
      <c r="A394">
        <v>149010</v>
      </c>
      <c r="B394" s="25" t="s">
        <v>5984</v>
      </c>
      <c r="C394" t="s">
        <v>20</v>
      </c>
      <c r="D394" t="s">
        <v>21</v>
      </c>
      <c r="E394">
        <v>2222222</v>
      </c>
      <c r="F394" s="8" t="s">
        <v>22</v>
      </c>
      <c r="G394" s="2">
        <v>98</v>
      </c>
      <c r="H394" t="s">
        <v>3891</v>
      </c>
      <c r="I394" t="s">
        <v>4506</v>
      </c>
      <c r="J394" s="9" t="s">
        <v>5052</v>
      </c>
      <c r="K394" t="s">
        <v>4844</v>
      </c>
      <c r="L394" s="2">
        <v>1</v>
      </c>
      <c r="M394" s="24" t="s">
        <v>5971</v>
      </c>
      <c r="N394" s="2" t="s">
        <v>23</v>
      </c>
      <c r="O394" s="18" t="s">
        <v>342</v>
      </c>
      <c r="P394" s="18" t="s">
        <v>0</v>
      </c>
      <c r="Q394" s="6" t="s">
        <v>4475</v>
      </c>
      <c r="T394" s="23">
        <v>45994</v>
      </c>
      <c r="U394" s="23">
        <v>47454</v>
      </c>
      <c r="X394" s="20">
        <v>2500</v>
      </c>
      <c r="Z394" s="6" t="s">
        <v>5978</v>
      </c>
      <c r="AA394" s="14">
        <f t="shared" si="58"/>
        <v>5.9999999999999995E-4</v>
      </c>
      <c r="AB394">
        <v>1.341378</v>
      </c>
      <c r="AC394">
        <v>1.3950331199999999</v>
      </c>
    </row>
    <row r="395" spans="1:29" x14ac:dyDescent="0.3">
      <c r="A395">
        <v>150191</v>
      </c>
      <c r="B395" s="25" t="s">
        <v>5984</v>
      </c>
      <c r="C395" t="s">
        <v>20</v>
      </c>
      <c r="D395" t="s">
        <v>21</v>
      </c>
      <c r="E395">
        <v>2222222</v>
      </c>
      <c r="F395" s="8" t="s">
        <v>22</v>
      </c>
      <c r="G395" s="2">
        <v>98</v>
      </c>
      <c r="H395" t="s">
        <v>3891</v>
      </c>
      <c r="I395" t="s">
        <v>4288</v>
      </c>
      <c r="J395" s="9" t="s">
        <v>4903</v>
      </c>
      <c r="K395" t="s">
        <v>4836</v>
      </c>
      <c r="L395" s="2">
        <v>1</v>
      </c>
      <c r="M395" s="24" t="s">
        <v>5971</v>
      </c>
      <c r="N395" s="2" t="s">
        <v>23</v>
      </c>
      <c r="O395" s="18" t="s">
        <v>343</v>
      </c>
      <c r="P395" s="18" t="s">
        <v>3781</v>
      </c>
      <c r="Q395" s="6" t="s">
        <v>4475</v>
      </c>
      <c r="T395" s="23">
        <v>46078</v>
      </c>
      <c r="U395" s="23">
        <v>47543</v>
      </c>
      <c r="X395" s="20">
        <v>5000</v>
      </c>
      <c r="Z395" s="6" t="s">
        <v>5978</v>
      </c>
      <c r="AA395" s="14">
        <f t="shared" si="58"/>
        <v>5.9999999999999995E-4</v>
      </c>
      <c r="AB395">
        <v>2.8234439999999998</v>
      </c>
      <c r="AC395">
        <v>2.9363817599999997</v>
      </c>
    </row>
    <row r="396" spans="1:29" x14ac:dyDescent="0.3">
      <c r="A396">
        <v>150708</v>
      </c>
      <c r="B396" s="25" t="s">
        <v>5984</v>
      </c>
      <c r="C396" t="s">
        <v>20</v>
      </c>
      <c r="D396" t="s">
        <v>21</v>
      </c>
      <c r="E396">
        <v>2222222</v>
      </c>
      <c r="F396" s="8" t="s">
        <v>22</v>
      </c>
      <c r="G396" s="2">
        <v>98</v>
      </c>
      <c r="H396" t="s">
        <v>3891</v>
      </c>
      <c r="I396" t="s">
        <v>3806</v>
      </c>
      <c r="J396" s="9" t="s">
        <v>4836</v>
      </c>
      <c r="K396" t="s">
        <v>4969</v>
      </c>
      <c r="L396" s="2">
        <v>1</v>
      </c>
      <c r="M396" s="24" t="s">
        <v>5971</v>
      </c>
      <c r="N396" s="2" t="s">
        <v>23</v>
      </c>
      <c r="O396" s="18" t="s">
        <v>339</v>
      </c>
      <c r="P396" s="18" t="s">
        <v>3781</v>
      </c>
      <c r="Q396" s="6" t="s">
        <v>4475</v>
      </c>
      <c r="T396" s="23">
        <v>46111</v>
      </c>
      <c r="U396" s="23">
        <v>46201</v>
      </c>
      <c r="X396" s="20">
        <v>1100</v>
      </c>
      <c r="Z396" s="6" t="s">
        <v>5978</v>
      </c>
      <c r="AA396" s="14">
        <f t="shared" si="58"/>
        <v>5.9999999999999995E-4</v>
      </c>
      <c r="AB396">
        <v>0.65999999999999992</v>
      </c>
      <c r="AC396">
        <v>0.6863999999999999</v>
      </c>
    </row>
    <row r="397" spans="1:29" x14ac:dyDescent="0.3">
      <c r="A397">
        <v>150837</v>
      </c>
      <c r="B397" s="25" t="s">
        <v>5984</v>
      </c>
      <c r="C397" t="s">
        <v>20</v>
      </c>
      <c r="D397" t="s">
        <v>21</v>
      </c>
      <c r="E397">
        <v>2222222</v>
      </c>
      <c r="F397" s="8" t="s">
        <v>22</v>
      </c>
      <c r="G397" s="2">
        <v>98</v>
      </c>
      <c r="H397" t="s">
        <v>3891</v>
      </c>
      <c r="I397" t="s">
        <v>4043</v>
      </c>
      <c r="J397" s="9" t="s">
        <v>5058</v>
      </c>
      <c r="K397" t="s">
        <v>5149</v>
      </c>
      <c r="L397" s="2">
        <v>1</v>
      </c>
      <c r="M397" s="24" t="s">
        <v>5971</v>
      </c>
      <c r="N397" s="2" t="s">
        <v>23</v>
      </c>
      <c r="O397" s="18" t="s">
        <v>344</v>
      </c>
      <c r="P397" s="18" t="s">
        <v>0</v>
      </c>
      <c r="Q397" s="6" t="s">
        <v>4475</v>
      </c>
      <c r="T397" s="23">
        <v>46168</v>
      </c>
      <c r="U397" s="23">
        <v>50611</v>
      </c>
      <c r="X397" s="20">
        <v>115000</v>
      </c>
      <c r="Z397" s="6" t="s">
        <v>5978</v>
      </c>
      <c r="AA397" s="14">
        <f t="shared" si="58"/>
        <v>5.9999999999999995E-4</v>
      </c>
      <c r="AB397">
        <v>62.399999999999991</v>
      </c>
      <c r="AC397">
        <v>64.895999999999987</v>
      </c>
    </row>
    <row r="398" spans="1:29" x14ac:dyDescent="0.3">
      <c r="A398">
        <v>136985</v>
      </c>
      <c r="B398" s="25" t="s">
        <v>5984</v>
      </c>
      <c r="C398" t="s">
        <v>20</v>
      </c>
      <c r="D398" t="s">
        <v>21</v>
      </c>
      <c r="E398">
        <v>2222222</v>
      </c>
      <c r="F398" s="8" t="s">
        <v>22</v>
      </c>
      <c r="G398" s="2">
        <v>98</v>
      </c>
      <c r="H398" t="s">
        <v>3892</v>
      </c>
      <c r="I398" t="s">
        <v>3867</v>
      </c>
      <c r="J398" s="9" t="s">
        <v>5150</v>
      </c>
      <c r="K398" t="s">
        <v>5111</v>
      </c>
      <c r="L398" s="2">
        <v>1</v>
      </c>
      <c r="M398" s="24" t="s">
        <v>5971</v>
      </c>
      <c r="N398" s="2" t="s">
        <v>23</v>
      </c>
      <c r="O398" s="18" t="s">
        <v>345</v>
      </c>
      <c r="P398" s="18" t="s">
        <v>0</v>
      </c>
      <c r="Q398" s="6" t="s">
        <v>4475</v>
      </c>
      <c r="T398" s="23">
        <v>45199</v>
      </c>
      <c r="U398" s="23">
        <v>45294</v>
      </c>
      <c r="X398" s="20">
        <v>2515</v>
      </c>
      <c r="Z398" s="6" t="s">
        <v>5978</v>
      </c>
      <c r="AA398" s="13">
        <f>+(0.56/1000)</f>
        <v>5.6000000000000006E-4</v>
      </c>
      <c r="AB398">
        <v>1.3815480000000002</v>
      </c>
      <c r="AC398">
        <v>1.4368099200000002</v>
      </c>
    </row>
    <row r="399" spans="1:29" x14ac:dyDescent="0.3">
      <c r="A399">
        <v>145500</v>
      </c>
      <c r="B399" s="25" t="s">
        <v>5984</v>
      </c>
      <c r="C399" t="s">
        <v>20</v>
      </c>
      <c r="D399" t="s">
        <v>21</v>
      </c>
      <c r="E399">
        <v>2222222</v>
      </c>
      <c r="F399" s="8" t="s">
        <v>22</v>
      </c>
      <c r="G399" s="2">
        <v>98</v>
      </c>
      <c r="H399" t="s">
        <v>3892</v>
      </c>
      <c r="I399" t="s">
        <v>3921</v>
      </c>
      <c r="J399" s="9" t="s">
        <v>4860</v>
      </c>
      <c r="K399" t="s">
        <v>5019</v>
      </c>
      <c r="L399" s="2">
        <v>1</v>
      </c>
      <c r="M399" s="24" t="s">
        <v>5971</v>
      </c>
      <c r="N399" s="2" t="s">
        <v>23</v>
      </c>
      <c r="O399" s="18" t="s">
        <v>346</v>
      </c>
      <c r="P399" s="18" t="s">
        <v>3781</v>
      </c>
      <c r="Q399" s="6" t="s">
        <v>4475</v>
      </c>
      <c r="T399" s="23">
        <v>45743</v>
      </c>
      <c r="U399" s="23">
        <v>46838</v>
      </c>
      <c r="X399" s="20">
        <v>4000</v>
      </c>
      <c r="Z399" s="6" t="s">
        <v>5978</v>
      </c>
      <c r="AA399" s="14">
        <f t="shared" ref="AA399:AA409" si="59">+(0.6/1000)</f>
        <v>5.9999999999999995E-4</v>
      </c>
      <c r="AB399">
        <v>1.4826779999999999</v>
      </c>
      <c r="AC399">
        <v>1.5419851200000001</v>
      </c>
    </row>
    <row r="400" spans="1:29" x14ac:dyDescent="0.3">
      <c r="A400">
        <v>149430</v>
      </c>
      <c r="B400" s="25" t="s">
        <v>5984</v>
      </c>
      <c r="C400" t="s">
        <v>20</v>
      </c>
      <c r="D400" t="s">
        <v>21</v>
      </c>
      <c r="E400">
        <v>2222222</v>
      </c>
      <c r="F400" s="8" t="s">
        <v>22</v>
      </c>
      <c r="G400" s="2">
        <v>98</v>
      </c>
      <c r="H400" t="s">
        <v>3892</v>
      </c>
      <c r="I400" t="s">
        <v>3936</v>
      </c>
      <c r="J400" s="9" t="s">
        <v>4852</v>
      </c>
      <c r="K400" t="s">
        <v>4938</v>
      </c>
      <c r="L400" s="2">
        <v>1</v>
      </c>
      <c r="M400" s="24" t="s">
        <v>5971</v>
      </c>
      <c r="N400" s="2" t="s">
        <v>23</v>
      </c>
      <c r="O400" s="18" t="s">
        <v>347</v>
      </c>
      <c r="P400" s="18" t="s">
        <v>0</v>
      </c>
      <c r="Q400" s="6" t="s">
        <v>4475</v>
      </c>
      <c r="T400" s="23">
        <v>46022</v>
      </c>
      <c r="U400" s="23">
        <v>47603</v>
      </c>
      <c r="X400" s="20">
        <v>3070</v>
      </c>
      <c r="Z400" s="6" t="s">
        <v>5978</v>
      </c>
      <c r="AA400" s="14">
        <f t="shared" si="59"/>
        <v>5.9999999999999995E-4</v>
      </c>
      <c r="AB400">
        <v>1.8158639999999999</v>
      </c>
      <c r="AC400">
        <v>1.8884985599999999</v>
      </c>
    </row>
    <row r="401" spans="1:29" x14ac:dyDescent="0.3">
      <c r="A401">
        <v>151010</v>
      </c>
      <c r="B401" s="25" t="s">
        <v>5984</v>
      </c>
      <c r="C401" t="s">
        <v>20</v>
      </c>
      <c r="D401" t="s">
        <v>21</v>
      </c>
      <c r="E401">
        <v>2222222</v>
      </c>
      <c r="F401" s="8" t="s">
        <v>22</v>
      </c>
      <c r="G401" s="2">
        <v>98</v>
      </c>
      <c r="H401" t="s">
        <v>3892</v>
      </c>
      <c r="I401" t="s">
        <v>3892</v>
      </c>
      <c r="J401" s="9" t="s">
        <v>4911</v>
      </c>
      <c r="K401" t="s">
        <v>4854</v>
      </c>
      <c r="L401" s="2">
        <v>1</v>
      </c>
      <c r="M401" s="24" t="s">
        <v>5971</v>
      </c>
      <c r="N401" s="2" t="s">
        <v>23</v>
      </c>
      <c r="O401" s="18" t="s">
        <v>348</v>
      </c>
      <c r="P401" s="18" t="s">
        <v>3781</v>
      </c>
      <c r="Q401" s="6" t="s">
        <v>4475</v>
      </c>
      <c r="T401" s="23">
        <v>46132</v>
      </c>
      <c r="U401" s="23">
        <v>46222</v>
      </c>
      <c r="X401" s="20">
        <v>1980</v>
      </c>
      <c r="Z401" s="6" t="s">
        <v>5978</v>
      </c>
      <c r="AA401" s="14">
        <f t="shared" si="59"/>
        <v>5.9999999999999995E-4</v>
      </c>
      <c r="AB401">
        <v>1.1879999999999999</v>
      </c>
      <c r="AC401">
        <v>1.23552</v>
      </c>
    </row>
    <row r="402" spans="1:29" x14ac:dyDescent="0.3">
      <c r="A402">
        <v>143206</v>
      </c>
      <c r="B402" s="25" t="s">
        <v>5984</v>
      </c>
      <c r="C402" t="s">
        <v>20</v>
      </c>
      <c r="D402" t="s">
        <v>21</v>
      </c>
      <c r="E402">
        <v>2222222</v>
      </c>
      <c r="F402" s="8" t="s">
        <v>22</v>
      </c>
      <c r="G402" s="2">
        <v>98</v>
      </c>
      <c r="H402" t="s">
        <v>3893</v>
      </c>
      <c r="I402" t="s">
        <v>4405</v>
      </c>
      <c r="J402" s="9" t="s">
        <v>5096</v>
      </c>
      <c r="K402" t="s">
        <v>4942</v>
      </c>
      <c r="L402" s="2">
        <v>1</v>
      </c>
      <c r="M402" s="24" t="s">
        <v>5971</v>
      </c>
      <c r="N402" s="2" t="s">
        <v>23</v>
      </c>
      <c r="O402" s="18" t="s">
        <v>349</v>
      </c>
      <c r="P402" s="18" t="s">
        <v>3781</v>
      </c>
      <c r="Q402" s="6" t="s">
        <v>4475</v>
      </c>
      <c r="T402" s="23">
        <v>45583</v>
      </c>
      <c r="U402" s="23">
        <v>49326</v>
      </c>
      <c r="X402" s="20">
        <v>14500</v>
      </c>
      <c r="Z402" s="6" t="s">
        <v>5978</v>
      </c>
      <c r="AA402" s="14">
        <f t="shared" si="59"/>
        <v>5.9999999999999995E-4</v>
      </c>
      <c r="AB402">
        <v>8.5132319999999986</v>
      </c>
      <c r="AC402">
        <v>8.8537612799999987</v>
      </c>
    </row>
    <row r="403" spans="1:29" x14ac:dyDescent="0.3">
      <c r="A403">
        <v>147518</v>
      </c>
      <c r="B403" s="25" t="s">
        <v>5984</v>
      </c>
      <c r="C403" t="s">
        <v>20</v>
      </c>
      <c r="D403" t="s">
        <v>21</v>
      </c>
      <c r="E403">
        <v>2222222</v>
      </c>
      <c r="F403" s="8" t="s">
        <v>22</v>
      </c>
      <c r="G403" s="2">
        <v>98</v>
      </c>
      <c r="H403" t="s">
        <v>3893</v>
      </c>
      <c r="I403" t="s">
        <v>3806</v>
      </c>
      <c r="J403" s="9" t="s">
        <v>4871</v>
      </c>
      <c r="K403" t="s">
        <v>5035</v>
      </c>
      <c r="L403" s="2">
        <v>1</v>
      </c>
      <c r="M403" s="24" t="s">
        <v>5971</v>
      </c>
      <c r="N403" s="2" t="s">
        <v>23</v>
      </c>
      <c r="O403" s="18" t="s">
        <v>350</v>
      </c>
      <c r="P403" s="18" t="s">
        <v>0</v>
      </c>
      <c r="Q403" s="6" t="s">
        <v>4475</v>
      </c>
      <c r="T403" s="23">
        <v>45895</v>
      </c>
      <c r="U403" s="23">
        <v>46443</v>
      </c>
      <c r="X403" s="20">
        <v>1600</v>
      </c>
      <c r="Z403" s="6" t="s">
        <v>5978</v>
      </c>
      <c r="AA403" s="14">
        <f t="shared" si="59"/>
        <v>5.9999999999999995E-4</v>
      </c>
      <c r="AB403">
        <v>0.40225799999999995</v>
      </c>
      <c r="AC403">
        <v>0.41834831999999994</v>
      </c>
    </row>
    <row r="404" spans="1:29" x14ac:dyDescent="0.3">
      <c r="A404">
        <v>148172</v>
      </c>
      <c r="B404" s="25" t="s">
        <v>5984</v>
      </c>
      <c r="C404" t="s">
        <v>20</v>
      </c>
      <c r="D404" t="s">
        <v>21</v>
      </c>
      <c r="E404">
        <v>2222222</v>
      </c>
      <c r="F404" s="8" t="s">
        <v>22</v>
      </c>
      <c r="G404" s="2">
        <v>98</v>
      </c>
      <c r="H404" t="s">
        <v>3893</v>
      </c>
      <c r="I404" t="s">
        <v>3927</v>
      </c>
      <c r="J404" s="9" t="s">
        <v>4917</v>
      </c>
      <c r="K404" t="s">
        <v>5151</v>
      </c>
      <c r="L404" s="2">
        <v>1</v>
      </c>
      <c r="M404" s="24" t="s">
        <v>5971</v>
      </c>
      <c r="N404" s="2" t="s">
        <v>23</v>
      </c>
      <c r="O404" s="18" t="s">
        <v>351</v>
      </c>
      <c r="P404" s="18" t="s">
        <v>3781</v>
      </c>
      <c r="Q404" s="6" t="s">
        <v>4475</v>
      </c>
      <c r="T404" s="23">
        <v>45944</v>
      </c>
      <c r="U404" s="23">
        <v>46673</v>
      </c>
      <c r="X404" s="20">
        <v>2835</v>
      </c>
      <c r="Z404" s="6" t="s">
        <v>5978</v>
      </c>
      <c r="AA404" s="14">
        <f t="shared" si="59"/>
        <v>5.9999999999999995E-4</v>
      </c>
      <c r="AB404">
        <v>1.128906</v>
      </c>
      <c r="AC404">
        <v>1.17406224</v>
      </c>
    </row>
    <row r="405" spans="1:29" x14ac:dyDescent="0.3">
      <c r="A405">
        <v>148844</v>
      </c>
      <c r="B405" s="25" t="s">
        <v>5984</v>
      </c>
      <c r="C405" t="s">
        <v>20</v>
      </c>
      <c r="D405" t="s">
        <v>21</v>
      </c>
      <c r="E405">
        <v>2222222</v>
      </c>
      <c r="F405" s="8" t="s">
        <v>22</v>
      </c>
      <c r="G405" s="2">
        <v>98</v>
      </c>
      <c r="H405" t="s">
        <v>3893</v>
      </c>
      <c r="I405" t="s">
        <v>4239</v>
      </c>
      <c r="J405" s="9" t="s">
        <v>4998</v>
      </c>
      <c r="K405" t="s">
        <v>4904</v>
      </c>
      <c r="L405" s="2">
        <v>1</v>
      </c>
      <c r="M405" s="24" t="s">
        <v>5971</v>
      </c>
      <c r="N405" s="2" t="s">
        <v>23</v>
      </c>
      <c r="O405" s="18" t="s">
        <v>352</v>
      </c>
      <c r="P405" s="18" t="s">
        <v>3781</v>
      </c>
      <c r="Q405" s="6" t="s">
        <v>4475</v>
      </c>
      <c r="T405" s="23">
        <v>45982</v>
      </c>
      <c r="U405" s="23">
        <v>47443</v>
      </c>
      <c r="X405" s="20">
        <v>5000</v>
      </c>
      <c r="Z405" s="6" t="s">
        <v>5978</v>
      </c>
      <c r="AA405" s="14">
        <f t="shared" si="59"/>
        <v>5.9999999999999995E-4</v>
      </c>
      <c r="AB405">
        <v>2.6360219999999996</v>
      </c>
      <c r="AC405">
        <v>2.7414628799999998</v>
      </c>
    </row>
    <row r="406" spans="1:29" x14ac:dyDescent="0.3">
      <c r="A406">
        <v>150510</v>
      </c>
      <c r="B406" s="25" t="s">
        <v>5984</v>
      </c>
      <c r="C406" t="s">
        <v>20</v>
      </c>
      <c r="D406" t="s">
        <v>21</v>
      </c>
      <c r="E406">
        <v>2222222</v>
      </c>
      <c r="F406" s="8" t="s">
        <v>22</v>
      </c>
      <c r="G406" s="2">
        <v>98</v>
      </c>
      <c r="H406" t="s">
        <v>3893</v>
      </c>
      <c r="I406" t="s">
        <v>4235</v>
      </c>
      <c r="J406" s="9" t="s">
        <v>4901</v>
      </c>
      <c r="K406" t="s">
        <v>4983</v>
      </c>
      <c r="L406" s="2">
        <v>1</v>
      </c>
      <c r="M406" s="24" t="s">
        <v>5971</v>
      </c>
      <c r="N406" s="2" t="s">
        <v>23</v>
      </c>
      <c r="O406" s="18" t="s">
        <v>353</v>
      </c>
      <c r="P406" s="18" t="s">
        <v>0</v>
      </c>
      <c r="Q406" s="6" t="s">
        <v>4475</v>
      </c>
      <c r="T406" s="23">
        <v>46098</v>
      </c>
      <c r="U406" s="23">
        <v>46463</v>
      </c>
      <c r="X406" s="20">
        <v>1550</v>
      </c>
      <c r="Z406" s="6" t="s">
        <v>5978</v>
      </c>
      <c r="AA406" s="14">
        <f t="shared" si="59"/>
        <v>5.9999999999999995E-4</v>
      </c>
      <c r="AB406">
        <v>0.63721799999999995</v>
      </c>
      <c r="AC406">
        <v>0.66270671999999997</v>
      </c>
    </row>
    <row r="407" spans="1:29" x14ac:dyDescent="0.3">
      <c r="A407">
        <v>151485</v>
      </c>
      <c r="B407" s="25" t="s">
        <v>5984</v>
      </c>
      <c r="C407" t="s">
        <v>20</v>
      </c>
      <c r="D407" t="s">
        <v>21</v>
      </c>
      <c r="E407">
        <v>2222222</v>
      </c>
      <c r="F407" s="8" t="s">
        <v>22</v>
      </c>
      <c r="G407" s="2">
        <v>98</v>
      </c>
      <c r="H407" t="s">
        <v>3893</v>
      </c>
      <c r="I407" t="s">
        <v>4036</v>
      </c>
      <c r="J407" s="9" t="s">
        <v>4864</v>
      </c>
      <c r="K407" t="s">
        <v>5035</v>
      </c>
      <c r="L407" s="2">
        <v>1</v>
      </c>
      <c r="M407" s="24" t="s">
        <v>5971</v>
      </c>
      <c r="N407" s="2" t="s">
        <v>23</v>
      </c>
      <c r="O407" s="18" t="s">
        <v>354</v>
      </c>
      <c r="P407" s="18" t="s">
        <v>0</v>
      </c>
      <c r="Q407" s="6" t="s">
        <v>4475</v>
      </c>
      <c r="T407" s="23">
        <v>46168</v>
      </c>
      <c r="U407" s="23">
        <v>47263</v>
      </c>
      <c r="X407" s="20">
        <v>4600</v>
      </c>
      <c r="Z407" s="6" t="s">
        <v>5978</v>
      </c>
      <c r="AA407" s="14">
        <f t="shared" si="59"/>
        <v>5.9999999999999995E-4</v>
      </c>
      <c r="AB407">
        <v>2.6416620000000002</v>
      </c>
      <c r="AC407">
        <v>2.7473284800000002</v>
      </c>
    </row>
    <row r="408" spans="1:29" x14ac:dyDescent="0.3">
      <c r="A408">
        <v>151549</v>
      </c>
      <c r="B408" s="25" t="s">
        <v>5984</v>
      </c>
      <c r="C408" t="s">
        <v>20</v>
      </c>
      <c r="D408" t="s">
        <v>21</v>
      </c>
      <c r="E408">
        <v>2222222</v>
      </c>
      <c r="F408" s="8" t="s">
        <v>22</v>
      </c>
      <c r="G408" s="2">
        <v>98</v>
      </c>
      <c r="H408" t="s">
        <v>3893</v>
      </c>
      <c r="I408" t="s">
        <v>4406</v>
      </c>
      <c r="J408" s="9" t="s">
        <v>5152</v>
      </c>
      <c r="K408" t="s">
        <v>4863</v>
      </c>
      <c r="L408" s="2">
        <v>1</v>
      </c>
      <c r="M408" s="24" t="s">
        <v>5971</v>
      </c>
      <c r="N408" s="2" t="s">
        <v>23</v>
      </c>
      <c r="O408" s="18" t="s">
        <v>355</v>
      </c>
      <c r="P408" s="18" t="s">
        <v>0</v>
      </c>
      <c r="Q408" s="6" t="s">
        <v>4475</v>
      </c>
      <c r="T408" s="23">
        <v>46181</v>
      </c>
      <c r="U408" s="23">
        <v>48007</v>
      </c>
      <c r="X408" s="20">
        <v>6000</v>
      </c>
      <c r="Z408" s="6" t="s">
        <v>5978</v>
      </c>
      <c r="AA408" s="14">
        <f t="shared" si="59"/>
        <v>5.9999999999999995E-4</v>
      </c>
      <c r="AB408">
        <v>3.5620919999999994</v>
      </c>
      <c r="AC408">
        <v>3.7045756799999996</v>
      </c>
    </row>
    <row r="409" spans="1:29" x14ac:dyDescent="0.3">
      <c r="A409">
        <v>151789</v>
      </c>
      <c r="B409" s="25" t="s">
        <v>5984</v>
      </c>
      <c r="C409" t="s">
        <v>20</v>
      </c>
      <c r="D409" t="s">
        <v>21</v>
      </c>
      <c r="E409">
        <v>2222222</v>
      </c>
      <c r="F409" s="8" t="s">
        <v>22</v>
      </c>
      <c r="G409" s="2">
        <v>98</v>
      </c>
      <c r="H409" t="s">
        <v>3893</v>
      </c>
      <c r="I409" t="s">
        <v>4289</v>
      </c>
      <c r="J409" s="9" t="s">
        <v>5153</v>
      </c>
      <c r="K409" t="s">
        <v>4985</v>
      </c>
      <c r="L409" s="2">
        <v>1</v>
      </c>
      <c r="M409" s="24" t="s">
        <v>5971</v>
      </c>
      <c r="N409" s="2" t="s">
        <v>23</v>
      </c>
      <c r="O409" s="18" t="s">
        <v>356</v>
      </c>
      <c r="P409" s="18" t="s">
        <v>3781</v>
      </c>
      <c r="Q409" s="6" t="s">
        <v>4475</v>
      </c>
      <c r="T409" s="23">
        <v>46188</v>
      </c>
      <c r="U409" s="23">
        <v>48014</v>
      </c>
      <c r="X409" s="20">
        <v>2600</v>
      </c>
      <c r="Z409" s="6" t="s">
        <v>5978</v>
      </c>
      <c r="AA409" s="14">
        <f t="shared" si="59"/>
        <v>5.9999999999999995E-4</v>
      </c>
      <c r="AB409">
        <v>1.5435719999999997</v>
      </c>
      <c r="AC409">
        <v>1.6053148799999997</v>
      </c>
    </row>
    <row r="410" spans="1:29" x14ac:dyDescent="0.3">
      <c r="A410">
        <v>134561</v>
      </c>
      <c r="B410" s="25" t="s">
        <v>5984</v>
      </c>
      <c r="C410" t="s">
        <v>20</v>
      </c>
      <c r="D410" t="s">
        <v>21</v>
      </c>
      <c r="E410">
        <v>2222222</v>
      </c>
      <c r="F410" s="8" t="s">
        <v>22</v>
      </c>
      <c r="G410" s="2">
        <v>98</v>
      </c>
      <c r="H410" t="s">
        <v>3894</v>
      </c>
      <c r="I410" t="s">
        <v>4268</v>
      </c>
      <c r="J410" s="9" t="s">
        <v>4950</v>
      </c>
      <c r="K410" t="s">
        <v>4031</v>
      </c>
      <c r="L410" s="2">
        <v>1</v>
      </c>
      <c r="M410" s="24" t="s">
        <v>5971</v>
      </c>
      <c r="N410" s="2" t="s">
        <v>23</v>
      </c>
      <c r="O410" s="18" t="s">
        <v>357</v>
      </c>
      <c r="P410" s="18" t="s">
        <v>0</v>
      </c>
      <c r="Q410" s="6" t="s">
        <v>4475</v>
      </c>
      <c r="T410" s="23">
        <v>45065</v>
      </c>
      <c r="U410" s="23">
        <v>46898</v>
      </c>
      <c r="X410" s="20">
        <v>9400</v>
      </c>
      <c r="Z410" s="6" t="s">
        <v>5978</v>
      </c>
      <c r="AA410" s="13">
        <f>+(0.56/1000)</f>
        <v>5.6000000000000006E-4</v>
      </c>
      <c r="AB410">
        <v>2.4355688</v>
      </c>
      <c r="AC410">
        <v>2.5329915519999999</v>
      </c>
    </row>
    <row r="411" spans="1:29" x14ac:dyDescent="0.3">
      <c r="A411">
        <v>144682</v>
      </c>
      <c r="B411" s="25" t="s">
        <v>5984</v>
      </c>
      <c r="C411" t="s">
        <v>20</v>
      </c>
      <c r="D411" t="s">
        <v>21</v>
      </c>
      <c r="E411">
        <v>2222222</v>
      </c>
      <c r="F411" s="8" t="s">
        <v>22</v>
      </c>
      <c r="G411" s="2">
        <v>98</v>
      </c>
      <c r="H411" t="s">
        <v>3894</v>
      </c>
      <c r="I411" t="s">
        <v>3893</v>
      </c>
      <c r="J411" s="9" t="s">
        <v>4929</v>
      </c>
      <c r="K411" t="s">
        <v>5154</v>
      </c>
      <c r="L411" s="2">
        <v>1</v>
      </c>
      <c r="M411" s="24" t="s">
        <v>5971</v>
      </c>
      <c r="N411" s="2" t="s">
        <v>23</v>
      </c>
      <c r="O411" s="18" t="s">
        <v>358</v>
      </c>
      <c r="P411" s="18" t="s">
        <v>0</v>
      </c>
      <c r="Q411" s="6" t="s">
        <v>4475</v>
      </c>
      <c r="T411" s="23">
        <v>45681</v>
      </c>
      <c r="U411" s="23">
        <v>47141</v>
      </c>
      <c r="X411" s="20">
        <v>5000</v>
      </c>
      <c r="Z411" s="6" t="s">
        <v>5978</v>
      </c>
      <c r="AA411" s="14">
        <f t="shared" ref="AA411:AA413" si="60">+(0.6/1000)</f>
        <v>5.9999999999999995E-4</v>
      </c>
      <c r="AB411">
        <v>2.1152279999999997</v>
      </c>
      <c r="AC411">
        <v>2.1998371199999998</v>
      </c>
    </row>
    <row r="412" spans="1:29" x14ac:dyDescent="0.3">
      <c r="A412">
        <v>148848</v>
      </c>
      <c r="B412" s="25" t="s">
        <v>5984</v>
      </c>
      <c r="C412" t="s">
        <v>20</v>
      </c>
      <c r="D412" t="s">
        <v>21</v>
      </c>
      <c r="E412">
        <v>2222222</v>
      </c>
      <c r="F412" s="8" t="s">
        <v>22</v>
      </c>
      <c r="G412" s="2">
        <v>98</v>
      </c>
      <c r="H412" t="s">
        <v>3894</v>
      </c>
      <c r="I412" t="s">
        <v>4275</v>
      </c>
      <c r="J412" s="9" t="s">
        <v>4852</v>
      </c>
      <c r="K412" t="s">
        <v>5018</v>
      </c>
      <c r="L412" s="2">
        <v>1</v>
      </c>
      <c r="M412" s="24" t="s">
        <v>5971</v>
      </c>
      <c r="N412" s="2" t="s">
        <v>23</v>
      </c>
      <c r="O412" s="18" t="s">
        <v>359</v>
      </c>
      <c r="P412" s="18" t="s">
        <v>0</v>
      </c>
      <c r="Q412" s="6" t="s">
        <v>4475</v>
      </c>
      <c r="T412" s="23">
        <v>45982</v>
      </c>
      <c r="U412" s="23">
        <v>46712</v>
      </c>
      <c r="X412" s="20">
        <v>2600</v>
      </c>
      <c r="Z412" s="6" t="s">
        <v>5978</v>
      </c>
      <c r="AA412" s="14">
        <f t="shared" si="60"/>
        <v>5.9999999999999995E-4</v>
      </c>
      <c r="AB412">
        <v>1.0971479999999998</v>
      </c>
      <c r="AC412">
        <v>1.1410339199999999</v>
      </c>
    </row>
    <row r="413" spans="1:29" x14ac:dyDescent="0.3">
      <c r="A413">
        <v>150681</v>
      </c>
      <c r="B413" s="25" t="s">
        <v>5984</v>
      </c>
      <c r="C413" t="s">
        <v>20</v>
      </c>
      <c r="D413" t="s">
        <v>21</v>
      </c>
      <c r="E413">
        <v>2222222</v>
      </c>
      <c r="F413" s="8" t="s">
        <v>22</v>
      </c>
      <c r="G413" s="2">
        <v>98</v>
      </c>
      <c r="H413" t="s">
        <v>3894</v>
      </c>
      <c r="I413" t="s">
        <v>4405</v>
      </c>
      <c r="J413" s="9" t="s">
        <v>5137</v>
      </c>
      <c r="K413" t="s">
        <v>5075</v>
      </c>
      <c r="L413" s="2">
        <v>1</v>
      </c>
      <c r="M413" s="24" t="s">
        <v>5971</v>
      </c>
      <c r="N413" s="2" t="s">
        <v>23</v>
      </c>
      <c r="O413" s="18" t="s">
        <v>360</v>
      </c>
      <c r="P413" s="18" t="s">
        <v>3781</v>
      </c>
      <c r="Q413" s="6" t="s">
        <v>4475</v>
      </c>
      <c r="T413" s="23">
        <v>46108</v>
      </c>
      <c r="U413" s="23">
        <v>46198</v>
      </c>
      <c r="X413" s="20">
        <v>3320</v>
      </c>
      <c r="Z413" s="6" t="s">
        <v>5978</v>
      </c>
      <c r="AA413" s="14">
        <f t="shared" si="60"/>
        <v>5.9999999999999995E-4</v>
      </c>
      <c r="AB413">
        <v>1.9919999999999998</v>
      </c>
      <c r="AC413">
        <v>2.0716799999999997</v>
      </c>
    </row>
    <row r="414" spans="1:29" x14ac:dyDescent="0.3">
      <c r="A414">
        <v>135663</v>
      </c>
      <c r="B414" s="25" t="s">
        <v>5984</v>
      </c>
      <c r="C414" t="s">
        <v>20</v>
      </c>
      <c r="D414" t="s">
        <v>21</v>
      </c>
      <c r="E414">
        <v>2222222</v>
      </c>
      <c r="F414" s="8" t="s">
        <v>22</v>
      </c>
      <c r="G414" s="2">
        <v>98</v>
      </c>
      <c r="H414" t="s">
        <v>3895</v>
      </c>
      <c r="I414" t="s">
        <v>4485</v>
      </c>
      <c r="J414" s="9" t="s">
        <v>4826</v>
      </c>
      <c r="K414" t="s">
        <v>4965</v>
      </c>
      <c r="L414" s="2">
        <v>1</v>
      </c>
      <c r="M414" s="24" t="s">
        <v>5971</v>
      </c>
      <c r="N414" s="2" t="s">
        <v>23</v>
      </c>
      <c r="O414" s="18" t="s">
        <v>361</v>
      </c>
      <c r="P414" s="18" t="s">
        <v>0</v>
      </c>
      <c r="Q414" s="6" t="s">
        <v>4475</v>
      </c>
      <c r="T414" s="23">
        <v>45135</v>
      </c>
      <c r="U414" s="23">
        <v>46595</v>
      </c>
      <c r="X414" s="20">
        <v>9000</v>
      </c>
      <c r="Z414" s="6" t="s">
        <v>5978</v>
      </c>
      <c r="AA414" s="13">
        <f>+(0.56/1000)</f>
        <v>5.6000000000000006E-4</v>
      </c>
      <c r="AB414">
        <v>1.8191880000000002</v>
      </c>
      <c r="AC414">
        <v>1.8919555200000002</v>
      </c>
    </row>
    <row r="415" spans="1:29" x14ac:dyDescent="0.3">
      <c r="A415">
        <v>145259</v>
      </c>
      <c r="B415" s="25" t="s">
        <v>5984</v>
      </c>
      <c r="C415" t="s">
        <v>20</v>
      </c>
      <c r="D415" t="s">
        <v>21</v>
      </c>
      <c r="E415">
        <v>2222222</v>
      </c>
      <c r="F415" s="8" t="s">
        <v>22</v>
      </c>
      <c r="G415" s="2">
        <v>98</v>
      </c>
      <c r="H415" t="s">
        <v>3895</v>
      </c>
      <c r="I415" t="s">
        <v>4780</v>
      </c>
      <c r="J415" s="9" t="s">
        <v>5118</v>
      </c>
      <c r="K415" t="s">
        <v>5976</v>
      </c>
      <c r="L415" s="2">
        <v>1</v>
      </c>
      <c r="M415" s="24" t="s">
        <v>5971</v>
      </c>
      <c r="N415" s="2" t="s">
        <v>23</v>
      </c>
      <c r="O415" s="18" t="s">
        <v>362</v>
      </c>
      <c r="P415" s="18" t="s">
        <v>3781</v>
      </c>
      <c r="Q415" s="6" t="s">
        <v>4475</v>
      </c>
      <c r="T415" s="23">
        <v>45741</v>
      </c>
      <c r="U415" s="23">
        <v>48297</v>
      </c>
      <c r="X415" s="20">
        <v>50000</v>
      </c>
      <c r="Z415" s="6" t="s">
        <v>5978</v>
      </c>
      <c r="AA415" s="14">
        <f t="shared" ref="AA415:AA418" si="61">+(0.6/1000)</f>
        <v>5.9999999999999995E-4</v>
      </c>
      <c r="AB415">
        <v>26.792759999999998</v>
      </c>
      <c r="AC415">
        <v>27.864470399999998</v>
      </c>
    </row>
    <row r="416" spans="1:29" x14ac:dyDescent="0.3">
      <c r="A416">
        <v>149721</v>
      </c>
      <c r="B416" s="25" t="s">
        <v>5984</v>
      </c>
      <c r="C416" t="s">
        <v>20</v>
      </c>
      <c r="D416" t="s">
        <v>21</v>
      </c>
      <c r="E416">
        <v>2222222</v>
      </c>
      <c r="F416" s="8" t="s">
        <v>22</v>
      </c>
      <c r="G416" s="2">
        <v>98</v>
      </c>
      <c r="H416" t="s">
        <v>3895</v>
      </c>
      <c r="I416" t="s">
        <v>4731</v>
      </c>
      <c r="J416" s="9" t="s">
        <v>4836</v>
      </c>
      <c r="K416" t="s">
        <v>5156</v>
      </c>
      <c r="L416" s="2">
        <v>1</v>
      </c>
      <c r="M416" s="24" t="s">
        <v>5971</v>
      </c>
      <c r="N416" s="2" t="s">
        <v>23</v>
      </c>
      <c r="O416" s="18" t="s">
        <v>363</v>
      </c>
      <c r="P416" s="18" t="s">
        <v>3781</v>
      </c>
      <c r="Q416" s="6" t="s">
        <v>4475</v>
      </c>
      <c r="T416" s="23">
        <v>46044</v>
      </c>
      <c r="U416" s="23">
        <v>46498</v>
      </c>
      <c r="X416" s="20">
        <v>1550</v>
      </c>
      <c r="Z416" s="6" t="s">
        <v>5978</v>
      </c>
      <c r="AA416" s="14">
        <f t="shared" si="61"/>
        <v>5.9999999999999995E-4</v>
      </c>
      <c r="AB416">
        <v>0.58058999999999994</v>
      </c>
      <c r="AC416">
        <v>0.60381359999999995</v>
      </c>
    </row>
    <row r="417" spans="1:29" x14ac:dyDescent="0.3">
      <c r="A417">
        <v>150589</v>
      </c>
      <c r="B417" s="25" t="s">
        <v>5984</v>
      </c>
      <c r="C417" t="s">
        <v>20</v>
      </c>
      <c r="D417" t="s">
        <v>21</v>
      </c>
      <c r="E417">
        <v>2222222</v>
      </c>
      <c r="F417" s="8" t="s">
        <v>22</v>
      </c>
      <c r="G417" s="2">
        <v>98</v>
      </c>
      <c r="H417" t="s">
        <v>3895</v>
      </c>
      <c r="I417" t="s">
        <v>4731</v>
      </c>
      <c r="J417" s="9" t="s">
        <v>4844</v>
      </c>
      <c r="K417" t="s">
        <v>4937</v>
      </c>
      <c r="L417" s="2">
        <v>1</v>
      </c>
      <c r="M417" s="24" t="s">
        <v>5971</v>
      </c>
      <c r="N417" s="2" t="s">
        <v>23</v>
      </c>
      <c r="O417" s="18" t="s">
        <v>364</v>
      </c>
      <c r="P417" s="18" t="s">
        <v>0</v>
      </c>
      <c r="Q417" s="6" t="s">
        <v>4475</v>
      </c>
      <c r="T417" s="23">
        <v>46112</v>
      </c>
      <c r="U417" s="23">
        <v>49037</v>
      </c>
      <c r="X417" s="20">
        <v>20000</v>
      </c>
      <c r="Z417" s="6" t="s">
        <v>5978</v>
      </c>
      <c r="AA417" s="14">
        <f t="shared" si="61"/>
        <v>5.9999999999999995E-4</v>
      </c>
      <c r="AB417">
        <v>11.773325999999999</v>
      </c>
      <c r="AC417">
        <v>12.244259039999999</v>
      </c>
    </row>
    <row r="418" spans="1:29" x14ac:dyDescent="0.3">
      <c r="A418">
        <v>148501</v>
      </c>
      <c r="B418" s="25" t="s">
        <v>5984</v>
      </c>
      <c r="C418" t="s">
        <v>20</v>
      </c>
      <c r="D418" t="s">
        <v>21</v>
      </c>
      <c r="E418">
        <v>2222222</v>
      </c>
      <c r="F418" s="8" t="s">
        <v>22</v>
      </c>
      <c r="G418" s="2">
        <v>98</v>
      </c>
      <c r="H418" t="s">
        <v>3896</v>
      </c>
      <c r="I418" t="s">
        <v>3912</v>
      </c>
      <c r="J418" s="9" t="s">
        <v>4929</v>
      </c>
      <c r="K418" t="s">
        <v>4961</v>
      </c>
      <c r="L418" s="2">
        <v>1</v>
      </c>
      <c r="M418" s="24" t="s">
        <v>5971</v>
      </c>
      <c r="N418" s="2" t="s">
        <v>23</v>
      </c>
      <c r="O418" s="18" t="s">
        <v>365</v>
      </c>
      <c r="P418" s="18" t="s">
        <v>0</v>
      </c>
      <c r="Q418" s="6" t="s">
        <v>4475</v>
      </c>
      <c r="T418" s="23">
        <v>45835</v>
      </c>
      <c r="U418" s="23">
        <v>47279</v>
      </c>
      <c r="X418" s="20">
        <v>8000</v>
      </c>
      <c r="Z418" s="6" t="s">
        <v>5978</v>
      </c>
      <c r="AA418" s="14">
        <f t="shared" si="61"/>
        <v>5.9999999999999995E-4</v>
      </c>
      <c r="AB418">
        <v>3.8437919999999997</v>
      </c>
      <c r="AC418">
        <v>3.9975436799999997</v>
      </c>
    </row>
    <row r="419" spans="1:29" x14ac:dyDescent="0.3">
      <c r="A419">
        <v>128975</v>
      </c>
      <c r="B419" s="25" t="s">
        <v>5984</v>
      </c>
      <c r="C419" t="s">
        <v>20</v>
      </c>
      <c r="D419" t="s">
        <v>21</v>
      </c>
      <c r="E419">
        <v>2222222</v>
      </c>
      <c r="F419" s="8" t="s">
        <v>22</v>
      </c>
      <c r="G419" s="2">
        <v>98</v>
      </c>
      <c r="H419" t="s">
        <v>3896</v>
      </c>
      <c r="I419" t="s">
        <v>4504</v>
      </c>
      <c r="J419" s="9" t="s">
        <v>5157</v>
      </c>
      <c r="K419" t="s">
        <v>4859</v>
      </c>
      <c r="L419" s="2">
        <v>1</v>
      </c>
      <c r="M419" s="24" t="s">
        <v>5971</v>
      </c>
      <c r="N419" s="2" t="s">
        <v>23</v>
      </c>
      <c r="O419" s="18" t="s">
        <v>366</v>
      </c>
      <c r="P419" s="18" t="s">
        <v>3781</v>
      </c>
      <c r="Q419" s="6" t="s">
        <v>4475</v>
      </c>
      <c r="T419" s="23">
        <v>44753</v>
      </c>
      <c r="U419" s="23">
        <v>46037</v>
      </c>
      <c r="X419" s="20">
        <v>5000</v>
      </c>
      <c r="Z419" s="6" t="s">
        <v>5978</v>
      </c>
      <c r="AA419" s="15">
        <f>+(0.42/1000)</f>
        <v>4.1999999999999996E-4</v>
      </c>
      <c r="AB419">
        <v>1.0731084</v>
      </c>
      <c r="AC419">
        <v>1.116032736</v>
      </c>
    </row>
    <row r="420" spans="1:29" x14ac:dyDescent="0.3">
      <c r="A420">
        <v>136645</v>
      </c>
      <c r="B420" s="25" t="s">
        <v>5984</v>
      </c>
      <c r="C420" t="s">
        <v>20</v>
      </c>
      <c r="D420" t="s">
        <v>21</v>
      </c>
      <c r="E420">
        <v>2222222</v>
      </c>
      <c r="F420" s="8" t="s">
        <v>22</v>
      </c>
      <c r="G420" s="2">
        <v>98</v>
      </c>
      <c r="H420" t="s">
        <v>3896</v>
      </c>
      <c r="I420" t="s">
        <v>3896</v>
      </c>
      <c r="J420" s="9" t="s">
        <v>5158</v>
      </c>
      <c r="K420" t="s">
        <v>5125</v>
      </c>
      <c r="L420" s="2">
        <v>1</v>
      </c>
      <c r="M420" s="24" t="s">
        <v>5971</v>
      </c>
      <c r="N420" s="2" t="s">
        <v>23</v>
      </c>
      <c r="O420" s="18" t="s">
        <v>367</v>
      </c>
      <c r="P420" s="18" t="s">
        <v>0</v>
      </c>
      <c r="Q420" s="6" t="s">
        <v>4475</v>
      </c>
      <c r="T420" s="23">
        <v>45186</v>
      </c>
      <c r="U420" s="23">
        <v>46282</v>
      </c>
      <c r="X420" s="20">
        <v>4000</v>
      </c>
      <c r="Z420" s="6" t="s">
        <v>5978</v>
      </c>
      <c r="AA420" s="13">
        <f t="shared" ref="AA420:AA421" si="62">+(0.56/1000)</f>
        <v>5.6000000000000006E-4</v>
      </c>
      <c r="AB420">
        <v>0.15957760000000001</v>
      </c>
      <c r="AC420">
        <v>0.16596070400000001</v>
      </c>
    </row>
    <row r="421" spans="1:29" x14ac:dyDescent="0.3">
      <c r="A421">
        <v>139890</v>
      </c>
      <c r="B421" s="25" t="s">
        <v>5984</v>
      </c>
      <c r="C421" t="s">
        <v>20</v>
      </c>
      <c r="D421" t="s">
        <v>21</v>
      </c>
      <c r="E421">
        <v>2222222</v>
      </c>
      <c r="F421" s="8" t="s">
        <v>22</v>
      </c>
      <c r="G421" s="2">
        <v>98</v>
      </c>
      <c r="H421" t="s">
        <v>3896</v>
      </c>
      <c r="I421" t="s">
        <v>4539</v>
      </c>
      <c r="J421" s="9" t="s">
        <v>5049</v>
      </c>
      <c r="K421" t="s">
        <v>4913</v>
      </c>
      <c r="L421" s="2">
        <v>1</v>
      </c>
      <c r="M421" s="24" t="s">
        <v>5971</v>
      </c>
      <c r="N421" s="2" t="s">
        <v>23</v>
      </c>
      <c r="O421" s="18" t="s">
        <v>368</v>
      </c>
      <c r="P421" s="18" t="s">
        <v>0</v>
      </c>
      <c r="Q421" s="6" t="s">
        <v>4475</v>
      </c>
      <c r="T421" s="23">
        <v>45355</v>
      </c>
      <c r="U421" s="23">
        <v>46449</v>
      </c>
      <c r="X421" s="20">
        <v>3645</v>
      </c>
      <c r="Z421" s="6" t="s">
        <v>5978</v>
      </c>
      <c r="AA421" s="13">
        <f t="shared" si="62"/>
        <v>5.6000000000000006E-4</v>
      </c>
      <c r="AB421">
        <v>1.9957448000000002</v>
      </c>
      <c r="AC421">
        <v>2.0755745920000002</v>
      </c>
    </row>
    <row r="422" spans="1:29" x14ac:dyDescent="0.3">
      <c r="A422">
        <v>142400</v>
      </c>
      <c r="B422" s="25" t="s">
        <v>5984</v>
      </c>
      <c r="C422" t="s">
        <v>20</v>
      </c>
      <c r="D422" t="s">
        <v>21</v>
      </c>
      <c r="E422">
        <v>2222222</v>
      </c>
      <c r="F422" s="8" t="s">
        <v>22</v>
      </c>
      <c r="G422" s="2">
        <v>98</v>
      </c>
      <c r="H422" t="s">
        <v>3896</v>
      </c>
      <c r="I422" t="s">
        <v>4414</v>
      </c>
      <c r="J422" s="9" t="s">
        <v>5134</v>
      </c>
      <c r="K422" t="s">
        <v>5001</v>
      </c>
      <c r="L422" s="2">
        <v>1</v>
      </c>
      <c r="M422" s="24" t="s">
        <v>5971</v>
      </c>
      <c r="N422" s="2" t="s">
        <v>23</v>
      </c>
      <c r="O422" s="18" t="s">
        <v>369</v>
      </c>
      <c r="P422" s="18" t="s">
        <v>0</v>
      </c>
      <c r="Q422" s="6" t="s">
        <v>4475</v>
      </c>
      <c r="T422" s="23">
        <v>45518</v>
      </c>
      <c r="U422" s="23">
        <v>46704</v>
      </c>
      <c r="X422" s="20">
        <v>4000</v>
      </c>
      <c r="Z422" s="6" t="s">
        <v>5978</v>
      </c>
      <c r="AA422" s="14">
        <f t="shared" ref="AA422:AA431" si="63">+(0.6/1000)</f>
        <v>5.9999999999999995E-4</v>
      </c>
      <c r="AB422">
        <v>1.302468</v>
      </c>
      <c r="AC422">
        <v>1.35456672</v>
      </c>
    </row>
    <row r="423" spans="1:29" x14ac:dyDescent="0.3">
      <c r="A423">
        <v>144068</v>
      </c>
      <c r="B423" s="25" t="s">
        <v>5984</v>
      </c>
      <c r="C423" t="s">
        <v>20</v>
      </c>
      <c r="D423" t="s">
        <v>21</v>
      </c>
      <c r="E423">
        <v>2222222</v>
      </c>
      <c r="F423" s="8" t="s">
        <v>22</v>
      </c>
      <c r="G423" s="2">
        <v>98</v>
      </c>
      <c r="H423" t="s">
        <v>3896</v>
      </c>
      <c r="I423" t="s">
        <v>4430</v>
      </c>
      <c r="J423" s="9" t="s">
        <v>5141</v>
      </c>
      <c r="K423" t="s">
        <v>5031</v>
      </c>
      <c r="L423" s="2">
        <v>1</v>
      </c>
      <c r="M423" s="24" t="s">
        <v>5971</v>
      </c>
      <c r="N423" s="2" t="s">
        <v>23</v>
      </c>
      <c r="O423" s="18" t="s">
        <v>370</v>
      </c>
      <c r="P423" s="18" t="s">
        <v>3781</v>
      </c>
      <c r="Q423" s="6" t="s">
        <v>4475</v>
      </c>
      <c r="T423" s="23">
        <v>45637</v>
      </c>
      <c r="U423" s="23">
        <v>47097</v>
      </c>
      <c r="X423" s="20">
        <v>3500</v>
      </c>
      <c r="Z423" s="6" t="s">
        <v>5978</v>
      </c>
      <c r="AA423" s="14">
        <f t="shared" si="63"/>
        <v>5.9999999999999995E-4</v>
      </c>
      <c r="AB423">
        <v>1.4420759999999999</v>
      </c>
      <c r="AC423">
        <v>1.49975904</v>
      </c>
    </row>
    <row r="424" spans="1:29" x14ac:dyDescent="0.3">
      <c r="A424">
        <v>144707</v>
      </c>
      <c r="B424" s="25" t="s">
        <v>5984</v>
      </c>
      <c r="C424" t="s">
        <v>20</v>
      </c>
      <c r="D424" t="s">
        <v>21</v>
      </c>
      <c r="E424">
        <v>2222222</v>
      </c>
      <c r="F424" s="8" t="s">
        <v>22</v>
      </c>
      <c r="G424" s="2">
        <v>98</v>
      </c>
      <c r="H424" t="s">
        <v>3896</v>
      </c>
      <c r="I424" t="s">
        <v>4504</v>
      </c>
      <c r="J424" s="9" t="s">
        <v>4921</v>
      </c>
      <c r="K424" t="s">
        <v>5977</v>
      </c>
      <c r="L424" s="2">
        <v>1</v>
      </c>
      <c r="M424" s="24" t="s">
        <v>5971</v>
      </c>
      <c r="N424" s="2" t="s">
        <v>23</v>
      </c>
      <c r="O424" s="18" t="s">
        <v>371</v>
      </c>
      <c r="P424" s="18" t="s">
        <v>3781</v>
      </c>
      <c r="Q424" s="6" t="s">
        <v>4475</v>
      </c>
      <c r="T424" s="23">
        <v>45686</v>
      </c>
      <c r="U424" s="23">
        <v>47511</v>
      </c>
      <c r="X424" s="20">
        <v>3910</v>
      </c>
      <c r="Z424" s="6" t="s">
        <v>5978</v>
      </c>
      <c r="AA424" s="14">
        <f t="shared" si="63"/>
        <v>5.9999999999999995E-4</v>
      </c>
      <c r="AB424">
        <v>1.9022399999999999</v>
      </c>
      <c r="AC424">
        <v>1.9783295999999999</v>
      </c>
    </row>
    <row r="425" spans="1:29" x14ac:dyDescent="0.3">
      <c r="A425">
        <v>146045</v>
      </c>
      <c r="B425" s="25" t="s">
        <v>5984</v>
      </c>
      <c r="C425" t="s">
        <v>20</v>
      </c>
      <c r="D425" t="s">
        <v>21</v>
      </c>
      <c r="E425">
        <v>2222222</v>
      </c>
      <c r="F425" s="8" t="s">
        <v>22</v>
      </c>
      <c r="G425" s="2">
        <v>98</v>
      </c>
      <c r="H425" t="s">
        <v>3896</v>
      </c>
      <c r="I425" t="s">
        <v>4552</v>
      </c>
      <c r="J425" s="9" t="s">
        <v>5096</v>
      </c>
      <c r="K425" t="s">
        <v>5093</v>
      </c>
      <c r="L425" s="2">
        <v>1</v>
      </c>
      <c r="M425" s="24" t="s">
        <v>5971</v>
      </c>
      <c r="N425" s="2" t="s">
        <v>23</v>
      </c>
      <c r="O425" s="18" t="s">
        <v>372</v>
      </c>
      <c r="P425" s="18" t="s">
        <v>3781</v>
      </c>
      <c r="Q425" s="6" t="s">
        <v>4475</v>
      </c>
      <c r="T425" s="23">
        <v>45789</v>
      </c>
      <c r="U425" s="23">
        <v>48345</v>
      </c>
      <c r="X425" s="20">
        <v>35000</v>
      </c>
      <c r="Z425" s="6" t="s">
        <v>5978</v>
      </c>
      <c r="AA425" s="14">
        <f t="shared" si="63"/>
        <v>5.9999999999999995E-4</v>
      </c>
      <c r="AB425">
        <v>18.763529999999999</v>
      </c>
      <c r="AC425">
        <v>19.5140712</v>
      </c>
    </row>
    <row r="426" spans="1:29" x14ac:dyDescent="0.3">
      <c r="A426">
        <v>147295</v>
      </c>
      <c r="B426" s="25" t="s">
        <v>5984</v>
      </c>
      <c r="C426" t="s">
        <v>20</v>
      </c>
      <c r="D426" t="s">
        <v>21</v>
      </c>
      <c r="E426">
        <v>2222222</v>
      </c>
      <c r="F426" s="8" t="s">
        <v>22</v>
      </c>
      <c r="G426" s="2">
        <v>98</v>
      </c>
      <c r="H426" t="s">
        <v>3896</v>
      </c>
      <c r="I426" t="s">
        <v>3896</v>
      </c>
      <c r="J426" s="9" t="s">
        <v>4826</v>
      </c>
      <c r="K426" t="s">
        <v>5159</v>
      </c>
      <c r="L426" s="2">
        <v>1</v>
      </c>
      <c r="M426" s="24" t="s">
        <v>5971</v>
      </c>
      <c r="N426" s="2" t="s">
        <v>23</v>
      </c>
      <c r="O426" s="18" t="s">
        <v>373</v>
      </c>
      <c r="P426" s="18" t="s">
        <v>0</v>
      </c>
      <c r="Q426" s="6" t="s">
        <v>4475</v>
      </c>
      <c r="T426" s="23">
        <v>45879</v>
      </c>
      <c r="U426" s="23">
        <v>46608</v>
      </c>
      <c r="X426" s="20">
        <v>2000</v>
      </c>
      <c r="Z426" s="6" t="s">
        <v>5978</v>
      </c>
      <c r="AA426" s="14">
        <f t="shared" si="63"/>
        <v>5.9999999999999995E-4</v>
      </c>
      <c r="AB426">
        <v>0.69982800000000001</v>
      </c>
      <c r="AC426">
        <v>0.72782111999999999</v>
      </c>
    </row>
    <row r="427" spans="1:29" x14ac:dyDescent="0.3">
      <c r="A427">
        <v>150521</v>
      </c>
      <c r="B427" s="25" t="s">
        <v>5984</v>
      </c>
      <c r="C427" t="s">
        <v>20</v>
      </c>
      <c r="D427" t="s">
        <v>21</v>
      </c>
      <c r="E427">
        <v>2222222</v>
      </c>
      <c r="F427" s="8" t="s">
        <v>22</v>
      </c>
      <c r="G427" s="2">
        <v>98</v>
      </c>
      <c r="H427" t="s">
        <v>3896</v>
      </c>
      <c r="I427" t="s">
        <v>4151</v>
      </c>
      <c r="J427" s="9" t="s">
        <v>4871</v>
      </c>
      <c r="K427" t="s">
        <v>5160</v>
      </c>
      <c r="L427" s="2">
        <v>1</v>
      </c>
      <c r="M427" s="24" t="s">
        <v>5971</v>
      </c>
      <c r="N427" s="2" t="s">
        <v>23</v>
      </c>
      <c r="O427" s="18" t="s">
        <v>374</v>
      </c>
      <c r="P427" s="18" t="s">
        <v>0</v>
      </c>
      <c r="Q427" s="6" t="s">
        <v>4475</v>
      </c>
      <c r="T427" s="23">
        <v>46099</v>
      </c>
      <c r="U427" s="23">
        <v>47195</v>
      </c>
      <c r="X427" s="20">
        <v>4600</v>
      </c>
      <c r="Z427" s="6" t="s">
        <v>5978</v>
      </c>
      <c r="AA427" s="14">
        <f t="shared" si="63"/>
        <v>5.9999999999999995E-4</v>
      </c>
      <c r="AB427">
        <v>2.5210859999999999</v>
      </c>
      <c r="AC427">
        <v>2.6219294400000002</v>
      </c>
    </row>
    <row r="428" spans="1:29" x14ac:dyDescent="0.3">
      <c r="A428">
        <v>150723</v>
      </c>
      <c r="B428" s="25" t="s">
        <v>5984</v>
      </c>
      <c r="C428" t="s">
        <v>20</v>
      </c>
      <c r="D428" t="s">
        <v>21</v>
      </c>
      <c r="E428">
        <v>2222222</v>
      </c>
      <c r="F428" s="8" t="s">
        <v>22</v>
      </c>
      <c r="G428" s="2">
        <v>98</v>
      </c>
      <c r="H428" t="s">
        <v>3896</v>
      </c>
      <c r="I428" t="s">
        <v>4151</v>
      </c>
      <c r="J428" s="9" t="s">
        <v>4990</v>
      </c>
      <c r="K428" t="s">
        <v>5021</v>
      </c>
      <c r="L428" s="2">
        <v>1</v>
      </c>
      <c r="M428" s="24" t="s">
        <v>5971</v>
      </c>
      <c r="N428" s="2" t="s">
        <v>23</v>
      </c>
      <c r="O428" s="18" t="s">
        <v>375</v>
      </c>
      <c r="P428" s="18" t="s">
        <v>3781</v>
      </c>
      <c r="Q428" s="6" t="s">
        <v>4475</v>
      </c>
      <c r="T428" s="23">
        <v>46111</v>
      </c>
      <c r="U428" s="23">
        <v>47571</v>
      </c>
      <c r="X428" s="20">
        <v>5000</v>
      </c>
      <c r="Z428" s="6" t="s">
        <v>5978</v>
      </c>
      <c r="AA428" s="14">
        <f t="shared" si="63"/>
        <v>5.9999999999999995E-4</v>
      </c>
      <c r="AB428">
        <v>2.8234439999999998</v>
      </c>
      <c r="AC428">
        <v>2.9363817599999997</v>
      </c>
    </row>
    <row r="429" spans="1:29" x14ac:dyDescent="0.3">
      <c r="A429">
        <v>151480</v>
      </c>
      <c r="B429" s="25" t="s">
        <v>5984</v>
      </c>
      <c r="C429" t="s">
        <v>20</v>
      </c>
      <c r="D429" t="s">
        <v>21</v>
      </c>
      <c r="E429">
        <v>2222222</v>
      </c>
      <c r="F429" s="8" t="s">
        <v>22</v>
      </c>
      <c r="G429" s="2">
        <v>98</v>
      </c>
      <c r="H429" t="s">
        <v>3896</v>
      </c>
      <c r="I429" t="s">
        <v>4151</v>
      </c>
      <c r="J429" s="9" t="s">
        <v>5161</v>
      </c>
      <c r="K429" t="s">
        <v>5123</v>
      </c>
      <c r="L429" s="2">
        <v>1</v>
      </c>
      <c r="M429" s="24" t="s">
        <v>5971</v>
      </c>
      <c r="N429" s="2" t="s">
        <v>23</v>
      </c>
      <c r="O429" s="18" t="s">
        <v>376</v>
      </c>
      <c r="P429" s="18" t="s">
        <v>3781</v>
      </c>
      <c r="Q429" s="6" t="s">
        <v>4475</v>
      </c>
      <c r="T429" s="23">
        <v>46168</v>
      </c>
      <c r="U429" s="23">
        <v>47263</v>
      </c>
      <c r="X429" s="20">
        <v>2000</v>
      </c>
      <c r="Z429" s="6" t="s">
        <v>5978</v>
      </c>
      <c r="AA429" s="14">
        <f t="shared" si="63"/>
        <v>5.9999999999999995E-4</v>
      </c>
      <c r="AB429">
        <v>1.1477819999999999</v>
      </c>
      <c r="AC429">
        <v>1.19369328</v>
      </c>
    </row>
    <row r="430" spans="1:29" x14ac:dyDescent="0.3">
      <c r="A430">
        <v>151846</v>
      </c>
      <c r="B430" s="25" t="s">
        <v>5984</v>
      </c>
      <c r="C430" t="s">
        <v>20</v>
      </c>
      <c r="D430" t="s">
        <v>21</v>
      </c>
      <c r="E430">
        <v>2222222</v>
      </c>
      <c r="F430" s="8" t="s">
        <v>22</v>
      </c>
      <c r="G430" s="2">
        <v>98</v>
      </c>
      <c r="H430" t="s">
        <v>3896</v>
      </c>
      <c r="I430" t="s">
        <v>4151</v>
      </c>
      <c r="J430" s="9" t="s">
        <v>4891</v>
      </c>
      <c r="K430" t="s">
        <v>5162</v>
      </c>
      <c r="L430" s="2">
        <v>1</v>
      </c>
      <c r="M430" s="24" t="s">
        <v>5971</v>
      </c>
      <c r="N430" s="2" t="s">
        <v>23</v>
      </c>
      <c r="O430" s="18" t="s">
        <v>377</v>
      </c>
      <c r="P430" s="18" t="s">
        <v>3781</v>
      </c>
      <c r="Q430" s="6" t="s">
        <v>4475</v>
      </c>
      <c r="T430" s="23">
        <v>46191</v>
      </c>
      <c r="U430" s="23">
        <v>46281</v>
      </c>
      <c r="X430" s="20">
        <v>5000</v>
      </c>
      <c r="Z430" s="6" t="s">
        <v>5978</v>
      </c>
      <c r="AA430" s="14">
        <f t="shared" si="63"/>
        <v>5.9999999999999995E-4</v>
      </c>
      <c r="AB430">
        <v>2.9999999999999996</v>
      </c>
      <c r="AC430">
        <v>3.1199999999999997</v>
      </c>
    </row>
    <row r="431" spans="1:29" x14ac:dyDescent="0.3">
      <c r="A431">
        <v>152150</v>
      </c>
      <c r="B431" s="25" t="s">
        <v>5984</v>
      </c>
      <c r="C431" t="s">
        <v>20</v>
      </c>
      <c r="D431" t="s">
        <v>21</v>
      </c>
      <c r="E431">
        <v>2222222</v>
      </c>
      <c r="F431" s="8" t="s">
        <v>22</v>
      </c>
      <c r="G431" s="2">
        <v>98</v>
      </c>
      <c r="H431" t="s">
        <v>3896</v>
      </c>
      <c r="I431" t="s">
        <v>4566</v>
      </c>
      <c r="J431" s="9" t="s">
        <v>4911</v>
      </c>
      <c r="K431" t="s">
        <v>4924</v>
      </c>
      <c r="L431" s="2">
        <v>1</v>
      </c>
      <c r="M431" s="24" t="s">
        <v>5971</v>
      </c>
      <c r="N431" s="2" t="s">
        <v>23</v>
      </c>
      <c r="O431" s="18" t="s">
        <v>378</v>
      </c>
      <c r="P431" s="18" t="s">
        <v>3781</v>
      </c>
      <c r="Q431" s="6" t="s">
        <v>4475</v>
      </c>
      <c r="T431" s="23">
        <v>46217</v>
      </c>
      <c r="U431" s="23">
        <v>46583</v>
      </c>
      <c r="X431" s="20">
        <v>1500</v>
      </c>
      <c r="Z431" s="6" t="s">
        <v>5978</v>
      </c>
      <c r="AA431" s="14">
        <f t="shared" si="63"/>
        <v>5.9999999999999995E-4</v>
      </c>
      <c r="AB431">
        <v>0.89999999999999991</v>
      </c>
      <c r="AC431">
        <v>0.93599999999999994</v>
      </c>
    </row>
    <row r="432" spans="1:29" x14ac:dyDescent="0.3">
      <c r="A432">
        <v>126227</v>
      </c>
      <c r="B432" s="25" t="s">
        <v>5984</v>
      </c>
      <c r="C432" t="s">
        <v>20</v>
      </c>
      <c r="D432" t="s">
        <v>21</v>
      </c>
      <c r="E432">
        <v>2222222</v>
      </c>
      <c r="F432" s="8" t="s">
        <v>22</v>
      </c>
      <c r="G432" s="2">
        <v>98</v>
      </c>
      <c r="H432" t="s">
        <v>3897</v>
      </c>
      <c r="I432" t="s">
        <v>4156</v>
      </c>
      <c r="J432" s="9" t="s">
        <v>5055</v>
      </c>
      <c r="K432" t="s">
        <v>4880</v>
      </c>
      <c r="L432" s="2">
        <v>1</v>
      </c>
      <c r="M432" s="24" t="s">
        <v>5971</v>
      </c>
      <c r="N432" s="2" t="s">
        <v>23</v>
      </c>
      <c r="O432" s="18" t="s">
        <v>379</v>
      </c>
      <c r="P432" s="18" t="s">
        <v>3781</v>
      </c>
      <c r="Q432" s="6" t="s">
        <v>4475</v>
      </c>
      <c r="T432" s="23">
        <v>44698</v>
      </c>
      <c r="U432" s="23">
        <v>47254</v>
      </c>
      <c r="X432" s="20">
        <v>70000</v>
      </c>
      <c r="Z432" s="6" t="s">
        <v>5978</v>
      </c>
      <c r="AA432" s="15">
        <f>+(0.42/1000)</f>
        <v>4.1999999999999996E-4</v>
      </c>
      <c r="AB432">
        <v>15.941456999999998</v>
      </c>
      <c r="AC432">
        <v>16.57911528</v>
      </c>
    </row>
    <row r="433" spans="1:29" x14ac:dyDescent="0.3">
      <c r="A433">
        <v>130479</v>
      </c>
      <c r="B433" s="25" t="s">
        <v>5984</v>
      </c>
      <c r="C433" t="s">
        <v>20</v>
      </c>
      <c r="D433" t="s">
        <v>21</v>
      </c>
      <c r="E433">
        <v>2222222</v>
      </c>
      <c r="F433" s="8" t="s">
        <v>22</v>
      </c>
      <c r="G433" s="2">
        <v>98</v>
      </c>
      <c r="H433" t="s">
        <v>3897</v>
      </c>
      <c r="I433" t="s">
        <v>3842</v>
      </c>
      <c r="J433" s="9" t="s">
        <v>4836</v>
      </c>
      <c r="K433" t="s">
        <v>5163</v>
      </c>
      <c r="L433" s="2">
        <v>1</v>
      </c>
      <c r="M433" s="24" t="s">
        <v>5971</v>
      </c>
      <c r="N433" s="2" t="s">
        <v>23</v>
      </c>
      <c r="O433" s="18" t="s">
        <v>380</v>
      </c>
      <c r="P433" s="18" t="s">
        <v>3781</v>
      </c>
      <c r="Q433" s="6" t="s">
        <v>4475</v>
      </c>
      <c r="T433" s="23">
        <v>44837</v>
      </c>
      <c r="U433" s="23">
        <v>46297</v>
      </c>
      <c r="X433" s="20">
        <v>5000</v>
      </c>
      <c r="Z433" s="6" t="s">
        <v>5978</v>
      </c>
      <c r="AA433" s="13">
        <f t="shared" ref="AA433:AA435" si="64">+(0.56/1000)</f>
        <v>5.6000000000000006E-4</v>
      </c>
      <c r="AB433">
        <v>0.32193280000000002</v>
      </c>
      <c r="AC433">
        <v>0.33481011200000005</v>
      </c>
    </row>
    <row r="434" spans="1:29" x14ac:dyDescent="0.3">
      <c r="A434">
        <v>134377</v>
      </c>
      <c r="B434" s="25" t="s">
        <v>5984</v>
      </c>
      <c r="C434" t="s">
        <v>20</v>
      </c>
      <c r="D434" t="s">
        <v>21</v>
      </c>
      <c r="E434">
        <v>2222222</v>
      </c>
      <c r="F434" s="8" t="s">
        <v>22</v>
      </c>
      <c r="G434" s="2">
        <v>98</v>
      </c>
      <c r="H434" t="s">
        <v>3897</v>
      </c>
      <c r="I434" t="s">
        <v>3896</v>
      </c>
      <c r="J434" s="9" t="s">
        <v>5164</v>
      </c>
      <c r="K434" t="s">
        <v>4924</v>
      </c>
      <c r="L434" s="2">
        <v>1</v>
      </c>
      <c r="M434" s="24" t="s">
        <v>5971</v>
      </c>
      <c r="N434" s="2" t="s">
        <v>23</v>
      </c>
      <c r="O434" s="18" t="s">
        <v>381</v>
      </c>
      <c r="P434" s="18" t="s">
        <v>3781</v>
      </c>
      <c r="Q434" s="6" t="s">
        <v>4475</v>
      </c>
      <c r="T434" s="23">
        <v>45051</v>
      </c>
      <c r="U434" s="23">
        <v>46516</v>
      </c>
      <c r="X434" s="20">
        <v>5000</v>
      </c>
      <c r="Z434" s="6" t="s">
        <v>5978</v>
      </c>
      <c r="AA434" s="13">
        <f t="shared" si="64"/>
        <v>5.6000000000000006E-4</v>
      </c>
      <c r="AB434">
        <v>2.2396136000000002</v>
      </c>
      <c r="AC434">
        <v>2.3291981440000002</v>
      </c>
    </row>
    <row r="435" spans="1:29" x14ac:dyDescent="0.3">
      <c r="A435">
        <v>139988</v>
      </c>
      <c r="B435" s="25" t="s">
        <v>5984</v>
      </c>
      <c r="C435" t="s">
        <v>20</v>
      </c>
      <c r="D435" t="s">
        <v>21</v>
      </c>
      <c r="E435">
        <v>2222222</v>
      </c>
      <c r="F435" s="8" t="s">
        <v>22</v>
      </c>
      <c r="G435" s="2">
        <v>98</v>
      </c>
      <c r="H435" t="s">
        <v>3897</v>
      </c>
      <c r="I435" t="s">
        <v>3912</v>
      </c>
      <c r="J435" s="9" t="s">
        <v>5093</v>
      </c>
      <c r="K435" t="s">
        <v>4836</v>
      </c>
      <c r="L435" s="2">
        <v>1</v>
      </c>
      <c r="M435" s="24" t="s">
        <v>5971</v>
      </c>
      <c r="N435" s="2" t="s">
        <v>23</v>
      </c>
      <c r="O435" s="18" t="s">
        <v>382</v>
      </c>
      <c r="P435" s="18" t="s">
        <v>3781</v>
      </c>
      <c r="Q435" s="6" t="s">
        <v>4475</v>
      </c>
      <c r="T435" s="23">
        <v>45358</v>
      </c>
      <c r="U435" s="23">
        <v>46818</v>
      </c>
      <c r="X435" s="20">
        <v>2215</v>
      </c>
      <c r="Z435" s="6" t="s">
        <v>5978</v>
      </c>
      <c r="AA435" s="13">
        <f t="shared" si="64"/>
        <v>5.6000000000000006E-4</v>
      </c>
      <c r="AB435">
        <v>0.63282240000000001</v>
      </c>
      <c r="AC435">
        <v>0.65813529599999998</v>
      </c>
    </row>
    <row r="436" spans="1:29" x14ac:dyDescent="0.3">
      <c r="A436">
        <v>144565</v>
      </c>
      <c r="B436" s="25" t="s">
        <v>5984</v>
      </c>
      <c r="C436" t="s">
        <v>20</v>
      </c>
      <c r="D436" t="s">
        <v>21</v>
      </c>
      <c r="E436">
        <v>2222222</v>
      </c>
      <c r="F436" s="8" t="s">
        <v>22</v>
      </c>
      <c r="G436" s="2">
        <v>98</v>
      </c>
      <c r="H436" t="s">
        <v>3897</v>
      </c>
      <c r="I436" t="s">
        <v>4673</v>
      </c>
      <c r="J436" s="9" t="s">
        <v>4955</v>
      </c>
      <c r="K436" t="s">
        <v>5025</v>
      </c>
      <c r="L436" s="2">
        <v>1</v>
      </c>
      <c r="M436" s="24" t="s">
        <v>5971</v>
      </c>
      <c r="N436" s="2" t="s">
        <v>23</v>
      </c>
      <c r="O436" s="18" t="s">
        <v>383</v>
      </c>
      <c r="P436" s="18" t="s">
        <v>3781</v>
      </c>
      <c r="Q436" s="6" t="s">
        <v>4475</v>
      </c>
      <c r="T436" s="23">
        <v>45673</v>
      </c>
      <c r="U436" s="23">
        <v>47133</v>
      </c>
      <c r="X436" s="20">
        <v>5000</v>
      </c>
      <c r="Z436" s="6" t="s">
        <v>5978</v>
      </c>
      <c r="AA436" s="14">
        <f t="shared" ref="AA436:AA439" si="65">+(0.6/1000)</f>
        <v>5.9999999999999995E-4</v>
      </c>
      <c r="AB436">
        <v>2.1152279999999997</v>
      </c>
      <c r="AC436">
        <v>2.1998371199999998</v>
      </c>
    </row>
    <row r="437" spans="1:29" x14ac:dyDescent="0.3">
      <c r="A437">
        <v>147874</v>
      </c>
      <c r="B437" s="25" t="s">
        <v>5984</v>
      </c>
      <c r="C437" t="s">
        <v>20</v>
      </c>
      <c r="D437" t="s">
        <v>21</v>
      </c>
      <c r="E437">
        <v>2222222</v>
      </c>
      <c r="F437" s="8" t="s">
        <v>22</v>
      </c>
      <c r="G437" s="2">
        <v>98</v>
      </c>
      <c r="H437" t="s">
        <v>3897</v>
      </c>
      <c r="I437" t="s">
        <v>4781</v>
      </c>
      <c r="J437" s="9" t="s">
        <v>4924</v>
      </c>
      <c r="K437" t="s">
        <v>5165</v>
      </c>
      <c r="L437" s="2">
        <v>1</v>
      </c>
      <c r="M437" s="24" t="s">
        <v>5971</v>
      </c>
      <c r="N437" s="2" t="s">
        <v>23</v>
      </c>
      <c r="O437" s="18" t="s">
        <v>384</v>
      </c>
      <c r="P437" s="18" t="s">
        <v>3781</v>
      </c>
      <c r="Q437" s="6" t="s">
        <v>4475</v>
      </c>
      <c r="T437" s="23">
        <v>45918</v>
      </c>
      <c r="U437" s="23">
        <v>47379</v>
      </c>
      <c r="X437" s="20">
        <v>4600</v>
      </c>
      <c r="Z437" s="6" t="s">
        <v>5978</v>
      </c>
      <c r="AA437" s="14">
        <f t="shared" si="65"/>
        <v>5.9999999999999995E-4</v>
      </c>
      <c r="AB437">
        <v>2.3356979999999998</v>
      </c>
      <c r="AC437">
        <v>2.4291259199999997</v>
      </c>
    </row>
    <row r="438" spans="1:29" x14ac:dyDescent="0.3">
      <c r="A438">
        <v>151321</v>
      </c>
      <c r="B438" s="25" t="s">
        <v>5984</v>
      </c>
      <c r="C438" t="s">
        <v>20</v>
      </c>
      <c r="D438" t="s">
        <v>21</v>
      </c>
      <c r="E438">
        <v>2222222</v>
      </c>
      <c r="F438" s="8" t="s">
        <v>22</v>
      </c>
      <c r="G438" s="2">
        <v>98</v>
      </c>
      <c r="H438" t="s">
        <v>3897</v>
      </c>
      <c r="I438" t="s">
        <v>3842</v>
      </c>
      <c r="J438" s="9" t="s">
        <v>4830</v>
      </c>
      <c r="K438" t="s">
        <v>5097</v>
      </c>
      <c r="L438" s="2">
        <v>1</v>
      </c>
      <c r="M438" s="24" t="s">
        <v>5971</v>
      </c>
      <c r="N438" s="2" t="s">
        <v>23</v>
      </c>
      <c r="O438" s="18" t="s">
        <v>385</v>
      </c>
      <c r="P438" s="18" t="s">
        <v>3781</v>
      </c>
      <c r="Q438" s="6" t="s">
        <v>4475</v>
      </c>
      <c r="T438" s="23">
        <v>46156</v>
      </c>
      <c r="U438" s="23">
        <v>46246</v>
      </c>
      <c r="X438" s="20">
        <v>3060</v>
      </c>
      <c r="Z438" s="6" t="s">
        <v>5978</v>
      </c>
      <c r="AA438" s="14">
        <f t="shared" si="65"/>
        <v>5.9999999999999995E-4</v>
      </c>
      <c r="AB438">
        <v>1.8359999999999999</v>
      </c>
      <c r="AC438">
        <v>1.9094399999999998</v>
      </c>
    </row>
    <row r="439" spans="1:29" x14ac:dyDescent="0.3">
      <c r="A439">
        <v>142354</v>
      </c>
      <c r="B439" s="25" t="s">
        <v>5984</v>
      </c>
      <c r="C439" t="s">
        <v>20</v>
      </c>
      <c r="D439" t="s">
        <v>21</v>
      </c>
      <c r="E439">
        <v>2222222</v>
      </c>
      <c r="F439" s="8" t="s">
        <v>22</v>
      </c>
      <c r="G439" s="2">
        <v>98</v>
      </c>
      <c r="H439" t="s">
        <v>3898</v>
      </c>
      <c r="I439" t="s">
        <v>4587</v>
      </c>
      <c r="J439" s="9" t="s">
        <v>4981</v>
      </c>
      <c r="K439" t="s">
        <v>5166</v>
      </c>
      <c r="L439" s="2">
        <v>1</v>
      </c>
      <c r="M439" s="24" t="s">
        <v>5971</v>
      </c>
      <c r="N439" s="2" t="s">
        <v>23</v>
      </c>
      <c r="O439" s="18" t="s">
        <v>386</v>
      </c>
      <c r="P439" s="18" t="s">
        <v>3781</v>
      </c>
      <c r="Q439" s="6" t="s">
        <v>4475</v>
      </c>
      <c r="T439" s="23">
        <v>45512</v>
      </c>
      <c r="U439" s="23">
        <v>46606</v>
      </c>
      <c r="X439" s="20">
        <v>12000</v>
      </c>
      <c r="Z439" s="6" t="s">
        <v>5978</v>
      </c>
      <c r="AA439" s="14">
        <f t="shared" si="65"/>
        <v>5.9999999999999995E-4</v>
      </c>
      <c r="AB439">
        <v>3.5384939999999996</v>
      </c>
      <c r="AC439">
        <v>3.6800337599999997</v>
      </c>
    </row>
    <row r="440" spans="1:29" x14ac:dyDescent="0.3">
      <c r="A440">
        <v>148537</v>
      </c>
      <c r="B440" s="25" t="s">
        <v>5984</v>
      </c>
      <c r="C440" t="s">
        <v>20</v>
      </c>
      <c r="D440" t="s">
        <v>21</v>
      </c>
      <c r="E440">
        <v>2222222</v>
      </c>
      <c r="F440" s="8" t="s">
        <v>22</v>
      </c>
      <c r="G440" s="2">
        <v>98</v>
      </c>
      <c r="H440" t="s">
        <v>3898</v>
      </c>
      <c r="I440" t="s">
        <v>4539</v>
      </c>
      <c r="J440" s="9" t="s">
        <v>5112</v>
      </c>
      <c r="K440" t="s">
        <v>4966</v>
      </c>
      <c r="L440" s="2">
        <v>1</v>
      </c>
      <c r="M440" s="24" t="s">
        <v>5971</v>
      </c>
      <c r="N440" s="2" t="s">
        <v>23</v>
      </c>
      <c r="O440" s="18" t="s">
        <v>387</v>
      </c>
      <c r="P440" s="18" t="s">
        <v>0</v>
      </c>
      <c r="Q440" s="6" t="s">
        <v>4475</v>
      </c>
      <c r="T440" s="23">
        <v>44988</v>
      </c>
      <c r="U440" s="23">
        <v>47534</v>
      </c>
      <c r="X440" s="20">
        <v>14720</v>
      </c>
      <c r="Z440" s="6" t="s">
        <v>5978</v>
      </c>
      <c r="AA440" s="13">
        <f>+(0.56/1000)</f>
        <v>5.6000000000000006E-4</v>
      </c>
      <c r="AB440">
        <v>3.4819680000000006</v>
      </c>
      <c r="AC440">
        <v>3.6212467200000007</v>
      </c>
    </row>
    <row r="441" spans="1:29" x14ac:dyDescent="0.3">
      <c r="A441">
        <v>151499</v>
      </c>
      <c r="B441" s="25" t="s">
        <v>5984</v>
      </c>
      <c r="C441" t="s">
        <v>20</v>
      </c>
      <c r="D441" t="s">
        <v>21</v>
      </c>
      <c r="E441">
        <v>2222222</v>
      </c>
      <c r="F441" s="8" t="s">
        <v>22</v>
      </c>
      <c r="G441" s="2">
        <v>98</v>
      </c>
      <c r="H441" t="s">
        <v>3898</v>
      </c>
      <c r="I441" t="s">
        <v>3870</v>
      </c>
      <c r="J441" s="9" t="s">
        <v>4871</v>
      </c>
      <c r="K441" t="s">
        <v>4841</v>
      </c>
      <c r="L441" s="2">
        <v>1</v>
      </c>
      <c r="M441" s="24" t="s">
        <v>5971</v>
      </c>
      <c r="N441" s="2" t="s">
        <v>23</v>
      </c>
      <c r="O441" s="18" t="s">
        <v>388</v>
      </c>
      <c r="P441" s="18" t="s">
        <v>0</v>
      </c>
      <c r="Q441" s="6" t="s">
        <v>4475</v>
      </c>
      <c r="T441" s="23">
        <v>46169</v>
      </c>
      <c r="U441" s="23">
        <v>46352</v>
      </c>
      <c r="X441" s="20">
        <v>100</v>
      </c>
      <c r="Z441" s="6" t="s">
        <v>5978</v>
      </c>
      <c r="AA441" s="14">
        <f>+(0.6/1000)</f>
        <v>5.9999999999999995E-4</v>
      </c>
      <c r="AB441">
        <v>4.0554E-2</v>
      </c>
      <c r="AC441">
        <v>4.2176160000000004E-2</v>
      </c>
    </row>
    <row r="442" spans="1:29" x14ac:dyDescent="0.3">
      <c r="A442">
        <v>109318</v>
      </c>
      <c r="B442" s="25" t="s">
        <v>5984</v>
      </c>
      <c r="C442" t="s">
        <v>20</v>
      </c>
      <c r="D442" t="s">
        <v>21</v>
      </c>
      <c r="E442">
        <v>2222222</v>
      </c>
      <c r="F442" s="8" t="s">
        <v>22</v>
      </c>
      <c r="G442" s="2">
        <v>98</v>
      </c>
      <c r="H442" t="s">
        <v>3899</v>
      </c>
      <c r="I442" t="s">
        <v>4353</v>
      </c>
      <c r="J442" s="9" t="s">
        <v>5167</v>
      </c>
      <c r="K442" t="s">
        <v>5168</v>
      </c>
      <c r="L442" s="2">
        <v>1</v>
      </c>
      <c r="M442" s="24" t="s">
        <v>5971</v>
      </c>
      <c r="N442" s="2" t="s">
        <v>23</v>
      </c>
      <c r="O442" s="18" t="s">
        <v>389</v>
      </c>
      <c r="P442" s="18" t="s">
        <v>0</v>
      </c>
      <c r="Q442" s="6" t="s">
        <v>4475</v>
      </c>
      <c r="T442" s="23">
        <v>43810</v>
      </c>
      <c r="U442" s="23">
        <v>44995</v>
      </c>
      <c r="X442" s="20">
        <v>6000</v>
      </c>
      <c r="Z442" s="6" t="s">
        <v>5978</v>
      </c>
      <c r="AA442" s="15">
        <f>+(0.42/1000)</f>
        <v>4.1999999999999996E-4</v>
      </c>
      <c r="AB442">
        <v>2.4080993999999998</v>
      </c>
      <c r="AC442">
        <v>2.5044233759999996</v>
      </c>
    </row>
    <row r="443" spans="1:29" x14ac:dyDescent="0.3">
      <c r="A443">
        <v>143741</v>
      </c>
      <c r="B443" s="25" t="s">
        <v>5984</v>
      </c>
      <c r="C443" t="s">
        <v>20</v>
      </c>
      <c r="D443" t="s">
        <v>21</v>
      </c>
      <c r="E443">
        <v>2222222</v>
      </c>
      <c r="F443" s="8" t="s">
        <v>22</v>
      </c>
      <c r="G443" s="2">
        <v>98</v>
      </c>
      <c r="H443" t="s">
        <v>3899</v>
      </c>
      <c r="I443" t="s">
        <v>4576</v>
      </c>
      <c r="J443" s="9" t="s">
        <v>5068</v>
      </c>
      <c r="K443" t="s">
        <v>5089</v>
      </c>
      <c r="L443" s="2">
        <v>1</v>
      </c>
      <c r="M443" s="24" t="s">
        <v>5971</v>
      </c>
      <c r="N443" s="2" t="s">
        <v>23</v>
      </c>
      <c r="O443" s="18" t="s">
        <v>390</v>
      </c>
      <c r="P443" s="18" t="s">
        <v>0</v>
      </c>
      <c r="Q443" s="6" t="s">
        <v>4475</v>
      </c>
      <c r="T443" s="23">
        <v>45619</v>
      </c>
      <c r="U443" s="23">
        <v>48175</v>
      </c>
      <c r="X443" s="20">
        <v>20000</v>
      </c>
      <c r="Z443" s="6" t="s">
        <v>5978</v>
      </c>
      <c r="AA443" s="14">
        <f t="shared" ref="AA443:AA452" si="66">+(0.6/1000)</f>
        <v>5.9999999999999995E-4</v>
      </c>
      <c r="AB443">
        <v>10.325099999999999</v>
      </c>
      <c r="AC443">
        <v>10.738104</v>
      </c>
    </row>
    <row r="444" spans="1:29" x14ac:dyDescent="0.3">
      <c r="A444">
        <v>146588</v>
      </c>
      <c r="B444" s="25" t="s">
        <v>5984</v>
      </c>
      <c r="C444" t="s">
        <v>20</v>
      </c>
      <c r="D444" t="s">
        <v>21</v>
      </c>
      <c r="E444">
        <v>2222222</v>
      </c>
      <c r="F444" s="8" t="s">
        <v>22</v>
      </c>
      <c r="G444" s="2">
        <v>98</v>
      </c>
      <c r="H444" t="s">
        <v>3899</v>
      </c>
      <c r="I444" t="s">
        <v>4720</v>
      </c>
      <c r="J444" s="9" t="s">
        <v>4903</v>
      </c>
      <c r="K444" t="s">
        <v>4893</v>
      </c>
      <c r="L444" s="2">
        <v>1</v>
      </c>
      <c r="M444" s="24" t="s">
        <v>5971</v>
      </c>
      <c r="N444" s="2" t="s">
        <v>23</v>
      </c>
      <c r="O444" s="18" t="s">
        <v>391</v>
      </c>
      <c r="P444" s="18" t="s">
        <v>3781</v>
      </c>
      <c r="Q444" s="6" t="s">
        <v>4475</v>
      </c>
      <c r="T444" s="23">
        <v>45827</v>
      </c>
      <c r="U444" s="23">
        <v>46740</v>
      </c>
      <c r="X444" s="20">
        <v>4000</v>
      </c>
      <c r="Z444" s="6" t="s">
        <v>5978</v>
      </c>
      <c r="AA444" s="14">
        <f t="shared" si="66"/>
        <v>5.9999999999999995E-4</v>
      </c>
      <c r="AB444">
        <v>1.4842679999999999</v>
      </c>
      <c r="AC444">
        <v>1.5436387199999999</v>
      </c>
    </row>
    <row r="445" spans="1:29" x14ac:dyDescent="0.3">
      <c r="A445">
        <v>149531</v>
      </c>
      <c r="B445" s="25" t="s">
        <v>5984</v>
      </c>
      <c r="C445" t="s">
        <v>20</v>
      </c>
      <c r="D445" t="s">
        <v>21</v>
      </c>
      <c r="E445">
        <v>2222222</v>
      </c>
      <c r="F445" s="8" t="s">
        <v>22</v>
      </c>
      <c r="G445" s="2">
        <v>98</v>
      </c>
      <c r="H445" t="s">
        <v>3899</v>
      </c>
      <c r="I445" t="s">
        <v>4720</v>
      </c>
      <c r="J445" s="9" t="s">
        <v>4911</v>
      </c>
      <c r="K445" t="s">
        <v>5169</v>
      </c>
      <c r="L445" s="2">
        <v>1</v>
      </c>
      <c r="M445" s="24" t="s">
        <v>5971</v>
      </c>
      <c r="N445" s="2" t="s">
        <v>23</v>
      </c>
      <c r="O445" s="18" t="s">
        <v>392</v>
      </c>
      <c r="P445" s="18" t="s">
        <v>3781</v>
      </c>
      <c r="Q445" s="6" t="s">
        <v>4475</v>
      </c>
      <c r="T445" s="23">
        <v>46031</v>
      </c>
      <c r="U445" s="23">
        <v>47127</v>
      </c>
      <c r="X445" s="20">
        <v>5000</v>
      </c>
      <c r="Z445" s="6" t="s">
        <v>5978</v>
      </c>
      <c r="AA445" s="14">
        <f t="shared" si="66"/>
        <v>5.9999999999999995E-4</v>
      </c>
      <c r="AB445">
        <v>2.6021100000000001</v>
      </c>
      <c r="AC445">
        <v>2.7061944000000002</v>
      </c>
    </row>
    <row r="446" spans="1:29" x14ac:dyDescent="0.3">
      <c r="A446">
        <v>150458</v>
      </c>
      <c r="B446" s="25" t="s">
        <v>5984</v>
      </c>
      <c r="C446" t="s">
        <v>20</v>
      </c>
      <c r="D446" t="s">
        <v>21</v>
      </c>
      <c r="E446">
        <v>2222222</v>
      </c>
      <c r="F446" s="8" t="s">
        <v>22</v>
      </c>
      <c r="G446" s="2">
        <v>98</v>
      </c>
      <c r="H446" t="s">
        <v>3899</v>
      </c>
      <c r="I446" t="s">
        <v>4222</v>
      </c>
      <c r="J446" s="9" t="s">
        <v>4836</v>
      </c>
      <c r="K446" t="s">
        <v>4911</v>
      </c>
      <c r="L446" s="2">
        <v>1</v>
      </c>
      <c r="M446" s="24" t="s">
        <v>5971</v>
      </c>
      <c r="N446" s="2" t="s">
        <v>23</v>
      </c>
      <c r="O446" s="18" t="s">
        <v>393</v>
      </c>
      <c r="P446" s="18" t="s">
        <v>3781</v>
      </c>
      <c r="Q446" s="6" t="s">
        <v>4475</v>
      </c>
      <c r="T446" s="23">
        <v>46094</v>
      </c>
      <c r="U446" s="23">
        <v>46458</v>
      </c>
      <c r="X446" s="20">
        <v>5920</v>
      </c>
      <c r="Z446" s="6" t="s">
        <v>5978</v>
      </c>
      <c r="AA446" s="14">
        <f t="shared" si="66"/>
        <v>5.9999999999999995E-4</v>
      </c>
      <c r="AB446">
        <v>2.709978</v>
      </c>
      <c r="AC446">
        <v>2.8183771200000001</v>
      </c>
    </row>
    <row r="447" spans="1:29" x14ac:dyDescent="0.3">
      <c r="A447">
        <v>151032</v>
      </c>
      <c r="B447" s="25" t="s">
        <v>5984</v>
      </c>
      <c r="C447" t="s">
        <v>20</v>
      </c>
      <c r="D447" t="s">
        <v>21</v>
      </c>
      <c r="E447">
        <v>2222222</v>
      </c>
      <c r="F447" s="8" t="s">
        <v>22</v>
      </c>
      <c r="G447" s="2">
        <v>98</v>
      </c>
      <c r="H447" t="s">
        <v>3899</v>
      </c>
      <c r="I447" t="s">
        <v>3899</v>
      </c>
      <c r="J447" s="9" t="s">
        <v>5164</v>
      </c>
      <c r="K447" t="s">
        <v>4924</v>
      </c>
      <c r="L447" s="2">
        <v>1</v>
      </c>
      <c r="M447" s="24" t="s">
        <v>5971</v>
      </c>
      <c r="N447" s="2" t="s">
        <v>23</v>
      </c>
      <c r="O447" s="18" t="s">
        <v>394</v>
      </c>
      <c r="P447" s="18" t="s">
        <v>3781</v>
      </c>
      <c r="Q447" s="6" t="s">
        <v>4475</v>
      </c>
      <c r="T447" s="23">
        <v>46139</v>
      </c>
      <c r="U447" s="23">
        <v>46870</v>
      </c>
      <c r="X447" s="20">
        <v>5000</v>
      </c>
      <c r="Z447" s="6" t="s">
        <v>5978</v>
      </c>
      <c r="AA447" s="14">
        <f t="shared" si="66"/>
        <v>5.9999999999999995E-4</v>
      </c>
      <c r="AB447">
        <v>2.6813159999999994</v>
      </c>
      <c r="AC447">
        <v>2.7885686399999994</v>
      </c>
    </row>
    <row r="448" spans="1:29" x14ac:dyDescent="0.3">
      <c r="A448">
        <v>147269</v>
      </c>
      <c r="B448" s="25" t="s">
        <v>5984</v>
      </c>
      <c r="C448" t="s">
        <v>20</v>
      </c>
      <c r="D448" t="s">
        <v>21</v>
      </c>
      <c r="E448">
        <v>2222222</v>
      </c>
      <c r="F448" s="8" t="s">
        <v>22</v>
      </c>
      <c r="G448" s="2">
        <v>98</v>
      </c>
      <c r="H448" t="s">
        <v>3900</v>
      </c>
      <c r="I448" t="s">
        <v>4341</v>
      </c>
      <c r="J448" s="9" t="s">
        <v>4852</v>
      </c>
      <c r="K448" t="s">
        <v>4900</v>
      </c>
      <c r="L448" s="2">
        <v>1</v>
      </c>
      <c r="M448" s="24" t="s">
        <v>5971</v>
      </c>
      <c r="N448" s="2" t="s">
        <v>23</v>
      </c>
      <c r="O448" s="18" t="s">
        <v>395</v>
      </c>
      <c r="P448" s="18" t="s">
        <v>0</v>
      </c>
      <c r="Q448" s="6" t="s">
        <v>4475</v>
      </c>
      <c r="T448" s="23">
        <v>45886</v>
      </c>
      <c r="U448" s="23">
        <v>46799</v>
      </c>
      <c r="X448" s="20">
        <v>5000</v>
      </c>
      <c r="Z448" s="6" t="s">
        <v>5978</v>
      </c>
      <c r="AA448" s="14">
        <f t="shared" si="66"/>
        <v>5.9999999999999995E-4</v>
      </c>
      <c r="AB448">
        <v>2.051742</v>
      </c>
      <c r="AC448">
        <v>2.13381168</v>
      </c>
    </row>
    <row r="449" spans="1:29" x14ac:dyDescent="0.3">
      <c r="A449">
        <v>147756</v>
      </c>
      <c r="B449" s="25" t="s">
        <v>5984</v>
      </c>
      <c r="C449" t="s">
        <v>20</v>
      </c>
      <c r="D449" t="s">
        <v>21</v>
      </c>
      <c r="E449">
        <v>2222222</v>
      </c>
      <c r="F449" s="8" t="s">
        <v>22</v>
      </c>
      <c r="G449" s="2">
        <v>98</v>
      </c>
      <c r="H449" t="s">
        <v>3900</v>
      </c>
      <c r="I449" t="s">
        <v>4497</v>
      </c>
      <c r="J449" s="9" t="s">
        <v>5171</v>
      </c>
      <c r="K449" t="s">
        <v>5172</v>
      </c>
      <c r="L449" s="2">
        <v>1</v>
      </c>
      <c r="M449" s="24" t="s">
        <v>5971</v>
      </c>
      <c r="N449" s="2" t="s">
        <v>23</v>
      </c>
      <c r="O449" s="18" t="s">
        <v>396</v>
      </c>
      <c r="P449" s="18" t="s">
        <v>0</v>
      </c>
      <c r="Q449" s="6" t="s">
        <v>4475</v>
      </c>
      <c r="T449" s="23">
        <v>45910</v>
      </c>
      <c r="U449" s="23">
        <v>47736</v>
      </c>
      <c r="X449" s="20">
        <v>3300</v>
      </c>
      <c r="Z449" s="6" t="s">
        <v>5978</v>
      </c>
      <c r="AA449" s="14">
        <f t="shared" si="66"/>
        <v>5.9999999999999995E-4</v>
      </c>
      <c r="AB449">
        <v>1.8872039999999999</v>
      </c>
      <c r="AC449">
        <v>1.96269216</v>
      </c>
    </row>
    <row r="450" spans="1:29" x14ac:dyDescent="0.3">
      <c r="A450">
        <v>147897</v>
      </c>
      <c r="B450" s="25" t="s">
        <v>5984</v>
      </c>
      <c r="C450" t="s">
        <v>20</v>
      </c>
      <c r="D450" t="s">
        <v>21</v>
      </c>
      <c r="E450">
        <v>2222222</v>
      </c>
      <c r="F450" s="8" t="s">
        <v>22</v>
      </c>
      <c r="G450" s="2">
        <v>98</v>
      </c>
      <c r="H450" t="s">
        <v>3900</v>
      </c>
      <c r="I450" t="s">
        <v>4497</v>
      </c>
      <c r="J450" s="9" t="s">
        <v>5173</v>
      </c>
      <c r="K450" t="s">
        <v>5064</v>
      </c>
      <c r="L450" s="2">
        <v>1</v>
      </c>
      <c r="M450" s="24" t="s">
        <v>5971</v>
      </c>
      <c r="N450" s="2" t="s">
        <v>23</v>
      </c>
      <c r="O450" s="18" t="s">
        <v>397</v>
      </c>
      <c r="P450" s="18" t="s">
        <v>0</v>
      </c>
      <c r="Q450" s="6" t="s">
        <v>4475</v>
      </c>
      <c r="T450" s="23">
        <v>45921</v>
      </c>
      <c r="U450" s="23">
        <v>47382</v>
      </c>
      <c r="X450" s="20">
        <v>5000</v>
      </c>
      <c r="Z450" s="6" t="s">
        <v>5978</v>
      </c>
      <c r="AA450" s="14">
        <f t="shared" si="66"/>
        <v>5.9999999999999995E-4</v>
      </c>
      <c r="AB450">
        <v>2.5388099999999998</v>
      </c>
      <c r="AC450">
        <v>2.6403623999999999</v>
      </c>
    </row>
    <row r="451" spans="1:29" x14ac:dyDescent="0.3">
      <c r="A451">
        <v>148323</v>
      </c>
      <c r="B451" s="25" t="s">
        <v>5984</v>
      </c>
      <c r="C451" t="s">
        <v>20</v>
      </c>
      <c r="D451" t="s">
        <v>21</v>
      </c>
      <c r="E451">
        <v>2222222</v>
      </c>
      <c r="F451" s="8" t="s">
        <v>22</v>
      </c>
      <c r="G451" s="2">
        <v>98</v>
      </c>
      <c r="H451" t="s">
        <v>3900</v>
      </c>
      <c r="I451" t="s">
        <v>3891</v>
      </c>
      <c r="J451" s="9" t="s">
        <v>4864</v>
      </c>
      <c r="K451" t="s">
        <v>4965</v>
      </c>
      <c r="L451" s="2">
        <v>1</v>
      </c>
      <c r="M451" s="24" t="s">
        <v>5971</v>
      </c>
      <c r="N451" s="2" t="s">
        <v>23</v>
      </c>
      <c r="O451" s="18" t="s">
        <v>398</v>
      </c>
      <c r="P451" s="18" t="s">
        <v>0</v>
      </c>
      <c r="Q451" s="6" t="s">
        <v>4475</v>
      </c>
      <c r="T451" s="23">
        <v>45952</v>
      </c>
      <c r="U451" s="23">
        <v>46681</v>
      </c>
      <c r="X451" s="20">
        <v>5000</v>
      </c>
      <c r="Z451" s="6" t="s">
        <v>5978</v>
      </c>
      <c r="AA451" s="14">
        <f t="shared" si="66"/>
        <v>5.9999999999999995E-4</v>
      </c>
      <c r="AB451">
        <v>1.9976639999999999</v>
      </c>
      <c r="AC451">
        <v>2.0775705599999998</v>
      </c>
    </row>
    <row r="452" spans="1:29" x14ac:dyDescent="0.3">
      <c r="A452">
        <v>151569</v>
      </c>
      <c r="B452" s="25" t="s">
        <v>5984</v>
      </c>
      <c r="C452" t="s">
        <v>20</v>
      </c>
      <c r="D452" t="s">
        <v>21</v>
      </c>
      <c r="E452">
        <v>2222222</v>
      </c>
      <c r="F452" s="8" t="s">
        <v>22</v>
      </c>
      <c r="G452" s="2">
        <v>98</v>
      </c>
      <c r="H452" t="s">
        <v>3900</v>
      </c>
      <c r="I452" t="s">
        <v>4105</v>
      </c>
      <c r="J452" s="9" t="s">
        <v>5035</v>
      </c>
      <c r="K452" t="s">
        <v>5174</v>
      </c>
      <c r="L452" s="2">
        <v>1</v>
      </c>
      <c r="M452" s="24" t="s">
        <v>5971</v>
      </c>
      <c r="N452" s="2" t="s">
        <v>23</v>
      </c>
      <c r="O452" s="18" t="s">
        <v>399</v>
      </c>
      <c r="P452" s="18" t="s">
        <v>0</v>
      </c>
      <c r="Q452" s="6" t="s">
        <v>4475</v>
      </c>
      <c r="T452" s="23">
        <v>46175</v>
      </c>
      <c r="U452" s="23">
        <v>46911</v>
      </c>
      <c r="X452" s="20">
        <v>3610</v>
      </c>
      <c r="Z452" s="6" t="s">
        <v>5978</v>
      </c>
      <c r="AA452" s="14">
        <f t="shared" si="66"/>
        <v>5.9999999999999995E-4</v>
      </c>
      <c r="AB452">
        <v>2.0893439999999996</v>
      </c>
      <c r="AC452">
        <v>2.1729177599999998</v>
      </c>
    </row>
    <row r="453" spans="1:29" x14ac:dyDescent="0.3">
      <c r="A453">
        <v>136709</v>
      </c>
      <c r="B453" s="25" t="s">
        <v>5984</v>
      </c>
      <c r="C453" t="s">
        <v>20</v>
      </c>
      <c r="D453" t="s">
        <v>21</v>
      </c>
      <c r="E453">
        <v>2222222</v>
      </c>
      <c r="F453" s="8" t="s">
        <v>22</v>
      </c>
      <c r="G453" s="2">
        <v>98</v>
      </c>
      <c r="H453" t="s">
        <v>3901</v>
      </c>
      <c r="I453" t="s">
        <v>4782</v>
      </c>
      <c r="J453" s="9" t="s">
        <v>4903</v>
      </c>
      <c r="K453" t="s">
        <v>5031</v>
      </c>
      <c r="L453" s="2">
        <v>1</v>
      </c>
      <c r="M453" s="24" t="s">
        <v>5971</v>
      </c>
      <c r="N453" s="2" t="s">
        <v>23</v>
      </c>
      <c r="O453" s="18" t="s">
        <v>400</v>
      </c>
      <c r="P453" s="18" t="s">
        <v>3781</v>
      </c>
      <c r="Q453" s="6" t="s">
        <v>4475</v>
      </c>
      <c r="T453" s="23">
        <v>45187</v>
      </c>
      <c r="U453" s="23">
        <v>46648</v>
      </c>
      <c r="X453" s="20">
        <v>5000</v>
      </c>
      <c r="Z453" s="6" t="s">
        <v>5978</v>
      </c>
      <c r="AA453" s="13">
        <f t="shared" ref="AA453:AA455" si="67">+(0.56/1000)</f>
        <v>5.6000000000000006E-4</v>
      </c>
      <c r="AB453">
        <v>1.0476872000000002</v>
      </c>
      <c r="AC453">
        <v>1.0895946880000003</v>
      </c>
    </row>
    <row r="454" spans="1:29" x14ac:dyDescent="0.3">
      <c r="A454">
        <v>139465</v>
      </c>
      <c r="B454" s="25" t="s">
        <v>5984</v>
      </c>
      <c r="C454" t="s">
        <v>20</v>
      </c>
      <c r="D454" t="s">
        <v>21</v>
      </c>
      <c r="E454">
        <v>2222222</v>
      </c>
      <c r="F454" s="8" t="s">
        <v>22</v>
      </c>
      <c r="G454" s="2">
        <v>98</v>
      </c>
      <c r="H454" t="s">
        <v>3901</v>
      </c>
      <c r="I454" t="s">
        <v>3891</v>
      </c>
      <c r="J454" s="9" t="s">
        <v>5068</v>
      </c>
      <c r="K454" t="s">
        <v>4844</v>
      </c>
      <c r="L454" s="2">
        <v>1</v>
      </c>
      <c r="M454" s="24" t="s">
        <v>5971</v>
      </c>
      <c r="N454" s="2" t="s">
        <v>23</v>
      </c>
      <c r="O454" s="18" t="s">
        <v>401</v>
      </c>
      <c r="P454" s="18" t="s">
        <v>0</v>
      </c>
      <c r="Q454" s="6" t="s">
        <v>4475</v>
      </c>
      <c r="T454" s="23">
        <v>45344</v>
      </c>
      <c r="U454" s="23">
        <v>46866</v>
      </c>
      <c r="X454" s="20">
        <v>12600</v>
      </c>
      <c r="Z454" s="6" t="s">
        <v>5978</v>
      </c>
      <c r="AA454" s="13">
        <f t="shared" si="67"/>
        <v>5.6000000000000006E-4</v>
      </c>
      <c r="AB454">
        <v>3.7305296000000001</v>
      </c>
      <c r="AC454">
        <v>3.8797507840000001</v>
      </c>
    </row>
    <row r="455" spans="1:29" x14ac:dyDescent="0.3">
      <c r="A455">
        <v>139843</v>
      </c>
      <c r="B455" s="25" t="s">
        <v>5984</v>
      </c>
      <c r="C455" t="s">
        <v>20</v>
      </c>
      <c r="D455" t="s">
        <v>21</v>
      </c>
      <c r="E455">
        <v>2222222</v>
      </c>
      <c r="F455" s="8" t="s">
        <v>22</v>
      </c>
      <c r="G455" s="2">
        <v>98</v>
      </c>
      <c r="H455" t="s">
        <v>3902</v>
      </c>
      <c r="I455" t="s">
        <v>4783</v>
      </c>
      <c r="J455" s="9" t="s">
        <v>4182</v>
      </c>
      <c r="K455" t="s">
        <v>5175</v>
      </c>
      <c r="L455" s="2">
        <v>1</v>
      </c>
      <c r="M455" s="24" t="s">
        <v>5971</v>
      </c>
      <c r="N455" s="2" t="s">
        <v>23</v>
      </c>
      <c r="O455" s="18" t="s">
        <v>402</v>
      </c>
      <c r="P455" s="18" t="s">
        <v>0</v>
      </c>
      <c r="Q455" s="6" t="s">
        <v>4475</v>
      </c>
      <c r="T455" s="23">
        <v>45352</v>
      </c>
      <c r="U455" s="23">
        <v>46812</v>
      </c>
      <c r="X455" s="20">
        <v>5000</v>
      </c>
      <c r="Z455" s="6" t="s">
        <v>5978</v>
      </c>
      <c r="AA455" s="13">
        <f t="shared" si="67"/>
        <v>5.6000000000000006E-4</v>
      </c>
      <c r="AB455">
        <v>1.4285712000000002</v>
      </c>
      <c r="AC455">
        <v>1.4857140480000002</v>
      </c>
    </row>
    <row r="456" spans="1:29" x14ac:dyDescent="0.3">
      <c r="A456">
        <v>151182</v>
      </c>
      <c r="B456" s="25" t="s">
        <v>5984</v>
      </c>
      <c r="C456" t="s">
        <v>20</v>
      </c>
      <c r="D456" t="s">
        <v>21</v>
      </c>
      <c r="E456">
        <v>2222222</v>
      </c>
      <c r="F456" s="8" t="s">
        <v>22</v>
      </c>
      <c r="G456" s="2">
        <v>98</v>
      </c>
      <c r="H456" t="s">
        <v>3903</v>
      </c>
      <c r="I456" t="s">
        <v>4579</v>
      </c>
      <c r="J456" s="9" t="s">
        <v>4828</v>
      </c>
      <c r="K456" t="s">
        <v>4953</v>
      </c>
      <c r="L456" s="2">
        <v>1</v>
      </c>
      <c r="M456" s="24" t="s">
        <v>5971</v>
      </c>
      <c r="N456" s="2" t="s">
        <v>23</v>
      </c>
      <c r="O456" s="18" t="s">
        <v>403</v>
      </c>
      <c r="P456" s="18" t="s">
        <v>0</v>
      </c>
      <c r="Q456" s="6" t="s">
        <v>4475</v>
      </c>
      <c r="T456" s="23">
        <v>46144</v>
      </c>
      <c r="U456" s="23">
        <v>47243</v>
      </c>
      <c r="X456" s="20">
        <v>3020</v>
      </c>
      <c r="Z456" s="6" t="s">
        <v>5978</v>
      </c>
      <c r="AA456" s="14">
        <f t="shared" ref="AA456:AA457" si="68">+(0.6/1000)</f>
        <v>5.9999999999999995E-4</v>
      </c>
      <c r="AB456">
        <v>1.7331479999999999</v>
      </c>
      <c r="AC456">
        <v>1.80247392</v>
      </c>
    </row>
    <row r="457" spans="1:29" x14ac:dyDescent="0.3">
      <c r="A457">
        <v>152305</v>
      </c>
      <c r="B457" s="25" t="s">
        <v>5984</v>
      </c>
      <c r="C457" t="s">
        <v>20</v>
      </c>
      <c r="D457" t="s">
        <v>21</v>
      </c>
      <c r="E457">
        <v>2222222</v>
      </c>
      <c r="F457" s="8" t="s">
        <v>22</v>
      </c>
      <c r="G457" s="2">
        <v>98</v>
      </c>
      <c r="H457" t="s">
        <v>3903</v>
      </c>
      <c r="I457" t="s">
        <v>4784</v>
      </c>
      <c r="J457" s="9" t="s">
        <v>5176</v>
      </c>
      <c r="K457" t="s">
        <v>5177</v>
      </c>
      <c r="L457" s="2">
        <v>1</v>
      </c>
      <c r="M457" s="24" t="s">
        <v>5971</v>
      </c>
      <c r="N457" s="2" t="s">
        <v>23</v>
      </c>
      <c r="O457" s="18" t="s">
        <v>404</v>
      </c>
      <c r="P457" s="18" t="s">
        <v>3781</v>
      </c>
      <c r="Q457" s="6" t="s">
        <v>4475</v>
      </c>
      <c r="T457" s="23">
        <v>46227</v>
      </c>
      <c r="U457" s="23">
        <v>46591</v>
      </c>
      <c r="X457" s="20">
        <v>5000</v>
      </c>
      <c r="Z457" s="6" t="s">
        <v>5978</v>
      </c>
      <c r="AA457" s="14">
        <f t="shared" si="68"/>
        <v>5.9999999999999995E-4</v>
      </c>
      <c r="AB457">
        <v>2.9999999999999996</v>
      </c>
      <c r="AC457">
        <v>3.1199999999999997</v>
      </c>
    </row>
    <row r="458" spans="1:29" x14ac:dyDescent="0.3">
      <c r="A458">
        <v>139513</v>
      </c>
      <c r="B458" s="25" t="s">
        <v>5984</v>
      </c>
      <c r="C458" t="s">
        <v>20</v>
      </c>
      <c r="D458" t="s">
        <v>21</v>
      </c>
      <c r="E458">
        <v>2222222</v>
      </c>
      <c r="F458" s="8" t="s">
        <v>22</v>
      </c>
      <c r="G458" s="2">
        <v>98</v>
      </c>
      <c r="H458" t="s">
        <v>3904</v>
      </c>
      <c r="I458" t="s">
        <v>4173</v>
      </c>
      <c r="J458" s="9" t="s">
        <v>5143</v>
      </c>
      <c r="K458" t="s">
        <v>5083</v>
      </c>
      <c r="L458" s="2">
        <v>1</v>
      </c>
      <c r="M458" s="24" t="s">
        <v>5971</v>
      </c>
      <c r="N458" s="2" t="s">
        <v>23</v>
      </c>
      <c r="O458" s="18" t="s">
        <v>405</v>
      </c>
      <c r="P458" s="18" t="s">
        <v>3781</v>
      </c>
      <c r="Q458" s="6" t="s">
        <v>4475</v>
      </c>
      <c r="T458" s="23">
        <v>45339</v>
      </c>
      <c r="U458" s="23">
        <v>47167</v>
      </c>
      <c r="X458" s="20">
        <v>13000</v>
      </c>
      <c r="Z458" s="6" t="s">
        <v>5978</v>
      </c>
      <c r="AA458" s="13">
        <f>+(0.56/1000)</f>
        <v>5.6000000000000006E-4</v>
      </c>
      <c r="AB458">
        <v>4.4384536000000008</v>
      </c>
      <c r="AC458">
        <v>4.6159917440000013</v>
      </c>
    </row>
    <row r="459" spans="1:29" x14ac:dyDescent="0.3">
      <c r="A459">
        <v>151189</v>
      </c>
      <c r="B459" s="25" t="s">
        <v>5984</v>
      </c>
      <c r="C459" t="s">
        <v>20</v>
      </c>
      <c r="D459" t="s">
        <v>21</v>
      </c>
      <c r="E459">
        <v>2222222</v>
      </c>
      <c r="F459" s="8" t="s">
        <v>22</v>
      </c>
      <c r="G459" s="2">
        <v>98</v>
      </c>
      <c r="H459" t="s">
        <v>3904</v>
      </c>
      <c r="I459" t="s">
        <v>4319</v>
      </c>
      <c r="J459" s="9" t="s">
        <v>5178</v>
      </c>
      <c r="K459" t="s">
        <v>5179</v>
      </c>
      <c r="L459" s="2">
        <v>1</v>
      </c>
      <c r="M459" s="24" t="s">
        <v>5971</v>
      </c>
      <c r="N459" s="2" t="s">
        <v>23</v>
      </c>
      <c r="O459" s="18" t="s">
        <v>406</v>
      </c>
      <c r="P459" s="18" t="s">
        <v>3781</v>
      </c>
      <c r="Q459" s="6" t="s">
        <v>4475</v>
      </c>
      <c r="T459" s="23">
        <v>46146</v>
      </c>
      <c r="U459" s="23">
        <v>46329</v>
      </c>
      <c r="X459" s="20">
        <v>500</v>
      </c>
      <c r="Z459" s="6" t="s">
        <v>5978</v>
      </c>
      <c r="AA459" s="14">
        <f>+(0.6/1000)</f>
        <v>5.9999999999999995E-4</v>
      </c>
      <c r="AB459">
        <v>0.20224799999999998</v>
      </c>
      <c r="AC459">
        <v>0.21033791999999998</v>
      </c>
    </row>
    <row r="460" spans="1:29" x14ac:dyDescent="0.3">
      <c r="A460">
        <v>118</v>
      </c>
      <c r="B460" s="25" t="s">
        <v>5984</v>
      </c>
      <c r="C460" t="s">
        <v>20</v>
      </c>
      <c r="D460" t="s">
        <v>21</v>
      </c>
      <c r="E460">
        <v>2222222</v>
      </c>
      <c r="F460" s="8" t="s">
        <v>22</v>
      </c>
      <c r="G460" s="2">
        <v>98</v>
      </c>
      <c r="H460" t="s">
        <v>3905</v>
      </c>
      <c r="I460" t="s">
        <v>4532</v>
      </c>
      <c r="J460" s="9" t="s">
        <v>4852</v>
      </c>
      <c r="K460" t="s">
        <v>4901</v>
      </c>
      <c r="L460" s="2">
        <v>1</v>
      </c>
      <c r="M460" s="24" t="s">
        <v>5971</v>
      </c>
      <c r="N460" s="2" t="s">
        <v>23</v>
      </c>
      <c r="O460" s="18" t="s">
        <v>407</v>
      </c>
      <c r="P460" s="18" t="s">
        <v>0</v>
      </c>
      <c r="Q460" s="6" t="s">
        <v>4475</v>
      </c>
      <c r="T460" s="23">
        <v>39183</v>
      </c>
      <c r="U460" s="23">
        <v>40220</v>
      </c>
      <c r="X460" s="20">
        <v>2500</v>
      </c>
      <c r="Z460" s="6" t="s">
        <v>5978</v>
      </c>
      <c r="AA460" s="16">
        <f>+(0.36/1000)</f>
        <v>3.5999999999999997E-4</v>
      </c>
      <c r="AB460">
        <v>0.31721759999999999</v>
      </c>
      <c r="AC460">
        <v>0.32990630399999998</v>
      </c>
    </row>
    <row r="461" spans="1:29" x14ac:dyDescent="0.3">
      <c r="A461">
        <v>120</v>
      </c>
      <c r="B461" s="25" t="s">
        <v>5984</v>
      </c>
      <c r="C461" t="s">
        <v>20</v>
      </c>
      <c r="D461" t="s">
        <v>21</v>
      </c>
      <c r="E461">
        <v>2222222</v>
      </c>
      <c r="F461" s="8" t="s">
        <v>22</v>
      </c>
      <c r="G461" s="2">
        <v>98</v>
      </c>
      <c r="H461" t="s">
        <v>3905</v>
      </c>
      <c r="I461" t="s">
        <v>4532</v>
      </c>
      <c r="J461" s="9" t="s">
        <v>5073</v>
      </c>
      <c r="K461" t="s">
        <v>4887</v>
      </c>
      <c r="L461" s="2">
        <v>1</v>
      </c>
      <c r="M461" s="24" t="s">
        <v>5971</v>
      </c>
      <c r="N461" s="2" t="s">
        <v>23</v>
      </c>
      <c r="O461" s="18" t="s">
        <v>408</v>
      </c>
      <c r="P461" s="18" t="s">
        <v>3781</v>
      </c>
      <c r="Q461" s="6" t="s">
        <v>4475</v>
      </c>
      <c r="T461" s="23">
        <v>39475</v>
      </c>
      <c r="U461" s="23">
        <v>40571</v>
      </c>
      <c r="X461" s="20">
        <v>2500</v>
      </c>
      <c r="Z461" s="6" t="s">
        <v>5978</v>
      </c>
      <c r="AA461" s="16">
        <f t="shared" ref="AA461:AA465" si="69">+(0.36/1000)</f>
        <v>3.5999999999999997E-4</v>
      </c>
      <c r="AB461">
        <v>0.45100079999999992</v>
      </c>
      <c r="AC461">
        <v>0.46904083199999996</v>
      </c>
    </row>
    <row r="462" spans="1:29" x14ac:dyDescent="0.3">
      <c r="A462">
        <v>122</v>
      </c>
      <c r="B462" s="25" t="s">
        <v>5984</v>
      </c>
      <c r="C462" t="s">
        <v>20</v>
      </c>
      <c r="D462" t="s">
        <v>21</v>
      </c>
      <c r="E462">
        <v>2222222</v>
      </c>
      <c r="F462" s="8" t="s">
        <v>22</v>
      </c>
      <c r="G462" s="2">
        <v>98</v>
      </c>
      <c r="H462" t="s">
        <v>3905</v>
      </c>
      <c r="I462" t="s">
        <v>4583</v>
      </c>
      <c r="J462" s="9" t="s">
        <v>4852</v>
      </c>
      <c r="K462" t="s">
        <v>4995</v>
      </c>
      <c r="L462" s="2">
        <v>1</v>
      </c>
      <c r="M462" s="24" t="s">
        <v>5971</v>
      </c>
      <c r="N462" s="2" t="s">
        <v>23</v>
      </c>
      <c r="O462" s="18" t="s">
        <v>409</v>
      </c>
      <c r="P462" s="18" t="s">
        <v>0</v>
      </c>
      <c r="Q462" s="6" t="s">
        <v>4475</v>
      </c>
      <c r="T462" s="23">
        <v>39381</v>
      </c>
      <c r="U462" s="23">
        <v>40477</v>
      </c>
      <c r="X462" s="20">
        <v>2500</v>
      </c>
      <c r="Z462" s="6" t="s">
        <v>5978</v>
      </c>
      <c r="AA462" s="16">
        <f t="shared" si="69"/>
        <v>3.5999999999999997E-4</v>
      </c>
      <c r="AB462">
        <v>0.52229519999999996</v>
      </c>
      <c r="AC462">
        <v>0.54318700799999997</v>
      </c>
    </row>
    <row r="463" spans="1:29" x14ac:dyDescent="0.3">
      <c r="A463">
        <v>1663</v>
      </c>
      <c r="B463" s="25" t="s">
        <v>5984</v>
      </c>
      <c r="C463" t="s">
        <v>20</v>
      </c>
      <c r="D463" t="s">
        <v>21</v>
      </c>
      <c r="E463">
        <v>2222222</v>
      </c>
      <c r="F463" s="8" t="s">
        <v>22</v>
      </c>
      <c r="G463" s="2">
        <v>98</v>
      </c>
      <c r="H463" t="s">
        <v>3905</v>
      </c>
      <c r="I463" t="s">
        <v>4583</v>
      </c>
      <c r="J463" s="9" t="s">
        <v>4852</v>
      </c>
      <c r="K463" t="s">
        <v>4995</v>
      </c>
      <c r="L463" s="2">
        <v>1</v>
      </c>
      <c r="M463" s="24" t="s">
        <v>5971</v>
      </c>
      <c r="N463" s="2" t="s">
        <v>23</v>
      </c>
      <c r="O463" s="18" t="s">
        <v>409</v>
      </c>
      <c r="P463" s="18" t="s">
        <v>0</v>
      </c>
      <c r="Q463" s="6" t="s">
        <v>4475</v>
      </c>
      <c r="T463" s="23">
        <v>39715</v>
      </c>
      <c r="U463" s="23">
        <v>39806</v>
      </c>
      <c r="X463" s="20">
        <v>300</v>
      </c>
      <c r="Z463" s="6" t="s">
        <v>5978</v>
      </c>
      <c r="AA463" s="16">
        <f t="shared" si="69"/>
        <v>3.5999999999999997E-4</v>
      </c>
      <c r="AB463">
        <v>0.10799999999999998</v>
      </c>
      <c r="AC463">
        <v>0.11231999999999999</v>
      </c>
    </row>
    <row r="464" spans="1:29" x14ac:dyDescent="0.3">
      <c r="A464">
        <v>11443</v>
      </c>
      <c r="B464" s="25" t="s">
        <v>5984</v>
      </c>
      <c r="C464" t="s">
        <v>20</v>
      </c>
      <c r="D464" t="s">
        <v>21</v>
      </c>
      <c r="E464">
        <v>2222222</v>
      </c>
      <c r="F464" s="8" t="s">
        <v>22</v>
      </c>
      <c r="G464" s="2">
        <v>98</v>
      </c>
      <c r="H464" t="s">
        <v>3905</v>
      </c>
      <c r="I464" t="s">
        <v>4532</v>
      </c>
      <c r="J464" s="9" t="s">
        <v>4852</v>
      </c>
      <c r="K464" t="s">
        <v>4901</v>
      </c>
      <c r="L464" s="2">
        <v>1</v>
      </c>
      <c r="M464" s="24" t="s">
        <v>5971</v>
      </c>
      <c r="N464" s="2" t="s">
        <v>23</v>
      </c>
      <c r="O464" s="18" t="s">
        <v>407</v>
      </c>
      <c r="P464" s="18" t="s">
        <v>0</v>
      </c>
      <c r="Q464" s="6" t="s">
        <v>4475</v>
      </c>
      <c r="T464" s="23">
        <v>40097</v>
      </c>
      <c r="U464" s="23">
        <v>40189</v>
      </c>
      <c r="X464" s="20">
        <v>170</v>
      </c>
      <c r="Z464" s="6" t="s">
        <v>5978</v>
      </c>
      <c r="AA464" s="16">
        <f t="shared" si="69"/>
        <v>3.5999999999999997E-4</v>
      </c>
      <c r="AB464">
        <v>6.1199999999999997E-2</v>
      </c>
      <c r="AC464">
        <v>6.3647999999999996E-2</v>
      </c>
    </row>
    <row r="465" spans="1:29" x14ac:dyDescent="0.3">
      <c r="A465">
        <v>11811</v>
      </c>
      <c r="B465" s="25" t="s">
        <v>5984</v>
      </c>
      <c r="C465" t="s">
        <v>20</v>
      </c>
      <c r="D465" t="s">
        <v>21</v>
      </c>
      <c r="E465">
        <v>2222222</v>
      </c>
      <c r="F465" s="8" t="s">
        <v>22</v>
      </c>
      <c r="G465" s="2">
        <v>98</v>
      </c>
      <c r="H465" t="s">
        <v>3905</v>
      </c>
      <c r="I465" t="s">
        <v>4532</v>
      </c>
      <c r="J465" s="9" t="s">
        <v>5073</v>
      </c>
      <c r="K465" t="s">
        <v>4887</v>
      </c>
      <c r="L465" s="2">
        <v>1</v>
      </c>
      <c r="M465" s="24" t="s">
        <v>5971</v>
      </c>
      <c r="N465" s="2" t="s">
        <v>23</v>
      </c>
      <c r="O465" s="18" t="s">
        <v>408</v>
      </c>
      <c r="P465" s="18" t="s">
        <v>3781</v>
      </c>
      <c r="Q465" s="6" t="s">
        <v>4475</v>
      </c>
      <c r="T465" s="23">
        <v>40265</v>
      </c>
      <c r="U465" s="23">
        <v>40357</v>
      </c>
      <c r="X465" s="20">
        <v>268.64</v>
      </c>
      <c r="Z465" s="6" t="s">
        <v>5978</v>
      </c>
      <c r="AA465" s="16">
        <f t="shared" si="69"/>
        <v>3.5999999999999997E-4</v>
      </c>
      <c r="AB465">
        <v>9.6710399999999988E-2</v>
      </c>
      <c r="AC465">
        <v>0.10057881599999999</v>
      </c>
    </row>
    <row r="466" spans="1:29" x14ac:dyDescent="0.3">
      <c r="A466">
        <v>125822</v>
      </c>
      <c r="B466" s="25" t="s">
        <v>5984</v>
      </c>
      <c r="C466" t="s">
        <v>20</v>
      </c>
      <c r="D466" t="s">
        <v>21</v>
      </c>
      <c r="E466">
        <v>2222222</v>
      </c>
      <c r="F466" s="8" t="s">
        <v>22</v>
      </c>
      <c r="G466" s="2">
        <v>98</v>
      </c>
      <c r="H466" t="s">
        <v>3905</v>
      </c>
      <c r="I466" t="s">
        <v>3896</v>
      </c>
      <c r="J466" s="9" t="s">
        <v>4852</v>
      </c>
      <c r="K466" t="s">
        <v>4961</v>
      </c>
      <c r="L466" s="2">
        <v>1</v>
      </c>
      <c r="M466" s="24" t="s">
        <v>5971</v>
      </c>
      <c r="N466" s="2" t="s">
        <v>23</v>
      </c>
      <c r="O466" s="18" t="s">
        <v>410</v>
      </c>
      <c r="P466" s="18" t="s">
        <v>0</v>
      </c>
      <c r="Q466" s="6" t="s">
        <v>4475</v>
      </c>
      <c r="T466" s="23">
        <v>44593</v>
      </c>
      <c r="U466" s="23">
        <v>46426</v>
      </c>
      <c r="X466" s="20">
        <v>6000</v>
      </c>
      <c r="Z466" s="6" t="s">
        <v>5978</v>
      </c>
      <c r="AA466" s="15">
        <f>+(0.42/1000)</f>
        <v>4.1999999999999996E-4</v>
      </c>
      <c r="AB466">
        <v>0.41085659999999996</v>
      </c>
      <c r="AC466">
        <v>0.42729086399999999</v>
      </c>
    </row>
    <row r="467" spans="1:29" x14ac:dyDescent="0.3">
      <c r="A467">
        <v>130654</v>
      </c>
      <c r="B467" s="25" t="s">
        <v>5984</v>
      </c>
      <c r="C467" t="s">
        <v>20</v>
      </c>
      <c r="D467" t="s">
        <v>21</v>
      </c>
      <c r="E467">
        <v>2222222</v>
      </c>
      <c r="F467" s="8" t="s">
        <v>22</v>
      </c>
      <c r="G467" s="2">
        <v>98</v>
      </c>
      <c r="H467" t="s">
        <v>3905</v>
      </c>
      <c r="I467" t="s">
        <v>4508</v>
      </c>
      <c r="J467" s="9" t="s">
        <v>4852</v>
      </c>
      <c r="K467" t="s">
        <v>5180</v>
      </c>
      <c r="L467" s="2">
        <v>1</v>
      </c>
      <c r="M467" s="24" t="s">
        <v>5971</v>
      </c>
      <c r="N467" s="2" t="s">
        <v>23</v>
      </c>
      <c r="O467" s="18" t="s">
        <v>411</v>
      </c>
      <c r="P467" s="18" t="s">
        <v>0</v>
      </c>
      <c r="Q467" s="6" t="s">
        <v>4475</v>
      </c>
      <c r="T467" s="23">
        <v>44860</v>
      </c>
      <c r="U467" s="23">
        <v>47416</v>
      </c>
      <c r="X467" s="20">
        <v>26000</v>
      </c>
      <c r="Z467" s="6" t="s">
        <v>5978</v>
      </c>
      <c r="AA467" s="13">
        <f t="shared" ref="AA467:AA484" si="70">+(0.56/1000)</f>
        <v>5.6000000000000006E-4</v>
      </c>
      <c r="AB467">
        <v>8.5161328000000012</v>
      </c>
      <c r="AC467">
        <v>8.8567781120000006</v>
      </c>
    </row>
    <row r="468" spans="1:29" x14ac:dyDescent="0.3">
      <c r="A468">
        <v>132397</v>
      </c>
      <c r="B468" s="25" t="s">
        <v>5984</v>
      </c>
      <c r="C468" t="s">
        <v>20</v>
      </c>
      <c r="D468" t="s">
        <v>21</v>
      </c>
      <c r="E468">
        <v>2222222</v>
      </c>
      <c r="F468" s="8" t="s">
        <v>22</v>
      </c>
      <c r="G468" s="2">
        <v>98</v>
      </c>
      <c r="H468" t="s">
        <v>3905</v>
      </c>
      <c r="I468" t="s">
        <v>4184</v>
      </c>
      <c r="J468" s="9" t="s">
        <v>5045</v>
      </c>
      <c r="K468" t="s">
        <v>5181</v>
      </c>
      <c r="L468" s="2">
        <v>1</v>
      </c>
      <c r="M468" s="24" t="s">
        <v>5971</v>
      </c>
      <c r="N468" s="2" t="s">
        <v>23</v>
      </c>
      <c r="O468" s="18" t="s">
        <v>412</v>
      </c>
      <c r="P468" s="18" t="s">
        <v>3781</v>
      </c>
      <c r="Q468" s="6" t="s">
        <v>4475</v>
      </c>
      <c r="T468" s="23">
        <v>44937</v>
      </c>
      <c r="U468" s="23">
        <v>46397</v>
      </c>
      <c r="X468" s="20">
        <v>5000</v>
      </c>
      <c r="Z468" s="6" t="s">
        <v>5978</v>
      </c>
      <c r="AA468" s="13">
        <f t="shared" si="70"/>
        <v>5.6000000000000006E-4</v>
      </c>
      <c r="AB468">
        <v>0.47388320000000006</v>
      </c>
      <c r="AC468">
        <v>0.49283852800000005</v>
      </c>
    </row>
    <row r="469" spans="1:29" x14ac:dyDescent="0.3">
      <c r="A469">
        <v>133081</v>
      </c>
      <c r="B469" s="25" t="s">
        <v>5984</v>
      </c>
      <c r="C469" t="s">
        <v>20</v>
      </c>
      <c r="D469" t="s">
        <v>21</v>
      </c>
      <c r="E469">
        <v>2222222</v>
      </c>
      <c r="F469" s="8" t="s">
        <v>22</v>
      </c>
      <c r="G469" s="2">
        <v>98</v>
      </c>
      <c r="H469" t="s">
        <v>3905</v>
      </c>
      <c r="I469" t="s">
        <v>4663</v>
      </c>
      <c r="J469" s="9" t="s">
        <v>5063</v>
      </c>
      <c r="K469" t="s">
        <v>5035</v>
      </c>
      <c r="L469" s="2">
        <v>1</v>
      </c>
      <c r="M469" s="24" t="s">
        <v>5971</v>
      </c>
      <c r="N469" s="2" t="s">
        <v>23</v>
      </c>
      <c r="O469" s="18" t="s">
        <v>413</v>
      </c>
      <c r="P469" s="18" t="s">
        <v>0</v>
      </c>
      <c r="Q469" s="6" t="s">
        <v>4475</v>
      </c>
      <c r="T469" s="23">
        <v>44981</v>
      </c>
      <c r="U469" s="23">
        <v>48817</v>
      </c>
      <c r="X469" s="20">
        <v>100000</v>
      </c>
      <c r="Z469" s="6" t="s">
        <v>5978</v>
      </c>
      <c r="AA469" s="13">
        <f t="shared" si="70"/>
        <v>5.6000000000000006E-4</v>
      </c>
      <c r="AB469">
        <v>45.75343920000001</v>
      </c>
      <c r="AC469">
        <v>47.583576768000015</v>
      </c>
    </row>
    <row r="470" spans="1:29" x14ac:dyDescent="0.3">
      <c r="A470">
        <v>133332</v>
      </c>
      <c r="B470" s="25" t="s">
        <v>5984</v>
      </c>
      <c r="C470" t="s">
        <v>20</v>
      </c>
      <c r="D470" t="s">
        <v>21</v>
      </c>
      <c r="E470">
        <v>2222222</v>
      </c>
      <c r="F470" s="8" t="s">
        <v>22</v>
      </c>
      <c r="G470" s="2">
        <v>98</v>
      </c>
      <c r="H470" t="s">
        <v>3905</v>
      </c>
      <c r="I470" t="s">
        <v>4532</v>
      </c>
      <c r="J470" s="9" t="s">
        <v>4911</v>
      </c>
      <c r="K470" t="s">
        <v>5169</v>
      </c>
      <c r="L470" s="2">
        <v>1</v>
      </c>
      <c r="M470" s="24" t="s">
        <v>5971</v>
      </c>
      <c r="N470" s="2" t="s">
        <v>23</v>
      </c>
      <c r="O470" s="18" t="s">
        <v>414</v>
      </c>
      <c r="P470" s="18" t="s">
        <v>3781</v>
      </c>
      <c r="Q470" s="6" t="s">
        <v>4475</v>
      </c>
      <c r="T470" s="23">
        <v>44990</v>
      </c>
      <c r="U470" s="23">
        <v>46465</v>
      </c>
      <c r="X470" s="20">
        <v>5000</v>
      </c>
      <c r="Z470" s="6" t="s">
        <v>5978</v>
      </c>
      <c r="AA470" s="13">
        <f t="shared" si="70"/>
        <v>5.6000000000000006E-4</v>
      </c>
      <c r="AB470">
        <v>2.8000000000000003</v>
      </c>
      <c r="AC470">
        <v>2.9120000000000004</v>
      </c>
    </row>
    <row r="471" spans="1:29" x14ac:dyDescent="0.3">
      <c r="A471">
        <v>133334</v>
      </c>
      <c r="B471" s="25" t="s">
        <v>5984</v>
      </c>
      <c r="C471" t="s">
        <v>20</v>
      </c>
      <c r="D471" t="s">
        <v>21</v>
      </c>
      <c r="E471">
        <v>2222222</v>
      </c>
      <c r="F471" s="8" t="s">
        <v>22</v>
      </c>
      <c r="G471" s="2">
        <v>98</v>
      </c>
      <c r="H471" t="s">
        <v>3905</v>
      </c>
      <c r="I471" t="s">
        <v>4532</v>
      </c>
      <c r="J471" s="9" t="s">
        <v>4911</v>
      </c>
      <c r="K471" t="s">
        <v>5169</v>
      </c>
      <c r="L471" s="2">
        <v>1</v>
      </c>
      <c r="M471" s="24" t="s">
        <v>5971</v>
      </c>
      <c r="N471" s="2" t="s">
        <v>23</v>
      </c>
      <c r="O471" s="18" t="s">
        <v>414</v>
      </c>
      <c r="P471" s="18" t="s">
        <v>3781</v>
      </c>
      <c r="Q471" s="6" t="s">
        <v>4475</v>
      </c>
      <c r="T471" s="23">
        <v>44990</v>
      </c>
      <c r="U471" s="23">
        <v>46085</v>
      </c>
      <c r="X471" s="20">
        <v>950</v>
      </c>
      <c r="Z471" s="6" t="s">
        <v>5978</v>
      </c>
      <c r="AA471" s="13">
        <f t="shared" si="70"/>
        <v>5.6000000000000006E-4</v>
      </c>
      <c r="AB471">
        <v>0.53200000000000003</v>
      </c>
      <c r="AC471">
        <v>0.55327999999999999</v>
      </c>
    </row>
    <row r="472" spans="1:29" x14ac:dyDescent="0.3">
      <c r="A472">
        <v>133738</v>
      </c>
      <c r="B472" s="25" t="s">
        <v>5984</v>
      </c>
      <c r="C472" t="s">
        <v>20</v>
      </c>
      <c r="D472" t="s">
        <v>21</v>
      </c>
      <c r="E472">
        <v>2222222</v>
      </c>
      <c r="F472" s="8" t="s">
        <v>22</v>
      </c>
      <c r="G472" s="2">
        <v>98</v>
      </c>
      <c r="H472" t="s">
        <v>3905</v>
      </c>
      <c r="I472" t="s">
        <v>3905</v>
      </c>
      <c r="J472" s="9" t="s">
        <v>5007</v>
      </c>
      <c r="K472" t="s">
        <v>5182</v>
      </c>
      <c r="L472" s="2">
        <v>1</v>
      </c>
      <c r="M472" s="24" t="s">
        <v>5971</v>
      </c>
      <c r="N472" s="2" t="s">
        <v>23</v>
      </c>
      <c r="O472" s="18" t="s">
        <v>415</v>
      </c>
      <c r="P472" s="18" t="s">
        <v>0</v>
      </c>
      <c r="Q472" s="6" t="s">
        <v>4475</v>
      </c>
      <c r="T472" s="23">
        <v>45012</v>
      </c>
      <c r="U472" s="23">
        <v>46472</v>
      </c>
      <c r="X472" s="20">
        <v>5000</v>
      </c>
      <c r="Z472" s="6" t="s">
        <v>5978</v>
      </c>
      <c r="AA472" s="13">
        <f t="shared" si="70"/>
        <v>5.6000000000000006E-4</v>
      </c>
      <c r="AB472">
        <v>0.62834240000000008</v>
      </c>
      <c r="AC472">
        <v>0.65347609600000012</v>
      </c>
    </row>
    <row r="473" spans="1:29" x14ac:dyDescent="0.3">
      <c r="A473">
        <v>133744</v>
      </c>
      <c r="B473" s="25" t="s">
        <v>5984</v>
      </c>
      <c r="C473" t="s">
        <v>20</v>
      </c>
      <c r="D473" t="s">
        <v>21</v>
      </c>
      <c r="E473">
        <v>2222222</v>
      </c>
      <c r="F473" s="8" t="s">
        <v>22</v>
      </c>
      <c r="G473" s="2">
        <v>98</v>
      </c>
      <c r="H473" t="s">
        <v>3905</v>
      </c>
      <c r="I473" t="s">
        <v>4246</v>
      </c>
      <c r="J473" s="9" t="s">
        <v>5068</v>
      </c>
      <c r="K473" t="s">
        <v>5168</v>
      </c>
      <c r="L473" s="2">
        <v>1</v>
      </c>
      <c r="M473" s="24" t="s">
        <v>5971</v>
      </c>
      <c r="N473" s="2" t="s">
        <v>23</v>
      </c>
      <c r="O473" s="18" t="s">
        <v>416</v>
      </c>
      <c r="P473" s="18" t="s">
        <v>0</v>
      </c>
      <c r="Q473" s="6" t="s">
        <v>4475</v>
      </c>
      <c r="T473" s="23">
        <v>45013</v>
      </c>
      <c r="U473" s="23">
        <v>46473</v>
      </c>
      <c r="X473" s="20">
        <v>5000</v>
      </c>
      <c r="Z473" s="6" t="s">
        <v>5978</v>
      </c>
      <c r="AA473" s="13">
        <f t="shared" si="70"/>
        <v>5.6000000000000006E-4</v>
      </c>
      <c r="AB473">
        <v>0.70134960000000013</v>
      </c>
      <c r="AC473">
        <v>0.72940358400000016</v>
      </c>
    </row>
    <row r="474" spans="1:29" x14ac:dyDescent="0.3">
      <c r="A474">
        <v>133987</v>
      </c>
      <c r="B474" s="25" t="s">
        <v>5984</v>
      </c>
      <c r="C474" t="s">
        <v>20</v>
      </c>
      <c r="D474" t="s">
        <v>21</v>
      </c>
      <c r="E474">
        <v>2222222</v>
      </c>
      <c r="F474" s="8" t="s">
        <v>22</v>
      </c>
      <c r="G474" s="2">
        <v>98</v>
      </c>
      <c r="H474" t="s">
        <v>3905</v>
      </c>
      <c r="I474" t="s">
        <v>4552</v>
      </c>
      <c r="J474" s="9" t="s">
        <v>4955</v>
      </c>
      <c r="K474" t="s">
        <v>5033</v>
      </c>
      <c r="L474" s="2">
        <v>1</v>
      </c>
      <c r="M474" s="24" t="s">
        <v>5971</v>
      </c>
      <c r="N474" s="2" t="s">
        <v>23</v>
      </c>
      <c r="O474" s="18" t="s">
        <v>417</v>
      </c>
      <c r="P474" s="18" t="s">
        <v>3781</v>
      </c>
      <c r="Q474" s="6" t="s">
        <v>4475</v>
      </c>
      <c r="T474" s="23">
        <v>45029</v>
      </c>
      <c r="U474" s="23">
        <v>46588</v>
      </c>
      <c r="X474" s="20">
        <v>5000</v>
      </c>
      <c r="Z474" s="6" t="s">
        <v>5978</v>
      </c>
      <c r="AA474" s="13">
        <f t="shared" si="70"/>
        <v>5.6000000000000006E-4</v>
      </c>
      <c r="AB474">
        <v>0.9822512000000001</v>
      </c>
      <c r="AC474">
        <v>1.0215412480000001</v>
      </c>
    </row>
    <row r="475" spans="1:29" x14ac:dyDescent="0.3">
      <c r="A475">
        <v>134284</v>
      </c>
      <c r="B475" s="25" t="s">
        <v>5984</v>
      </c>
      <c r="C475" t="s">
        <v>20</v>
      </c>
      <c r="D475" t="s">
        <v>21</v>
      </c>
      <c r="E475">
        <v>2222222</v>
      </c>
      <c r="F475" s="8" t="s">
        <v>22</v>
      </c>
      <c r="G475" s="2">
        <v>98</v>
      </c>
      <c r="H475" t="s">
        <v>3905</v>
      </c>
      <c r="I475" t="s">
        <v>4785</v>
      </c>
      <c r="J475" s="9" t="s">
        <v>5063</v>
      </c>
      <c r="K475" t="s">
        <v>4825</v>
      </c>
      <c r="L475" s="2">
        <v>1</v>
      </c>
      <c r="M475" s="24" t="s">
        <v>5971</v>
      </c>
      <c r="N475" s="2" t="s">
        <v>23</v>
      </c>
      <c r="O475" s="18" t="s">
        <v>418</v>
      </c>
      <c r="P475" s="18" t="s">
        <v>0</v>
      </c>
      <c r="Q475" s="6" t="s">
        <v>4475</v>
      </c>
      <c r="T475" s="23">
        <v>45046</v>
      </c>
      <c r="U475" s="23">
        <v>47604</v>
      </c>
      <c r="X475" s="20">
        <v>20000</v>
      </c>
      <c r="Z475" s="6" t="s">
        <v>5978</v>
      </c>
      <c r="AA475" s="13">
        <f t="shared" si="70"/>
        <v>5.6000000000000006E-4</v>
      </c>
      <c r="AB475">
        <v>7.0575680000000007</v>
      </c>
      <c r="AC475">
        <v>7.3398707200000013</v>
      </c>
    </row>
    <row r="476" spans="1:29" x14ac:dyDescent="0.3">
      <c r="A476">
        <v>134623</v>
      </c>
      <c r="B476" s="25" t="s">
        <v>5984</v>
      </c>
      <c r="C476" t="s">
        <v>20</v>
      </c>
      <c r="D476" t="s">
        <v>21</v>
      </c>
      <c r="E476">
        <v>2222222</v>
      </c>
      <c r="F476" s="8" t="s">
        <v>22</v>
      </c>
      <c r="G476" s="2">
        <v>98</v>
      </c>
      <c r="H476" t="s">
        <v>3905</v>
      </c>
      <c r="I476" t="s">
        <v>4268</v>
      </c>
      <c r="J476" s="9" t="s">
        <v>5038</v>
      </c>
      <c r="K476" t="s">
        <v>5096</v>
      </c>
      <c r="L476" s="2">
        <v>1</v>
      </c>
      <c r="M476" s="24" t="s">
        <v>5971</v>
      </c>
      <c r="N476" s="2" t="s">
        <v>23</v>
      </c>
      <c r="O476" s="18" t="s">
        <v>419</v>
      </c>
      <c r="P476" s="18" t="s">
        <v>3781</v>
      </c>
      <c r="Q476" s="6" t="s">
        <v>4475</v>
      </c>
      <c r="T476" s="23">
        <v>45072</v>
      </c>
      <c r="U476" s="23">
        <v>47263</v>
      </c>
      <c r="X476" s="20">
        <v>88000</v>
      </c>
      <c r="Z476" s="6" t="s">
        <v>5978</v>
      </c>
      <c r="AA476" s="13">
        <f t="shared" si="70"/>
        <v>5.6000000000000006E-4</v>
      </c>
      <c r="AB476">
        <v>6.5974328</v>
      </c>
      <c r="AC476">
        <v>6.8613301120000001</v>
      </c>
    </row>
    <row r="477" spans="1:29" x14ac:dyDescent="0.3">
      <c r="A477">
        <v>136186</v>
      </c>
      <c r="B477" s="25" t="s">
        <v>5984</v>
      </c>
      <c r="C477" t="s">
        <v>20</v>
      </c>
      <c r="D477" t="s">
        <v>21</v>
      </c>
      <c r="E477">
        <v>2222222</v>
      </c>
      <c r="F477" s="8" t="s">
        <v>22</v>
      </c>
      <c r="G477" s="2">
        <v>98</v>
      </c>
      <c r="H477" t="s">
        <v>3905</v>
      </c>
      <c r="I477" t="s">
        <v>4532</v>
      </c>
      <c r="J477" s="9" t="s">
        <v>4892</v>
      </c>
      <c r="K477" t="s">
        <v>4845</v>
      </c>
      <c r="L477" s="2">
        <v>1</v>
      </c>
      <c r="M477" s="24" t="s">
        <v>5971</v>
      </c>
      <c r="N477" s="2" t="s">
        <v>23</v>
      </c>
      <c r="O477" s="18" t="s">
        <v>420</v>
      </c>
      <c r="P477" s="18" t="s">
        <v>3781</v>
      </c>
      <c r="Q477" s="6" t="s">
        <v>4475</v>
      </c>
      <c r="T477" s="23">
        <v>45159</v>
      </c>
      <c r="U477" s="23">
        <v>46619</v>
      </c>
      <c r="X477" s="20">
        <v>4700</v>
      </c>
      <c r="Z477" s="6" t="s">
        <v>5978</v>
      </c>
      <c r="AA477" s="13">
        <f t="shared" si="70"/>
        <v>5.6000000000000006E-4</v>
      </c>
      <c r="AB477">
        <v>0.9205000000000001</v>
      </c>
      <c r="AC477">
        <v>0.95732000000000017</v>
      </c>
    </row>
    <row r="478" spans="1:29" x14ac:dyDescent="0.3">
      <c r="A478">
        <v>137819</v>
      </c>
      <c r="B478" s="25" t="s">
        <v>5984</v>
      </c>
      <c r="C478" t="s">
        <v>20</v>
      </c>
      <c r="D478" t="s">
        <v>21</v>
      </c>
      <c r="E478">
        <v>2222222</v>
      </c>
      <c r="F478" s="8" t="s">
        <v>22</v>
      </c>
      <c r="G478" s="2">
        <v>98</v>
      </c>
      <c r="H478" t="s">
        <v>3905</v>
      </c>
      <c r="I478" t="s">
        <v>4785</v>
      </c>
      <c r="J478" s="9" t="s">
        <v>5063</v>
      </c>
      <c r="K478" t="s">
        <v>4825</v>
      </c>
      <c r="L478" s="2">
        <v>1</v>
      </c>
      <c r="M478" s="24" t="s">
        <v>5971</v>
      </c>
      <c r="N478" s="2" t="s">
        <v>23</v>
      </c>
      <c r="O478" s="18" t="s">
        <v>418</v>
      </c>
      <c r="P478" s="18" t="s">
        <v>0</v>
      </c>
      <c r="Q478" s="6" t="s">
        <v>4475</v>
      </c>
      <c r="T478" s="23">
        <v>45248</v>
      </c>
      <c r="U478" s="23">
        <v>50908</v>
      </c>
      <c r="X478" s="20">
        <v>57100</v>
      </c>
      <c r="Z478" s="6" t="s">
        <v>5978</v>
      </c>
      <c r="AA478" s="13">
        <f t="shared" si="70"/>
        <v>5.6000000000000006E-4</v>
      </c>
      <c r="AB478">
        <v>29.707781600000004</v>
      </c>
      <c r="AC478">
        <v>30.896092864000007</v>
      </c>
    </row>
    <row r="479" spans="1:29" x14ac:dyDescent="0.3">
      <c r="A479">
        <v>138010</v>
      </c>
      <c r="B479" s="25" t="s">
        <v>5984</v>
      </c>
      <c r="C479" t="s">
        <v>20</v>
      </c>
      <c r="D479" t="s">
        <v>21</v>
      </c>
      <c r="E479">
        <v>2222222</v>
      </c>
      <c r="F479" s="8" t="s">
        <v>22</v>
      </c>
      <c r="G479" s="2">
        <v>98</v>
      </c>
      <c r="H479" t="s">
        <v>3905</v>
      </c>
      <c r="I479" t="s">
        <v>4530</v>
      </c>
      <c r="J479" s="9" t="s">
        <v>4901</v>
      </c>
      <c r="K479" t="s">
        <v>5183</v>
      </c>
      <c r="L479" s="2">
        <v>1</v>
      </c>
      <c r="M479" s="24" t="s">
        <v>5971</v>
      </c>
      <c r="N479" s="2" t="s">
        <v>23</v>
      </c>
      <c r="O479" s="18" t="s">
        <v>421</v>
      </c>
      <c r="P479" s="18" t="s">
        <v>0</v>
      </c>
      <c r="Q479" s="6" t="s">
        <v>4475</v>
      </c>
      <c r="T479" s="23">
        <v>45252</v>
      </c>
      <c r="U479" s="23">
        <v>46348</v>
      </c>
      <c r="X479" s="20">
        <v>3130</v>
      </c>
      <c r="Z479" s="6" t="s">
        <v>5978</v>
      </c>
      <c r="AA479" s="13">
        <f t="shared" si="70"/>
        <v>5.6000000000000006E-4</v>
      </c>
      <c r="AB479">
        <v>0.24524080000000004</v>
      </c>
      <c r="AC479">
        <v>0.25505043200000005</v>
      </c>
    </row>
    <row r="480" spans="1:29" x14ac:dyDescent="0.3">
      <c r="A480">
        <v>138297</v>
      </c>
      <c r="B480" s="25" t="s">
        <v>5984</v>
      </c>
      <c r="C480" t="s">
        <v>20</v>
      </c>
      <c r="D480" t="s">
        <v>21</v>
      </c>
      <c r="E480">
        <v>2222222</v>
      </c>
      <c r="F480" s="8" t="s">
        <v>22</v>
      </c>
      <c r="G480" s="2">
        <v>98</v>
      </c>
      <c r="H480" t="s">
        <v>3905</v>
      </c>
      <c r="I480" t="s">
        <v>4663</v>
      </c>
      <c r="J480" s="9" t="s">
        <v>4904</v>
      </c>
      <c r="K480" t="s">
        <v>5165</v>
      </c>
      <c r="L480" s="2">
        <v>1</v>
      </c>
      <c r="M480" s="24" t="s">
        <v>5971</v>
      </c>
      <c r="N480" s="2" t="s">
        <v>23</v>
      </c>
      <c r="O480" s="18" t="s">
        <v>422</v>
      </c>
      <c r="P480" s="18" t="s">
        <v>3781</v>
      </c>
      <c r="Q480" s="6" t="s">
        <v>4475</v>
      </c>
      <c r="T480" s="23">
        <v>45274</v>
      </c>
      <c r="U480" s="23">
        <v>48012</v>
      </c>
      <c r="X480" s="20">
        <v>19000</v>
      </c>
      <c r="Z480" s="6" t="s">
        <v>5978</v>
      </c>
      <c r="AA480" s="13">
        <f t="shared" si="70"/>
        <v>5.6000000000000006E-4</v>
      </c>
      <c r="AB480">
        <v>8.3189232000000004</v>
      </c>
      <c r="AC480">
        <v>8.6516801280000006</v>
      </c>
    </row>
    <row r="481" spans="1:29" x14ac:dyDescent="0.3">
      <c r="A481">
        <v>138549</v>
      </c>
      <c r="B481" s="25" t="s">
        <v>5984</v>
      </c>
      <c r="C481" t="s">
        <v>20</v>
      </c>
      <c r="D481" t="s">
        <v>21</v>
      </c>
      <c r="E481">
        <v>2222222</v>
      </c>
      <c r="F481" s="8" t="s">
        <v>22</v>
      </c>
      <c r="G481" s="2">
        <v>98</v>
      </c>
      <c r="H481" t="s">
        <v>3905</v>
      </c>
      <c r="I481" t="s">
        <v>4548</v>
      </c>
      <c r="J481" s="9" t="s">
        <v>4988</v>
      </c>
      <c r="K481" t="s">
        <v>5018</v>
      </c>
      <c r="L481" s="2">
        <v>1</v>
      </c>
      <c r="M481" s="24" t="s">
        <v>5971</v>
      </c>
      <c r="N481" s="2" t="s">
        <v>23</v>
      </c>
      <c r="O481" s="18" t="s">
        <v>423</v>
      </c>
      <c r="P481" s="18" t="s">
        <v>0</v>
      </c>
      <c r="Q481" s="6" t="s">
        <v>4475</v>
      </c>
      <c r="T481" s="23">
        <v>45288</v>
      </c>
      <c r="U481" s="23">
        <v>46844</v>
      </c>
      <c r="X481" s="20">
        <v>5000</v>
      </c>
      <c r="Z481" s="6" t="s">
        <v>5978</v>
      </c>
      <c r="AA481" s="13">
        <f t="shared" si="70"/>
        <v>5.6000000000000006E-4</v>
      </c>
      <c r="AB481">
        <v>1.6554384000000002</v>
      </c>
      <c r="AC481">
        <v>1.7216559360000003</v>
      </c>
    </row>
    <row r="482" spans="1:29" x14ac:dyDescent="0.3">
      <c r="A482">
        <v>138694</v>
      </c>
      <c r="B482" s="25" t="s">
        <v>5984</v>
      </c>
      <c r="C482" t="s">
        <v>20</v>
      </c>
      <c r="D482" t="s">
        <v>21</v>
      </c>
      <c r="E482">
        <v>2222222</v>
      </c>
      <c r="F482" s="8" t="s">
        <v>22</v>
      </c>
      <c r="G482" s="2">
        <v>98</v>
      </c>
      <c r="H482" t="s">
        <v>3905</v>
      </c>
      <c r="I482" t="s">
        <v>3905</v>
      </c>
      <c r="J482" s="9" t="s">
        <v>5184</v>
      </c>
      <c r="K482" t="s">
        <v>4863</v>
      </c>
      <c r="L482" s="2">
        <v>1</v>
      </c>
      <c r="M482" s="24" t="s">
        <v>5971</v>
      </c>
      <c r="N482" s="2" t="s">
        <v>23</v>
      </c>
      <c r="O482" s="18" t="s">
        <v>424</v>
      </c>
      <c r="P482" s="18" t="s">
        <v>3781</v>
      </c>
      <c r="Q482" s="6" t="s">
        <v>4475</v>
      </c>
      <c r="T482" s="23">
        <v>45293</v>
      </c>
      <c r="U482" s="23">
        <v>46753</v>
      </c>
      <c r="X482" s="20">
        <v>5000</v>
      </c>
      <c r="Z482" s="6" t="s">
        <v>5978</v>
      </c>
      <c r="AA482" s="13">
        <f t="shared" si="70"/>
        <v>5.6000000000000006E-4</v>
      </c>
      <c r="AB482">
        <v>1.3033048</v>
      </c>
      <c r="AC482">
        <v>1.355436992</v>
      </c>
    </row>
    <row r="483" spans="1:29" x14ac:dyDescent="0.3">
      <c r="A483">
        <v>138938</v>
      </c>
      <c r="B483" s="25" t="s">
        <v>5984</v>
      </c>
      <c r="C483" t="s">
        <v>20</v>
      </c>
      <c r="D483" t="s">
        <v>21</v>
      </c>
      <c r="E483">
        <v>2222222</v>
      </c>
      <c r="F483" s="8" t="s">
        <v>22</v>
      </c>
      <c r="G483" s="2">
        <v>98</v>
      </c>
      <c r="H483" t="s">
        <v>3905</v>
      </c>
      <c r="I483" t="s">
        <v>4533</v>
      </c>
      <c r="J483" s="9" t="s">
        <v>5185</v>
      </c>
      <c r="K483" t="s">
        <v>5174</v>
      </c>
      <c r="L483" s="2">
        <v>1</v>
      </c>
      <c r="M483" s="24" t="s">
        <v>5971</v>
      </c>
      <c r="N483" s="2" t="s">
        <v>23</v>
      </c>
      <c r="O483" s="18" t="s">
        <v>425</v>
      </c>
      <c r="P483" s="18" t="s">
        <v>0</v>
      </c>
      <c r="Q483" s="6" t="s">
        <v>4475</v>
      </c>
      <c r="T483" s="23">
        <v>45307</v>
      </c>
      <c r="U483" s="23">
        <v>46767</v>
      </c>
      <c r="X483" s="20">
        <v>5000</v>
      </c>
      <c r="Z483" s="6" t="s">
        <v>5978</v>
      </c>
      <c r="AA483" s="13">
        <f t="shared" si="70"/>
        <v>5.6000000000000006E-4</v>
      </c>
      <c r="AB483">
        <v>1.3033048</v>
      </c>
      <c r="AC483">
        <v>1.355436992</v>
      </c>
    </row>
    <row r="484" spans="1:29" x14ac:dyDescent="0.3">
      <c r="A484">
        <v>139563</v>
      </c>
      <c r="B484" s="25" t="s">
        <v>5984</v>
      </c>
      <c r="C484" t="s">
        <v>20</v>
      </c>
      <c r="D484" t="s">
        <v>21</v>
      </c>
      <c r="E484">
        <v>2222222</v>
      </c>
      <c r="F484" s="8" t="s">
        <v>22</v>
      </c>
      <c r="G484" s="2">
        <v>98</v>
      </c>
      <c r="H484" t="s">
        <v>3905</v>
      </c>
      <c r="I484" t="s">
        <v>4508</v>
      </c>
      <c r="J484" s="9" t="s">
        <v>4830</v>
      </c>
      <c r="K484" t="s">
        <v>4911</v>
      </c>
      <c r="L484" s="2">
        <v>1</v>
      </c>
      <c r="M484" s="24" t="s">
        <v>5971</v>
      </c>
      <c r="N484" s="2" t="s">
        <v>23</v>
      </c>
      <c r="O484" s="18" t="s">
        <v>426</v>
      </c>
      <c r="P484" s="18" t="s">
        <v>3781</v>
      </c>
      <c r="Q484" s="6" t="s">
        <v>4475</v>
      </c>
      <c r="T484" s="23">
        <v>45338</v>
      </c>
      <c r="U484" s="23">
        <v>46435</v>
      </c>
      <c r="X484" s="20">
        <v>5000</v>
      </c>
      <c r="Z484" s="6" t="s">
        <v>5978</v>
      </c>
      <c r="AA484" s="13">
        <f t="shared" si="70"/>
        <v>5.6000000000000006E-4</v>
      </c>
      <c r="AB484">
        <v>0.64877680000000004</v>
      </c>
      <c r="AC484">
        <v>0.67472787200000006</v>
      </c>
    </row>
    <row r="485" spans="1:29" x14ac:dyDescent="0.3">
      <c r="A485">
        <v>140512</v>
      </c>
      <c r="B485" s="25" t="s">
        <v>5984</v>
      </c>
      <c r="C485" t="s">
        <v>20</v>
      </c>
      <c r="D485" t="s">
        <v>21</v>
      </c>
      <c r="E485">
        <v>2222222</v>
      </c>
      <c r="F485" s="8" t="s">
        <v>22</v>
      </c>
      <c r="G485" s="2">
        <v>98</v>
      </c>
      <c r="H485" t="s">
        <v>3905</v>
      </c>
      <c r="I485" t="s">
        <v>4786</v>
      </c>
      <c r="J485" s="9" t="s">
        <v>5186</v>
      </c>
      <c r="K485" t="s">
        <v>5187</v>
      </c>
      <c r="L485" s="2">
        <v>1</v>
      </c>
      <c r="M485" s="24" t="s">
        <v>5971</v>
      </c>
      <c r="N485" s="2" t="s">
        <v>23</v>
      </c>
      <c r="O485" s="18" t="s">
        <v>427</v>
      </c>
      <c r="P485" s="18" t="s">
        <v>3781</v>
      </c>
      <c r="Q485" s="6" t="s">
        <v>4475</v>
      </c>
      <c r="T485" s="23">
        <v>45418</v>
      </c>
      <c r="U485" s="23">
        <v>46604</v>
      </c>
      <c r="X485" s="20">
        <v>13000</v>
      </c>
      <c r="Z485" s="6" t="s">
        <v>5978</v>
      </c>
      <c r="AA485" s="14">
        <f>+(0.6/1000)</f>
        <v>5.9999999999999995E-4</v>
      </c>
      <c r="AB485">
        <v>3.20268</v>
      </c>
      <c r="AC485">
        <v>3.3307872000000001</v>
      </c>
    </row>
    <row r="486" spans="1:29" x14ac:dyDescent="0.3">
      <c r="A486">
        <v>140764</v>
      </c>
      <c r="B486" s="25" t="s">
        <v>5984</v>
      </c>
      <c r="C486" t="s">
        <v>20</v>
      </c>
      <c r="D486" t="s">
        <v>21</v>
      </c>
      <c r="E486">
        <v>2222222</v>
      </c>
      <c r="F486" s="8" t="s">
        <v>22</v>
      </c>
      <c r="G486" s="2">
        <v>98</v>
      </c>
      <c r="H486" t="s">
        <v>3905</v>
      </c>
      <c r="I486" t="s">
        <v>4235</v>
      </c>
      <c r="J486" s="9" t="s">
        <v>4891</v>
      </c>
      <c r="K486" t="s">
        <v>5081</v>
      </c>
      <c r="L486" s="2">
        <v>1</v>
      </c>
      <c r="M486" s="24" t="s">
        <v>5971</v>
      </c>
      <c r="N486" s="2" t="s">
        <v>23</v>
      </c>
      <c r="O486" s="18" t="s">
        <v>428</v>
      </c>
      <c r="P486" s="18" t="s">
        <v>3781</v>
      </c>
      <c r="Q486" s="6" t="s">
        <v>4475</v>
      </c>
      <c r="T486" s="23">
        <v>45412</v>
      </c>
      <c r="U486" s="23">
        <v>46873</v>
      </c>
      <c r="X486" s="20">
        <v>14400</v>
      </c>
      <c r="Z486" s="6" t="s">
        <v>5978</v>
      </c>
      <c r="AA486" s="13">
        <f>+(0.56/1000)</f>
        <v>5.6000000000000006E-4</v>
      </c>
      <c r="AB486">
        <v>4.1310360000000008</v>
      </c>
      <c r="AC486">
        <v>4.2962774400000008</v>
      </c>
    </row>
    <row r="487" spans="1:29" x14ac:dyDescent="0.3">
      <c r="A487">
        <v>141347</v>
      </c>
      <c r="B487" s="25" t="s">
        <v>5984</v>
      </c>
      <c r="C487" t="s">
        <v>20</v>
      </c>
      <c r="D487" t="s">
        <v>21</v>
      </c>
      <c r="E487">
        <v>2222222</v>
      </c>
      <c r="F487" s="8" t="s">
        <v>22</v>
      </c>
      <c r="G487" s="2">
        <v>98</v>
      </c>
      <c r="H487" t="s">
        <v>3905</v>
      </c>
      <c r="I487" t="s">
        <v>4729</v>
      </c>
      <c r="J487" s="9" t="s">
        <v>4852</v>
      </c>
      <c r="K487" t="s">
        <v>5188</v>
      </c>
      <c r="L487" s="2">
        <v>1</v>
      </c>
      <c r="M487" s="24" t="s">
        <v>5971</v>
      </c>
      <c r="N487" s="2" t="s">
        <v>23</v>
      </c>
      <c r="O487" s="18" t="s">
        <v>429</v>
      </c>
      <c r="P487" s="18" t="s">
        <v>0</v>
      </c>
      <c r="Q487" s="6" t="s">
        <v>4475</v>
      </c>
      <c r="T487" s="23">
        <v>45447</v>
      </c>
      <c r="U487" s="23">
        <v>47273</v>
      </c>
      <c r="X487" s="20">
        <v>2800</v>
      </c>
      <c r="Z487" s="6" t="s">
        <v>5978</v>
      </c>
      <c r="AA487" s="14">
        <f t="shared" ref="AA487:AA550" si="71">+(0.6/1000)</f>
        <v>5.9999999999999995E-4</v>
      </c>
      <c r="AB487">
        <v>1.1549399999999999</v>
      </c>
      <c r="AC487">
        <v>1.2011375999999998</v>
      </c>
    </row>
    <row r="488" spans="1:29" x14ac:dyDescent="0.3">
      <c r="A488">
        <v>141502</v>
      </c>
      <c r="B488" s="25" t="s">
        <v>5984</v>
      </c>
      <c r="C488" t="s">
        <v>20</v>
      </c>
      <c r="D488" t="s">
        <v>21</v>
      </c>
      <c r="E488">
        <v>2222222</v>
      </c>
      <c r="F488" s="8" t="s">
        <v>22</v>
      </c>
      <c r="G488" s="2">
        <v>98</v>
      </c>
      <c r="H488" t="s">
        <v>3905</v>
      </c>
      <c r="I488" t="s">
        <v>4532</v>
      </c>
      <c r="J488" s="9" t="s">
        <v>5051</v>
      </c>
      <c r="K488" t="s">
        <v>4880</v>
      </c>
      <c r="L488" s="2">
        <v>1</v>
      </c>
      <c r="M488" s="24" t="s">
        <v>5971</v>
      </c>
      <c r="N488" s="2" t="s">
        <v>23</v>
      </c>
      <c r="O488" s="18" t="s">
        <v>430</v>
      </c>
      <c r="P488" s="18" t="s">
        <v>3781</v>
      </c>
      <c r="Q488" s="6" t="s">
        <v>4475</v>
      </c>
      <c r="T488" s="23">
        <v>45455</v>
      </c>
      <c r="U488" s="23">
        <v>46916</v>
      </c>
      <c r="X488" s="20">
        <v>5000</v>
      </c>
      <c r="Z488" s="6" t="s">
        <v>5978</v>
      </c>
      <c r="AA488" s="14">
        <f t="shared" si="71"/>
        <v>5.9999999999999995E-4</v>
      </c>
      <c r="AB488">
        <v>1.721706</v>
      </c>
      <c r="AC488">
        <v>1.79057424</v>
      </c>
    </row>
    <row r="489" spans="1:29" x14ac:dyDescent="0.3">
      <c r="A489">
        <v>141678</v>
      </c>
      <c r="B489" s="25" t="s">
        <v>5984</v>
      </c>
      <c r="C489" t="s">
        <v>20</v>
      </c>
      <c r="D489" t="s">
        <v>21</v>
      </c>
      <c r="E489">
        <v>2222222</v>
      </c>
      <c r="F489" s="8" t="s">
        <v>22</v>
      </c>
      <c r="G489" s="2">
        <v>98</v>
      </c>
      <c r="H489" t="s">
        <v>3905</v>
      </c>
      <c r="I489" t="s">
        <v>4787</v>
      </c>
      <c r="J489" s="9" t="s">
        <v>4945</v>
      </c>
      <c r="K489" t="s">
        <v>5189</v>
      </c>
      <c r="L489" s="2">
        <v>1</v>
      </c>
      <c r="M489" s="24" t="s">
        <v>5971</v>
      </c>
      <c r="N489" s="2" t="s">
        <v>23</v>
      </c>
      <c r="O489" s="18" t="s">
        <v>431</v>
      </c>
      <c r="P489" s="18" t="s">
        <v>0</v>
      </c>
      <c r="Q489" s="6" t="s">
        <v>4475</v>
      </c>
      <c r="T489" s="23">
        <v>45470</v>
      </c>
      <c r="U489" s="23">
        <v>46931</v>
      </c>
      <c r="X489" s="20">
        <v>6500</v>
      </c>
      <c r="Z489" s="6" t="s">
        <v>5978</v>
      </c>
      <c r="AA489" s="14">
        <f t="shared" si="71"/>
        <v>5.9999999999999995E-4</v>
      </c>
      <c r="AB489">
        <v>2.9874419999999997</v>
      </c>
      <c r="AC489">
        <v>3.10693968</v>
      </c>
    </row>
    <row r="490" spans="1:29" x14ac:dyDescent="0.3">
      <c r="A490">
        <v>141679</v>
      </c>
      <c r="B490" s="25" t="s">
        <v>5984</v>
      </c>
      <c r="C490" t="s">
        <v>20</v>
      </c>
      <c r="D490" t="s">
        <v>21</v>
      </c>
      <c r="E490">
        <v>2222222</v>
      </c>
      <c r="F490" s="8" t="s">
        <v>22</v>
      </c>
      <c r="G490" s="2">
        <v>98</v>
      </c>
      <c r="H490" t="s">
        <v>3905</v>
      </c>
      <c r="I490" t="s">
        <v>4164</v>
      </c>
      <c r="J490" s="9" t="s">
        <v>4901</v>
      </c>
      <c r="K490" t="s">
        <v>5190</v>
      </c>
      <c r="L490" s="2">
        <v>1</v>
      </c>
      <c r="M490" s="24" t="s">
        <v>5971</v>
      </c>
      <c r="N490" s="2" t="s">
        <v>23</v>
      </c>
      <c r="O490" s="18" t="s">
        <v>432</v>
      </c>
      <c r="P490" s="18" t="s">
        <v>0</v>
      </c>
      <c r="Q490" s="6" t="s">
        <v>4475</v>
      </c>
      <c r="T490" s="23">
        <v>45470</v>
      </c>
      <c r="U490" s="23">
        <v>47023</v>
      </c>
      <c r="X490" s="20">
        <v>4165</v>
      </c>
      <c r="Z490" s="6" t="s">
        <v>5978</v>
      </c>
      <c r="AA490" s="14">
        <f t="shared" si="71"/>
        <v>5.9999999999999995E-4</v>
      </c>
      <c r="AB490">
        <v>1.6340819999999998</v>
      </c>
      <c r="AC490">
        <v>1.6994452799999999</v>
      </c>
    </row>
    <row r="491" spans="1:29" x14ac:dyDescent="0.3">
      <c r="A491">
        <v>141861</v>
      </c>
      <c r="B491" s="25" t="s">
        <v>5984</v>
      </c>
      <c r="C491" t="s">
        <v>20</v>
      </c>
      <c r="D491" t="s">
        <v>21</v>
      </c>
      <c r="E491">
        <v>2222222</v>
      </c>
      <c r="F491" s="8" t="s">
        <v>22</v>
      </c>
      <c r="G491" s="2">
        <v>98</v>
      </c>
      <c r="H491" t="s">
        <v>3905</v>
      </c>
      <c r="I491" t="s">
        <v>4236</v>
      </c>
      <c r="J491" s="9" t="s">
        <v>4852</v>
      </c>
      <c r="K491" t="s">
        <v>4900</v>
      </c>
      <c r="L491" s="2">
        <v>1</v>
      </c>
      <c r="M491" s="24" t="s">
        <v>5971</v>
      </c>
      <c r="N491" s="2" t="s">
        <v>23</v>
      </c>
      <c r="O491" s="18" t="s">
        <v>433</v>
      </c>
      <c r="P491" s="18" t="s">
        <v>0</v>
      </c>
      <c r="Q491" s="6" t="s">
        <v>4475</v>
      </c>
      <c r="T491" s="23">
        <v>45481</v>
      </c>
      <c r="U491" s="23">
        <v>46394</v>
      </c>
      <c r="X491" s="20">
        <v>1545</v>
      </c>
      <c r="Z491" s="6" t="s">
        <v>5978</v>
      </c>
      <c r="AA491" s="14">
        <f t="shared" si="71"/>
        <v>5.9999999999999995E-4</v>
      </c>
      <c r="AB491">
        <v>0.22208999999999995</v>
      </c>
      <c r="AC491">
        <v>0.23097359999999997</v>
      </c>
    </row>
    <row r="492" spans="1:29" x14ac:dyDescent="0.3">
      <c r="A492">
        <v>142187</v>
      </c>
      <c r="B492" s="25" t="s">
        <v>5984</v>
      </c>
      <c r="C492" t="s">
        <v>20</v>
      </c>
      <c r="D492" t="s">
        <v>21</v>
      </c>
      <c r="E492">
        <v>2222222</v>
      </c>
      <c r="F492" s="8" t="s">
        <v>22</v>
      </c>
      <c r="G492" s="2">
        <v>98</v>
      </c>
      <c r="H492" t="s">
        <v>3905</v>
      </c>
      <c r="I492" t="s">
        <v>3905</v>
      </c>
      <c r="J492" s="9" t="s">
        <v>5191</v>
      </c>
      <c r="K492" t="s">
        <v>5189</v>
      </c>
      <c r="L492" s="2">
        <v>1</v>
      </c>
      <c r="M492" s="24" t="s">
        <v>5971</v>
      </c>
      <c r="N492" s="2" t="s">
        <v>23</v>
      </c>
      <c r="O492" s="18" t="s">
        <v>434</v>
      </c>
      <c r="P492" s="18" t="s">
        <v>0</v>
      </c>
      <c r="Q492" s="6" t="s">
        <v>4475</v>
      </c>
      <c r="T492" s="23">
        <v>45502</v>
      </c>
      <c r="U492" s="23">
        <v>46596</v>
      </c>
      <c r="X492" s="20">
        <v>855</v>
      </c>
      <c r="Z492" s="6" t="s">
        <v>5978</v>
      </c>
      <c r="AA492" s="14">
        <f t="shared" si="71"/>
        <v>5.9999999999999995E-4</v>
      </c>
      <c r="AB492">
        <v>0.20425199999999999</v>
      </c>
      <c r="AC492">
        <v>0.21242207999999999</v>
      </c>
    </row>
    <row r="493" spans="1:29" x14ac:dyDescent="0.3">
      <c r="A493">
        <v>142408</v>
      </c>
      <c r="B493" s="25" t="s">
        <v>5984</v>
      </c>
      <c r="C493" t="s">
        <v>20</v>
      </c>
      <c r="D493" t="s">
        <v>21</v>
      </c>
      <c r="E493">
        <v>2222222</v>
      </c>
      <c r="F493" s="8" t="s">
        <v>22</v>
      </c>
      <c r="G493" s="2">
        <v>98</v>
      </c>
      <c r="H493" t="s">
        <v>3905</v>
      </c>
      <c r="I493" t="s">
        <v>4184</v>
      </c>
      <c r="J493" s="9" t="s">
        <v>5045</v>
      </c>
      <c r="K493" t="s">
        <v>5181</v>
      </c>
      <c r="L493" s="2">
        <v>1</v>
      </c>
      <c r="M493" s="24" t="s">
        <v>5971</v>
      </c>
      <c r="N493" s="2" t="s">
        <v>23</v>
      </c>
      <c r="O493" s="18" t="s">
        <v>412</v>
      </c>
      <c r="P493" s="18" t="s">
        <v>3781</v>
      </c>
      <c r="Q493" s="6" t="s">
        <v>4475</v>
      </c>
      <c r="T493" s="23">
        <v>45518</v>
      </c>
      <c r="U493" s="23">
        <v>46612</v>
      </c>
      <c r="X493" s="20">
        <v>3440</v>
      </c>
      <c r="Z493" s="6" t="s">
        <v>5978</v>
      </c>
      <c r="AA493" s="14">
        <f t="shared" si="71"/>
        <v>5.9999999999999995E-4</v>
      </c>
      <c r="AB493">
        <v>0.88286399999999998</v>
      </c>
      <c r="AC493">
        <v>0.91817855999999998</v>
      </c>
    </row>
    <row r="494" spans="1:29" x14ac:dyDescent="0.3">
      <c r="A494">
        <v>142974</v>
      </c>
      <c r="B494" s="25" t="s">
        <v>5984</v>
      </c>
      <c r="C494" t="s">
        <v>20</v>
      </c>
      <c r="D494" t="s">
        <v>21</v>
      </c>
      <c r="E494">
        <v>2222222</v>
      </c>
      <c r="F494" s="8" t="s">
        <v>22</v>
      </c>
      <c r="G494" s="2">
        <v>98</v>
      </c>
      <c r="H494" t="s">
        <v>3905</v>
      </c>
      <c r="I494" t="s">
        <v>3896</v>
      </c>
      <c r="J494" s="9" t="s">
        <v>5192</v>
      </c>
      <c r="K494" t="s">
        <v>4859</v>
      </c>
      <c r="L494" s="2">
        <v>1</v>
      </c>
      <c r="M494" s="24" t="s">
        <v>5971</v>
      </c>
      <c r="N494" s="2" t="s">
        <v>23</v>
      </c>
      <c r="O494" s="18" t="s">
        <v>435</v>
      </c>
      <c r="P494" s="18" t="s">
        <v>3781</v>
      </c>
      <c r="Q494" s="6" t="s">
        <v>4475</v>
      </c>
      <c r="T494" s="23">
        <v>45559</v>
      </c>
      <c r="U494" s="23">
        <v>47020</v>
      </c>
      <c r="X494" s="20">
        <v>5000</v>
      </c>
      <c r="Z494" s="6" t="s">
        <v>5978</v>
      </c>
      <c r="AA494" s="14">
        <f t="shared" si="71"/>
        <v>5.9999999999999995E-4</v>
      </c>
      <c r="AB494">
        <v>2.0177519999999998</v>
      </c>
      <c r="AC494">
        <v>2.09846208</v>
      </c>
    </row>
    <row r="495" spans="1:29" x14ac:dyDescent="0.3">
      <c r="A495">
        <v>143393</v>
      </c>
      <c r="B495" s="25" t="s">
        <v>5984</v>
      </c>
      <c r="C495" t="s">
        <v>20</v>
      </c>
      <c r="D495" t="s">
        <v>21</v>
      </c>
      <c r="E495">
        <v>2222222</v>
      </c>
      <c r="F495" s="8" t="s">
        <v>22</v>
      </c>
      <c r="G495" s="2">
        <v>98</v>
      </c>
      <c r="H495" t="s">
        <v>3905</v>
      </c>
      <c r="I495" t="s">
        <v>3905</v>
      </c>
      <c r="J495" s="9" t="s">
        <v>4836</v>
      </c>
      <c r="K495" t="s">
        <v>4985</v>
      </c>
      <c r="L495" s="2">
        <v>1</v>
      </c>
      <c r="M495" s="24" t="s">
        <v>5971</v>
      </c>
      <c r="N495" s="2" t="s">
        <v>23</v>
      </c>
      <c r="O495" s="18" t="s">
        <v>436</v>
      </c>
      <c r="P495" s="18" t="s">
        <v>3781</v>
      </c>
      <c r="Q495" s="6" t="s">
        <v>4475</v>
      </c>
      <c r="T495" s="23">
        <v>45587</v>
      </c>
      <c r="U495" s="23">
        <v>46316</v>
      </c>
      <c r="X495" s="20">
        <v>5000</v>
      </c>
      <c r="Z495" s="6" t="s">
        <v>5978</v>
      </c>
      <c r="AA495" s="14">
        <f t="shared" si="71"/>
        <v>5.9999999999999995E-4</v>
      </c>
      <c r="AB495">
        <v>0.43823999999999996</v>
      </c>
      <c r="AC495">
        <v>0.4557696</v>
      </c>
    </row>
    <row r="496" spans="1:29" x14ac:dyDescent="0.3">
      <c r="A496">
        <v>143394</v>
      </c>
      <c r="B496" s="25" t="s">
        <v>5984</v>
      </c>
      <c r="C496" t="s">
        <v>20</v>
      </c>
      <c r="D496" t="s">
        <v>21</v>
      </c>
      <c r="E496">
        <v>2222222</v>
      </c>
      <c r="F496" s="8" t="s">
        <v>22</v>
      </c>
      <c r="G496" s="2">
        <v>98</v>
      </c>
      <c r="H496" t="s">
        <v>3905</v>
      </c>
      <c r="I496" t="s">
        <v>3905</v>
      </c>
      <c r="J496" s="9" t="s">
        <v>4836</v>
      </c>
      <c r="K496" t="s">
        <v>4985</v>
      </c>
      <c r="L496" s="2">
        <v>1</v>
      </c>
      <c r="M496" s="24" t="s">
        <v>5971</v>
      </c>
      <c r="N496" s="2" t="s">
        <v>23</v>
      </c>
      <c r="O496" s="18" t="s">
        <v>436</v>
      </c>
      <c r="P496" s="18" t="s">
        <v>3781</v>
      </c>
      <c r="Q496" s="6" t="s">
        <v>4475</v>
      </c>
      <c r="T496" s="23">
        <v>45587</v>
      </c>
      <c r="U496" s="23">
        <v>46316</v>
      </c>
      <c r="X496" s="20">
        <v>5000</v>
      </c>
      <c r="Z496" s="6" t="s">
        <v>5978</v>
      </c>
      <c r="AA496" s="14">
        <f t="shared" si="71"/>
        <v>5.9999999999999995E-4</v>
      </c>
      <c r="AB496">
        <v>0.42458999999999997</v>
      </c>
      <c r="AC496">
        <v>0.44157359999999996</v>
      </c>
    </row>
    <row r="497" spans="1:29" x14ac:dyDescent="0.3">
      <c r="A497">
        <v>143426</v>
      </c>
      <c r="B497" s="25" t="s">
        <v>5984</v>
      </c>
      <c r="C497" t="s">
        <v>20</v>
      </c>
      <c r="D497" t="s">
        <v>21</v>
      </c>
      <c r="E497">
        <v>2222222</v>
      </c>
      <c r="F497" s="8" t="s">
        <v>22</v>
      </c>
      <c r="G497" s="2">
        <v>98</v>
      </c>
      <c r="H497" t="s">
        <v>3905</v>
      </c>
      <c r="I497" t="s">
        <v>4184</v>
      </c>
      <c r="J497" s="9" t="s">
        <v>5020</v>
      </c>
      <c r="K497" t="s">
        <v>5193</v>
      </c>
      <c r="L497" s="2">
        <v>1</v>
      </c>
      <c r="M497" s="24" t="s">
        <v>5971</v>
      </c>
      <c r="N497" s="2" t="s">
        <v>23</v>
      </c>
      <c r="O497" s="18" t="s">
        <v>437</v>
      </c>
      <c r="P497" s="18" t="s">
        <v>0</v>
      </c>
      <c r="Q497" s="6" t="s">
        <v>4475</v>
      </c>
      <c r="T497" s="23">
        <v>45590</v>
      </c>
      <c r="U497" s="23">
        <v>46684</v>
      </c>
      <c r="X497" s="20">
        <v>5000</v>
      </c>
      <c r="Z497" s="6" t="s">
        <v>5978</v>
      </c>
      <c r="AA497" s="14">
        <f t="shared" si="71"/>
        <v>5.9999999999999995E-4</v>
      </c>
      <c r="AB497">
        <v>1.4580899999999999</v>
      </c>
      <c r="AC497">
        <v>1.5164135999999999</v>
      </c>
    </row>
    <row r="498" spans="1:29" x14ac:dyDescent="0.3">
      <c r="A498">
        <v>144009</v>
      </c>
      <c r="B498" s="25" t="s">
        <v>5984</v>
      </c>
      <c r="C498" t="s">
        <v>20</v>
      </c>
      <c r="D498" t="s">
        <v>21</v>
      </c>
      <c r="E498">
        <v>2222222</v>
      </c>
      <c r="F498" s="8" t="s">
        <v>22</v>
      </c>
      <c r="G498" s="2">
        <v>98</v>
      </c>
      <c r="H498" t="s">
        <v>3905</v>
      </c>
      <c r="I498" t="s">
        <v>4506</v>
      </c>
      <c r="J498" s="9" t="s">
        <v>4836</v>
      </c>
      <c r="K498" t="s">
        <v>5194</v>
      </c>
      <c r="L498" s="2">
        <v>1</v>
      </c>
      <c r="M498" s="24" t="s">
        <v>5971</v>
      </c>
      <c r="N498" s="2" t="s">
        <v>23</v>
      </c>
      <c r="O498" s="18" t="s">
        <v>438</v>
      </c>
      <c r="P498" s="18" t="s">
        <v>3781</v>
      </c>
      <c r="Q498" s="6" t="s">
        <v>4475</v>
      </c>
      <c r="T498" s="23">
        <v>45635</v>
      </c>
      <c r="U498" s="23">
        <v>47185</v>
      </c>
      <c r="X498" s="20">
        <v>22450</v>
      </c>
      <c r="Z498" s="6" t="s">
        <v>5978</v>
      </c>
      <c r="AA498" s="14">
        <f t="shared" si="71"/>
        <v>5.9999999999999995E-4</v>
      </c>
      <c r="AB498">
        <v>9.674555999999999</v>
      </c>
      <c r="AC498">
        <v>10.061538239999999</v>
      </c>
    </row>
    <row r="499" spans="1:29" x14ac:dyDescent="0.3">
      <c r="A499">
        <v>144355</v>
      </c>
      <c r="B499" s="25" t="s">
        <v>5984</v>
      </c>
      <c r="C499" t="s">
        <v>20</v>
      </c>
      <c r="D499" t="s">
        <v>21</v>
      </c>
      <c r="E499">
        <v>2222222</v>
      </c>
      <c r="F499" s="8" t="s">
        <v>22</v>
      </c>
      <c r="G499" s="2">
        <v>98</v>
      </c>
      <c r="H499" t="s">
        <v>3905</v>
      </c>
      <c r="I499" t="s">
        <v>4508</v>
      </c>
      <c r="J499" s="9" t="s">
        <v>4956</v>
      </c>
      <c r="K499" t="s">
        <v>5195</v>
      </c>
      <c r="L499" s="2">
        <v>1</v>
      </c>
      <c r="M499" s="24" t="s">
        <v>5971</v>
      </c>
      <c r="N499" s="2" t="s">
        <v>23</v>
      </c>
      <c r="O499" s="18" t="s">
        <v>439</v>
      </c>
      <c r="P499" s="18" t="s">
        <v>3781</v>
      </c>
      <c r="Q499" s="6" t="s">
        <v>4475</v>
      </c>
      <c r="T499" s="23">
        <v>45657</v>
      </c>
      <c r="U499" s="23">
        <v>47482</v>
      </c>
      <c r="X499" s="20">
        <v>4810</v>
      </c>
      <c r="Z499" s="6" t="s">
        <v>5978</v>
      </c>
      <c r="AA499" s="14">
        <f t="shared" si="71"/>
        <v>5.9999999999999995E-4</v>
      </c>
      <c r="AB499">
        <v>2.211678</v>
      </c>
      <c r="AC499">
        <v>2.3001451200000003</v>
      </c>
    </row>
    <row r="500" spans="1:29" x14ac:dyDescent="0.3">
      <c r="A500">
        <v>144907</v>
      </c>
      <c r="B500" s="25" t="s">
        <v>5984</v>
      </c>
      <c r="C500" t="s">
        <v>20</v>
      </c>
      <c r="D500" t="s">
        <v>21</v>
      </c>
      <c r="E500">
        <v>2222222</v>
      </c>
      <c r="F500" s="8" t="s">
        <v>22</v>
      </c>
      <c r="G500" s="2">
        <v>98</v>
      </c>
      <c r="H500" t="s">
        <v>3905</v>
      </c>
      <c r="I500" t="s">
        <v>4788</v>
      </c>
      <c r="J500" s="9" t="s">
        <v>4911</v>
      </c>
      <c r="K500" t="s">
        <v>5196</v>
      </c>
      <c r="L500" s="2">
        <v>1</v>
      </c>
      <c r="M500" s="24" t="s">
        <v>5971</v>
      </c>
      <c r="N500" s="2" t="s">
        <v>23</v>
      </c>
      <c r="O500" s="18" t="s">
        <v>440</v>
      </c>
      <c r="P500" s="18" t="s">
        <v>3781</v>
      </c>
      <c r="Q500" s="6" t="s">
        <v>4475</v>
      </c>
      <c r="T500" s="23">
        <v>45726</v>
      </c>
      <c r="U500" s="23">
        <v>49377</v>
      </c>
      <c r="X500" s="20">
        <v>100000</v>
      </c>
      <c r="Z500" s="6" t="s">
        <v>5978</v>
      </c>
      <c r="AA500" s="14">
        <f t="shared" si="71"/>
        <v>5.9999999999999995E-4</v>
      </c>
      <c r="AB500">
        <v>55.405769999999997</v>
      </c>
      <c r="AC500">
        <v>57.622000800000002</v>
      </c>
    </row>
    <row r="501" spans="1:29" x14ac:dyDescent="0.3">
      <c r="A501">
        <v>145149</v>
      </c>
      <c r="B501" s="25" t="s">
        <v>5984</v>
      </c>
      <c r="C501" t="s">
        <v>20</v>
      </c>
      <c r="D501" t="s">
        <v>21</v>
      </c>
      <c r="E501">
        <v>2222222</v>
      </c>
      <c r="F501" s="8" t="s">
        <v>22</v>
      </c>
      <c r="G501" s="2">
        <v>98</v>
      </c>
      <c r="H501" t="s">
        <v>3905</v>
      </c>
      <c r="I501" t="s">
        <v>4374</v>
      </c>
      <c r="J501" s="9" t="s">
        <v>5083</v>
      </c>
      <c r="K501" t="s">
        <v>5095</v>
      </c>
      <c r="L501" s="2">
        <v>1</v>
      </c>
      <c r="M501" s="24" t="s">
        <v>5971</v>
      </c>
      <c r="N501" s="2" t="s">
        <v>23</v>
      </c>
      <c r="O501" s="18" t="s">
        <v>441</v>
      </c>
      <c r="P501" s="18" t="s">
        <v>3781</v>
      </c>
      <c r="Q501" s="6" t="s">
        <v>4475</v>
      </c>
      <c r="T501" s="23">
        <v>45715</v>
      </c>
      <c r="U501" s="23">
        <v>47177</v>
      </c>
      <c r="X501" s="20">
        <v>5000</v>
      </c>
      <c r="Z501" s="6" t="s">
        <v>5978</v>
      </c>
      <c r="AA501" s="14">
        <f t="shared" si="71"/>
        <v>5.9999999999999995E-4</v>
      </c>
      <c r="AB501">
        <v>2.175192</v>
      </c>
      <c r="AC501">
        <v>2.2621996800000002</v>
      </c>
    </row>
    <row r="502" spans="1:29" x14ac:dyDescent="0.3">
      <c r="A502">
        <v>145207</v>
      </c>
      <c r="B502" s="25" t="s">
        <v>5984</v>
      </c>
      <c r="C502" t="s">
        <v>20</v>
      </c>
      <c r="D502" t="s">
        <v>21</v>
      </c>
      <c r="E502">
        <v>2222222</v>
      </c>
      <c r="F502" s="8" t="s">
        <v>22</v>
      </c>
      <c r="G502" s="2">
        <v>98</v>
      </c>
      <c r="H502" t="s">
        <v>3905</v>
      </c>
      <c r="I502" t="s">
        <v>4239</v>
      </c>
      <c r="J502" s="9" t="s">
        <v>5197</v>
      </c>
      <c r="K502" t="s">
        <v>5134</v>
      </c>
      <c r="L502" s="2">
        <v>1</v>
      </c>
      <c r="M502" s="24" t="s">
        <v>5971</v>
      </c>
      <c r="N502" s="2" t="s">
        <v>23</v>
      </c>
      <c r="O502" s="18" t="s">
        <v>442</v>
      </c>
      <c r="P502" s="18" t="s">
        <v>0</v>
      </c>
      <c r="Q502" s="6" t="s">
        <v>4475</v>
      </c>
      <c r="T502" s="23">
        <v>45778</v>
      </c>
      <c r="U502" s="23">
        <v>46874</v>
      </c>
      <c r="X502" s="20">
        <v>70000</v>
      </c>
      <c r="Z502" s="6" t="s">
        <v>5978</v>
      </c>
      <c r="AA502" s="14">
        <f t="shared" si="71"/>
        <v>5.9999999999999995E-4</v>
      </c>
      <c r="AB502">
        <v>27.369011999999994</v>
      </c>
      <c r="AC502">
        <v>28.463772479999996</v>
      </c>
    </row>
    <row r="503" spans="1:29" x14ac:dyDescent="0.3">
      <c r="A503">
        <v>145326</v>
      </c>
      <c r="B503" s="25" t="s">
        <v>5984</v>
      </c>
      <c r="C503" t="s">
        <v>20</v>
      </c>
      <c r="D503" t="s">
        <v>21</v>
      </c>
      <c r="E503">
        <v>2222222</v>
      </c>
      <c r="F503" s="8" t="s">
        <v>22</v>
      </c>
      <c r="G503" s="2">
        <v>98</v>
      </c>
      <c r="H503" t="s">
        <v>3905</v>
      </c>
      <c r="I503" t="s">
        <v>4184</v>
      </c>
      <c r="J503" s="9" t="s">
        <v>4815</v>
      </c>
      <c r="K503" t="s">
        <v>5198</v>
      </c>
      <c r="L503" s="2">
        <v>1</v>
      </c>
      <c r="M503" s="24" t="s">
        <v>5971</v>
      </c>
      <c r="N503" s="2" t="s">
        <v>23</v>
      </c>
      <c r="O503" s="18" t="s">
        <v>443</v>
      </c>
      <c r="P503" s="18" t="s">
        <v>0</v>
      </c>
      <c r="Q503" s="6" t="s">
        <v>4475</v>
      </c>
      <c r="T503" s="23">
        <v>45741</v>
      </c>
      <c r="U503" s="23">
        <v>47566</v>
      </c>
      <c r="X503" s="20">
        <v>40000</v>
      </c>
      <c r="Z503" s="6" t="s">
        <v>5978</v>
      </c>
      <c r="AA503" s="14">
        <f t="shared" si="71"/>
        <v>5.9999999999999995E-4</v>
      </c>
      <c r="AB503">
        <v>19.147421999999999</v>
      </c>
      <c r="AC503">
        <v>19.913318879999999</v>
      </c>
    </row>
    <row r="504" spans="1:29" x14ac:dyDescent="0.3">
      <c r="A504">
        <v>145779</v>
      </c>
      <c r="B504" s="25" t="s">
        <v>5984</v>
      </c>
      <c r="C504" t="s">
        <v>20</v>
      </c>
      <c r="D504" t="s">
        <v>21</v>
      </c>
      <c r="E504">
        <v>2222222</v>
      </c>
      <c r="F504" s="8" t="s">
        <v>22</v>
      </c>
      <c r="G504" s="2">
        <v>98</v>
      </c>
      <c r="H504" t="s">
        <v>3905</v>
      </c>
      <c r="I504" t="s">
        <v>4656</v>
      </c>
      <c r="J504" s="9" t="s">
        <v>5199</v>
      </c>
      <c r="K504" t="s">
        <v>5200</v>
      </c>
      <c r="L504" s="2">
        <v>1</v>
      </c>
      <c r="M504" s="24" t="s">
        <v>5971</v>
      </c>
      <c r="N504" s="2" t="s">
        <v>23</v>
      </c>
      <c r="O504" s="18" t="s">
        <v>444</v>
      </c>
      <c r="P504" s="18" t="s">
        <v>0</v>
      </c>
      <c r="Q504" s="6" t="s">
        <v>4475</v>
      </c>
      <c r="T504" s="23">
        <v>45763</v>
      </c>
      <c r="U504" s="23">
        <v>46859</v>
      </c>
      <c r="X504" s="20">
        <v>4000</v>
      </c>
      <c r="Z504" s="6" t="s">
        <v>5978</v>
      </c>
      <c r="AA504" s="14">
        <f t="shared" si="71"/>
        <v>5.9999999999999995E-4</v>
      </c>
      <c r="AB504">
        <v>1.5468959999999998</v>
      </c>
      <c r="AC504">
        <v>1.60877184</v>
      </c>
    </row>
    <row r="505" spans="1:29" x14ac:dyDescent="0.3">
      <c r="A505">
        <v>145827</v>
      </c>
      <c r="B505" s="25" t="s">
        <v>5984</v>
      </c>
      <c r="C505" t="s">
        <v>20</v>
      </c>
      <c r="D505" t="s">
        <v>21</v>
      </c>
      <c r="E505">
        <v>2222222</v>
      </c>
      <c r="F505" s="8" t="s">
        <v>22</v>
      </c>
      <c r="G505" s="2">
        <v>98</v>
      </c>
      <c r="H505" t="s">
        <v>3905</v>
      </c>
      <c r="I505" t="s">
        <v>3896</v>
      </c>
      <c r="J505" s="9" t="s">
        <v>5192</v>
      </c>
      <c r="K505" t="s">
        <v>4859</v>
      </c>
      <c r="L505" s="2">
        <v>1</v>
      </c>
      <c r="M505" s="24" t="s">
        <v>5971</v>
      </c>
      <c r="N505" s="2" t="s">
        <v>23</v>
      </c>
      <c r="O505" s="18" t="s">
        <v>435</v>
      </c>
      <c r="P505" s="18" t="s">
        <v>3781</v>
      </c>
      <c r="Q505" s="6" t="s">
        <v>4475</v>
      </c>
      <c r="T505" s="23">
        <v>45777</v>
      </c>
      <c r="U505" s="23">
        <v>47607</v>
      </c>
      <c r="X505" s="20">
        <v>13200</v>
      </c>
      <c r="Z505" s="6" t="s">
        <v>5978</v>
      </c>
      <c r="AA505" s="14">
        <f t="shared" si="71"/>
        <v>5.9999999999999995E-4</v>
      </c>
      <c r="AB505">
        <v>6.6986519999999992</v>
      </c>
      <c r="AC505">
        <v>6.9665980799999998</v>
      </c>
    </row>
    <row r="506" spans="1:29" x14ac:dyDescent="0.3">
      <c r="A506">
        <v>146048</v>
      </c>
      <c r="B506" s="25" t="s">
        <v>5984</v>
      </c>
      <c r="C506" t="s">
        <v>20</v>
      </c>
      <c r="D506" t="s">
        <v>21</v>
      </c>
      <c r="E506">
        <v>2222222</v>
      </c>
      <c r="F506" s="8" t="s">
        <v>22</v>
      </c>
      <c r="G506" s="2">
        <v>98</v>
      </c>
      <c r="H506" t="s">
        <v>3905</v>
      </c>
      <c r="I506" t="s">
        <v>4164</v>
      </c>
      <c r="J506" s="9" t="s">
        <v>4911</v>
      </c>
      <c r="K506" t="s">
        <v>4924</v>
      </c>
      <c r="L506" s="2">
        <v>1</v>
      </c>
      <c r="M506" s="24" t="s">
        <v>5971</v>
      </c>
      <c r="N506" s="2" t="s">
        <v>23</v>
      </c>
      <c r="O506" s="18" t="s">
        <v>445</v>
      </c>
      <c r="P506" s="18" t="s">
        <v>3781</v>
      </c>
      <c r="Q506" s="6" t="s">
        <v>4475</v>
      </c>
      <c r="T506" s="23">
        <v>45785</v>
      </c>
      <c r="U506" s="23">
        <v>46505</v>
      </c>
      <c r="X506" s="20">
        <v>4185</v>
      </c>
      <c r="Z506" s="6" t="s">
        <v>5978</v>
      </c>
      <c r="AA506" s="14">
        <f t="shared" si="71"/>
        <v>5.9999999999999995E-4</v>
      </c>
      <c r="AB506">
        <v>1.1561159999999999</v>
      </c>
      <c r="AC506">
        <v>1.20236064</v>
      </c>
    </row>
    <row r="507" spans="1:29" x14ac:dyDescent="0.3">
      <c r="A507">
        <v>146272</v>
      </c>
      <c r="B507" s="25" t="s">
        <v>5984</v>
      </c>
      <c r="C507" t="s">
        <v>20</v>
      </c>
      <c r="D507" t="s">
        <v>21</v>
      </c>
      <c r="E507">
        <v>2222222</v>
      </c>
      <c r="F507" s="8" t="s">
        <v>22</v>
      </c>
      <c r="G507" s="2">
        <v>98</v>
      </c>
      <c r="H507" t="s">
        <v>3905</v>
      </c>
      <c r="I507" t="s">
        <v>4663</v>
      </c>
      <c r="J507" s="9" t="s">
        <v>5055</v>
      </c>
      <c r="K507" t="s">
        <v>4863</v>
      </c>
      <c r="L507" s="2">
        <v>1</v>
      </c>
      <c r="M507" s="24" t="s">
        <v>5971</v>
      </c>
      <c r="N507" s="2" t="s">
        <v>23</v>
      </c>
      <c r="O507" s="18" t="s">
        <v>446</v>
      </c>
      <c r="P507" s="18" t="s">
        <v>3781</v>
      </c>
      <c r="Q507" s="6" t="s">
        <v>4475</v>
      </c>
      <c r="T507" s="23">
        <v>45808</v>
      </c>
      <c r="U507" s="23">
        <v>46537</v>
      </c>
      <c r="X507" s="20">
        <v>1000</v>
      </c>
      <c r="Z507" s="6" t="s">
        <v>5978</v>
      </c>
      <c r="AA507" s="14">
        <f t="shared" si="71"/>
        <v>5.9999999999999995E-4</v>
      </c>
      <c r="AB507">
        <v>0.27060599999999996</v>
      </c>
      <c r="AC507">
        <v>0.28143023999999994</v>
      </c>
    </row>
    <row r="508" spans="1:29" x14ac:dyDescent="0.3">
      <c r="A508">
        <v>146389</v>
      </c>
      <c r="B508" s="25" t="s">
        <v>5984</v>
      </c>
      <c r="C508" t="s">
        <v>20</v>
      </c>
      <c r="D508" t="s">
        <v>21</v>
      </c>
      <c r="E508">
        <v>2222222</v>
      </c>
      <c r="F508" s="8" t="s">
        <v>22</v>
      </c>
      <c r="G508" s="2">
        <v>98</v>
      </c>
      <c r="H508" t="s">
        <v>3905</v>
      </c>
      <c r="I508" t="s">
        <v>4399</v>
      </c>
      <c r="J508" s="9" t="s">
        <v>4852</v>
      </c>
      <c r="K508" t="s">
        <v>5135</v>
      </c>
      <c r="L508" s="2">
        <v>1</v>
      </c>
      <c r="M508" s="24" t="s">
        <v>5971</v>
      </c>
      <c r="N508" s="2" t="s">
        <v>23</v>
      </c>
      <c r="O508" s="18" t="s">
        <v>447</v>
      </c>
      <c r="P508" s="18" t="s">
        <v>0</v>
      </c>
      <c r="Q508" s="6" t="s">
        <v>4475</v>
      </c>
      <c r="T508" s="23">
        <v>45825</v>
      </c>
      <c r="U508" s="23">
        <v>49477</v>
      </c>
      <c r="X508" s="20">
        <v>66000</v>
      </c>
      <c r="Z508" s="6" t="s">
        <v>5978</v>
      </c>
      <c r="AA508" s="14">
        <f t="shared" si="71"/>
        <v>5.9999999999999995E-4</v>
      </c>
      <c r="AB508">
        <v>37.239443999999999</v>
      </c>
      <c r="AC508">
        <v>38.729021760000002</v>
      </c>
    </row>
    <row r="509" spans="1:29" x14ac:dyDescent="0.3">
      <c r="A509">
        <v>146520</v>
      </c>
      <c r="B509" s="25" t="s">
        <v>5984</v>
      </c>
      <c r="C509" t="s">
        <v>20</v>
      </c>
      <c r="D509" t="s">
        <v>21</v>
      </c>
      <c r="E509">
        <v>2222222</v>
      </c>
      <c r="F509" s="8" t="s">
        <v>22</v>
      </c>
      <c r="G509" s="2">
        <v>98</v>
      </c>
      <c r="H509" t="s">
        <v>3905</v>
      </c>
      <c r="I509" t="s">
        <v>4184</v>
      </c>
      <c r="J509" s="9" t="s">
        <v>4936</v>
      </c>
      <c r="K509" t="s">
        <v>4876</v>
      </c>
      <c r="L509" s="2">
        <v>1</v>
      </c>
      <c r="M509" s="24" t="s">
        <v>5971</v>
      </c>
      <c r="N509" s="2" t="s">
        <v>23</v>
      </c>
      <c r="O509" s="18" t="s">
        <v>448</v>
      </c>
      <c r="P509" s="18" t="s">
        <v>0</v>
      </c>
      <c r="Q509" s="6" t="s">
        <v>4475</v>
      </c>
      <c r="T509" s="23">
        <v>45822</v>
      </c>
      <c r="U509" s="23">
        <v>46370</v>
      </c>
      <c r="X509" s="20">
        <v>1000</v>
      </c>
      <c r="Z509" s="6" t="s">
        <v>5978</v>
      </c>
      <c r="AA509" s="14">
        <f t="shared" si="71"/>
        <v>5.9999999999999995E-4</v>
      </c>
      <c r="AB509">
        <v>0.18242999999999998</v>
      </c>
      <c r="AC509">
        <v>0.18972719999999998</v>
      </c>
    </row>
    <row r="510" spans="1:29" x14ac:dyDescent="0.3">
      <c r="A510">
        <v>146526</v>
      </c>
      <c r="B510" s="25" t="s">
        <v>5984</v>
      </c>
      <c r="C510" t="s">
        <v>20</v>
      </c>
      <c r="D510" t="s">
        <v>21</v>
      </c>
      <c r="E510">
        <v>2222222</v>
      </c>
      <c r="F510" s="8" t="s">
        <v>22</v>
      </c>
      <c r="G510" s="2">
        <v>98</v>
      </c>
      <c r="H510" t="s">
        <v>3905</v>
      </c>
      <c r="I510" t="s">
        <v>4532</v>
      </c>
      <c r="J510" s="9" t="s">
        <v>5201</v>
      </c>
      <c r="K510" t="s">
        <v>5085</v>
      </c>
      <c r="L510" s="2">
        <v>1</v>
      </c>
      <c r="M510" s="24" t="s">
        <v>5971</v>
      </c>
      <c r="N510" s="2" t="s">
        <v>23</v>
      </c>
      <c r="O510" s="18" t="s">
        <v>449</v>
      </c>
      <c r="P510" s="18" t="s">
        <v>0</v>
      </c>
      <c r="Q510" s="6" t="s">
        <v>4475</v>
      </c>
      <c r="T510" s="23">
        <v>45825</v>
      </c>
      <c r="U510" s="23">
        <v>46285</v>
      </c>
      <c r="X510" s="20">
        <v>2500</v>
      </c>
      <c r="Z510" s="6" t="s">
        <v>5978</v>
      </c>
      <c r="AA510" s="14">
        <f t="shared" si="71"/>
        <v>5.9999999999999995E-4</v>
      </c>
      <c r="AB510">
        <v>0.21920999999999999</v>
      </c>
      <c r="AC510">
        <v>0.2279784</v>
      </c>
    </row>
    <row r="511" spans="1:29" x14ac:dyDescent="0.3">
      <c r="A511">
        <v>146894</v>
      </c>
      <c r="B511" s="25" t="s">
        <v>5984</v>
      </c>
      <c r="C511" t="s">
        <v>20</v>
      </c>
      <c r="D511" t="s">
        <v>21</v>
      </c>
      <c r="E511">
        <v>2222222</v>
      </c>
      <c r="F511" s="8" t="s">
        <v>22</v>
      </c>
      <c r="G511" s="2">
        <v>98</v>
      </c>
      <c r="H511" t="s">
        <v>3905</v>
      </c>
      <c r="I511" t="s">
        <v>4278</v>
      </c>
      <c r="J511" s="9" t="s">
        <v>4836</v>
      </c>
      <c r="K511" t="s">
        <v>4837</v>
      </c>
      <c r="L511" s="2">
        <v>1</v>
      </c>
      <c r="M511" s="24" t="s">
        <v>5971</v>
      </c>
      <c r="N511" s="2" t="s">
        <v>23</v>
      </c>
      <c r="O511" s="18" t="s">
        <v>450</v>
      </c>
      <c r="P511" s="18" t="s">
        <v>3781</v>
      </c>
      <c r="Q511" s="6" t="s">
        <v>4475</v>
      </c>
      <c r="T511" s="23">
        <v>45859</v>
      </c>
      <c r="U511" s="23">
        <v>49510</v>
      </c>
      <c r="X511" s="20">
        <v>139000</v>
      </c>
      <c r="Z511" s="6" t="s">
        <v>5978</v>
      </c>
      <c r="AA511" s="14">
        <f t="shared" si="71"/>
        <v>5.9999999999999995E-4</v>
      </c>
      <c r="AB511">
        <v>78.815837999999999</v>
      </c>
      <c r="AC511">
        <v>81.968471520000008</v>
      </c>
    </row>
    <row r="512" spans="1:29" x14ac:dyDescent="0.3">
      <c r="A512">
        <v>147011</v>
      </c>
      <c r="B512" s="25" t="s">
        <v>5984</v>
      </c>
      <c r="C512" t="s">
        <v>20</v>
      </c>
      <c r="D512" t="s">
        <v>21</v>
      </c>
      <c r="E512">
        <v>2222222</v>
      </c>
      <c r="F512" s="8" t="s">
        <v>22</v>
      </c>
      <c r="G512" s="2">
        <v>98</v>
      </c>
      <c r="H512" t="s">
        <v>3905</v>
      </c>
      <c r="I512" t="s">
        <v>3905</v>
      </c>
      <c r="J512" s="9" t="s">
        <v>4875</v>
      </c>
      <c r="K512" t="s">
        <v>4815</v>
      </c>
      <c r="L512" s="2">
        <v>1</v>
      </c>
      <c r="M512" s="24" t="s">
        <v>5971</v>
      </c>
      <c r="N512" s="2" t="s">
        <v>23</v>
      </c>
      <c r="O512" s="18" t="s">
        <v>451</v>
      </c>
      <c r="P512" s="18" t="s">
        <v>0</v>
      </c>
      <c r="Q512" s="6" t="s">
        <v>4475</v>
      </c>
      <c r="T512" s="23">
        <v>45859</v>
      </c>
      <c r="U512" s="23">
        <v>46588</v>
      </c>
      <c r="X512" s="20">
        <v>2500</v>
      </c>
      <c r="Z512" s="6" t="s">
        <v>5978</v>
      </c>
      <c r="AA512" s="14">
        <f t="shared" si="71"/>
        <v>5.9999999999999995E-4</v>
      </c>
      <c r="AB512">
        <v>0.9360719999999999</v>
      </c>
      <c r="AC512">
        <v>0.97351487999999997</v>
      </c>
    </row>
    <row r="513" spans="1:29" x14ac:dyDescent="0.3">
      <c r="A513">
        <v>147090</v>
      </c>
      <c r="B513" s="25" t="s">
        <v>5984</v>
      </c>
      <c r="C513" t="s">
        <v>20</v>
      </c>
      <c r="D513" t="s">
        <v>21</v>
      </c>
      <c r="E513">
        <v>2222222</v>
      </c>
      <c r="F513" s="8" t="s">
        <v>22</v>
      </c>
      <c r="G513" s="2">
        <v>98</v>
      </c>
      <c r="H513" t="s">
        <v>3905</v>
      </c>
      <c r="I513" t="s">
        <v>4315</v>
      </c>
      <c r="J513" s="9" t="s">
        <v>5202</v>
      </c>
      <c r="K513" t="s">
        <v>5078</v>
      </c>
      <c r="L513" s="2">
        <v>1</v>
      </c>
      <c r="M513" s="24" t="s">
        <v>5971</v>
      </c>
      <c r="N513" s="2" t="s">
        <v>23</v>
      </c>
      <c r="O513" s="18" t="s">
        <v>452</v>
      </c>
      <c r="P513" s="18" t="s">
        <v>0</v>
      </c>
      <c r="Q513" s="6" t="s">
        <v>4475</v>
      </c>
      <c r="T513" s="23">
        <v>45863</v>
      </c>
      <c r="U513" s="23">
        <v>46958</v>
      </c>
      <c r="X513" s="20">
        <v>2000</v>
      </c>
      <c r="Z513" s="6" t="s">
        <v>5978</v>
      </c>
      <c r="AA513" s="14">
        <f t="shared" si="71"/>
        <v>5.9999999999999995E-4</v>
      </c>
      <c r="AB513">
        <v>0.86571599999999982</v>
      </c>
      <c r="AC513">
        <v>0.90034463999999981</v>
      </c>
    </row>
    <row r="514" spans="1:29" x14ac:dyDescent="0.3">
      <c r="A514">
        <v>147638</v>
      </c>
      <c r="B514" s="25" t="s">
        <v>5984</v>
      </c>
      <c r="C514" t="s">
        <v>20</v>
      </c>
      <c r="D514" t="s">
        <v>21</v>
      </c>
      <c r="E514">
        <v>2222222</v>
      </c>
      <c r="F514" s="8" t="s">
        <v>22</v>
      </c>
      <c r="G514" s="2">
        <v>98</v>
      </c>
      <c r="H514" t="s">
        <v>3905</v>
      </c>
      <c r="I514" t="s">
        <v>4251</v>
      </c>
      <c r="J514" s="9" t="s">
        <v>4839</v>
      </c>
      <c r="K514" t="s">
        <v>4913</v>
      </c>
      <c r="L514" s="2">
        <v>1</v>
      </c>
      <c r="M514" s="24" t="s">
        <v>5971</v>
      </c>
      <c r="N514" s="2" t="s">
        <v>23</v>
      </c>
      <c r="O514" s="18" t="s">
        <v>453</v>
      </c>
      <c r="P514" s="18" t="s">
        <v>0</v>
      </c>
      <c r="Q514" s="6" t="s">
        <v>4475</v>
      </c>
      <c r="T514" s="23">
        <v>45905</v>
      </c>
      <c r="U514" s="23">
        <v>47731</v>
      </c>
      <c r="X514" s="20">
        <v>10000</v>
      </c>
      <c r="Z514" s="6" t="s">
        <v>5978</v>
      </c>
      <c r="AA514" s="14">
        <f t="shared" si="71"/>
        <v>5.9999999999999995E-4</v>
      </c>
      <c r="AB514">
        <v>5.3005919999999991</v>
      </c>
      <c r="AC514">
        <v>5.5126156799999988</v>
      </c>
    </row>
    <row r="515" spans="1:29" x14ac:dyDescent="0.3">
      <c r="A515">
        <v>147859</v>
      </c>
      <c r="B515" s="25" t="s">
        <v>5984</v>
      </c>
      <c r="C515" t="s">
        <v>20</v>
      </c>
      <c r="D515" t="s">
        <v>21</v>
      </c>
      <c r="E515">
        <v>2222222</v>
      </c>
      <c r="F515" s="8" t="s">
        <v>22</v>
      </c>
      <c r="G515" s="2">
        <v>98</v>
      </c>
      <c r="H515" t="s">
        <v>3905</v>
      </c>
      <c r="I515" t="s">
        <v>4532</v>
      </c>
      <c r="J515" s="9" t="s">
        <v>4871</v>
      </c>
      <c r="K515" t="s">
        <v>5174</v>
      </c>
      <c r="L515" s="2">
        <v>1</v>
      </c>
      <c r="M515" s="24" t="s">
        <v>5971</v>
      </c>
      <c r="N515" s="2" t="s">
        <v>23</v>
      </c>
      <c r="O515" s="18" t="s">
        <v>454</v>
      </c>
      <c r="P515" s="18" t="s">
        <v>0</v>
      </c>
      <c r="Q515" s="6" t="s">
        <v>4475</v>
      </c>
      <c r="T515" s="23">
        <v>45917</v>
      </c>
      <c r="U515" s="23">
        <v>46555</v>
      </c>
      <c r="X515" s="20">
        <v>2000</v>
      </c>
      <c r="Z515" s="6" t="s">
        <v>5978</v>
      </c>
      <c r="AA515" s="14">
        <f t="shared" si="71"/>
        <v>5.9999999999999995E-4</v>
      </c>
      <c r="AB515">
        <v>0.672678</v>
      </c>
      <c r="AC515">
        <v>0.69958512000000006</v>
      </c>
    </row>
    <row r="516" spans="1:29" x14ac:dyDescent="0.3">
      <c r="A516">
        <v>148215</v>
      </c>
      <c r="B516" s="25" t="s">
        <v>5984</v>
      </c>
      <c r="C516" t="s">
        <v>20</v>
      </c>
      <c r="D516" t="s">
        <v>21</v>
      </c>
      <c r="E516">
        <v>2222222</v>
      </c>
      <c r="F516" s="8" t="s">
        <v>22</v>
      </c>
      <c r="G516" s="2">
        <v>98</v>
      </c>
      <c r="H516" t="s">
        <v>3905</v>
      </c>
      <c r="I516" t="s">
        <v>4532</v>
      </c>
      <c r="J516" s="9" t="s">
        <v>4916</v>
      </c>
      <c r="K516" t="s">
        <v>5195</v>
      </c>
      <c r="L516" s="2">
        <v>1</v>
      </c>
      <c r="M516" s="24" t="s">
        <v>5971</v>
      </c>
      <c r="N516" s="2" t="s">
        <v>23</v>
      </c>
      <c r="O516" s="18" t="s">
        <v>455</v>
      </c>
      <c r="P516" s="18" t="s">
        <v>3781</v>
      </c>
      <c r="Q516" s="6" t="s">
        <v>4475</v>
      </c>
      <c r="T516" s="23">
        <v>45950</v>
      </c>
      <c r="U516" s="23">
        <v>47046</v>
      </c>
      <c r="X516" s="20">
        <v>2000</v>
      </c>
      <c r="Z516" s="6" t="s">
        <v>5978</v>
      </c>
      <c r="AA516" s="14">
        <f t="shared" si="71"/>
        <v>5.9999999999999995E-4</v>
      </c>
      <c r="AB516">
        <v>0.95408399999999993</v>
      </c>
      <c r="AC516">
        <v>0.99224735999999991</v>
      </c>
    </row>
    <row r="517" spans="1:29" x14ac:dyDescent="0.3">
      <c r="A517">
        <v>148446</v>
      </c>
      <c r="B517" s="25" t="s">
        <v>5984</v>
      </c>
      <c r="C517" t="s">
        <v>20</v>
      </c>
      <c r="D517" t="s">
        <v>21</v>
      </c>
      <c r="E517">
        <v>2222222</v>
      </c>
      <c r="F517" s="8" t="s">
        <v>22</v>
      </c>
      <c r="G517" s="2">
        <v>98</v>
      </c>
      <c r="H517" t="s">
        <v>3905</v>
      </c>
      <c r="I517" t="s">
        <v>4399</v>
      </c>
      <c r="J517" s="9" t="s">
        <v>4951</v>
      </c>
      <c r="K517" t="s">
        <v>5203</v>
      </c>
      <c r="L517" s="2">
        <v>1</v>
      </c>
      <c r="M517" s="24" t="s">
        <v>5971</v>
      </c>
      <c r="N517" s="2" t="s">
        <v>23</v>
      </c>
      <c r="O517" s="18" t="s">
        <v>456</v>
      </c>
      <c r="P517" s="18" t="s">
        <v>0</v>
      </c>
      <c r="Q517" s="6" t="s">
        <v>4475</v>
      </c>
      <c r="T517" s="23">
        <v>45961</v>
      </c>
      <c r="U517" s="23">
        <v>47786</v>
      </c>
      <c r="X517" s="20">
        <v>5000</v>
      </c>
      <c r="Z517" s="6" t="s">
        <v>5978</v>
      </c>
      <c r="AA517" s="14">
        <f t="shared" si="71"/>
        <v>5.9999999999999995E-4</v>
      </c>
      <c r="AB517">
        <v>2.7233219999999996</v>
      </c>
      <c r="AC517">
        <v>2.8322548799999998</v>
      </c>
    </row>
    <row r="518" spans="1:29" x14ac:dyDescent="0.3">
      <c r="A518">
        <v>148467</v>
      </c>
      <c r="B518" s="25" t="s">
        <v>5984</v>
      </c>
      <c r="C518" t="s">
        <v>20</v>
      </c>
      <c r="D518" t="s">
        <v>21</v>
      </c>
      <c r="E518">
        <v>2222222</v>
      </c>
      <c r="F518" s="8" t="s">
        <v>22</v>
      </c>
      <c r="G518" s="2">
        <v>98</v>
      </c>
      <c r="H518" t="s">
        <v>3905</v>
      </c>
      <c r="I518" t="s">
        <v>4236</v>
      </c>
      <c r="J518" s="9" t="s">
        <v>4852</v>
      </c>
      <c r="K518" t="s">
        <v>4900</v>
      </c>
      <c r="L518" s="2">
        <v>1</v>
      </c>
      <c r="M518" s="24" t="s">
        <v>5971</v>
      </c>
      <c r="N518" s="2" t="s">
        <v>23</v>
      </c>
      <c r="O518" s="18" t="s">
        <v>433</v>
      </c>
      <c r="P518" s="18" t="s">
        <v>0</v>
      </c>
      <c r="Q518" s="6" t="s">
        <v>4475</v>
      </c>
      <c r="T518" s="23">
        <v>45966</v>
      </c>
      <c r="U518" s="23">
        <v>46331</v>
      </c>
      <c r="X518" s="20">
        <v>1485</v>
      </c>
      <c r="Z518" s="6" t="s">
        <v>5978</v>
      </c>
      <c r="AA518" s="14">
        <f t="shared" si="71"/>
        <v>5.9999999999999995E-4</v>
      </c>
      <c r="AB518">
        <v>0.31465799999999994</v>
      </c>
      <c r="AC518">
        <v>0.32724431999999992</v>
      </c>
    </row>
    <row r="519" spans="1:29" x14ac:dyDescent="0.3">
      <c r="A519">
        <v>148491</v>
      </c>
      <c r="B519" s="25" t="s">
        <v>5984</v>
      </c>
      <c r="C519" t="s">
        <v>20</v>
      </c>
      <c r="D519" t="s">
        <v>21</v>
      </c>
      <c r="E519">
        <v>2222222</v>
      </c>
      <c r="F519" s="8" t="s">
        <v>22</v>
      </c>
      <c r="G519" s="2">
        <v>98</v>
      </c>
      <c r="H519" t="s">
        <v>3905</v>
      </c>
      <c r="I519" t="s">
        <v>3899</v>
      </c>
      <c r="J519" s="9" t="s">
        <v>4945</v>
      </c>
      <c r="K519" t="s">
        <v>5135</v>
      </c>
      <c r="L519" s="2">
        <v>1</v>
      </c>
      <c r="M519" s="24" t="s">
        <v>5971</v>
      </c>
      <c r="N519" s="2" t="s">
        <v>23</v>
      </c>
      <c r="O519" s="18" t="s">
        <v>457</v>
      </c>
      <c r="P519" s="18" t="s">
        <v>0</v>
      </c>
      <c r="Q519" s="6" t="s">
        <v>4475</v>
      </c>
      <c r="T519" s="23">
        <v>45821</v>
      </c>
      <c r="U519" s="23">
        <v>48284</v>
      </c>
      <c r="X519" s="20">
        <v>40000</v>
      </c>
      <c r="Z519" s="6" t="s">
        <v>5978</v>
      </c>
      <c r="AA519" s="14">
        <f t="shared" si="71"/>
        <v>5.9999999999999995E-4</v>
      </c>
      <c r="AB519">
        <v>7.5389939999999989</v>
      </c>
      <c r="AC519">
        <v>7.8405537599999988</v>
      </c>
    </row>
    <row r="520" spans="1:29" x14ac:dyDescent="0.3">
      <c r="A520">
        <v>148613</v>
      </c>
      <c r="B520" s="25" t="s">
        <v>5984</v>
      </c>
      <c r="C520" t="s">
        <v>20</v>
      </c>
      <c r="D520" t="s">
        <v>21</v>
      </c>
      <c r="E520">
        <v>2222222</v>
      </c>
      <c r="F520" s="8" t="s">
        <v>22</v>
      </c>
      <c r="G520" s="2">
        <v>98</v>
      </c>
      <c r="H520" t="s">
        <v>3905</v>
      </c>
      <c r="I520" t="s">
        <v>3905</v>
      </c>
      <c r="J520" s="9" t="s">
        <v>4836</v>
      </c>
      <c r="K520" t="s">
        <v>4985</v>
      </c>
      <c r="L520" s="2">
        <v>1</v>
      </c>
      <c r="M520" s="24" t="s">
        <v>5971</v>
      </c>
      <c r="N520" s="2" t="s">
        <v>23</v>
      </c>
      <c r="O520" s="18" t="s">
        <v>436</v>
      </c>
      <c r="P520" s="18" t="s">
        <v>3781</v>
      </c>
      <c r="Q520" s="6" t="s">
        <v>4475</v>
      </c>
      <c r="T520" s="23">
        <v>45967</v>
      </c>
      <c r="U520" s="23">
        <v>47063</v>
      </c>
      <c r="X520" s="20">
        <v>1000</v>
      </c>
      <c r="Z520" s="6" t="s">
        <v>5978</v>
      </c>
      <c r="AA520" s="14">
        <f t="shared" si="71"/>
        <v>5.9999999999999995E-4</v>
      </c>
      <c r="AB520">
        <v>0.49156799999999995</v>
      </c>
      <c r="AC520">
        <v>0.51123071999999992</v>
      </c>
    </row>
    <row r="521" spans="1:29" x14ac:dyDescent="0.3">
      <c r="A521">
        <v>148880</v>
      </c>
      <c r="B521" s="25" t="s">
        <v>5984</v>
      </c>
      <c r="C521" t="s">
        <v>20</v>
      </c>
      <c r="D521" t="s">
        <v>21</v>
      </c>
      <c r="E521">
        <v>2222222</v>
      </c>
      <c r="F521" s="8" t="s">
        <v>22</v>
      </c>
      <c r="G521" s="2">
        <v>98</v>
      </c>
      <c r="H521" t="s">
        <v>3905</v>
      </c>
      <c r="I521" t="s">
        <v>4184</v>
      </c>
      <c r="J521" s="9" t="s">
        <v>5020</v>
      </c>
      <c r="K521" t="s">
        <v>5193</v>
      </c>
      <c r="L521" s="2">
        <v>1</v>
      </c>
      <c r="M521" s="24" t="s">
        <v>5971</v>
      </c>
      <c r="N521" s="2" t="s">
        <v>23</v>
      </c>
      <c r="O521" s="18" t="s">
        <v>437</v>
      </c>
      <c r="P521" s="18" t="s">
        <v>0</v>
      </c>
      <c r="Q521" s="6" t="s">
        <v>4475</v>
      </c>
      <c r="T521" s="23">
        <v>45985</v>
      </c>
      <c r="U521" s="23">
        <v>47081</v>
      </c>
      <c r="X521" s="20">
        <v>4000</v>
      </c>
      <c r="Z521" s="6" t="s">
        <v>5978</v>
      </c>
      <c r="AA521" s="14">
        <f t="shared" si="71"/>
        <v>5.9999999999999995E-4</v>
      </c>
      <c r="AB521">
        <v>1.9662599999999997</v>
      </c>
      <c r="AC521">
        <v>2.0449103999999996</v>
      </c>
    </row>
    <row r="522" spans="1:29" x14ac:dyDescent="0.3">
      <c r="A522">
        <v>149042</v>
      </c>
      <c r="B522" s="25" t="s">
        <v>5984</v>
      </c>
      <c r="C522" t="s">
        <v>20</v>
      </c>
      <c r="D522" t="s">
        <v>21</v>
      </c>
      <c r="E522">
        <v>2222222</v>
      </c>
      <c r="F522" s="8" t="s">
        <v>22</v>
      </c>
      <c r="G522" s="2">
        <v>98</v>
      </c>
      <c r="H522" t="s">
        <v>3905</v>
      </c>
      <c r="I522" t="s">
        <v>3905</v>
      </c>
      <c r="J522" s="9" t="s">
        <v>5204</v>
      </c>
      <c r="K522" t="s">
        <v>5135</v>
      </c>
      <c r="L522" s="2">
        <v>1</v>
      </c>
      <c r="M522" s="24" t="s">
        <v>5971</v>
      </c>
      <c r="N522" s="2" t="s">
        <v>23</v>
      </c>
      <c r="O522" s="18" t="s">
        <v>458</v>
      </c>
      <c r="P522" s="18" t="s">
        <v>0</v>
      </c>
      <c r="Q522" s="6" t="s">
        <v>4475</v>
      </c>
      <c r="T522" s="23">
        <v>45994</v>
      </c>
      <c r="U522" s="23">
        <v>47089</v>
      </c>
      <c r="X522" s="20">
        <v>3000</v>
      </c>
      <c r="Z522" s="6" t="s">
        <v>5978</v>
      </c>
      <c r="AA522" s="14">
        <f t="shared" si="71"/>
        <v>5.9999999999999995E-4</v>
      </c>
      <c r="AB522">
        <v>1.5167219999999999</v>
      </c>
      <c r="AC522">
        <v>1.5773908800000001</v>
      </c>
    </row>
    <row r="523" spans="1:29" x14ac:dyDescent="0.3">
      <c r="A523">
        <v>149053</v>
      </c>
      <c r="B523" s="25" t="s">
        <v>5984</v>
      </c>
      <c r="C523" t="s">
        <v>20</v>
      </c>
      <c r="D523" t="s">
        <v>21</v>
      </c>
      <c r="E523">
        <v>2222222</v>
      </c>
      <c r="F523" s="8" t="s">
        <v>22</v>
      </c>
      <c r="G523" s="2">
        <v>98</v>
      </c>
      <c r="H523" t="s">
        <v>3905</v>
      </c>
      <c r="I523" t="s">
        <v>3905</v>
      </c>
      <c r="J523" s="9" t="s">
        <v>4911</v>
      </c>
      <c r="K523" t="s">
        <v>5169</v>
      </c>
      <c r="L523" s="2">
        <v>1</v>
      </c>
      <c r="M523" s="24" t="s">
        <v>5971</v>
      </c>
      <c r="N523" s="2" t="s">
        <v>23</v>
      </c>
      <c r="O523" s="18" t="s">
        <v>459</v>
      </c>
      <c r="P523" s="18" t="s">
        <v>3781</v>
      </c>
      <c r="Q523" s="6" t="s">
        <v>4475</v>
      </c>
      <c r="T523" s="23">
        <v>45994</v>
      </c>
      <c r="U523" s="23">
        <v>47454</v>
      </c>
      <c r="X523" s="20">
        <v>5000</v>
      </c>
      <c r="Z523" s="6" t="s">
        <v>5978</v>
      </c>
      <c r="AA523" s="14">
        <f t="shared" si="71"/>
        <v>5.9999999999999995E-4</v>
      </c>
      <c r="AB523">
        <v>2.6827320000000001</v>
      </c>
      <c r="AC523">
        <v>2.7900412800000001</v>
      </c>
    </row>
    <row r="524" spans="1:29" x14ac:dyDescent="0.3">
      <c r="A524">
        <v>149157</v>
      </c>
      <c r="B524" s="25" t="s">
        <v>5984</v>
      </c>
      <c r="C524" t="s">
        <v>20</v>
      </c>
      <c r="D524" t="s">
        <v>21</v>
      </c>
      <c r="E524">
        <v>2222222</v>
      </c>
      <c r="F524" s="8" t="s">
        <v>22</v>
      </c>
      <c r="G524" s="2">
        <v>98</v>
      </c>
      <c r="H524" t="s">
        <v>3905</v>
      </c>
      <c r="I524" t="s">
        <v>4663</v>
      </c>
      <c r="J524" s="9" t="s">
        <v>4904</v>
      </c>
      <c r="K524" t="s">
        <v>5165</v>
      </c>
      <c r="L524" s="2">
        <v>1</v>
      </c>
      <c r="M524" s="24" t="s">
        <v>5971</v>
      </c>
      <c r="N524" s="2" t="s">
        <v>23</v>
      </c>
      <c r="O524" s="18" t="s">
        <v>422</v>
      </c>
      <c r="P524" s="18" t="s">
        <v>3781</v>
      </c>
      <c r="Q524" s="6" t="s">
        <v>4475</v>
      </c>
      <c r="T524" s="23">
        <v>46003</v>
      </c>
      <c r="U524" s="23">
        <v>46610</v>
      </c>
      <c r="X524" s="20">
        <v>5000</v>
      </c>
      <c r="Z524" s="6" t="s">
        <v>5978</v>
      </c>
      <c r="AA524" s="14">
        <f t="shared" si="71"/>
        <v>5.9999999999999995E-4</v>
      </c>
      <c r="AB524">
        <v>2.0484719999999998</v>
      </c>
      <c r="AC524">
        <v>2.1304108799999999</v>
      </c>
    </row>
    <row r="525" spans="1:29" x14ac:dyDescent="0.3">
      <c r="A525">
        <v>149161</v>
      </c>
      <c r="B525" s="25" t="s">
        <v>5984</v>
      </c>
      <c r="C525" t="s">
        <v>20</v>
      </c>
      <c r="D525" t="s">
        <v>21</v>
      </c>
      <c r="E525">
        <v>2222222</v>
      </c>
      <c r="F525" s="8" t="s">
        <v>22</v>
      </c>
      <c r="G525" s="2">
        <v>98</v>
      </c>
      <c r="H525" t="s">
        <v>3905</v>
      </c>
      <c r="I525" t="s">
        <v>4663</v>
      </c>
      <c r="J525" s="9" t="s">
        <v>4904</v>
      </c>
      <c r="K525" t="s">
        <v>5165</v>
      </c>
      <c r="L525" s="2">
        <v>1</v>
      </c>
      <c r="M525" s="24" t="s">
        <v>5971</v>
      </c>
      <c r="N525" s="2" t="s">
        <v>23</v>
      </c>
      <c r="O525" s="18" t="s">
        <v>422</v>
      </c>
      <c r="P525" s="18" t="s">
        <v>3781</v>
      </c>
      <c r="Q525" s="6" t="s">
        <v>4475</v>
      </c>
      <c r="T525" s="23">
        <v>46003</v>
      </c>
      <c r="U525" s="23">
        <v>47828</v>
      </c>
      <c r="X525" s="20">
        <v>5000</v>
      </c>
      <c r="Z525" s="6" t="s">
        <v>5978</v>
      </c>
      <c r="AA525" s="14">
        <f t="shared" si="71"/>
        <v>5.9999999999999995E-4</v>
      </c>
      <c r="AB525">
        <v>2.7678419999999995</v>
      </c>
      <c r="AC525">
        <v>2.8785556799999994</v>
      </c>
    </row>
    <row r="526" spans="1:29" x14ac:dyDescent="0.3">
      <c r="A526">
        <v>149219</v>
      </c>
      <c r="B526" s="25" t="s">
        <v>5984</v>
      </c>
      <c r="C526" t="s">
        <v>20</v>
      </c>
      <c r="D526" t="s">
        <v>21</v>
      </c>
      <c r="E526">
        <v>2222222</v>
      </c>
      <c r="F526" s="8" t="s">
        <v>22</v>
      </c>
      <c r="G526" s="2">
        <v>98</v>
      </c>
      <c r="H526" t="s">
        <v>3905</v>
      </c>
      <c r="I526" t="s">
        <v>4061</v>
      </c>
      <c r="J526" s="9" t="s">
        <v>5205</v>
      </c>
      <c r="K526" t="s">
        <v>5974</v>
      </c>
      <c r="L526" s="2">
        <v>1</v>
      </c>
      <c r="M526" s="24" t="s">
        <v>5971</v>
      </c>
      <c r="N526" s="2" t="s">
        <v>23</v>
      </c>
      <c r="O526" s="18" t="s">
        <v>460</v>
      </c>
      <c r="P526" s="18" t="s">
        <v>3781</v>
      </c>
      <c r="Q526" s="6" t="s">
        <v>4475</v>
      </c>
      <c r="T526" s="23">
        <v>46017</v>
      </c>
      <c r="U526" s="23">
        <v>47112</v>
      </c>
      <c r="X526" s="20">
        <v>40000</v>
      </c>
      <c r="Z526" s="6" t="s">
        <v>5978</v>
      </c>
      <c r="AA526" s="14">
        <f t="shared" si="71"/>
        <v>5.9999999999999995E-4</v>
      </c>
      <c r="AB526">
        <v>20.124773999999999</v>
      </c>
      <c r="AC526">
        <v>20.92976496</v>
      </c>
    </row>
    <row r="527" spans="1:29" x14ac:dyDescent="0.3">
      <c r="A527">
        <v>149591</v>
      </c>
      <c r="B527" s="25" t="s">
        <v>5984</v>
      </c>
      <c r="C527" t="s">
        <v>20</v>
      </c>
      <c r="D527" t="s">
        <v>21</v>
      </c>
      <c r="E527">
        <v>2222222</v>
      </c>
      <c r="F527" s="8" t="s">
        <v>22</v>
      </c>
      <c r="G527" s="2">
        <v>98</v>
      </c>
      <c r="H527" t="s">
        <v>3905</v>
      </c>
      <c r="I527" t="s">
        <v>4508</v>
      </c>
      <c r="J527" s="9" t="s">
        <v>4830</v>
      </c>
      <c r="K527" t="s">
        <v>4911</v>
      </c>
      <c r="L527" s="2">
        <v>1</v>
      </c>
      <c r="M527" s="24" t="s">
        <v>5971</v>
      </c>
      <c r="N527" s="2" t="s">
        <v>23</v>
      </c>
      <c r="O527" s="18" t="s">
        <v>426</v>
      </c>
      <c r="P527" s="18" t="s">
        <v>3781</v>
      </c>
      <c r="Q527" s="6" t="s">
        <v>4475</v>
      </c>
      <c r="T527" s="23">
        <v>46035</v>
      </c>
      <c r="U527" s="23">
        <v>47130</v>
      </c>
      <c r="X527" s="20">
        <v>5000</v>
      </c>
      <c r="Z527" s="6" t="s">
        <v>5978</v>
      </c>
      <c r="AA527" s="14">
        <f t="shared" si="71"/>
        <v>5.9999999999999995E-4</v>
      </c>
      <c r="AB527">
        <v>2.6021100000000001</v>
      </c>
      <c r="AC527">
        <v>2.7061944000000002</v>
      </c>
    </row>
    <row r="528" spans="1:29" x14ac:dyDescent="0.3">
      <c r="A528">
        <v>149667</v>
      </c>
      <c r="B528" s="25" t="s">
        <v>5984</v>
      </c>
      <c r="C528" t="s">
        <v>20</v>
      </c>
      <c r="D528" t="s">
        <v>21</v>
      </c>
      <c r="E528">
        <v>2222222</v>
      </c>
      <c r="F528" s="8" t="s">
        <v>22</v>
      </c>
      <c r="G528" s="2">
        <v>98</v>
      </c>
      <c r="H528" t="s">
        <v>3905</v>
      </c>
      <c r="I528" t="s">
        <v>3905</v>
      </c>
      <c r="J528" s="9" t="s">
        <v>4836</v>
      </c>
      <c r="K528" t="s">
        <v>4516</v>
      </c>
      <c r="L528" s="2">
        <v>1</v>
      </c>
      <c r="M528" s="24" t="s">
        <v>5971</v>
      </c>
      <c r="N528" s="2" t="s">
        <v>23</v>
      </c>
      <c r="O528" s="18" t="s">
        <v>461</v>
      </c>
      <c r="P528" s="18" t="s">
        <v>3781</v>
      </c>
      <c r="Q528" s="6" t="s">
        <v>4475</v>
      </c>
      <c r="T528" s="23">
        <v>46041</v>
      </c>
      <c r="U528" s="23">
        <v>47136</v>
      </c>
      <c r="X528" s="20">
        <v>2500</v>
      </c>
      <c r="Z528" s="6" t="s">
        <v>5978</v>
      </c>
      <c r="AA528" s="14">
        <f t="shared" si="71"/>
        <v>5.9999999999999995E-4</v>
      </c>
      <c r="AB528">
        <v>1.29843</v>
      </c>
      <c r="AC528">
        <v>1.3503672</v>
      </c>
    </row>
    <row r="529" spans="1:29" x14ac:dyDescent="0.3">
      <c r="A529">
        <v>149709</v>
      </c>
      <c r="B529" s="25" t="s">
        <v>5984</v>
      </c>
      <c r="C529" t="s">
        <v>20</v>
      </c>
      <c r="D529" t="s">
        <v>21</v>
      </c>
      <c r="E529">
        <v>2222222</v>
      </c>
      <c r="F529" s="8" t="s">
        <v>22</v>
      </c>
      <c r="G529" s="2">
        <v>98</v>
      </c>
      <c r="H529" t="s">
        <v>3905</v>
      </c>
      <c r="I529" t="s">
        <v>3905</v>
      </c>
      <c r="J529" s="9" t="s">
        <v>5206</v>
      </c>
      <c r="K529" t="s">
        <v>5207</v>
      </c>
      <c r="L529" s="2">
        <v>1</v>
      </c>
      <c r="M529" s="24" t="s">
        <v>5971</v>
      </c>
      <c r="N529" s="2" t="s">
        <v>23</v>
      </c>
      <c r="O529" s="18" t="s">
        <v>462</v>
      </c>
      <c r="P529" s="18" t="s">
        <v>3781</v>
      </c>
      <c r="Q529" s="6" t="s">
        <v>4475</v>
      </c>
      <c r="T529" s="23">
        <v>46043</v>
      </c>
      <c r="U529" s="23">
        <v>46588</v>
      </c>
      <c r="X529" s="20">
        <v>2575</v>
      </c>
      <c r="Z529" s="6" t="s">
        <v>5978</v>
      </c>
      <c r="AA529" s="14">
        <f t="shared" si="71"/>
        <v>5.9999999999999995E-4</v>
      </c>
      <c r="AB529">
        <v>1.0715520000000001</v>
      </c>
      <c r="AC529">
        <v>1.1144140800000002</v>
      </c>
    </row>
    <row r="530" spans="1:29" x14ac:dyDescent="0.3">
      <c r="A530">
        <v>149743</v>
      </c>
      <c r="B530" s="25" t="s">
        <v>5984</v>
      </c>
      <c r="C530" t="s">
        <v>20</v>
      </c>
      <c r="D530" t="s">
        <v>21</v>
      </c>
      <c r="E530">
        <v>2222222</v>
      </c>
      <c r="F530" s="8" t="s">
        <v>22</v>
      </c>
      <c r="G530" s="2">
        <v>98</v>
      </c>
      <c r="H530" t="s">
        <v>3905</v>
      </c>
      <c r="I530" t="s">
        <v>4164</v>
      </c>
      <c r="J530" s="9" t="s">
        <v>4911</v>
      </c>
      <c r="K530" t="s">
        <v>4924</v>
      </c>
      <c r="L530" s="2">
        <v>1</v>
      </c>
      <c r="M530" s="24" t="s">
        <v>5971</v>
      </c>
      <c r="N530" s="2" t="s">
        <v>23</v>
      </c>
      <c r="O530" s="18" t="s">
        <v>445</v>
      </c>
      <c r="P530" s="18" t="s">
        <v>3781</v>
      </c>
      <c r="Q530" s="6" t="s">
        <v>4475</v>
      </c>
      <c r="T530" s="23">
        <v>46045</v>
      </c>
      <c r="U530" s="23">
        <v>46410</v>
      </c>
      <c r="X530" s="20">
        <v>470</v>
      </c>
      <c r="Z530" s="6" t="s">
        <v>5978</v>
      </c>
      <c r="AA530" s="14">
        <f t="shared" si="71"/>
        <v>5.9999999999999995E-4</v>
      </c>
      <c r="AB530">
        <v>0.1467</v>
      </c>
      <c r="AC530">
        <v>0.15256800000000001</v>
      </c>
    </row>
    <row r="531" spans="1:29" x14ac:dyDescent="0.3">
      <c r="A531">
        <v>149864</v>
      </c>
      <c r="B531" s="25" t="s">
        <v>5984</v>
      </c>
      <c r="C531" t="s">
        <v>20</v>
      </c>
      <c r="D531" t="s">
        <v>21</v>
      </c>
      <c r="E531">
        <v>2222222</v>
      </c>
      <c r="F531" s="8" t="s">
        <v>22</v>
      </c>
      <c r="G531" s="2">
        <v>98</v>
      </c>
      <c r="H531" t="s">
        <v>3905</v>
      </c>
      <c r="I531" t="s">
        <v>3905</v>
      </c>
      <c r="J531" s="9" t="s">
        <v>4911</v>
      </c>
      <c r="K531" t="s">
        <v>4926</v>
      </c>
      <c r="L531" s="2">
        <v>1</v>
      </c>
      <c r="M531" s="24" t="s">
        <v>5971</v>
      </c>
      <c r="N531" s="2" t="s">
        <v>23</v>
      </c>
      <c r="O531" s="18" t="s">
        <v>463</v>
      </c>
      <c r="P531" s="18" t="s">
        <v>3781</v>
      </c>
      <c r="Q531" s="6" t="s">
        <v>4475</v>
      </c>
      <c r="T531" s="23">
        <v>46052</v>
      </c>
      <c r="U531" s="23">
        <v>47515</v>
      </c>
      <c r="X531" s="20">
        <v>5000</v>
      </c>
      <c r="Z531" s="6" t="s">
        <v>5978</v>
      </c>
      <c r="AA531" s="14">
        <f t="shared" si="71"/>
        <v>5.9999999999999995E-4</v>
      </c>
      <c r="AB531">
        <v>2.7787860000000002</v>
      </c>
      <c r="AC531">
        <v>2.8899374400000002</v>
      </c>
    </row>
    <row r="532" spans="1:29" x14ac:dyDescent="0.3">
      <c r="A532">
        <v>149956</v>
      </c>
      <c r="B532" s="25" t="s">
        <v>5984</v>
      </c>
      <c r="C532" t="s">
        <v>20</v>
      </c>
      <c r="D532" t="s">
        <v>21</v>
      </c>
      <c r="E532">
        <v>2222222</v>
      </c>
      <c r="F532" s="8" t="s">
        <v>22</v>
      </c>
      <c r="G532" s="2">
        <v>98</v>
      </c>
      <c r="H532" t="s">
        <v>3905</v>
      </c>
      <c r="I532" t="s">
        <v>4532</v>
      </c>
      <c r="J532" s="9" t="s">
        <v>4967</v>
      </c>
      <c r="K532" t="s">
        <v>5208</v>
      </c>
      <c r="L532" s="2">
        <v>1</v>
      </c>
      <c r="M532" s="24" t="s">
        <v>5971</v>
      </c>
      <c r="N532" s="2" t="s">
        <v>23</v>
      </c>
      <c r="O532" s="18" t="s">
        <v>67</v>
      </c>
      <c r="P532" s="18" t="s">
        <v>3781</v>
      </c>
      <c r="Q532" s="6" t="s">
        <v>4475</v>
      </c>
      <c r="T532" s="23">
        <v>46062</v>
      </c>
      <c r="U532" s="23">
        <v>46429</v>
      </c>
      <c r="X532" s="20">
        <v>2000</v>
      </c>
      <c r="Z532" s="6" t="s">
        <v>5978</v>
      </c>
      <c r="AA532" s="14">
        <f t="shared" si="71"/>
        <v>5.9999999999999995E-4</v>
      </c>
      <c r="AB532">
        <v>0.72479399999999994</v>
      </c>
      <c r="AC532">
        <v>0.75378575999999997</v>
      </c>
    </row>
    <row r="533" spans="1:29" x14ac:dyDescent="0.3">
      <c r="A533">
        <v>150079</v>
      </c>
      <c r="B533" s="25" t="s">
        <v>5984</v>
      </c>
      <c r="C533" t="s">
        <v>20</v>
      </c>
      <c r="D533" t="s">
        <v>21</v>
      </c>
      <c r="E533">
        <v>2222222</v>
      </c>
      <c r="F533" s="8" t="s">
        <v>22</v>
      </c>
      <c r="G533" s="2">
        <v>98</v>
      </c>
      <c r="H533" t="s">
        <v>3905</v>
      </c>
      <c r="I533" t="s">
        <v>4729</v>
      </c>
      <c r="J533" s="9" t="s">
        <v>5209</v>
      </c>
      <c r="K533" t="s">
        <v>5125</v>
      </c>
      <c r="L533" s="2">
        <v>1</v>
      </c>
      <c r="M533" s="24" t="s">
        <v>5971</v>
      </c>
      <c r="N533" s="2" t="s">
        <v>23</v>
      </c>
      <c r="O533" s="18" t="s">
        <v>464</v>
      </c>
      <c r="P533" s="18" t="s">
        <v>0</v>
      </c>
      <c r="Q533" s="6" t="s">
        <v>4475</v>
      </c>
      <c r="T533" s="23">
        <v>46071</v>
      </c>
      <c r="U533" s="23">
        <v>46619</v>
      </c>
      <c r="X533" s="20">
        <v>1800</v>
      </c>
      <c r="Z533" s="6" t="s">
        <v>5978</v>
      </c>
      <c r="AA533" s="14">
        <f t="shared" si="71"/>
        <v>5.9999999999999995E-4</v>
      </c>
      <c r="AB533">
        <v>0.80719799999999986</v>
      </c>
      <c r="AC533">
        <v>0.83948591999999989</v>
      </c>
    </row>
    <row r="534" spans="1:29" x14ac:dyDescent="0.3">
      <c r="A534">
        <v>150280</v>
      </c>
      <c r="B534" s="25" t="s">
        <v>5984</v>
      </c>
      <c r="C534" t="s">
        <v>20</v>
      </c>
      <c r="D534" t="s">
        <v>21</v>
      </c>
      <c r="E534">
        <v>2222222</v>
      </c>
      <c r="F534" s="8" t="s">
        <v>22</v>
      </c>
      <c r="G534" s="2">
        <v>98</v>
      </c>
      <c r="H534" t="s">
        <v>3905</v>
      </c>
      <c r="I534" t="s">
        <v>4532</v>
      </c>
      <c r="J534" s="9" t="s">
        <v>5013</v>
      </c>
      <c r="K534" t="s">
        <v>5197</v>
      </c>
      <c r="L534" s="2">
        <v>1</v>
      </c>
      <c r="M534" s="24" t="s">
        <v>5971</v>
      </c>
      <c r="N534" s="2" t="s">
        <v>23</v>
      </c>
      <c r="O534" s="18" t="s">
        <v>465</v>
      </c>
      <c r="P534" s="18" t="s">
        <v>0</v>
      </c>
      <c r="Q534" s="6" t="s">
        <v>4475</v>
      </c>
      <c r="T534" s="23">
        <v>46084</v>
      </c>
      <c r="U534" s="23">
        <v>46632</v>
      </c>
      <c r="X534" s="20">
        <v>5000</v>
      </c>
      <c r="Z534" s="6" t="s">
        <v>5978</v>
      </c>
      <c r="AA534" s="14">
        <f t="shared" si="71"/>
        <v>5.9999999999999995E-4</v>
      </c>
      <c r="AB534">
        <v>2.4009179999999999</v>
      </c>
      <c r="AC534">
        <v>2.4969547200000002</v>
      </c>
    </row>
    <row r="535" spans="1:29" x14ac:dyDescent="0.3">
      <c r="A535">
        <v>150326</v>
      </c>
      <c r="B535" s="25" t="s">
        <v>5984</v>
      </c>
      <c r="C535" t="s">
        <v>20</v>
      </c>
      <c r="D535" t="s">
        <v>21</v>
      </c>
      <c r="E535">
        <v>2222222</v>
      </c>
      <c r="F535" s="8" t="s">
        <v>22</v>
      </c>
      <c r="G535" s="2">
        <v>98</v>
      </c>
      <c r="H535" t="s">
        <v>3905</v>
      </c>
      <c r="I535" t="s">
        <v>4184</v>
      </c>
      <c r="J535" s="9" t="s">
        <v>4829</v>
      </c>
      <c r="K535" t="s">
        <v>5075</v>
      </c>
      <c r="L535" s="2">
        <v>1</v>
      </c>
      <c r="M535" s="24" t="s">
        <v>5971</v>
      </c>
      <c r="N535" s="2" t="s">
        <v>23</v>
      </c>
      <c r="O535" s="18" t="s">
        <v>466</v>
      </c>
      <c r="P535" s="18" t="s">
        <v>3781</v>
      </c>
      <c r="Q535" s="6" t="s">
        <v>4475</v>
      </c>
      <c r="T535" s="23">
        <v>46091</v>
      </c>
      <c r="U535" s="23">
        <v>47916</v>
      </c>
      <c r="X535" s="20">
        <v>40000</v>
      </c>
      <c r="Z535" s="6" t="s">
        <v>5978</v>
      </c>
      <c r="AA535" s="14">
        <f t="shared" si="71"/>
        <v>5.9999999999999995E-4</v>
      </c>
      <c r="AB535">
        <v>22.894848</v>
      </c>
      <c r="AC535">
        <v>23.810641920000002</v>
      </c>
    </row>
    <row r="536" spans="1:29" x14ac:dyDescent="0.3">
      <c r="A536">
        <v>150440</v>
      </c>
      <c r="B536" s="25" t="s">
        <v>5984</v>
      </c>
      <c r="C536" t="s">
        <v>20</v>
      </c>
      <c r="D536" t="s">
        <v>21</v>
      </c>
      <c r="E536">
        <v>2222222</v>
      </c>
      <c r="F536" s="8" t="s">
        <v>22</v>
      </c>
      <c r="G536" s="2">
        <v>98</v>
      </c>
      <c r="H536" t="s">
        <v>3905</v>
      </c>
      <c r="I536" t="s">
        <v>4672</v>
      </c>
      <c r="J536" s="9" t="s">
        <v>5210</v>
      </c>
      <c r="K536" t="s">
        <v>4844</v>
      </c>
      <c r="L536" s="2">
        <v>1</v>
      </c>
      <c r="M536" s="24" t="s">
        <v>5971</v>
      </c>
      <c r="N536" s="2" t="s">
        <v>23</v>
      </c>
      <c r="O536" s="18" t="s">
        <v>467</v>
      </c>
      <c r="P536" s="18" t="s">
        <v>0</v>
      </c>
      <c r="Q536" s="6" t="s">
        <v>4475</v>
      </c>
      <c r="T536" s="23">
        <v>46104</v>
      </c>
      <c r="U536" s="23">
        <v>48113</v>
      </c>
      <c r="X536" s="20">
        <v>14360</v>
      </c>
      <c r="Z536" s="6" t="s">
        <v>5978</v>
      </c>
      <c r="AA536" s="14">
        <f t="shared" si="71"/>
        <v>5.9999999999999995E-4</v>
      </c>
      <c r="AB536">
        <v>8.2599660000000004</v>
      </c>
      <c r="AC536">
        <v>8.5903646400000007</v>
      </c>
    </row>
    <row r="537" spans="1:29" x14ac:dyDescent="0.3">
      <c r="A537">
        <v>150448</v>
      </c>
      <c r="B537" s="25" t="s">
        <v>5984</v>
      </c>
      <c r="C537" t="s">
        <v>20</v>
      </c>
      <c r="D537" t="s">
        <v>21</v>
      </c>
      <c r="E537">
        <v>2222222</v>
      </c>
      <c r="F537" s="8" t="s">
        <v>22</v>
      </c>
      <c r="G537" s="2">
        <v>98</v>
      </c>
      <c r="H537" t="s">
        <v>3905</v>
      </c>
      <c r="I537" t="s">
        <v>4184</v>
      </c>
      <c r="J537" s="9" t="s">
        <v>4891</v>
      </c>
      <c r="K537" t="s">
        <v>5118</v>
      </c>
      <c r="L537" s="2">
        <v>1</v>
      </c>
      <c r="M537" s="24" t="s">
        <v>5971</v>
      </c>
      <c r="N537" s="2" t="s">
        <v>23</v>
      </c>
      <c r="O537" s="18" t="s">
        <v>468</v>
      </c>
      <c r="P537" s="18" t="s">
        <v>3781</v>
      </c>
      <c r="Q537" s="6" t="s">
        <v>4475</v>
      </c>
      <c r="T537" s="23">
        <v>46104</v>
      </c>
      <c r="U537" s="23">
        <v>47140</v>
      </c>
      <c r="X537" s="20">
        <v>40000</v>
      </c>
      <c r="Z537" s="6" t="s">
        <v>5978</v>
      </c>
      <c r="AA537" s="14">
        <f t="shared" si="71"/>
        <v>5.9999999999999995E-4</v>
      </c>
      <c r="AB537">
        <v>21.673277999999996</v>
      </c>
      <c r="AC537">
        <v>22.540209119999997</v>
      </c>
    </row>
    <row r="538" spans="1:29" x14ac:dyDescent="0.3">
      <c r="A538">
        <v>150456</v>
      </c>
      <c r="B538" s="25" t="s">
        <v>5984</v>
      </c>
      <c r="C538" t="s">
        <v>20</v>
      </c>
      <c r="D538" t="s">
        <v>21</v>
      </c>
      <c r="E538">
        <v>2222222</v>
      </c>
      <c r="F538" s="8" t="s">
        <v>22</v>
      </c>
      <c r="G538" s="2">
        <v>98</v>
      </c>
      <c r="H538" t="s">
        <v>3905</v>
      </c>
      <c r="I538" t="s">
        <v>3949</v>
      </c>
      <c r="J538" s="9" t="s">
        <v>4891</v>
      </c>
      <c r="K538" t="s">
        <v>4923</v>
      </c>
      <c r="L538" s="2">
        <v>1</v>
      </c>
      <c r="M538" s="24" t="s">
        <v>5971</v>
      </c>
      <c r="N538" s="2" t="s">
        <v>23</v>
      </c>
      <c r="O538" s="18" t="s">
        <v>469</v>
      </c>
      <c r="P538" s="18" t="s">
        <v>3781</v>
      </c>
      <c r="Q538" s="6" t="s">
        <v>4475</v>
      </c>
      <c r="T538" s="23">
        <v>46094</v>
      </c>
      <c r="U538" s="23">
        <v>46277</v>
      </c>
      <c r="X538" s="20">
        <v>310</v>
      </c>
      <c r="Z538" s="6" t="s">
        <v>5978</v>
      </c>
      <c r="AA538" s="14">
        <f t="shared" si="71"/>
        <v>5.9999999999999995E-4</v>
      </c>
      <c r="AB538">
        <v>6.3731999999999997E-2</v>
      </c>
      <c r="AC538">
        <v>6.6281279999999998E-2</v>
      </c>
    </row>
    <row r="539" spans="1:29" x14ac:dyDescent="0.3">
      <c r="A539">
        <v>150469</v>
      </c>
      <c r="B539" s="25" t="s">
        <v>5984</v>
      </c>
      <c r="C539" t="s">
        <v>20</v>
      </c>
      <c r="D539" t="s">
        <v>21</v>
      </c>
      <c r="E539">
        <v>2222222</v>
      </c>
      <c r="F539" s="8" t="s">
        <v>22</v>
      </c>
      <c r="G539" s="2">
        <v>98</v>
      </c>
      <c r="H539" t="s">
        <v>3905</v>
      </c>
      <c r="I539" t="s">
        <v>4532</v>
      </c>
      <c r="J539" s="9" t="s">
        <v>4967</v>
      </c>
      <c r="K539" t="s">
        <v>5208</v>
      </c>
      <c r="L539" s="2">
        <v>1</v>
      </c>
      <c r="M539" s="24" t="s">
        <v>5971</v>
      </c>
      <c r="N539" s="2" t="s">
        <v>23</v>
      </c>
      <c r="O539" s="18" t="s">
        <v>67</v>
      </c>
      <c r="P539" s="18" t="s">
        <v>3781</v>
      </c>
      <c r="Q539" s="6" t="s">
        <v>4475</v>
      </c>
      <c r="T539" s="23">
        <v>46097</v>
      </c>
      <c r="U539" s="23">
        <v>47561</v>
      </c>
      <c r="X539" s="20">
        <v>5000</v>
      </c>
      <c r="Z539" s="6" t="s">
        <v>5978</v>
      </c>
      <c r="AA539" s="14">
        <f t="shared" si="71"/>
        <v>5.9999999999999995E-4</v>
      </c>
      <c r="AB539">
        <v>2.8234439999999998</v>
      </c>
      <c r="AC539">
        <v>2.9363817599999997</v>
      </c>
    </row>
    <row r="540" spans="1:29" x14ac:dyDescent="0.3">
      <c r="A540">
        <v>150532</v>
      </c>
      <c r="B540" s="25" t="s">
        <v>5984</v>
      </c>
      <c r="C540" t="s">
        <v>20</v>
      </c>
      <c r="D540" t="s">
        <v>21</v>
      </c>
      <c r="E540">
        <v>2222222</v>
      </c>
      <c r="F540" s="8" t="s">
        <v>22</v>
      </c>
      <c r="G540" s="2">
        <v>98</v>
      </c>
      <c r="H540" t="s">
        <v>3905</v>
      </c>
      <c r="I540" t="s">
        <v>4184</v>
      </c>
      <c r="J540" s="9" t="s">
        <v>4917</v>
      </c>
      <c r="K540" t="s">
        <v>5075</v>
      </c>
      <c r="L540" s="2">
        <v>1</v>
      </c>
      <c r="M540" s="24" t="s">
        <v>5971</v>
      </c>
      <c r="N540" s="2" t="s">
        <v>23</v>
      </c>
      <c r="O540" s="18" t="s">
        <v>470</v>
      </c>
      <c r="P540" s="18" t="s">
        <v>3781</v>
      </c>
      <c r="Q540" s="6" t="s">
        <v>4475</v>
      </c>
      <c r="T540" s="23">
        <v>46099</v>
      </c>
      <c r="U540" s="23">
        <v>46829</v>
      </c>
      <c r="X540" s="20">
        <v>2060</v>
      </c>
      <c r="Z540" s="6" t="s">
        <v>5978</v>
      </c>
      <c r="AA540" s="14">
        <f t="shared" si="71"/>
        <v>5.9999999999999995E-4</v>
      </c>
      <c r="AB540">
        <v>1.0578419999999999</v>
      </c>
      <c r="AC540">
        <v>1.1001556800000001</v>
      </c>
    </row>
    <row r="541" spans="1:29" x14ac:dyDescent="0.3">
      <c r="A541">
        <v>150587</v>
      </c>
      <c r="B541" s="25" t="s">
        <v>5984</v>
      </c>
      <c r="C541" t="s">
        <v>20</v>
      </c>
      <c r="D541" t="s">
        <v>21</v>
      </c>
      <c r="E541">
        <v>2222222</v>
      </c>
      <c r="F541" s="8" t="s">
        <v>22</v>
      </c>
      <c r="G541" s="2">
        <v>98</v>
      </c>
      <c r="H541" t="s">
        <v>3905</v>
      </c>
      <c r="I541" t="s">
        <v>4532</v>
      </c>
      <c r="J541" s="9" t="s">
        <v>4852</v>
      </c>
      <c r="K541" t="s">
        <v>5211</v>
      </c>
      <c r="L541" s="2">
        <v>1</v>
      </c>
      <c r="M541" s="24" t="s">
        <v>5971</v>
      </c>
      <c r="N541" s="2" t="s">
        <v>23</v>
      </c>
      <c r="O541" s="18" t="s">
        <v>471</v>
      </c>
      <c r="P541" s="18" t="s">
        <v>0</v>
      </c>
      <c r="Q541" s="6" t="s">
        <v>4475</v>
      </c>
      <c r="T541" s="23">
        <v>46103</v>
      </c>
      <c r="U541" s="23">
        <v>46833</v>
      </c>
      <c r="X541" s="20">
        <v>2520</v>
      </c>
      <c r="Z541" s="6" t="s">
        <v>5978</v>
      </c>
      <c r="AA541" s="14">
        <f t="shared" si="71"/>
        <v>5.9999999999999995E-4</v>
      </c>
      <c r="AB541">
        <v>1.2940499999999999</v>
      </c>
      <c r="AC541">
        <v>1.345812</v>
      </c>
    </row>
    <row r="542" spans="1:29" x14ac:dyDescent="0.3">
      <c r="A542">
        <v>150662</v>
      </c>
      <c r="B542" s="25" t="s">
        <v>5984</v>
      </c>
      <c r="C542" t="s">
        <v>20</v>
      </c>
      <c r="D542" t="s">
        <v>21</v>
      </c>
      <c r="E542">
        <v>2222222</v>
      </c>
      <c r="F542" s="8" t="s">
        <v>22</v>
      </c>
      <c r="G542" s="2">
        <v>98</v>
      </c>
      <c r="H542" t="s">
        <v>3905</v>
      </c>
      <c r="I542" t="s">
        <v>4508</v>
      </c>
      <c r="J542" s="9" t="s">
        <v>4956</v>
      </c>
      <c r="K542" t="s">
        <v>5195</v>
      </c>
      <c r="L542" s="2">
        <v>1</v>
      </c>
      <c r="M542" s="24" t="s">
        <v>5971</v>
      </c>
      <c r="N542" s="2" t="s">
        <v>23</v>
      </c>
      <c r="O542" s="18" t="s">
        <v>439</v>
      </c>
      <c r="P542" s="18" t="s">
        <v>3781</v>
      </c>
      <c r="Q542" s="6" t="s">
        <v>4475</v>
      </c>
      <c r="T542" s="23">
        <v>46107</v>
      </c>
      <c r="U542" s="23">
        <v>47202</v>
      </c>
      <c r="X542" s="20">
        <v>1900</v>
      </c>
      <c r="Z542" s="6" t="s">
        <v>5978</v>
      </c>
      <c r="AA542" s="14">
        <f t="shared" si="71"/>
        <v>5.9999999999999995E-4</v>
      </c>
      <c r="AB542">
        <v>1.0399080000000001</v>
      </c>
      <c r="AC542">
        <v>1.0815043200000001</v>
      </c>
    </row>
    <row r="543" spans="1:29" x14ac:dyDescent="0.3">
      <c r="A543">
        <v>150736</v>
      </c>
      <c r="B543" s="25" t="s">
        <v>5984</v>
      </c>
      <c r="C543" t="s">
        <v>20</v>
      </c>
      <c r="D543" t="s">
        <v>21</v>
      </c>
      <c r="E543">
        <v>2222222</v>
      </c>
      <c r="F543" s="8" t="s">
        <v>22</v>
      </c>
      <c r="G543" s="2">
        <v>98</v>
      </c>
      <c r="H543" t="s">
        <v>3905</v>
      </c>
      <c r="I543" t="s">
        <v>3896</v>
      </c>
      <c r="J543" s="9" t="s">
        <v>4852</v>
      </c>
      <c r="K543" t="s">
        <v>4961</v>
      </c>
      <c r="L543" s="2">
        <v>1</v>
      </c>
      <c r="M543" s="24" t="s">
        <v>5971</v>
      </c>
      <c r="N543" s="2" t="s">
        <v>23</v>
      </c>
      <c r="O543" s="18" t="s">
        <v>410</v>
      </c>
      <c r="P543" s="18" t="s">
        <v>0</v>
      </c>
      <c r="Q543" s="6" t="s">
        <v>4475</v>
      </c>
      <c r="T543" s="23">
        <v>46112</v>
      </c>
      <c r="U543" s="23">
        <v>47578</v>
      </c>
      <c r="X543" s="20">
        <v>5000</v>
      </c>
      <c r="Z543" s="6" t="s">
        <v>5978</v>
      </c>
      <c r="AA543" s="14">
        <f t="shared" si="71"/>
        <v>5.9999999999999995E-4</v>
      </c>
      <c r="AB543">
        <v>2.8689779999999998</v>
      </c>
      <c r="AC543">
        <v>2.9837371199999998</v>
      </c>
    </row>
    <row r="544" spans="1:29" x14ac:dyDescent="0.3">
      <c r="A544">
        <v>150744</v>
      </c>
      <c r="B544" s="25" t="s">
        <v>5984</v>
      </c>
      <c r="C544" t="s">
        <v>20</v>
      </c>
      <c r="D544" t="s">
        <v>21</v>
      </c>
      <c r="E544">
        <v>2222222</v>
      </c>
      <c r="F544" s="8" t="s">
        <v>22</v>
      </c>
      <c r="G544" s="2">
        <v>98</v>
      </c>
      <c r="H544" t="s">
        <v>3905</v>
      </c>
      <c r="I544" t="s">
        <v>4164</v>
      </c>
      <c r="J544" s="9" t="s">
        <v>5041</v>
      </c>
      <c r="K544" t="s">
        <v>5212</v>
      </c>
      <c r="L544" s="2">
        <v>1</v>
      </c>
      <c r="M544" s="24" t="s">
        <v>5971</v>
      </c>
      <c r="N544" s="2" t="s">
        <v>23</v>
      </c>
      <c r="O544" s="18" t="s">
        <v>472</v>
      </c>
      <c r="P544" s="18" t="s">
        <v>0</v>
      </c>
      <c r="Q544" s="6" t="s">
        <v>4475</v>
      </c>
      <c r="T544" s="23">
        <v>46112</v>
      </c>
      <c r="U544" s="23">
        <v>46842</v>
      </c>
      <c r="X544" s="20">
        <v>4000</v>
      </c>
      <c r="Z544" s="6" t="s">
        <v>5978</v>
      </c>
      <c r="AA544" s="14">
        <f t="shared" si="71"/>
        <v>5.9999999999999995E-4</v>
      </c>
      <c r="AB544">
        <v>2.0570519999999997</v>
      </c>
      <c r="AC544">
        <v>2.1393340799999998</v>
      </c>
    </row>
    <row r="545" spans="1:29" x14ac:dyDescent="0.3">
      <c r="A545">
        <v>150795</v>
      </c>
      <c r="B545" s="25" t="s">
        <v>5984</v>
      </c>
      <c r="C545" t="s">
        <v>20</v>
      </c>
      <c r="D545" t="s">
        <v>21</v>
      </c>
      <c r="E545">
        <v>2222222</v>
      </c>
      <c r="F545" s="8" t="s">
        <v>22</v>
      </c>
      <c r="G545" s="2">
        <v>98</v>
      </c>
      <c r="H545" t="s">
        <v>3905</v>
      </c>
      <c r="I545" t="s">
        <v>3905</v>
      </c>
      <c r="J545" s="9" t="s">
        <v>5213</v>
      </c>
      <c r="K545" t="s">
        <v>5974</v>
      </c>
      <c r="L545" s="2">
        <v>1</v>
      </c>
      <c r="M545" s="24" t="s">
        <v>5971</v>
      </c>
      <c r="N545" s="2" t="s">
        <v>23</v>
      </c>
      <c r="O545" s="18" t="s">
        <v>473</v>
      </c>
      <c r="P545" s="18" t="s">
        <v>3781</v>
      </c>
      <c r="Q545" s="6" t="s">
        <v>4475</v>
      </c>
      <c r="T545" s="23">
        <v>46118</v>
      </c>
      <c r="U545" s="23">
        <v>46483</v>
      </c>
      <c r="X545" s="20">
        <v>2600</v>
      </c>
      <c r="Z545" s="6" t="s">
        <v>5978</v>
      </c>
      <c r="AA545" s="14">
        <f t="shared" si="71"/>
        <v>5.9999999999999995E-4</v>
      </c>
      <c r="AB545">
        <v>1.1944919999999999</v>
      </c>
      <c r="AC545">
        <v>1.24227168</v>
      </c>
    </row>
    <row r="546" spans="1:29" x14ac:dyDescent="0.3">
      <c r="A546">
        <v>150878</v>
      </c>
      <c r="B546" s="25" t="s">
        <v>5984</v>
      </c>
      <c r="C546" t="s">
        <v>20</v>
      </c>
      <c r="D546" t="s">
        <v>21</v>
      </c>
      <c r="E546">
        <v>2222222</v>
      </c>
      <c r="F546" s="8" t="s">
        <v>22</v>
      </c>
      <c r="G546" s="2">
        <v>98</v>
      </c>
      <c r="H546" t="s">
        <v>3905</v>
      </c>
      <c r="I546" t="s">
        <v>4570</v>
      </c>
      <c r="J546" s="9" t="s">
        <v>5214</v>
      </c>
      <c r="K546" t="s">
        <v>5144</v>
      </c>
      <c r="L546" s="2">
        <v>1</v>
      </c>
      <c r="M546" s="24" t="s">
        <v>5971</v>
      </c>
      <c r="N546" s="2" t="s">
        <v>23</v>
      </c>
      <c r="O546" s="18" t="s">
        <v>474</v>
      </c>
      <c r="P546" s="18" t="s">
        <v>0</v>
      </c>
      <c r="Q546" s="6" t="s">
        <v>4475</v>
      </c>
      <c r="T546" s="23">
        <v>46124</v>
      </c>
      <c r="U546" s="23">
        <v>46214</v>
      </c>
      <c r="X546" s="20">
        <v>5000</v>
      </c>
      <c r="Z546" s="6" t="s">
        <v>5978</v>
      </c>
      <c r="AA546" s="14">
        <f t="shared" si="71"/>
        <v>5.9999999999999995E-4</v>
      </c>
      <c r="AB546">
        <v>2.9999999999999996</v>
      </c>
      <c r="AC546">
        <v>3.1199999999999997</v>
      </c>
    </row>
    <row r="547" spans="1:29" x14ac:dyDescent="0.3">
      <c r="A547">
        <v>150879</v>
      </c>
      <c r="B547" s="25" t="s">
        <v>5984</v>
      </c>
      <c r="C547" t="s">
        <v>20</v>
      </c>
      <c r="D547" t="s">
        <v>21</v>
      </c>
      <c r="E547">
        <v>2222222</v>
      </c>
      <c r="F547" s="8" t="s">
        <v>22</v>
      </c>
      <c r="G547" s="2">
        <v>98</v>
      </c>
      <c r="H547" t="s">
        <v>3905</v>
      </c>
      <c r="I547" t="s">
        <v>4570</v>
      </c>
      <c r="J547" s="9" t="s">
        <v>5214</v>
      </c>
      <c r="K547" t="s">
        <v>5144</v>
      </c>
      <c r="L547" s="2">
        <v>1</v>
      </c>
      <c r="M547" s="24" t="s">
        <v>5971</v>
      </c>
      <c r="N547" s="2" t="s">
        <v>23</v>
      </c>
      <c r="O547" s="18" t="s">
        <v>474</v>
      </c>
      <c r="P547" s="18" t="s">
        <v>0</v>
      </c>
      <c r="Q547" s="6" t="s">
        <v>4475</v>
      </c>
      <c r="T547" s="23">
        <v>46124</v>
      </c>
      <c r="U547" s="23">
        <v>46214</v>
      </c>
      <c r="X547" s="20">
        <v>2050</v>
      </c>
      <c r="Z547" s="6" t="s">
        <v>5978</v>
      </c>
      <c r="AA547" s="14">
        <f t="shared" si="71"/>
        <v>5.9999999999999995E-4</v>
      </c>
      <c r="AB547">
        <v>1.23</v>
      </c>
      <c r="AC547">
        <v>1.2792000000000001</v>
      </c>
    </row>
    <row r="548" spans="1:29" x14ac:dyDescent="0.3">
      <c r="A548">
        <v>150916</v>
      </c>
      <c r="B548" s="25" t="s">
        <v>5984</v>
      </c>
      <c r="C548" t="s">
        <v>20</v>
      </c>
      <c r="D548" t="s">
        <v>21</v>
      </c>
      <c r="E548">
        <v>2222222</v>
      </c>
      <c r="F548" s="8" t="s">
        <v>22</v>
      </c>
      <c r="G548" s="2">
        <v>98</v>
      </c>
      <c r="H548" t="s">
        <v>3905</v>
      </c>
      <c r="I548" t="s">
        <v>3905</v>
      </c>
      <c r="J548" s="9" t="s">
        <v>4967</v>
      </c>
      <c r="K548" t="s">
        <v>5075</v>
      </c>
      <c r="L548" s="2">
        <v>1</v>
      </c>
      <c r="M548" s="24" t="s">
        <v>5971</v>
      </c>
      <c r="N548" s="2" t="s">
        <v>23</v>
      </c>
      <c r="O548" s="18" t="s">
        <v>475</v>
      </c>
      <c r="P548" s="18" t="s">
        <v>3781</v>
      </c>
      <c r="Q548" s="6" t="s">
        <v>4475</v>
      </c>
      <c r="T548" s="23">
        <v>46126</v>
      </c>
      <c r="U548" s="23">
        <v>46857</v>
      </c>
      <c r="X548" s="20">
        <v>5000</v>
      </c>
      <c r="Z548" s="6" t="s">
        <v>5978</v>
      </c>
      <c r="AA548" s="14">
        <f t="shared" si="71"/>
        <v>5.9999999999999995E-4</v>
      </c>
      <c r="AB548">
        <v>2.6813159999999994</v>
      </c>
      <c r="AC548">
        <v>2.7885686399999994</v>
      </c>
    </row>
    <row r="549" spans="1:29" x14ac:dyDescent="0.3">
      <c r="A549">
        <v>151033</v>
      </c>
      <c r="B549" s="25" t="s">
        <v>5984</v>
      </c>
      <c r="C549" t="s">
        <v>20</v>
      </c>
      <c r="D549" t="s">
        <v>21</v>
      </c>
      <c r="E549">
        <v>2222222</v>
      </c>
      <c r="F549" s="8" t="s">
        <v>22</v>
      </c>
      <c r="G549" s="2">
        <v>98</v>
      </c>
      <c r="H549" t="s">
        <v>3905</v>
      </c>
      <c r="I549" t="s">
        <v>3965</v>
      </c>
      <c r="J549" s="9" t="s">
        <v>4838</v>
      </c>
      <c r="K549" t="s">
        <v>5068</v>
      </c>
      <c r="L549" s="2">
        <v>1</v>
      </c>
      <c r="M549" s="24" t="s">
        <v>5971</v>
      </c>
      <c r="N549" s="2" t="s">
        <v>23</v>
      </c>
      <c r="O549" s="18" t="s">
        <v>476</v>
      </c>
      <c r="P549" s="18" t="s">
        <v>0</v>
      </c>
      <c r="Q549" s="6" t="s">
        <v>4475</v>
      </c>
      <c r="T549" s="23">
        <v>46134</v>
      </c>
      <c r="U549" s="23">
        <v>47595</v>
      </c>
      <c r="X549" s="20">
        <v>3650</v>
      </c>
      <c r="Z549" s="6" t="s">
        <v>5978</v>
      </c>
      <c r="AA549" s="14">
        <f t="shared" si="71"/>
        <v>5.9999999999999995E-4</v>
      </c>
      <c r="AB549">
        <v>2.0943479999999997</v>
      </c>
      <c r="AC549">
        <v>2.1781219199999997</v>
      </c>
    </row>
    <row r="550" spans="1:29" x14ac:dyDescent="0.3">
      <c r="A550">
        <v>151110</v>
      </c>
      <c r="B550" s="25" t="s">
        <v>5984</v>
      </c>
      <c r="C550" t="s">
        <v>20</v>
      </c>
      <c r="D550" t="s">
        <v>21</v>
      </c>
      <c r="E550">
        <v>2222222</v>
      </c>
      <c r="F550" s="8" t="s">
        <v>22</v>
      </c>
      <c r="G550" s="2">
        <v>98</v>
      </c>
      <c r="H550" t="s">
        <v>3905</v>
      </c>
      <c r="I550" t="s">
        <v>4663</v>
      </c>
      <c r="J550" s="9" t="s">
        <v>5055</v>
      </c>
      <c r="K550" t="s">
        <v>4863</v>
      </c>
      <c r="L550" s="2">
        <v>1</v>
      </c>
      <c r="M550" s="24" t="s">
        <v>5971</v>
      </c>
      <c r="N550" s="2" t="s">
        <v>23</v>
      </c>
      <c r="O550" s="18" t="s">
        <v>446</v>
      </c>
      <c r="P550" s="18" t="s">
        <v>3781</v>
      </c>
      <c r="Q550" s="6" t="s">
        <v>4475</v>
      </c>
      <c r="T550" s="23">
        <v>46142</v>
      </c>
      <c r="U550" s="23">
        <v>46325</v>
      </c>
      <c r="X550" s="20">
        <v>560</v>
      </c>
      <c r="Z550" s="6" t="s">
        <v>5978</v>
      </c>
      <c r="AA550" s="14">
        <f t="shared" si="71"/>
        <v>5.9999999999999995E-4</v>
      </c>
      <c r="AB550">
        <v>0.17177400000000001</v>
      </c>
      <c r="AC550">
        <v>0.17864496000000002</v>
      </c>
    </row>
    <row r="551" spans="1:29" x14ac:dyDescent="0.3">
      <c r="A551">
        <v>151167</v>
      </c>
      <c r="B551" s="25" t="s">
        <v>5984</v>
      </c>
      <c r="C551" t="s">
        <v>20</v>
      </c>
      <c r="D551" t="s">
        <v>21</v>
      </c>
      <c r="E551">
        <v>2222222</v>
      </c>
      <c r="F551" s="8" t="s">
        <v>22</v>
      </c>
      <c r="G551" s="2">
        <v>98</v>
      </c>
      <c r="H551" t="s">
        <v>3905</v>
      </c>
      <c r="I551" t="s">
        <v>4076</v>
      </c>
      <c r="J551" s="9" t="s">
        <v>4901</v>
      </c>
      <c r="K551" t="s">
        <v>4913</v>
      </c>
      <c r="L551" s="2">
        <v>1</v>
      </c>
      <c r="M551" s="24" t="s">
        <v>5971</v>
      </c>
      <c r="N551" s="2" t="s">
        <v>23</v>
      </c>
      <c r="O551" s="18" t="s">
        <v>477</v>
      </c>
      <c r="P551" s="18" t="s">
        <v>0</v>
      </c>
      <c r="Q551" s="6" t="s">
        <v>4475</v>
      </c>
      <c r="T551" s="23">
        <v>46142</v>
      </c>
      <c r="U551" s="23">
        <v>46232</v>
      </c>
      <c r="X551" s="20">
        <v>1000</v>
      </c>
      <c r="Z551" s="6" t="s">
        <v>5978</v>
      </c>
      <c r="AA551" s="14">
        <f t="shared" ref="AA551:AA571" si="72">+(0.6/1000)</f>
        <v>5.9999999999999995E-4</v>
      </c>
      <c r="AB551">
        <v>0.6</v>
      </c>
      <c r="AC551">
        <v>0.624</v>
      </c>
    </row>
    <row r="552" spans="1:29" x14ac:dyDescent="0.3">
      <c r="A552">
        <v>151196</v>
      </c>
      <c r="B552" s="25" t="s">
        <v>5984</v>
      </c>
      <c r="C552" t="s">
        <v>20</v>
      </c>
      <c r="D552" t="s">
        <v>21</v>
      </c>
      <c r="E552">
        <v>2222222</v>
      </c>
      <c r="F552" s="8" t="s">
        <v>22</v>
      </c>
      <c r="G552" s="2">
        <v>98</v>
      </c>
      <c r="H552" t="s">
        <v>3905</v>
      </c>
      <c r="I552" t="s">
        <v>3912</v>
      </c>
      <c r="J552" s="9" t="s">
        <v>5109</v>
      </c>
      <c r="K552" t="s">
        <v>4964</v>
      </c>
      <c r="L552" s="2">
        <v>1</v>
      </c>
      <c r="M552" s="24" t="s">
        <v>5971</v>
      </c>
      <c r="N552" s="2" t="s">
        <v>23</v>
      </c>
      <c r="O552" s="18" t="s">
        <v>478</v>
      </c>
      <c r="P552" s="18" t="s">
        <v>0</v>
      </c>
      <c r="Q552" s="6" t="s">
        <v>4475</v>
      </c>
      <c r="T552" s="23">
        <v>46146</v>
      </c>
      <c r="U552" s="23">
        <v>46236</v>
      </c>
      <c r="X552" s="20">
        <v>230</v>
      </c>
      <c r="Z552" s="6" t="s">
        <v>5978</v>
      </c>
      <c r="AA552" s="14">
        <f t="shared" si="72"/>
        <v>5.9999999999999995E-4</v>
      </c>
      <c r="AB552">
        <v>0.13799999999999998</v>
      </c>
      <c r="AC552">
        <v>0.14351999999999998</v>
      </c>
    </row>
    <row r="553" spans="1:29" x14ac:dyDescent="0.3">
      <c r="A553">
        <v>151197</v>
      </c>
      <c r="B553" s="25" t="s">
        <v>5984</v>
      </c>
      <c r="C553" t="s">
        <v>20</v>
      </c>
      <c r="D553" t="s">
        <v>21</v>
      </c>
      <c r="E553">
        <v>2222222</v>
      </c>
      <c r="F553" s="8" t="s">
        <v>22</v>
      </c>
      <c r="G553" s="2">
        <v>98</v>
      </c>
      <c r="H553" t="s">
        <v>3905</v>
      </c>
      <c r="I553" t="s">
        <v>3905</v>
      </c>
      <c r="J553" s="9" t="s">
        <v>5204</v>
      </c>
      <c r="K553" t="s">
        <v>5144</v>
      </c>
      <c r="L553" s="2">
        <v>1</v>
      </c>
      <c r="M553" s="24" t="s">
        <v>5971</v>
      </c>
      <c r="N553" s="2" t="s">
        <v>23</v>
      </c>
      <c r="O553" s="18" t="s">
        <v>479</v>
      </c>
      <c r="P553" s="18" t="s">
        <v>0</v>
      </c>
      <c r="Q553" s="6" t="s">
        <v>4475</v>
      </c>
      <c r="T553" s="23">
        <v>46146</v>
      </c>
      <c r="U553" s="23">
        <v>46236</v>
      </c>
      <c r="X553" s="20">
        <v>5000</v>
      </c>
      <c r="Z553" s="6" t="s">
        <v>5978</v>
      </c>
      <c r="AA553" s="14">
        <f t="shared" si="72"/>
        <v>5.9999999999999995E-4</v>
      </c>
      <c r="AB553">
        <v>2.9999999999999996</v>
      </c>
      <c r="AC553">
        <v>3.1199999999999997</v>
      </c>
    </row>
    <row r="554" spans="1:29" x14ac:dyDescent="0.3">
      <c r="A554">
        <v>151226</v>
      </c>
      <c r="B554" s="25" t="s">
        <v>5984</v>
      </c>
      <c r="C554" t="s">
        <v>20</v>
      </c>
      <c r="D554" t="s">
        <v>21</v>
      </c>
      <c r="E554">
        <v>2222222</v>
      </c>
      <c r="F554" s="8" t="s">
        <v>22</v>
      </c>
      <c r="G554" s="2">
        <v>98</v>
      </c>
      <c r="H554" t="s">
        <v>3905</v>
      </c>
      <c r="I554" t="s">
        <v>3905</v>
      </c>
      <c r="J554" s="9" t="s">
        <v>5204</v>
      </c>
      <c r="K554" t="s">
        <v>5135</v>
      </c>
      <c r="L554" s="2">
        <v>1</v>
      </c>
      <c r="M554" s="24" t="s">
        <v>5971</v>
      </c>
      <c r="N554" s="2" t="s">
        <v>23</v>
      </c>
      <c r="O554" s="18" t="s">
        <v>458</v>
      </c>
      <c r="P554" s="18" t="s">
        <v>0</v>
      </c>
      <c r="Q554" s="6" t="s">
        <v>4475</v>
      </c>
      <c r="T554" s="23">
        <v>46148</v>
      </c>
      <c r="U554" s="23">
        <v>47243</v>
      </c>
      <c r="X554" s="20">
        <v>5000</v>
      </c>
      <c r="Z554" s="6" t="s">
        <v>5978</v>
      </c>
      <c r="AA554" s="14">
        <f t="shared" si="72"/>
        <v>5.9999999999999995E-4</v>
      </c>
      <c r="AB554">
        <v>2.8713719999999996</v>
      </c>
      <c r="AC554">
        <v>2.9862268799999998</v>
      </c>
    </row>
    <row r="555" spans="1:29" x14ac:dyDescent="0.3">
      <c r="A555">
        <v>151299</v>
      </c>
      <c r="B555" s="25" t="s">
        <v>5984</v>
      </c>
      <c r="C555" t="s">
        <v>20</v>
      </c>
      <c r="D555" t="s">
        <v>21</v>
      </c>
      <c r="E555">
        <v>2222222</v>
      </c>
      <c r="F555" s="8" t="s">
        <v>22</v>
      </c>
      <c r="G555" s="2">
        <v>98</v>
      </c>
      <c r="H555" t="s">
        <v>3905</v>
      </c>
      <c r="I555" t="s">
        <v>4532</v>
      </c>
      <c r="J555" s="9" t="s">
        <v>5057</v>
      </c>
      <c r="K555" t="s">
        <v>5215</v>
      </c>
      <c r="L555" s="2">
        <v>1</v>
      </c>
      <c r="M555" s="24" t="s">
        <v>5971</v>
      </c>
      <c r="N555" s="2" t="s">
        <v>23</v>
      </c>
      <c r="O555" s="18" t="s">
        <v>480</v>
      </c>
      <c r="P555" s="18" t="s">
        <v>3781</v>
      </c>
      <c r="Q555" s="6" t="s">
        <v>4475</v>
      </c>
      <c r="T555" s="23">
        <v>46154</v>
      </c>
      <c r="U555" s="23">
        <v>46244</v>
      </c>
      <c r="X555" s="20">
        <v>500</v>
      </c>
      <c r="Z555" s="6" t="s">
        <v>5978</v>
      </c>
      <c r="AA555" s="14">
        <f t="shared" si="72"/>
        <v>5.9999999999999995E-4</v>
      </c>
      <c r="AB555">
        <v>0.3</v>
      </c>
      <c r="AC555">
        <v>0.312</v>
      </c>
    </row>
    <row r="556" spans="1:29" x14ac:dyDescent="0.3">
      <c r="A556">
        <v>151340</v>
      </c>
      <c r="B556" s="25" t="s">
        <v>5984</v>
      </c>
      <c r="C556" t="s">
        <v>20</v>
      </c>
      <c r="D556" t="s">
        <v>21</v>
      </c>
      <c r="E556">
        <v>2222222</v>
      </c>
      <c r="F556" s="8" t="s">
        <v>22</v>
      </c>
      <c r="G556" s="2">
        <v>98</v>
      </c>
      <c r="H556" t="s">
        <v>3905</v>
      </c>
      <c r="I556" t="s">
        <v>4236</v>
      </c>
      <c r="J556" s="9" t="s">
        <v>4826</v>
      </c>
      <c r="K556" t="s">
        <v>4841</v>
      </c>
      <c r="L556" s="2">
        <v>1</v>
      </c>
      <c r="M556" s="24" t="s">
        <v>5971</v>
      </c>
      <c r="N556" s="2" t="s">
        <v>23</v>
      </c>
      <c r="O556" s="18" t="s">
        <v>481</v>
      </c>
      <c r="P556" s="18" t="s">
        <v>0</v>
      </c>
      <c r="Q556" s="6" t="s">
        <v>4475</v>
      </c>
      <c r="T556" s="23">
        <v>46157</v>
      </c>
      <c r="U556" s="23">
        <v>46522</v>
      </c>
      <c r="X556" s="20">
        <v>5000</v>
      </c>
      <c r="Z556" s="6" t="s">
        <v>5978</v>
      </c>
      <c r="AA556" s="14">
        <f t="shared" si="72"/>
        <v>5.9999999999999995E-4</v>
      </c>
      <c r="AB556">
        <v>2.5357439999999998</v>
      </c>
      <c r="AC556">
        <v>2.63717376</v>
      </c>
    </row>
    <row r="557" spans="1:29" x14ac:dyDescent="0.3">
      <c r="A557">
        <v>151365</v>
      </c>
      <c r="B557" s="25" t="s">
        <v>5984</v>
      </c>
      <c r="C557" t="s">
        <v>20</v>
      </c>
      <c r="D557" t="s">
        <v>21</v>
      </c>
      <c r="E557">
        <v>2222222</v>
      </c>
      <c r="F557" s="8" t="s">
        <v>22</v>
      </c>
      <c r="G557" s="2">
        <v>98</v>
      </c>
      <c r="H557" t="s">
        <v>3905</v>
      </c>
      <c r="I557" t="s">
        <v>4663</v>
      </c>
      <c r="J557" s="9" t="s">
        <v>5063</v>
      </c>
      <c r="K557" t="s">
        <v>5035</v>
      </c>
      <c r="L557" s="2">
        <v>1</v>
      </c>
      <c r="M557" s="24" t="s">
        <v>5971</v>
      </c>
      <c r="N557" s="2" t="s">
        <v>23</v>
      </c>
      <c r="O557" s="18" t="s">
        <v>413</v>
      </c>
      <c r="P557" s="18" t="s">
        <v>0</v>
      </c>
      <c r="Q557" s="6" t="s">
        <v>4475</v>
      </c>
      <c r="T557" s="23">
        <v>46161</v>
      </c>
      <c r="U557" s="23">
        <v>46251</v>
      </c>
      <c r="X557" s="20">
        <v>50000</v>
      </c>
      <c r="Z557" s="6" t="s">
        <v>5978</v>
      </c>
      <c r="AA557" s="14">
        <f t="shared" si="72"/>
        <v>5.9999999999999995E-4</v>
      </c>
      <c r="AB557">
        <v>29.999999999999996</v>
      </c>
      <c r="AC557">
        <v>31.199999999999996</v>
      </c>
    </row>
    <row r="558" spans="1:29" x14ac:dyDescent="0.3">
      <c r="A558">
        <v>151500</v>
      </c>
      <c r="B558" s="25" t="s">
        <v>5984</v>
      </c>
      <c r="C558" t="s">
        <v>20</v>
      </c>
      <c r="D558" t="s">
        <v>21</v>
      </c>
      <c r="E558">
        <v>2222222</v>
      </c>
      <c r="F558" s="8" t="s">
        <v>22</v>
      </c>
      <c r="G558" s="2">
        <v>98</v>
      </c>
      <c r="H558" t="s">
        <v>3905</v>
      </c>
      <c r="I558" t="s">
        <v>4532</v>
      </c>
      <c r="J558" s="9" t="s">
        <v>4852</v>
      </c>
      <c r="K558" t="s">
        <v>5211</v>
      </c>
      <c r="L558" s="2">
        <v>1</v>
      </c>
      <c r="M558" s="24" t="s">
        <v>5971</v>
      </c>
      <c r="N558" s="2" t="s">
        <v>23</v>
      </c>
      <c r="O558" s="18" t="s">
        <v>471</v>
      </c>
      <c r="P558" s="18" t="s">
        <v>0</v>
      </c>
      <c r="Q558" s="6" t="s">
        <v>4475</v>
      </c>
      <c r="T558" s="23">
        <v>46169</v>
      </c>
      <c r="U558" s="23">
        <v>46534</v>
      </c>
      <c r="X558" s="20">
        <v>1500</v>
      </c>
      <c r="Z558" s="6" t="s">
        <v>5978</v>
      </c>
      <c r="AA558" s="14">
        <f t="shared" si="72"/>
        <v>5.9999999999999995E-4</v>
      </c>
      <c r="AB558">
        <v>0.7607219999999999</v>
      </c>
      <c r="AC558">
        <v>0.79115087999999989</v>
      </c>
    </row>
    <row r="559" spans="1:29" x14ac:dyDescent="0.3">
      <c r="A559">
        <v>151759</v>
      </c>
      <c r="B559" s="25" t="s">
        <v>5984</v>
      </c>
      <c r="C559" t="s">
        <v>20</v>
      </c>
      <c r="D559" t="s">
        <v>21</v>
      </c>
      <c r="E559">
        <v>2222222</v>
      </c>
      <c r="F559" s="8" t="s">
        <v>22</v>
      </c>
      <c r="G559" s="2">
        <v>98</v>
      </c>
      <c r="H559" t="s">
        <v>3905</v>
      </c>
      <c r="I559" t="s">
        <v>4184</v>
      </c>
      <c r="J559" s="9" t="s">
        <v>5045</v>
      </c>
      <c r="K559" t="s">
        <v>4829</v>
      </c>
      <c r="L559" s="2">
        <v>1</v>
      </c>
      <c r="M559" s="24" t="s">
        <v>5971</v>
      </c>
      <c r="N559" s="2" t="s">
        <v>23</v>
      </c>
      <c r="O559" s="18" t="s">
        <v>482</v>
      </c>
      <c r="P559" s="18" t="s">
        <v>3781</v>
      </c>
      <c r="Q559" s="6" t="s">
        <v>4475</v>
      </c>
      <c r="T559" s="23">
        <v>46185</v>
      </c>
      <c r="U559" s="23">
        <v>46275</v>
      </c>
      <c r="X559" s="20">
        <v>2500</v>
      </c>
      <c r="Z559" s="6" t="s">
        <v>5978</v>
      </c>
      <c r="AA559" s="14">
        <f t="shared" si="72"/>
        <v>5.9999999999999995E-4</v>
      </c>
      <c r="AB559">
        <v>1.4999999999999998</v>
      </c>
      <c r="AC559">
        <v>1.5599999999999998</v>
      </c>
    </row>
    <row r="560" spans="1:29" x14ac:dyDescent="0.3">
      <c r="A560">
        <v>151764</v>
      </c>
      <c r="B560" s="25" t="s">
        <v>5984</v>
      </c>
      <c r="C560" t="s">
        <v>20</v>
      </c>
      <c r="D560" t="s">
        <v>21</v>
      </c>
      <c r="E560">
        <v>2222222</v>
      </c>
      <c r="F560" s="8" t="s">
        <v>22</v>
      </c>
      <c r="G560" s="2">
        <v>98</v>
      </c>
      <c r="H560" t="s">
        <v>3905</v>
      </c>
      <c r="I560" t="s">
        <v>4506</v>
      </c>
      <c r="J560" s="9" t="s">
        <v>4836</v>
      </c>
      <c r="K560" t="s">
        <v>5194</v>
      </c>
      <c r="L560" s="2">
        <v>1</v>
      </c>
      <c r="M560" s="24" t="s">
        <v>5971</v>
      </c>
      <c r="N560" s="2" t="s">
        <v>23</v>
      </c>
      <c r="O560" s="18" t="s">
        <v>438</v>
      </c>
      <c r="P560" s="18" t="s">
        <v>3781</v>
      </c>
      <c r="Q560" s="6" t="s">
        <v>4475</v>
      </c>
      <c r="T560" s="23">
        <v>46185</v>
      </c>
      <c r="U560" s="23">
        <v>48011</v>
      </c>
      <c r="X560" s="20">
        <v>3060</v>
      </c>
      <c r="Z560" s="6" t="s">
        <v>5978</v>
      </c>
      <c r="AA560" s="14">
        <f t="shared" si="72"/>
        <v>5.9999999999999995E-4</v>
      </c>
      <c r="AB560">
        <v>1.8166679999999999</v>
      </c>
      <c r="AC560">
        <v>1.8893347199999999</v>
      </c>
    </row>
    <row r="561" spans="1:29" x14ac:dyDescent="0.3">
      <c r="A561">
        <v>151839</v>
      </c>
      <c r="B561" s="25" t="s">
        <v>5984</v>
      </c>
      <c r="C561" t="s">
        <v>20</v>
      </c>
      <c r="D561" t="s">
        <v>21</v>
      </c>
      <c r="E561">
        <v>2222222</v>
      </c>
      <c r="F561" s="8" t="s">
        <v>22</v>
      </c>
      <c r="G561" s="2">
        <v>98</v>
      </c>
      <c r="H561" t="s">
        <v>3905</v>
      </c>
      <c r="I561" t="s">
        <v>4532</v>
      </c>
      <c r="J561" s="9" t="s">
        <v>5216</v>
      </c>
      <c r="K561" t="s">
        <v>4863</v>
      </c>
      <c r="L561" s="2">
        <v>1</v>
      </c>
      <c r="M561" s="24" t="s">
        <v>5971</v>
      </c>
      <c r="N561" s="2" t="s">
        <v>23</v>
      </c>
      <c r="O561" s="18" t="s">
        <v>483</v>
      </c>
      <c r="P561" s="18" t="s">
        <v>3781</v>
      </c>
      <c r="Q561" s="6" t="s">
        <v>4475</v>
      </c>
      <c r="T561" s="23">
        <v>46191</v>
      </c>
      <c r="U561" s="23">
        <v>46922</v>
      </c>
      <c r="X561" s="20">
        <v>4450</v>
      </c>
      <c r="Z561" s="6" t="s">
        <v>5978</v>
      </c>
      <c r="AA561" s="14">
        <f t="shared" si="72"/>
        <v>5.9999999999999995E-4</v>
      </c>
      <c r="AB561">
        <v>2.5764299999999998</v>
      </c>
      <c r="AC561">
        <v>2.6794872000000001</v>
      </c>
    </row>
    <row r="562" spans="1:29" x14ac:dyDescent="0.3">
      <c r="A562">
        <v>151888</v>
      </c>
      <c r="B562" s="25" t="s">
        <v>5984</v>
      </c>
      <c r="C562" t="s">
        <v>20</v>
      </c>
      <c r="D562" t="s">
        <v>21</v>
      </c>
      <c r="E562">
        <v>2222222</v>
      </c>
      <c r="F562" s="8" t="s">
        <v>22</v>
      </c>
      <c r="G562" s="2">
        <v>98</v>
      </c>
      <c r="H562" t="s">
        <v>3905</v>
      </c>
      <c r="I562" t="s">
        <v>4184</v>
      </c>
      <c r="J562" s="9" t="s">
        <v>4967</v>
      </c>
      <c r="K562" t="s">
        <v>5217</v>
      </c>
      <c r="L562" s="2">
        <v>1</v>
      </c>
      <c r="M562" s="24" t="s">
        <v>5971</v>
      </c>
      <c r="N562" s="2" t="s">
        <v>23</v>
      </c>
      <c r="O562" s="18" t="s">
        <v>484</v>
      </c>
      <c r="P562" s="18" t="s">
        <v>3781</v>
      </c>
      <c r="Q562" s="6" t="s">
        <v>4475</v>
      </c>
      <c r="T562" s="23">
        <v>46210</v>
      </c>
      <c r="U562" s="23">
        <v>46300</v>
      </c>
      <c r="X562" s="20">
        <v>8000</v>
      </c>
      <c r="Z562" s="6" t="s">
        <v>5978</v>
      </c>
      <c r="AA562" s="14">
        <f t="shared" si="72"/>
        <v>5.9999999999999995E-4</v>
      </c>
      <c r="AB562">
        <v>4.8</v>
      </c>
      <c r="AC562">
        <v>4.992</v>
      </c>
    </row>
    <row r="563" spans="1:29" x14ac:dyDescent="0.3">
      <c r="A563">
        <v>152005</v>
      </c>
      <c r="B563" s="25" t="s">
        <v>5984</v>
      </c>
      <c r="C563" t="s">
        <v>20</v>
      </c>
      <c r="D563" t="s">
        <v>21</v>
      </c>
      <c r="E563">
        <v>2222222</v>
      </c>
      <c r="F563" s="8" t="s">
        <v>22</v>
      </c>
      <c r="G563" s="2">
        <v>98</v>
      </c>
      <c r="H563" t="s">
        <v>3905</v>
      </c>
      <c r="I563" t="s">
        <v>4331</v>
      </c>
      <c r="J563" s="9" t="s">
        <v>4864</v>
      </c>
      <c r="K563" t="s">
        <v>4964</v>
      </c>
      <c r="L563" s="2">
        <v>1</v>
      </c>
      <c r="M563" s="24" t="s">
        <v>5971</v>
      </c>
      <c r="N563" s="2" t="s">
        <v>23</v>
      </c>
      <c r="O563" s="18" t="s">
        <v>485</v>
      </c>
      <c r="P563" s="18" t="s">
        <v>0</v>
      </c>
      <c r="Q563" s="6" t="s">
        <v>4475</v>
      </c>
      <c r="T563" s="23">
        <v>46204</v>
      </c>
      <c r="U563" s="23">
        <v>46568</v>
      </c>
      <c r="X563" s="20">
        <v>5000</v>
      </c>
      <c r="Z563" s="6" t="s">
        <v>5978</v>
      </c>
      <c r="AA563" s="14">
        <f t="shared" si="72"/>
        <v>5.9999999999999995E-4</v>
      </c>
      <c r="AB563">
        <v>2.7695999999999996</v>
      </c>
      <c r="AC563">
        <v>2.8803839999999998</v>
      </c>
    </row>
    <row r="564" spans="1:29" x14ac:dyDescent="0.3">
      <c r="A564">
        <v>152022</v>
      </c>
      <c r="B564" s="25" t="s">
        <v>5984</v>
      </c>
      <c r="C564" t="s">
        <v>20</v>
      </c>
      <c r="D564" t="s">
        <v>21</v>
      </c>
      <c r="E564">
        <v>2222222</v>
      </c>
      <c r="F564" s="8" t="s">
        <v>22</v>
      </c>
      <c r="G564" s="2">
        <v>98</v>
      </c>
      <c r="H564" t="s">
        <v>3905</v>
      </c>
      <c r="I564" t="s">
        <v>4532</v>
      </c>
      <c r="J564" s="9" t="s">
        <v>5013</v>
      </c>
      <c r="K564" t="s">
        <v>5197</v>
      </c>
      <c r="L564" s="2">
        <v>1</v>
      </c>
      <c r="M564" s="24" t="s">
        <v>5971</v>
      </c>
      <c r="N564" s="2" t="s">
        <v>23</v>
      </c>
      <c r="O564" s="18" t="s">
        <v>465</v>
      </c>
      <c r="P564" s="18" t="s">
        <v>0</v>
      </c>
      <c r="Q564" s="6" t="s">
        <v>4475</v>
      </c>
      <c r="T564" s="23">
        <v>46205</v>
      </c>
      <c r="U564" s="23">
        <v>46295</v>
      </c>
      <c r="X564" s="20">
        <v>1500</v>
      </c>
      <c r="Z564" s="6" t="s">
        <v>5978</v>
      </c>
      <c r="AA564" s="14">
        <f t="shared" si="72"/>
        <v>5.9999999999999995E-4</v>
      </c>
      <c r="AB564">
        <v>0.89999999999999991</v>
      </c>
      <c r="AC564">
        <v>0.93599999999999994</v>
      </c>
    </row>
    <row r="565" spans="1:29" x14ac:dyDescent="0.3">
      <c r="A565">
        <v>152049</v>
      </c>
      <c r="B565" s="25" t="s">
        <v>5984</v>
      </c>
      <c r="C565" t="s">
        <v>20</v>
      </c>
      <c r="D565" t="s">
        <v>21</v>
      </c>
      <c r="E565">
        <v>2222222</v>
      </c>
      <c r="F565" s="8" t="s">
        <v>22</v>
      </c>
      <c r="G565" s="2">
        <v>98</v>
      </c>
      <c r="H565" t="s">
        <v>3905</v>
      </c>
      <c r="I565" t="s">
        <v>4532</v>
      </c>
      <c r="J565" s="9" t="s">
        <v>4871</v>
      </c>
      <c r="K565" t="s">
        <v>5174</v>
      </c>
      <c r="L565" s="2">
        <v>1</v>
      </c>
      <c r="M565" s="24" t="s">
        <v>5971</v>
      </c>
      <c r="N565" s="2" t="s">
        <v>23</v>
      </c>
      <c r="O565" s="18" t="s">
        <v>454</v>
      </c>
      <c r="P565" s="18" t="s">
        <v>0</v>
      </c>
      <c r="Q565" s="6" t="s">
        <v>4475</v>
      </c>
      <c r="T565" s="23">
        <v>46207</v>
      </c>
      <c r="U565" s="23">
        <v>46297</v>
      </c>
      <c r="X565" s="20">
        <v>300</v>
      </c>
      <c r="Z565" s="6" t="s">
        <v>5978</v>
      </c>
      <c r="AA565" s="14">
        <f t="shared" si="72"/>
        <v>5.9999999999999995E-4</v>
      </c>
      <c r="AB565">
        <v>0.18</v>
      </c>
      <c r="AC565">
        <v>0.18720000000000001</v>
      </c>
    </row>
    <row r="566" spans="1:29" x14ac:dyDescent="0.3">
      <c r="A566">
        <v>152178</v>
      </c>
      <c r="B566" s="25" t="s">
        <v>5984</v>
      </c>
      <c r="C566" t="s">
        <v>20</v>
      </c>
      <c r="D566" t="s">
        <v>21</v>
      </c>
      <c r="E566">
        <v>2222222</v>
      </c>
      <c r="F566" s="8" t="s">
        <v>22</v>
      </c>
      <c r="G566" s="2">
        <v>98</v>
      </c>
      <c r="H566" t="s">
        <v>3905</v>
      </c>
      <c r="I566" t="s">
        <v>4331</v>
      </c>
      <c r="J566" s="9" t="s">
        <v>4864</v>
      </c>
      <c r="K566" t="s">
        <v>4964</v>
      </c>
      <c r="L566" s="2">
        <v>1</v>
      </c>
      <c r="M566" s="24" t="s">
        <v>5971</v>
      </c>
      <c r="N566" s="2" t="s">
        <v>23</v>
      </c>
      <c r="O566" s="18" t="s">
        <v>485</v>
      </c>
      <c r="P566" s="18" t="s">
        <v>0</v>
      </c>
      <c r="Q566" s="6" t="s">
        <v>4475</v>
      </c>
      <c r="T566" s="23">
        <v>46217</v>
      </c>
      <c r="U566" s="23">
        <v>46465</v>
      </c>
      <c r="X566" s="20">
        <v>2700</v>
      </c>
      <c r="Z566" s="6" t="s">
        <v>5978</v>
      </c>
      <c r="AA566" s="14">
        <f t="shared" si="72"/>
        <v>5.9999999999999995E-4</v>
      </c>
      <c r="AB566">
        <v>1.6199999999999999</v>
      </c>
      <c r="AC566">
        <v>1.6847999999999999</v>
      </c>
    </row>
    <row r="567" spans="1:29" x14ac:dyDescent="0.3">
      <c r="A567">
        <v>152188</v>
      </c>
      <c r="B567" s="25" t="s">
        <v>5984</v>
      </c>
      <c r="C567" t="s">
        <v>20</v>
      </c>
      <c r="D567" t="s">
        <v>21</v>
      </c>
      <c r="E567">
        <v>2222222</v>
      </c>
      <c r="F567" s="8" t="s">
        <v>22</v>
      </c>
      <c r="G567" s="2">
        <v>98</v>
      </c>
      <c r="H567" t="s">
        <v>3905</v>
      </c>
      <c r="I567" t="s">
        <v>4236</v>
      </c>
      <c r="J567" s="9" t="s">
        <v>4852</v>
      </c>
      <c r="K567" t="s">
        <v>4900</v>
      </c>
      <c r="L567" s="2">
        <v>1</v>
      </c>
      <c r="M567" s="24" t="s">
        <v>5971</v>
      </c>
      <c r="N567" s="2" t="s">
        <v>23</v>
      </c>
      <c r="O567" s="18" t="s">
        <v>433</v>
      </c>
      <c r="P567" s="18" t="s">
        <v>0</v>
      </c>
      <c r="Q567" s="6" t="s">
        <v>4475</v>
      </c>
      <c r="T567" s="23">
        <v>46218</v>
      </c>
      <c r="U567" s="23">
        <v>47678</v>
      </c>
      <c r="X567" s="20">
        <v>5000</v>
      </c>
      <c r="Z567" s="6" t="s">
        <v>5978</v>
      </c>
      <c r="AA567" s="14">
        <f t="shared" si="72"/>
        <v>5.9999999999999995E-4</v>
      </c>
      <c r="AB567">
        <v>2.9999999999999996</v>
      </c>
      <c r="AC567">
        <v>3.1199999999999997</v>
      </c>
    </row>
    <row r="568" spans="1:29" x14ac:dyDescent="0.3">
      <c r="A568">
        <v>152231</v>
      </c>
      <c r="B568" s="25" t="s">
        <v>5984</v>
      </c>
      <c r="C568" t="s">
        <v>20</v>
      </c>
      <c r="D568" t="s">
        <v>21</v>
      </c>
      <c r="E568">
        <v>2222222</v>
      </c>
      <c r="F568" s="8" t="s">
        <v>22</v>
      </c>
      <c r="G568" s="2">
        <v>98</v>
      </c>
      <c r="H568" t="s">
        <v>3905</v>
      </c>
      <c r="I568" t="s">
        <v>4532</v>
      </c>
      <c r="J568" s="9" t="s">
        <v>5218</v>
      </c>
      <c r="K568" t="s">
        <v>5219</v>
      </c>
      <c r="L568" s="2">
        <v>1</v>
      </c>
      <c r="M568" s="24" t="s">
        <v>5971</v>
      </c>
      <c r="N568" s="2" t="s">
        <v>23</v>
      </c>
      <c r="O568" s="18" t="s">
        <v>420</v>
      </c>
      <c r="P568" s="18" t="s">
        <v>3781</v>
      </c>
      <c r="Q568" s="6" t="s">
        <v>4475</v>
      </c>
      <c r="T568" s="23">
        <v>46220</v>
      </c>
      <c r="U568" s="23">
        <v>46250</v>
      </c>
      <c r="X568" s="20">
        <v>1500</v>
      </c>
      <c r="Z568" s="6" t="s">
        <v>5978</v>
      </c>
      <c r="AA568" s="14">
        <f t="shared" si="72"/>
        <v>5.9999999999999995E-4</v>
      </c>
      <c r="AB568">
        <v>0.89999999999999991</v>
      </c>
      <c r="AC568">
        <v>0.93599999999999994</v>
      </c>
    </row>
    <row r="569" spans="1:29" x14ac:dyDescent="0.3">
      <c r="A569">
        <v>152234</v>
      </c>
      <c r="B569" s="25" t="s">
        <v>5984</v>
      </c>
      <c r="C569" t="s">
        <v>20</v>
      </c>
      <c r="D569" t="s">
        <v>21</v>
      </c>
      <c r="E569">
        <v>2222222</v>
      </c>
      <c r="F569" s="8" t="s">
        <v>22</v>
      </c>
      <c r="G569" s="2">
        <v>98</v>
      </c>
      <c r="H569" t="s">
        <v>3905</v>
      </c>
      <c r="I569" t="s">
        <v>3905</v>
      </c>
      <c r="J569" s="9" t="s">
        <v>5141</v>
      </c>
      <c r="K569" t="s">
        <v>4947</v>
      </c>
      <c r="L569" s="2">
        <v>1</v>
      </c>
      <c r="M569" s="24" t="s">
        <v>5971</v>
      </c>
      <c r="N569" s="2" t="s">
        <v>23</v>
      </c>
      <c r="O569" s="18" t="s">
        <v>486</v>
      </c>
      <c r="P569" s="18" t="s">
        <v>3781</v>
      </c>
      <c r="Q569" s="6" t="s">
        <v>4475</v>
      </c>
      <c r="T569" s="23">
        <v>46220</v>
      </c>
      <c r="U569" s="23">
        <v>46676</v>
      </c>
      <c r="X569" s="20">
        <v>700</v>
      </c>
      <c r="Z569" s="6" t="s">
        <v>5978</v>
      </c>
      <c r="AA569" s="14">
        <f t="shared" si="72"/>
        <v>5.9999999999999995E-4</v>
      </c>
      <c r="AB569">
        <v>0.42</v>
      </c>
      <c r="AC569">
        <v>0.43680000000000002</v>
      </c>
    </row>
    <row r="570" spans="1:29" x14ac:dyDescent="0.3">
      <c r="A570">
        <v>152326</v>
      </c>
      <c r="B570" s="25" t="s">
        <v>5984</v>
      </c>
      <c r="C570" t="s">
        <v>20</v>
      </c>
      <c r="D570" t="s">
        <v>21</v>
      </c>
      <c r="E570">
        <v>2222222</v>
      </c>
      <c r="F570" s="8" t="s">
        <v>22</v>
      </c>
      <c r="G570" s="2">
        <v>98</v>
      </c>
      <c r="H570" t="s">
        <v>3905</v>
      </c>
      <c r="I570" t="s">
        <v>4506</v>
      </c>
      <c r="J570" s="9" t="s">
        <v>4836</v>
      </c>
      <c r="K570" t="s">
        <v>5194</v>
      </c>
      <c r="L570" s="2">
        <v>1</v>
      </c>
      <c r="M570" s="24" t="s">
        <v>5971</v>
      </c>
      <c r="N570" s="2" t="s">
        <v>23</v>
      </c>
      <c r="O570" s="18" t="s">
        <v>438</v>
      </c>
      <c r="P570" s="18" t="s">
        <v>3781</v>
      </c>
      <c r="Q570" s="6" t="s">
        <v>4475</v>
      </c>
      <c r="T570" s="23">
        <v>46230</v>
      </c>
      <c r="U570" s="23">
        <v>46960</v>
      </c>
      <c r="X570" s="20">
        <v>1860</v>
      </c>
      <c r="Z570" s="6" t="s">
        <v>5978</v>
      </c>
      <c r="AA570" s="14">
        <f t="shared" si="72"/>
        <v>5.9999999999999995E-4</v>
      </c>
      <c r="AB570">
        <v>1.1159999999999999</v>
      </c>
      <c r="AC570">
        <v>1.1606399999999999</v>
      </c>
    </row>
    <row r="571" spans="1:29" x14ac:dyDescent="0.3">
      <c r="A571">
        <v>152391</v>
      </c>
      <c r="B571" s="25" t="s">
        <v>5984</v>
      </c>
      <c r="C571" t="s">
        <v>20</v>
      </c>
      <c r="D571" t="s">
        <v>21</v>
      </c>
      <c r="E571">
        <v>2222222</v>
      </c>
      <c r="F571" s="8" t="s">
        <v>22</v>
      </c>
      <c r="G571" s="2">
        <v>98</v>
      </c>
      <c r="H571" t="s">
        <v>3905</v>
      </c>
      <c r="I571" t="s">
        <v>4164</v>
      </c>
      <c r="J571" s="9" t="s">
        <v>4901</v>
      </c>
      <c r="K571" t="s">
        <v>5190</v>
      </c>
      <c r="L571" s="2">
        <v>1</v>
      </c>
      <c r="M571" s="24" t="s">
        <v>5971</v>
      </c>
      <c r="N571" s="2" t="s">
        <v>23</v>
      </c>
      <c r="O571" s="18" t="s">
        <v>432</v>
      </c>
      <c r="P571" s="18" t="s">
        <v>0</v>
      </c>
      <c r="Q571" s="6" t="s">
        <v>4475</v>
      </c>
      <c r="T571" s="23">
        <v>46234</v>
      </c>
      <c r="U571" s="23">
        <v>46324</v>
      </c>
      <c r="X571" s="20">
        <v>3330</v>
      </c>
      <c r="Z571" s="6" t="s">
        <v>5978</v>
      </c>
      <c r="AA571" s="14">
        <f t="shared" si="72"/>
        <v>5.9999999999999995E-4</v>
      </c>
      <c r="AB571">
        <v>1.9979999999999998</v>
      </c>
      <c r="AC571">
        <v>2.0779199999999998</v>
      </c>
    </row>
    <row r="572" spans="1:29" x14ac:dyDescent="0.3">
      <c r="A572">
        <v>134370</v>
      </c>
      <c r="B572" s="25" t="s">
        <v>5984</v>
      </c>
      <c r="C572" t="s">
        <v>20</v>
      </c>
      <c r="D572" t="s">
        <v>21</v>
      </c>
      <c r="E572">
        <v>2222222</v>
      </c>
      <c r="F572" s="8" t="s">
        <v>22</v>
      </c>
      <c r="G572" s="2">
        <v>98</v>
      </c>
      <c r="H572" t="s">
        <v>3906</v>
      </c>
      <c r="I572" t="s">
        <v>3906</v>
      </c>
      <c r="J572" s="9" t="s">
        <v>4916</v>
      </c>
      <c r="K572" t="s">
        <v>5033</v>
      </c>
      <c r="L572" s="2">
        <v>1</v>
      </c>
      <c r="M572" s="24" t="s">
        <v>5971</v>
      </c>
      <c r="N572" s="2" t="s">
        <v>23</v>
      </c>
      <c r="O572" s="18" t="s">
        <v>487</v>
      </c>
      <c r="P572" s="18" t="s">
        <v>3781</v>
      </c>
      <c r="Q572" s="6" t="s">
        <v>4475</v>
      </c>
      <c r="T572" s="23">
        <v>45055</v>
      </c>
      <c r="U572" s="23">
        <v>46881</v>
      </c>
      <c r="X572" s="20">
        <v>8200</v>
      </c>
      <c r="Z572" s="6" t="s">
        <v>5978</v>
      </c>
      <c r="AA572" s="13">
        <f t="shared" ref="AA572:AA574" si="73">+(0.56/1000)</f>
        <v>5.6000000000000006E-4</v>
      </c>
      <c r="AB572">
        <v>2.0832112</v>
      </c>
      <c r="AC572">
        <v>2.1665396480000001</v>
      </c>
    </row>
    <row r="573" spans="1:29" x14ac:dyDescent="0.3">
      <c r="A573">
        <v>137051</v>
      </c>
      <c r="B573" s="25" t="s">
        <v>5984</v>
      </c>
      <c r="C573" t="s">
        <v>20</v>
      </c>
      <c r="D573" t="s">
        <v>21</v>
      </c>
      <c r="E573">
        <v>2222222</v>
      </c>
      <c r="F573" s="8" t="s">
        <v>22</v>
      </c>
      <c r="G573" s="2">
        <v>98</v>
      </c>
      <c r="H573" t="s">
        <v>3906</v>
      </c>
      <c r="I573" t="s">
        <v>4037</v>
      </c>
      <c r="J573" s="9" t="s">
        <v>5096</v>
      </c>
      <c r="K573" t="s">
        <v>5030</v>
      </c>
      <c r="L573" s="2">
        <v>1</v>
      </c>
      <c r="M573" s="24" t="s">
        <v>5971</v>
      </c>
      <c r="N573" s="2" t="s">
        <v>23</v>
      </c>
      <c r="O573" s="18" t="s">
        <v>488</v>
      </c>
      <c r="P573" s="18" t="s">
        <v>3781</v>
      </c>
      <c r="Q573" s="6" t="s">
        <v>4475</v>
      </c>
      <c r="T573" s="23">
        <v>45202</v>
      </c>
      <c r="U573" s="23">
        <v>46665</v>
      </c>
      <c r="X573" s="20">
        <v>5000</v>
      </c>
      <c r="Z573" s="6" t="s">
        <v>5978</v>
      </c>
      <c r="AA573" s="13">
        <f t="shared" si="73"/>
        <v>5.6000000000000006E-4</v>
      </c>
      <c r="AB573">
        <v>1.1125352000000002</v>
      </c>
      <c r="AC573">
        <v>1.1570366080000003</v>
      </c>
    </row>
    <row r="574" spans="1:29" x14ac:dyDescent="0.3">
      <c r="A574">
        <v>137411</v>
      </c>
      <c r="B574" s="25" t="s">
        <v>5984</v>
      </c>
      <c r="C574" t="s">
        <v>20</v>
      </c>
      <c r="D574" t="s">
        <v>21</v>
      </c>
      <c r="E574">
        <v>2222222</v>
      </c>
      <c r="F574" s="8" t="s">
        <v>22</v>
      </c>
      <c r="G574" s="2">
        <v>98</v>
      </c>
      <c r="H574" t="s">
        <v>3906</v>
      </c>
      <c r="I574" t="s">
        <v>4185</v>
      </c>
      <c r="J574" s="9" t="s">
        <v>5204</v>
      </c>
      <c r="K574" t="s">
        <v>5220</v>
      </c>
      <c r="L574" s="2">
        <v>1</v>
      </c>
      <c r="M574" s="24" t="s">
        <v>5971</v>
      </c>
      <c r="N574" s="2" t="s">
        <v>23</v>
      </c>
      <c r="O574" s="18" t="s">
        <v>489</v>
      </c>
      <c r="P574" s="18" t="s">
        <v>0</v>
      </c>
      <c r="Q574" s="6" t="s">
        <v>4475</v>
      </c>
      <c r="T574" s="23">
        <v>45222</v>
      </c>
      <c r="U574" s="23">
        <v>46317</v>
      </c>
      <c r="X574" s="20">
        <v>5000</v>
      </c>
      <c r="Z574" s="6" t="s">
        <v>5978</v>
      </c>
      <c r="AA574" s="13">
        <f t="shared" si="73"/>
        <v>5.6000000000000006E-4</v>
      </c>
      <c r="AB574">
        <v>0.28165200000000001</v>
      </c>
      <c r="AC574">
        <v>0.29291808000000003</v>
      </c>
    </row>
    <row r="575" spans="1:29" x14ac:dyDescent="0.3">
      <c r="A575">
        <v>141059</v>
      </c>
      <c r="B575" s="25" t="s">
        <v>5984</v>
      </c>
      <c r="C575" t="s">
        <v>20</v>
      </c>
      <c r="D575" t="s">
        <v>21</v>
      </c>
      <c r="E575">
        <v>2222222</v>
      </c>
      <c r="F575" s="8" t="s">
        <v>22</v>
      </c>
      <c r="G575" s="2">
        <v>98</v>
      </c>
      <c r="H575" t="s">
        <v>3906</v>
      </c>
      <c r="I575" t="s">
        <v>4508</v>
      </c>
      <c r="J575" s="9" t="s">
        <v>5221</v>
      </c>
      <c r="K575" t="s">
        <v>5222</v>
      </c>
      <c r="L575" s="2">
        <v>1</v>
      </c>
      <c r="M575" s="24" t="s">
        <v>5971</v>
      </c>
      <c r="N575" s="2" t="s">
        <v>23</v>
      </c>
      <c r="O575" s="18" t="s">
        <v>490</v>
      </c>
      <c r="P575" s="18" t="s">
        <v>0</v>
      </c>
      <c r="Q575" s="6" t="s">
        <v>4475</v>
      </c>
      <c r="T575" s="23">
        <v>45538</v>
      </c>
      <c r="U575" s="23">
        <v>49190</v>
      </c>
      <c r="X575" s="20">
        <v>100000</v>
      </c>
      <c r="Z575" s="6" t="s">
        <v>5978</v>
      </c>
      <c r="AA575" s="14">
        <f t="shared" ref="AA575:AA602" si="74">+(0.6/1000)</f>
        <v>5.9999999999999995E-4</v>
      </c>
      <c r="AB575">
        <v>53.803271999999993</v>
      </c>
      <c r="AC575">
        <v>55.955402879999994</v>
      </c>
    </row>
    <row r="576" spans="1:29" x14ac:dyDescent="0.3">
      <c r="A576">
        <v>141171</v>
      </c>
      <c r="B576" s="25" t="s">
        <v>5984</v>
      </c>
      <c r="C576" t="s">
        <v>20</v>
      </c>
      <c r="D576" t="s">
        <v>21</v>
      </c>
      <c r="E576">
        <v>2222222</v>
      </c>
      <c r="F576" s="8" t="s">
        <v>22</v>
      </c>
      <c r="G576" s="2">
        <v>98</v>
      </c>
      <c r="H576" t="s">
        <v>3906</v>
      </c>
      <c r="I576" t="s">
        <v>4789</v>
      </c>
      <c r="J576" s="9" t="s">
        <v>5223</v>
      </c>
      <c r="K576" t="s">
        <v>5196</v>
      </c>
      <c r="L576" s="2">
        <v>1</v>
      </c>
      <c r="M576" s="24" t="s">
        <v>5971</v>
      </c>
      <c r="N576" s="2" t="s">
        <v>23</v>
      </c>
      <c r="O576" s="18" t="s">
        <v>491</v>
      </c>
      <c r="P576" s="18" t="s">
        <v>3781</v>
      </c>
      <c r="Q576" s="6" t="s">
        <v>4475</v>
      </c>
      <c r="T576" s="23">
        <v>45435</v>
      </c>
      <c r="U576" s="23">
        <v>46529</v>
      </c>
      <c r="X576" s="20">
        <v>4000</v>
      </c>
      <c r="Z576" s="6" t="s">
        <v>5978</v>
      </c>
      <c r="AA576" s="14">
        <f t="shared" si="74"/>
        <v>5.9999999999999995E-4</v>
      </c>
      <c r="AB576">
        <v>0.80154599999999998</v>
      </c>
      <c r="AC576">
        <v>0.83360783999999999</v>
      </c>
    </row>
    <row r="577" spans="1:29" x14ac:dyDescent="0.3">
      <c r="A577">
        <v>143298</v>
      </c>
      <c r="B577" s="25" t="s">
        <v>5984</v>
      </c>
      <c r="C577" t="s">
        <v>20</v>
      </c>
      <c r="D577" t="s">
        <v>21</v>
      </c>
      <c r="E577">
        <v>2222222</v>
      </c>
      <c r="F577" s="8" t="s">
        <v>22</v>
      </c>
      <c r="G577" s="2">
        <v>98</v>
      </c>
      <c r="H577" t="s">
        <v>3906</v>
      </c>
      <c r="I577" t="s">
        <v>4184</v>
      </c>
      <c r="J577" s="9" t="s">
        <v>5214</v>
      </c>
      <c r="K577" t="s">
        <v>4827</v>
      </c>
      <c r="L577" s="2">
        <v>1</v>
      </c>
      <c r="M577" s="24" t="s">
        <v>5971</v>
      </c>
      <c r="N577" s="2" t="s">
        <v>23</v>
      </c>
      <c r="O577" s="18" t="s">
        <v>492</v>
      </c>
      <c r="P577" s="18" t="s">
        <v>0</v>
      </c>
      <c r="Q577" s="6" t="s">
        <v>4475</v>
      </c>
      <c r="T577" s="23">
        <v>45581</v>
      </c>
      <c r="U577" s="23">
        <v>46919</v>
      </c>
      <c r="X577" s="20">
        <v>8300</v>
      </c>
      <c r="Z577" s="6" t="s">
        <v>5978</v>
      </c>
      <c r="AA577" s="14">
        <f t="shared" si="74"/>
        <v>5.9999999999999995E-4</v>
      </c>
      <c r="AB577">
        <v>1.76403</v>
      </c>
      <c r="AC577">
        <v>1.8345912</v>
      </c>
    </row>
    <row r="578" spans="1:29" x14ac:dyDescent="0.3">
      <c r="A578">
        <v>144207</v>
      </c>
      <c r="B578" s="25" t="s">
        <v>5984</v>
      </c>
      <c r="C578" t="s">
        <v>20</v>
      </c>
      <c r="D578" t="s">
        <v>21</v>
      </c>
      <c r="E578">
        <v>2222222</v>
      </c>
      <c r="F578" s="8" t="s">
        <v>22</v>
      </c>
      <c r="G578" s="2">
        <v>98</v>
      </c>
      <c r="H578" t="s">
        <v>3906</v>
      </c>
      <c r="I578" t="s">
        <v>4532</v>
      </c>
      <c r="J578" s="9" t="s">
        <v>4948</v>
      </c>
      <c r="K578" t="s">
        <v>5064</v>
      </c>
      <c r="L578" s="2">
        <v>1</v>
      </c>
      <c r="M578" s="24" t="s">
        <v>5971</v>
      </c>
      <c r="N578" s="2" t="s">
        <v>23</v>
      </c>
      <c r="O578" s="18" t="s">
        <v>493</v>
      </c>
      <c r="P578" s="18" t="s">
        <v>0</v>
      </c>
      <c r="Q578" s="6" t="s">
        <v>4475</v>
      </c>
      <c r="T578" s="23">
        <v>45653</v>
      </c>
      <c r="U578" s="23">
        <v>46747</v>
      </c>
      <c r="X578" s="20">
        <v>10000</v>
      </c>
      <c r="Z578" s="6" t="s">
        <v>5978</v>
      </c>
      <c r="AA578" s="14">
        <f t="shared" si="74"/>
        <v>5.9999999999999995E-4</v>
      </c>
      <c r="AB578">
        <v>3.1893899999999995</v>
      </c>
      <c r="AC578">
        <v>3.3169655999999996</v>
      </c>
    </row>
    <row r="579" spans="1:29" x14ac:dyDescent="0.3">
      <c r="A579">
        <v>144242</v>
      </c>
      <c r="B579" s="25" t="s">
        <v>5984</v>
      </c>
      <c r="C579" t="s">
        <v>20</v>
      </c>
      <c r="D579" t="s">
        <v>21</v>
      </c>
      <c r="E579">
        <v>2222222</v>
      </c>
      <c r="F579" s="8" t="s">
        <v>22</v>
      </c>
      <c r="G579" s="2">
        <v>98</v>
      </c>
      <c r="H579" t="s">
        <v>3906</v>
      </c>
      <c r="I579" t="s">
        <v>4532</v>
      </c>
      <c r="J579" s="9" t="s">
        <v>4929</v>
      </c>
      <c r="K579" t="s">
        <v>5224</v>
      </c>
      <c r="L579" s="2">
        <v>1</v>
      </c>
      <c r="M579" s="24" t="s">
        <v>5971</v>
      </c>
      <c r="N579" s="2" t="s">
        <v>23</v>
      </c>
      <c r="O579" s="18" t="s">
        <v>494</v>
      </c>
      <c r="P579" s="18" t="s">
        <v>0</v>
      </c>
      <c r="Q579" s="6" t="s">
        <v>4475</v>
      </c>
      <c r="T579" s="23">
        <v>45655</v>
      </c>
      <c r="U579" s="23">
        <v>47115</v>
      </c>
      <c r="X579" s="20">
        <v>10000</v>
      </c>
      <c r="Z579" s="6" t="s">
        <v>5978</v>
      </c>
      <c r="AA579" s="14">
        <f t="shared" si="74"/>
        <v>5.9999999999999995E-4</v>
      </c>
      <c r="AB579">
        <v>4.0149119999999998</v>
      </c>
      <c r="AC579">
        <v>4.1755084799999995</v>
      </c>
    </row>
    <row r="580" spans="1:29" x14ac:dyDescent="0.3">
      <c r="A580">
        <v>145003</v>
      </c>
      <c r="B580" s="25" t="s">
        <v>5984</v>
      </c>
      <c r="C580" t="s">
        <v>20</v>
      </c>
      <c r="D580" t="s">
        <v>21</v>
      </c>
      <c r="E580">
        <v>2222222</v>
      </c>
      <c r="F580" s="8" t="s">
        <v>22</v>
      </c>
      <c r="G580" s="2">
        <v>98</v>
      </c>
      <c r="H580" t="s">
        <v>3906</v>
      </c>
      <c r="I580" t="s">
        <v>4790</v>
      </c>
      <c r="J580" s="9" t="s">
        <v>4997</v>
      </c>
      <c r="K580" t="s">
        <v>4861</v>
      </c>
      <c r="L580" s="2">
        <v>1</v>
      </c>
      <c r="M580" s="24" t="s">
        <v>5971</v>
      </c>
      <c r="N580" s="2" t="s">
        <v>23</v>
      </c>
      <c r="O580" s="18" t="s">
        <v>495</v>
      </c>
      <c r="P580" s="18" t="s">
        <v>3781</v>
      </c>
      <c r="Q580" s="6" t="s">
        <v>4475</v>
      </c>
      <c r="T580" s="23">
        <v>45705</v>
      </c>
      <c r="U580" s="23">
        <v>47168</v>
      </c>
      <c r="X580" s="20">
        <v>5000</v>
      </c>
      <c r="Z580" s="6" t="s">
        <v>5978</v>
      </c>
      <c r="AA580" s="14">
        <f t="shared" si="74"/>
        <v>5.9999999999999995E-4</v>
      </c>
      <c r="AB580">
        <v>2.1752400000000001</v>
      </c>
      <c r="AC580">
        <v>2.2622496000000001</v>
      </c>
    </row>
    <row r="581" spans="1:29" x14ac:dyDescent="0.3">
      <c r="A581">
        <v>145302</v>
      </c>
      <c r="B581" s="25" t="s">
        <v>5984</v>
      </c>
      <c r="C581" t="s">
        <v>20</v>
      </c>
      <c r="D581" t="s">
        <v>21</v>
      </c>
      <c r="E581">
        <v>2222222</v>
      </c>
      <c r="F581" s="8" t="s">
        <v>22</v>
      </c>
      <c r="G581" s="2">
        <v>98</v>
      </c>
      <c r="H581" t="s">
        <v>3906</v>
      </c>
      <c r="I581" t="s">
        <v>4791</v>
      </c>
      <c r="J581" s="9" t="s">
        <v>4914</v>
      </c>
      <c r="K581" t="s">
        <v>5170</v>
      </c>
      <c r="L581" s="2">
        <v>1</v>
      </c>
      <c r="M581" s="24" t="s">
        <v>5971</v>
      </c>
      <c r="N581" s="2" t="s">
        <v>23</v>
      </c>
      <c r="O581" s="18" t="s">
        <v>496</v>
      </c>
      <c r="P581" s="18" t="s">
        <v>3781</v>
      </c>
      <c r="Q581" s="6" t="s">
        <v>4475</v>
      </c>
      <c r="T581" s="23">
        <v>45728</v>
      </c>
      <c r="U581" s="23">
        <v>46823</v>
      </c>
      <c r="X581" s="20">
        <v>5000</v>
      </c>
      <c r="Z581" s="6" t="s">
        <v>5978</v>
      </c>
      <c r="AA581" s="14">
        <f t="shared" si="74"/>
        <v>5.9999999999999995E-4</v>
      </c>
      <c r="AB581">
        <v>1.9000079999999997</v>
      </c>
      <c r="AC581">
        <v>1.9760083199999998</v>
      </c>
    </row>
    <row r="582" spans="1:29" x14ac:dyDescent="0.3">
      <c r="A582">
        <v>145461</v>
      </c>
      <c r="B582" s="25" t="s">
        <v>5984</v>
      </c>
      <c r="C582" t="s">
        <v>20</v>
      </c>
      <c r="D582" t="s">
        <v>21</v>
      </c>
      <c r="E582">
        <v>2222222</v>
      </c>
      <c r="F582" s="8" t="s">
        <v>22</v>
      </c>
      <c r="G582" s="2">
        <v>98</v>
      </c>
      <c r="H582" t="s">
        <v>3906</v>
      </c>
      <c r="I582" t="s">
        <v>4533</v>
      </c>
      <c r="J582" s="9" t="s">
        <v>5096</v>
      </c>
      <c r="K582" t="s">
        <v>5225</v>
      </c>
      <c r="L582" s="2">
        <v>1</v>
      </c>
      <c r="M582" s="24" t="s">
        <v>5971</v>
      </c>
      <c r="N582" s="2" t="s">
        <v>23</v>
      </c>
      <c r="O582" s="18" t="s">
        <v>497</v>
      </c>
      <c r="P582" s="18" t="s">
        <v>3781</v>
      </c>
      <c r="Q582" s="6" t="s">
        <v>4475</v>
      </c>
      <c r="T582" s="23">
        <v>45740</v>
      </c>
      <c r="U582" s="23">
        <v>46835</v>
      </c>
      <c r="X582" s="20">
        <v>3500</v>
      </c>
      <c r="Z582" s="6" t="s">
        <v>5978</v>
      </c>
      <c r="AA582" s="14">
        <f t="shared" si="74"/>
        <v>5.9999999999999995E-4</v>
      </c>
      <c r="AB582">
        <v>1.2972959999999998</v>
      </c>
      <c r="AC582">
        <v>1.3491878399999999</v>
      </c>
    </row>
    <row r="583" spans="1:29" x14ac:dyDescent="0.3">
      <c r="A583">
        <v>146167</v>
      </c>
      <c r="B583" s="25" t="s">
        <v>5984</v>
      </c>
      <c r="C583" t="s">
        <v>20</v>
      </c>
      <c r="D583" t="s">
        <v>21</v>
      </c>
      <c r="E583">
        <v>2222222</v>
      </c>
      <c r="F583" s="8" t="s">
        <v>22</v>
      </c>
      <c r="G583" s="2">
        <v>98</v>
      </c>
      <c r="H583" t="s">
        <v>3906</v>
      </c>
      <c r="I583" t="s">
        <v>4532</v>
      </c>
      <c r="J583" s="9" t="s">
        <v>4929</v>
      </c>
      <c r="K583" t="s">
        <v>5224</v>
      </c>
      <c r="L583" s="2">
        <v>1</v>
      </c>
      <c r="M583" s="24" t="s">
        <v>5971</v>
      </c>
      <c r="N583" s="2" t="s">
        <v>23</v>
      </c>
      <c r="O583" s="18" t="s">
        <v>494</v>
      </c>
      <c r="P583" s="18" t="s">
        <v>0</v>
      </c>
      <c r="Q583" s="6" t="s">
        <v>4475</v>
      </c>
      <c r="T583" s="23">
        <v>45796</v>
      </c>
      <c r="U583" s="23">
        <v>46344</v>
      </c>
      <c r="X583" s="20">
        <v>5000</v>
      </c>
      <c r="Z583" s="6" t="s">
        <v>5978</v>
      </c>
      <c r="AA583" s="14">
        <f t="shared" si="74"/>
        <v>5.9999999999999995E-4</v>
      </c>
      <c r="AB583">
        <v>0.73817399999999989</v>
      </c>
      <c r="AC583">
        <v>0.76770095999999988</v>
      </c>
    </row>
    <row r="584" spans="1:29" x14ac:dyDescent="0.3">
      <c r="A584">
        <v>147325</v>
      </c>
      <c r="B584" s="25" t="s">
        <v>5984</v>
      </c>
      <c r="C584" t="s">
        <v>20</v>
      </c>
      <c r="D584" t="s">
        <v>21</v>
      </c>
      <c r="E584">
        <v>2222222</v>
      </c>
      <c r="F584" s="8" t="s">
        <v>22</v>
      </c>
      <c r="G584" s="2">
        <v>98</v>
      </c>
      <c r="H584" t="s">
        <v>3906</v>
      </c>
      <c r="I584" t="s">
        <v>4584</v>
      </c>
      <c r="J584" s="9" t="s">
        <v>4876</v>
      </c>
      <c r="K584" t="s">
        <v>4875</v>
      </c>
      <c r="L584" s="2">
        <v>1</v>
      </c>
      <c r="M584" s="24" t="s">
        <v>5971</v>
      </c>
      <c r="N584" s="2" t="s">
        <v>23</v>
      </c>
      <c r="O584" s="18" t="s">
        <v>498</v>
      </c>
      <c r="P584" s="18" t="s">
        <v>0</v>
      </c>
      <c r="Q584" s="6" t="s">
        <v>4475</v>
      </c>
      <c r="T584" s="23">
        <v>45882</v>
      </c>
      <c r="U584" s="23">
        <v>46611</v>
      </c>
      <c r="X584" s="20">
        <v>2000</v>
      </c>
      <c r="Z584" s="6" t="s">
        <v>5978</v>
      </c>
      <c r="AA584" s="14">
        <f t="shared" si="74"/>
        <v>5.9999999999999995E-4</v>
      </c>
      <c r="AB584">
        <v>0.69982800000000001</v>
      </c>
      <c r="AC584">
        <v>0.72782111999999999</v>
      </c>
    </row>
    <row r="585" spans="1:29" x14ac:dyDescent="0.3">
      <c r="A585">
        <v>147522</v>
      </c>
      <c r="B585" s="25" t="s">
        <v>5984</v>
      </c>
      <c r="C585" t="s">
        <v>20</v>
      </c>
      <c r="D585" t="s">
        <v>21</v>
      </c>
      <c r="E585">
        <v>2222222</v>
      </c>
      <c r="F585" s="8" t="s">
        <v>22</v>
      </c>
      <c r="G585" s="2">
        <v>98</v>
      </c>
      <c r="H585" t="s">
        <v>3906</v>
      </c>
      <c r="I585" t="s">
        <v>4552</v>
      </c>
      <c r="J585" s="9" t="s">
        <v>5093</v>
      </c>
      <c r="K585" t="s">
        <v>5132</v>
      </c>
      <c r="L585" s="2">
        <v>1</v>
      </c>
      <c r="M585" s="24" t="s">
        <v>5971</v>
      </c>
      <c r="N585" s="2" t="s">
        <v>23</v>
      </c>
      <c r="O585" s="18" t="s">
        <v>499</v>
      </c>
      <c r="P585" s="18" t="s">
        <v>3781</v>
      </c>
      <c r="Q585" s="6" t="s">
        <v>4475</v>
      </c>
      <c r="T585" s="23">
        <v>45898</v>
      </c>
      <c r="U585" s="23">
        <v>47358</v>
      </c>
      <c r="X585" s="20">
        <v>10000</v>
      </c>
      <c r="Z585" s="6" t="s">
        <v>5978</v>
      </c>
      <c r="AA585" s="14">
        <f t="shared" si="74"/>
        <v>5.9999999999999995E-4</v>
      </c>
      <c r="AB585">
        <v>4.9752419999999997</v>
      </c>
      <c r="AC585">
        <v>5.1742516800000002</v>
      </c>
    </row>
    <row r="586" spans="1:29" x14ac:dyDescent="0.3">
      <c r="A586">
        <v>148408</v>
      </c>
      <c r="B586" s="25" t="s">
        <v>5984</v>
      </c>
      <c r="C586" t="s">
        <v>20</v>
      </c>
      <c r="D586" t="s">
        <v>21</v>
      </c>
      <c r="E586">
        <v>2222222</v>
      </c>
      <c r="F586" s="8" t="s">
        <v>22</v>
      </c>
      <c r="G586" s="2">
        <v>98</v>
      </c>
      <c r="H586" t="s">
        <v>3906</v>
      </c>
      <c r="I586" t="s">
        <v>3905</v>
      </c>
      <c r="J586" s="9" t="s">
        <v>4981</v>
      </c>
      <c r="K586" t="s">
        <v>4924</v>
      </c>
      <c r="L586" s="2">
        <v>1</v>
      </c>
      <c r="M586" s="24" t="s">
        <v>5971</v>
      </c>
      <c r="N586" s="2" t="s">
        <v>23</v>
      </c>
      <c r="O586" s="18" t="s">
        <v>500</v>
      </c>
      <c r="P586" s="18" t="s">
        <v>3781</v>
      </c>
      <c r="Q586" s="6" t="s">
        <v>4475</v>
      </c>
      <c r="T586" s="23">
        <v>45961</v>
      </c>
      <c r="U586" s="23">
        <v>47056</v>
      </c>
      <c r="X586" s="20">
        <v>15000</v>
      </c>
      <c r="Z586" s="6" t="s">
        <v>5978</v>
      </c>
      <c r="AA586" s="14">
        <f t="shared" si="74"/>
        <v>5.9999999999999995E-4</v>
      </c>
      <c r="AB586">
        <v>7.0412699999999999</v>
      </c>
      <c r="AC586">
        <v>7.3229208000000003</v>
      </c>
    </row>
    <row r="587" spans="1:29" x14ac:dyDescent="0.3">
      <c r="A587">
        <v>148830</v>
      </c>
      <c r="B587" s="25" t="s">
        <v>5984</v>
      </c>
      <c r="C587" t="s">
        <v>20</v>
      </c>
      <c r="D587" t="s">
        <v>21</v>
      </c>
      <c r="E587">
        <v>2222222</v>
      </c>
      <c r="F587" s="8" t="s">
        <v>22</v>
      </c>
      <c r="G587" s="2">
        <v>98</v>
      </c>
      <c r="H587" t="s">
        <v>3906</v>
      </c>
      <c r="I587" t="s">
        <v>3912</v>
      </c>
      <c r="J587" s="9" t="s">
        <v>5038</v>
      </c>
      <c r="K587" t="s">
        <v>5166</v>
      </c>
      <c r="L587" s="2">
        <v>1</v>
      </c>
      <c r="M587" s="24" t="s">
        <v>5971</v>
      </c>
      <c r="N587" s="2" t="s">
        <v>23</v>
      </c>
      <c r="O587" s="18" t="s">
        <v>501</v>
      </c>
      <c r="P587" s="18" t="s">
        <v>3781</v>
      </c>
      <c r="Q587" s="6" t="s">
        <v>4475</v>
      </c>
      <c r="T587" s="23">
        <v>45981</v>
      </c>
      <c r="U587" s="23">
        <v>46711</v>
      </c>
      <c r="X587" s="20">
        <v>3000</v>
      </c>
      <c r="Z587" s="6" t="s">
        <v>5978</v>
      </c>
      <c r="AA587" s="14">
        <f t="shared" si="74"/>
        <v>5.9999999999999995E-4</v>
      </c>
      <c r="AB587">
        <v>1.265952</v>
      </c>
      <c r="AC587">
        <v>1.3165900800000001</v>
      </c>
    </row>
    <row r="588" spans="1:29" x14ac:dyDescent="0.3">
      <c r="A588">
        <v>148945</v>
      </c>
      <c r="B588" s="25" t="s">
        <v>5984</v>
      </c>
      <c r="C588" t="s">
        <v>20</v>
      </c>
      <c r="D588" t="s">
        <v>21</v>
      </c>
      <c r="E588">
        <v>2222222</v>
      </c>
      <c r="F588" s="8" t="s">
        <v>22</v>
      </c>
      <c r="G588" s="2">
        <v>98</v>
      </c>
      <c r="H588" t="s">
        <v>3906</v>
      </c>
      <c r="I588" t="s">
        <v>4532</v>
      </c>
      <c r="J588" s="9" t="s">
        <v>4845</v>
      </c>
      <c r="K588" t="s">
        <v>4861</v>
      </c>
      <c r="L588" s="2">
        <v>1</v>
      </c>
      <c r="M588" s="24" t="s">
        <v>5971</v>
      </c>
      <c r="N588" s="2" t="s">
        <v>23</v>
      </c>
      <c r="O588" s="18" t="s">
        <v>502</v>
      </c>
      <c r="P588" s="18" t="s">
        <v>3781</v>
      </c>
      <c r="Q588" s="6" t="s">
        <v>4475</v>
      </c>
      <c r="T588" s="23">
        <v>45988</v>
      </c>
      <c r="U588" s="23">
        <v>46364</v>
      </c>
      <c r="X588" s="20">
        <v>3120</v>
      </c>
      <c r="Z588" s="6" t="s">
        <v>5978</v>
      </c>
      <c r="AA588" s="14">
        <f t="shared" si="74"/>
        <v>5.9999999999999995E-4</v>
      </c>
      <c r="AB588">
        <v>0.81977399999999989</v>
      </c>
      <c r="AC588">
        <v>0.85256495999999993</v>
      </c>
    </row>
    <row r="589" spans="1:29" x14ac:dyDescent="0.3">
      <c r="A589">
        <v>149635</v>
      </c>
      <c r="B589" s="25" t="s">
        <v>5984</v>
      </c>
      <c r="C589" t="s">
        <v>20</v>
      </c>
      <c r="D589" t="s">
        <v>21</v>
      </c>
      <c r="E589">
        <v>2222222</v>
      </c>
      <c r="F589" s="8" t="s">
        <v>22</v>
      </c>
      <c r="G589" s="2">
        <v>98</v>
      </c>
      <c r="H589" t="s">
        <v>3906</v>
      </c>
      <c r="I589" t="s">
        <v>4532</v>
      </c>
      <c r="J589" s="9" t="s">
        <v>5055</v>
      </c>
      <c r="K589" t="s">
        <v>4942</v>
      </c>
      <c r="L589" s="2">
        <v>1</v>
      </c>
      <c r="M589" s="24" t="s">
        <v>5971</v>
      </c>
      <c r="N589" s="2" t="s">
        <v>23</v>
      </c>
      <c r="O589" s="18" t="s">
        <v>503</v>
      </c>
      <c r="P589" s="18" t="s">
        <v>3781</v>
      </c>
      <c r="Q589" s="6" t="s">
        <v>4475</v>
      </c>
      <c r="T589" s="23">
        <v>46037</v>
      </c>
      <c r="U589" s="23">
        <v>47132</v>
      </c>
      <c r="X589" s="20">
        <v>4000</v>
      </c>
      <c r="Z589" s="6" t="s">
        <v>5978</v>
      </c>
      <c r="AA589" s="14">
        <f t="shared" si="74"/>
        <v>5.9999999999999995E-4</v>
      </c>
      <c r="AB589">
        <v>2.077518</v>
      </c>
      <c r="AC589">
        <v>2.16061872</v>
      </c>
    </row>
    <row r="590" spans="1:29" x14ac:dyDescent="0.3">
      <c r="A590">
        <v>150468</v>
      </c>
      <c r="B590" s="25" t="s">
        <v>5984</v>
      </c>
      <c r="C590" t="s">
        <v>20</v>
      </c>
      <c r="D590" t="s">
        <v>21</v>
      </c>
      <c r="E590">
        <v>2222222</v>
      </c>
      <c r="F590" s="8" t="s">
        <v>22</v>
      </c>
      <c r="G590" s="2">
        <v>98</v>
      </c>
      <c r="H590" t="s">
        <v>3906</v>
      </c>
      <c r="I590" t="s">
        <v>3949</v>
      </c>
      <c r="J590" s="9" t="s">
        <v>5226</v>
      </c>
      <c r="K590" t="s">
        <v>4832</v>
      </c>
      <c r="L590" s="2">
        <v>1</v>
      </c>
      <c r="M590" s="24" t="s">
        <v>5971</v>
      </c>
      <c r="N590" s="2" t="s">
        <v>23</v>
      </c>
      <c r="O590" s="18" t="s">
        <v>504</v>
      </c>
      <c r="P590" s="18" t="s">
        <v>3781</v>
      </c>
      <c r="Q590" s="6" t="s">
        <v>4475</v>
      </c>
      <c r="T590" s="23">
        <v>46097</v>
      </c>
      <c r="U590" s="23">
        <v>46553</v>
      </c>
      <c r="X590" s="20">
        <v>2000</v>
      </c>
      <c r="Z590" s="6" t="s">
        <v>5978</v>
      </c>
      <c r="AA590" s="14">
        <f t="shared" si="74"/>
        <v>5.9999999999999995E-4</v>
      </c>
      <c r="AB590">
        <v>0.90430199999999994</v>
      </c>
      <c r="AC590">
        <v>0.94047407999999999</v>
      </c>
    </row>
    <row r="591" spans="1:29" x14ac:dyDescent="0.3">
      <c r="A591">
        <v>150494</v>
      </c>
      <c r="B591" s="25" t="s">
        <v>5984</v>
      </c>
      <c r="C591" t="s">
        <v>20</v>
      </c>
      <c r="D591" t="s">
        <v>21</v>
      </c>
      <c r="E591">
        <v>2222222</v>
      </c>
      <c r="F591" s="8" t="s">
        <v>22</v>
      </c>
      <c r="G591" s="2">
        <v>98</v>
      </c>
      <c r="H591" t="s">
        <v>3906</v>
      </c>
      <c r="I591" t="s">
        <v>4532</v>
      </c>
      <c r="J591" s="9" t="s">
        <v>5151</v>
      </c>
      <c r="K591" t="s">
        <v>5195</v>
      </c>
      <c r="L591" s="2">
        <v>1</v>
      </c>
      <c r="M591" s="24" t="s">
        <v>5971</v>
      </c>
      <c r="N591" s="2" t="s">
        <v>23</v>
      </c>
      <c r="O591" s="18" t="s">
        <v>505</v>
      </c>
      <c r="P591" s="18" t="s">
        <v>3781</v>
      </c>
      <c r="Q591" s="6" t="s">
        <v>4475</v>
      </c>
      <c r="T591" s="23">
        <v>46097</v>
      </c>
      <c r="U591" s="23">
        <v>46583</v>
      </c>
      <c r="X591" s="20">
        <v>3500</v>
      </c>
      <c r="Z591" s="6" t="s">
        <v>5978</v>
      </c>
      <c r="AA591" s="14">
        <f t="shared" si="74"/>
        <v>5.9999999999999995E-4</v>
      </c>
      <c r="AB591">
        <v>1.6208639999999999</v>
      </c>
      <c r="AC591">
        <v>1.6856985599999998</v>
      </c>
    </row>
    <row r="592" spans="1:29" x14ac:dyDescent="0.3">
      <c r="A592">
        <v>150619</v>
      </c>
      <c r="B592" s="25" t="s">
        <v>5984</v>
      </c>
      <c r="C592" t="s">
        <v>20</v>
      </c>
      <c r="D592" t="s">
        <v>21</v>
      </c>
      <c r="E592">
        <v>2222222</v>
      </c>
      <c r="F592" s="8" t="s">
        <v>22</v>
      </c>
      <c r="G592" s="2">
        <v>98</v>
      </c>
      <c r="H592" t="s">
        <v>3906</v>
      </c>
      <c r="I592" t="s">
        <v>3905</v>
      </c>
      <c r="J592" s="9" t="s">
        <v>4981</v>
      </c>
      <c r="K592" t="s">
        <v>4924</v>
      </c>
      <c r="L592" s="2">
        <v>1</v>
      </c>
      <c r="M592" s="24" t="s">
        <v>5971</v>
      </c>
      <c r="N592" s="2" t="s">
        <v>23</v>
      </c>
      <c r="O592" s="18" t="s">
        <v>500</v>
      </c>
      <c r="P592" s="18" t="s">
        <v>3781</v>
      </c>
      <c r="Q592" s="6" t="s">
        <v>4475</v>
      </c>
      <c r="T592" s="23">
        <v>46105</v>
      </c>
      <c r="U592" s="23">
        <v>46288</v>
      </c>
      <c r="X592" s="20">
        <v>2000</v>
      </c>
      <c r="Z592" s="6" t="s">
        <v>5978</v>
      </c>
      <c r="AA592" s="14">
        <f t="shared" si="74"/>
        <v>5.9999999999999995E-4</v>
      </c>
      <c r="AB592">
        <v>0.41110799999999992</v>
      </c>
      <c r="AC592">
        <v>0.42755231999999993</v>
      </c>
    </row>
    <row r="593" spans="1:29" x14ac:dyDescent="0.3">
      <c r="A593">
        <v>151045</v>
      </c>
      <c r="B593" s="25" t="s">
        <v>5984</v>
      </c>
      <c r="C593" t="s">
        <v>20</v>
      </c>
      <c r="D593" t="s">
        <v>21</v>
      </c>
      <c r="E593">
        <v>2222222</v>
      </c>
      <c r="F593" s="8" t="s">
        <v>22</v>
      </c>
      <c r="G593" s="2">
        <v>98</v>
      </c>
      <c r="H593" t="s">
        <v>3906</v>
      </c>
      <c r="I593" t="s">
        <v>4185</v>
      </c>
      <c r="J593" s="9" t="s">
        <v>4830</v>
      </c>
      <c r="K593" t="s">
        <v>5139</v>
      </c>
      <c r="L593" s="2">
        <v>1</v>
      </c>
      <c r="M593" s="24" t="s">
        <v>5971</v>
      </c>
      <c r="N593" s="2" t="s">
        <v>23</v>
      </c>
      <c r="O593" s="18" t="s">
        <v>506</v>
      </c>
      <c r="P593" s="18" t="s">
        <v>3781</v>
      </c>
      <c r="Q593" s="6" t="s">
        <v>4475</v>
      </c>
      <c r="T593" s="23">
        <v>46134</v>
      </c>
      <c r="U593" s="23">
        <v>46865</v>
      </c>
      <c r="X593" s="20">
        <v>1000</v>
      </c>
      <c r="Z593" s="6" t="s">
        <v>5978</v>
      </c>
      <c r="AA593" s="14">
        <f t="shared" si="74"/>
        <v>5.9999999999999995E-4</v>
      </c>
      <c r="AB593">
        <v>0.53566199999999997</v>
      </c>
      <c r="AC593">
        <v>0.55708848</v>
      </c>
    </row>
    <row r="594" spans="1:29" x14ac:dyDescent="0.3">
      <c r="A594">
        <v>151078</v>
      </c>
      <c r="B594" s="25" t="s">
        <v>5984</v>
      </c>
      <c r="C594" t="s">
        <v>20</v>
      </c>
      <c r="D594" t="s">
        <v>21</v>
      </c>
      <c r="E594">
        <v>2222222</v>
      </c>
      <c r="F594" s="8" t="s">
        <v>22</v>
      </c>
      <c r="G594" s="2">
        <v>98</v>
      </c>
      <c r="H594" t="s">
        <v>3906</v>
      </c>
      <c r="I594" t="s">
        <v>4532</v>
      </c>
      <c r="J594" s="9" t="s">
        <v>5151</v>
      </c>
      <c r="K594" t="s">
        <v>5195</v>
      </c>
      <c r="L594" s="2">
        <v>1</v>
      </c>
      <c r="M594" s="24" t="s">
        <v>5971</v>
      </c>
      <c r="N594" s="2" t="s">
        <v>23</v>
      </c>
      <c r="O594" s="18" t="s">
        <v>505</v>
      </c>
      <c r="P594" s="18" t="s">
        <v>3781</v>
      </c>
      <c r="Q594" s="6" t="s">
        <v>4475</v>
      </c>
      <c r="T594" s="23">
        <v>46136</v>
      </c>
      <c r="U594" s="23">
        <v>46470</v>
      </c>
      <c r="X594" s="20">
        <v>3530</v>
      </c>
      <c r="Z594" s="6" t="s">
        <v>5978</v>
      </c>
      <c r="AA594" s="14">
        <f t="shared" si="74"/>
        <v>5.9999999999999995E-4</v>
      </c>
      <c r="AB594">
        <v>1.5726839999999997</v>
      </c>
      <c r="AC594">
        <v>1.6355913599999998</v>
      </c>
    </row>
    <row r="595" spans="1:29" x14ac:dyDescent="0.3">
      <c r="A595">
        <v>151198</v>
      </c>
      <c r="B595" s="25" t="s">
        <v>5984</v>
      </c>
      <c r="C595" t="s">
        <v>20</v>
      </c>
      <c r="D595" t="s">
        <v>21</v>
      </c>
      <c r="E595">
        <v>2222222</v>
      </c>
      <c r="F595" s="8" t="s">
        <v>22</v>
      </c>
      <c r="G595" s="2">
        <v>98</v>
      </c>
      <c r="H595" t="s">
        <v>3906</v>
      </c>
      <c r="I595" t="s">
        <v>4532</v>
      </c>
      <c r="J595" s="9" t="s">
        <v>4845</v>
      </c>
      <c r="K595" t="s">
        <v>4861</v>
      </c>
      <c r="L595" s="2">
        <v>1</v>
      </c>
      <c r="M595" s="24" t="s">
        <v>5971</v>
      </c>
      <c r="N595" s="2" t="s">
        <v>23</v>
      </c>
      <c r="O595" s="18" t="s">
        <v>502</v>
      </c>
      <c r="P595" s="18" t="s">
        <v>3781</v>
      </c>
      <c r="Q595" s="6" t="s">
        <v>4475</v>
      </c>
      <c r="T595" s="23">
        <v>46146</v>
      </c>
      <c r="U595" s="23">
        <v>46510</v>
      </c>
      <c r="X595" s="20">
        <v>1000</v>
      </c>
      <c r="Z595" s="6" t="s">
        <v>5978</v>
      </c>
      <c r="AA595" s="14">
        <f t="shared" si="74"/>
        <v>5.9999999999999995E-4</v>
      </c>
      <c r="AB595">
        <v>0.50675999999999999</v>
      </c>
      <c r="AC595">
        <v>0.52703040000000001</v>
      </c>
    </row>
    <row r="596" spans="1:29" x14ac:dyDescent="0.3">
      <c r="A596">
        <v>151618</v>
      </c>
      <c r="B596" s="25" t="s">
        <v>5984</v>
      </c>
      <c r="C596" t="s">
        <v>20</v>
      </c>
      <c r="D596" t="s">
        <v>21</v>
      </c>
      <c r="E596">
        <v>2222222</v>
      </c>
      <c r="F596" s="8" t="s">
        <v>22</v>
      </c>
      <c r="G596" s="2">
        <v>98</v>
      </c>
      <c r="H596" t="s">
        <v>3906</v>
      </c>
      <c r="I596" t="s">
        <v>3827</v>
      </c>
      <c r="J596" s="9" t="s">
        <v>4836</v>
      </c>
      <c r="K596" t="s">
        <v>4854</v>
      </c>
      <c r="L596" s="2">
        <v>1</v>
      </c>
      <c r="M596" s="24" t="s">
        <v>5971</v>
      </c>
      <c r="N596" s="2" t="s">
        <v>23</v>
      </c>
      <c r="O596" s="18" t="s">
        <v>507</v>
      </c>
      <c r="P596" s="18" t="s">
        <v>3781</v>
      </c>
      <c r="Q596" s="6" t="s">
        <v>4475</v>
      </c>
      <c r="T596" s="23">
        <v>46176</v>
      </c>
      <c r="U596" s="23">
        <v>46546</v>
      </c>
      <c r="X596" s="20">
        <v>2000</v>
      </c>
      <c r="Z596" s="6" t="s">
        <v>5978</v>
      </c>
      <c r="AA596" s="14">
        <f t="shared" si="74"/>
        <v>5.9999999999999995E-4</v>
      </c>
      <c r="AB596">
        <v>1.1074199999999998</v>
      </c>
      <c r="AC596">
        <v>1.1517168</v>
      </c>
    </row>
    <row r="597" spans="1:29" x14ac:dyDescent="0.3">
      <c r="A597">
        <v>151655</v>
      </c>
      <c r="B597" s="25" t="s">
        <v>5984</v>
      </c>
      <c r="C597" t="s">
        <v>20</v>
      </c>
      <c r="D597" t="s">
        <v>21</v>
      </c>
      <c r="E597">
        <v>2222222</v>
      </c>
      <c r="F597" s="8" t="s">
        <v>22</v>
      </c>
      <c r="G597" s="2">
        <v>98</v>
      </c>
      <c r="H597" t="s">
        <v>3906</v>
      </c>
      <c r="I597" t="s">
        <v>4532</v>
      </c>
      <c r="J597" s="9" t="s">
        <v>5055</v>
      </c>
      <c r="K597" t="s">
        <v>4942</v>
      </c>
      <c r="L597" s="2">
        <v>1</v>
      </c>
      <c r="M597" s="24" t="s">
        <v>5971</v>
      </c>
      <c r="N597" s="2" t="s">
        <v>23</v>
      </c>
      <c r="O597" s="18" t="s">
        <v>503</v>
      </c>
      <c r="P597" s="18" t="s">
        <v>3781</v>
      </c>
      <c r="Q597" s="6" t="s">
        <v>4475</v>
      </c>
      <c r="T597" s="23">
        <v>46177</v>
      </c>
      <c r="U597" s="23">
        <v>47638</v>
      </c>
      <c r="X597" s="20">
        <v>5000</v>
      </c>
      <c r="Z597" s="6" t="s">
        <v>5978</v>
      </c>
      <c r="AA597" s="14">
        <f t="shared" si="74"/>
        <v>5.9999999999999995E-4</v>
      </c>
      <c r="AB597">
        <v>2.9564819999999998</v>
      </c>
      <c r="AC597">
        <v>3.07474128</v>
      </c>
    </row>
    <row r="598" spans="1:29" x14ac:dyDescent="0.3">
      <c r="A598">
        <v>151770</v>
      </c>
      <c r="B598" s="25" t="s">
        <v>5984</v>
      </c>
      <c r="C598" t="s">
        <v>20</v>
      </c>
      <c r="D598" t="s">
        <v>21</v>
      </c>
      <c r="E598">
        <v>2222222</v>
      </c>
      <c r="F598" s="8" t="s">
        <v>22</v>
      </c>
      <c r="G598" s="2">
        <v>98</v>
      </c>
      <c r="H598" t="s">
        <v>3906</v>
      </c>
      <c r="I598" t="s">
        <v>4185</v>
      </c>
      <c r="J598" s="9" t="s">
        <v>5204</v>
      </c>
      <c r="K598" t="s">
        <v>5220</v>
      </c>
      <c r="L598" s="2">
        <v>1</v>
      </c>
      <c r="M598" s="24" t="s">
        <v>5971</v>
      </c>
      <c r="N598" s="2" t="s">
        <v>23</v>
      </c>
      <c r="O598" s="18" t="s">
        <v>489</v>
      </c>
      <c r="P598" s="18" t="s">
        <v>0</v>
      </c>
      <c r="Q598" s="6" t="s">
        <v>4475</v>
      </c>
      <c r="T598" s="23">
        <v>46185</v>
      </c>
      <c r="U598" s="23">
        <v>47281</v>
      </c>
      <c r="X598" s="20">
        <v>5000</v>
      </c>
      <c r="Z598" s="6" t="s">
        <v>5978</v>
      </c>
      <c r="AA598" s="14">
        <f t="shared" si="74"/>
        <v>5.9999999999999995E-4</v>
      </c>
      <c r="AB598">
        <v>2.9361659999999996</v>
      </c>
      <c r="AC598">
        <v>3.0536126399999999</v>
      </c>
    </row>
    <row r="599" spans="1:29" x14ac:dyDescent="0.3">
      <c r="A599">
        <v>151884</v>
      </c>
      <c r="B599" s="25" t="s">
        <v>5984</v>
      </c>
      <c r="C599" t="s">
        <v>20</v>
      </c>
      <c r="D599" t="s">
        <v>21</v>
      </c>
      <c r="E599">
        <v>2222222</v>
      </c>
      <c r="F599" s="8" t="s">
        <v>22</v>
      </c>
      <c r="G599" s="2">
        <v>98</v>
      </c>
      <c r="H599" t="s">
        <v>3906</v>
      </c>
      <c r="I599" t="s">
        <v>4789</v>
      </c>
      <c r="J599" s="9" t="s">
        <v>5223</v>
      </c>
      <c r="K599" t="s">
        <v>5196</v>
      </c>
      <c r="L599" s="2">
        <v>1</v>
      </c>
      <c r="M599" s="24" t="s">
        <v>5971</v>
      </c>
      <c r="N599" s="2" t="s">
        <v>23</v>
      </c>
      <c r="O599" s="18" t="s">
        <v>491</v>
      </c>
      <c r="P599" s="18" t="s">
        <v>3781</v>
      </c>
      <c r="Q599" s="6" t="s">
        <v>4475</v>
      </c>
      <c r="T599" s="23">
        <v>46195</v>
      </c>
      <c r="U599" s="23">
        <v>47656</v>
      </c>
      <c r="X599" s="20">
        <v>5000</v>
      </c>
      <c r="Z599" s="6" t="s">
        <v>5978</v>
      </c>
      <c r="AA599" s="14">
        <f t="shared" si="74"/>
        <v>5.9999999999999995E-4</v>
      </c>
      <c r="AB599">
        <v>2.9564819999999998</v>
      </c>
      <c r="AC599">
        <v>3.07474128</v>
      </c>
    </row>
    <row r="600" spans="1:29" x14ac:dyDescent="0.3">
      <c r="A600">
        <v>151897</v>
      </c>
      <c r="B600" s="25" t="s">
        <v>5984</v>
      </c>
      <c r="C600" t="s">
        <v>20</v>
      </c>
      <c r="D600" t="s">
        <v>21</v>
      </c>
      <c r="E600">
        <v>2222222</v>
      </c>
      <c r="F600" s="8" t="s">
        <v>22</v>
      </c>
      <c r="G600" s="2">
        <v>98</v>
      </c>
      <c r="H600" t="s">
        <v>3906</v>
      </c>
      <c r="I600" t="s">
        <v>4184</v>
      </c>
      <c r="J600" s="9" t="s">
        <v>5214</v>
      </c>
      <c r="K600" t="s">
        <v>4827</v>
      </c>
      <c r="L600" s="2">
        <v>1</v>
      </c>
      <c r="M600" s="24" t="s">
        <v>5971</v>
      </c>
      <c r="N600" s="2" t="s">
        <v>23</v>
      </c>
      <c r="O600" s="18" t="s">
        <v>492</v>
      </c>
      <c r="P600" s="18" t="s">
        <v>0</v>
      </c>
      <c r="Q600" s="6" t="s">
        <v>4475</v>
      </c>
      <c r="T600" s="23">
        <v>46196</v>
      </c>
      <c r="U600" s="23">
        <v>48022</v>
      </c>
      <c r="X600" s="20">
        <v>4350</v>
      </c>
      <c r="Z600" s="6" t="s">
        <v>5978</v>
      </c>
      <c r="AA600" s="14">
        <f t="shared" si="74"/>
        <v>5.9999999999999995E-4</v>
      </c>
      <c r="AB600">
        <v>2.5825199999999997</v>
      </c>
      <c r="AC600">
        <v>2.6858207999999997</v>
      </c>
    </row>
    <row r="601" spans="1:29" x14ac:dyDescent="0.3">
      <c r="A601">
        <v>152331</v>
      </c>
      <c r="B601" s="25" t="s">
        <v>5984</v>
      </c>
      <c r="C601" t="s">
        <v>20</v>
      </c>
      <c r="D601" t="s">
        <v>21</v>
      </c>
      <c r="E601">
        <v>2222222</v>
      </c>
      <c r="F601" s="8" t="s">
        <v>22</v>
      </c>
      <c r="G601" s="2">
        <v>98</v>
      </c>
      <c r="H601" t="s">
        <v>3906</v>
      </c>
      <c r="I601" t="s">
        <v>3906</v>
      </c>
      <c r="J601" s="9" t="s">
        <v>4916</v>
      </c>
      <c r="K601" t="s">
        <v>5033</v>
      </c>
      <c r="L601" s="2">
        <v>1</v>
      </c>
      <c r="M601" s="24" t="s">
        <v>5971</v>
      </c>
      <c r="N601" s="2" t="s">
        <v>23</v>
      </c>
      <c r="O601" s="18" t="s">
        <v>487</v>
      </c>
      <c r="P601" s="18" t="s">
        <v>3781</v>
      </c>
      <c r="Q601" s="6" t="s">
        <v>4475</v>
      </c>
      <c r="T601" s="23">
        <v>46230</v>
      </c>
      <c r="U601" s="23">
        <v>46320</v>
      </c>
      <c r="X601" s="20">
        <v>500</v>
      </c>
      <c r="Z601" s="6" t="s">
        <v>5978</v>
      </c>
      <c r="AA601" s="14">
        <f t="shared" si="74"/>
        <v>5.9999999999999995E-4</v>
      </c>
      <c r="AB601">
        <v>0.3</v>
      </c>
      <c r="AC601">
        <v>0.312</v>
      </c>
    </row>
    <row r="602" spans="1:29" x14ac:dyDescent="0.3">
      <c r="A602">
        <v>152355</v>
      </c>
      <c r="B602" s="25" t="s">
        <v>5984</v>
      </c>
      <c r="C602" t="s">
        <v>20</v>
      </c>
      <c r="D602" t="s">
        <v>21</v>
      </c>
      <c r="E602">
        <v>2222222</v>
      </c>
      <c r="F602" s="8" t="s">
        <v>22</v>
      </c>
      <c r="G602" s="2">
        <v>98</v>
      </c>
      <c r="H602" t="s">
        <v>3906</v>
      </c>
      <c r="I602" t="s">
        <v>4037</v>
      </c>
      <c r="J602" s="9" t="s">
        <v>5096</v>
      </c>
      <c r="K602" t="s">
        <v>5030</v>
      </c>
      <c r="L602" s="2">
        <v>1</v>
      </c>
      <c r="M602" s="24" t="s">
        <v>5971</v>
      </c>
      <c r="N602" s="2" t="s">
        <v>23</v>
      </c>
      <c r="O602" s="18" t="s">
        <v>488</v>
      </c>
      <c r="P602" s="18" t="s">
        <v>3781</v>
      </c>
      <c r="Q602" s="6" t="s">
        <v>4475</v>
      </c>
      <c r="T602" s="23">
        <v>46231</v>
      </c>
      <c r="U602" s="23">
        <v>46321</v>
      </c>
      <c r="X602" s="20">
        <v>745</v>
      </c>
      <c r="Z602" s="6" t="s">
        <v>5978</v>
      </c>
      <c r="AA602" s="14">
        <f t="shared" si="74"/>
        <v>5.9999999999999995E-4</v>
      </c>
      <c r="AB602">
        <v>0.44699999999999995</v>
      </c>
      <c r="AC602">
        <v>0.46487999999999996</v>
      </c>
    </row>
    <row r="603" spans="1:29" x14ac:dyDescent="0.3">
      <c r="A603">
        <v>136294</v>
      </c>
      <c r="B603" s="25" t="s">
        <v>5984</v>
      </c>
      <c r="C603" t="s">
        <v>20</v>
      </c>
      <c r="D603" t="s">
        <v>21</v>
      </c>
      <c r="E603">
        <v>2222222</v>
      </c>
      <c r="F603" s="8" t="s">
        <v>22</v>
      </c>
      <c r="G603" s="2">
        <v>98</v>
      </c>
      <c r="H603" t="s">
        <v>3907</v>
      </c>
      <c r="I603" t="s">
        <v>4407</v>
      </c>
      <c r="J603" s="9" t="s">
        <v>4823</v>
      </c>
      <c r="L603" s="2">
        <v>1</v>
      </c>
      <c r="M603" s="24" t="s">
        <v>5971</v>
      </c>
      <c r="N603" s="2" t="s">
        <v>23</v>
      </c>
      <c r="O603" s="18" t="s">
        <v>508</v>
      </c>
      <c r="P603" s="18" t="s">
        <v>3781</v>
      </c>
      <c r="Q603" s="6" t="s">
        <v>4475</v>
      </c>
      <c r="T603" s="23">
        <v>45164</v>
      </c>
      <c r="U603" s="23">
        <v>47720</v>
      </c>
      <c r="X603" s="20">
        <v>6750</v>
      </c>
      <c r="Z603" s="6" t="s">
        <v>5978</v>
      </c>
      <c r="AA603" s="13">
        <f t="shared" ref="AA603:AA605" si="75">+(0.56/1000)</f>
        <v>5.6000000000000006E-4</v>
      </c>
      <c r="AB603">
        <v>2.5644752000000004</v>
      </c>
      <c r="AC603">
        <v>2.6670542080000006</v>
      </c>
    </row>
    <row r="604" spans="1:29" x14ac:dyDescent="0.3">
      <c r="A604">
        <v>138589</v>
      </c>
      <c r="B604" s="25" t="s">
        <v>5984</v>
      </c>
      <c r="C604" t="s">
        <v>20</v>
      </c>
      <c r="D604" t="s">
        <v>21</v>
      </c>
      <c r="E604">
        <v>2222222</v>
      </c>
      <c r="F604" s="8" t="s">
        <v>22</v>
      </c>
      <c r="G604" s="2">
        <v>98</v>
      </c>
      <c r="H604" t="s">
        <v>3907</v>
      </c>
      <c r="I604" t="s">
        <v>3805</v>
      </c>
      <c r="J604" s="9" t="s">
        <v>4830</v>
      </c>
      <c r="K604" t="s">
        <v>5227</v>
      </c>
      <c r="L604" s="2">
        <v>1</v>
      </c>
      <c r="M604" s="24" t="s">
        <v>5971</v>
      </c>
      <c r="N604" s="2" t="s">
        <v>23</v>
      </c>
      <c r="O604" s="18" t="s">
        <v>509</v>
      </c>
      <c r="P604" s="18" t="s">
        <v>0</v>
      </c>
      <c r="Q604" s="6" t="s">
        <v>4475</v>
      </c>
      <c r="T604" s="23">
        <v>45290</v>
      </c>
      <c r="U604" s="23">
        <v>47116</v>
      </c>
      <c r="X604" s="20">
        <v>6200</v>
      </c>
      <c r="Z604" s="6" t="s">
        <v>5978</v>
      </c>
      <c r="AA604" s="13">
        <f t="shared" si="75"/>
        <v>5.6000000000000006E-4</v>
      </c>
      <c r="AB604">
        <v>3.4549872000000001</v>
      </c>
      <c r="AC604">
        <v>3.5931866880000003</v>
      </c>
    </row>
    <row r="605" spans="1:29" x14ac:dyDescent="0.3">
      <c r="A605">
        <v>137500</v>
      </c>
      <c r="B605" s="25" t="s">
        <v>5984</v>
      </c>
      <c r="C605" t="s">
        <v>20</v>
      </c>
      <c r="D605" t="s">
        <v>21</v>
      </c>
      <c r="E605">
        <v>2222222</v>
      </c>
      <c r="F605" s="8" t="s">
        <v>22</v>
      </c>
      <c r="G605" s="2">
        <v>98</v>
      </c>
      <c r="H605" t="s">
        <v>3908</v>
      </c>
      <c r="I605" t="s">
        <v>4792</v>
      </c>
      <c r="J605" s="9" t="s">
        <v>4976</v>
      </c>
      <c r="K605" t="s">
        <v>5221</v>
      </c>
      <c r="L605" s="2">
        <v>1</v>
      </c>
      <c r="M605" s="24" t="s">
        <v>5971</v>
      </c>
      <c r="N605" s="2" t="s">
        <v>23</v>
      </c>
      <c r="O605" s="18" t="s">
        <v>510</v>
      </c>
      <c r="P605" s="18" t="s">
        <v>0</v>
      </c>
      <c r="Q605" s="6" t="s">
        <v>4475</v>
      </c>
      <c r="T605" s="23">
        <v>45225</v>
      </c>
      <c r="U605" s="23">
        <v>48877</v>
      </c>
      <c r="X605" s="20">
        <v>12990</v>
      </c>
      <c r="Z605" s="6" t="s">
        <v>5978</v>
      </c>
      <c r="AA605" s="13">
        <f t="shared" si="75"/>
        <v>5.6000000000000006E-4</v>
      </c>
      <c r="AB605">
        <v>6.0248384000000001</v>
      </c>
      <c r="AC605">
        <v>6.2658319360000005</v>
      </c>
    </row>
    <row r="606" spans="1:29" x14ac:dyDescent="0.3">
      <c r="A606">
        <v>148582</v>
      </c>
      <c r="B606" s="25" t="s">
        <v>5984</v>
      </c>
      <c r="C606" t="s">
        <v>20</v>
      </c>
      <c r="D606" t="s">
        <v>21</v>
      </c>
      <c r="E606">
        <v>2222222</v>
      </c>
      <c r="F606" s="8" t="s">
        <v>22</v>
      </c>
      <c r="G606" s="2">
        <v>98</v>
      </c>
      <c r="H606" t="s">
        <v>3909</v>
      </c>
      <c r="I606" t="s">
        <v>4793</v>
      </c>
      <c r="J606" s="9" t="s">
        <v>5126</v>
      </c>
      <c r="K606" t="s">
        <v>5023</v>
      </c>
      <c r="L606" s="2">
        <v>1</v>
      </c>
      <c r="M606" s="24" t="s">
        <v>5971</v>
      </c>
      <c r="N606" s="2" t="s">
        <v>23</v>
      </c>
      <c r="O606" s="18" t="s">
        <v>511</v>
      </c>
      <c r="P606" s="18" t="s">
        <v>0</v>
      </c>
      <c r="Q606" s="6" t="s">
        <v>4475</v>
      </c>
      <c r="T606" s="23">
        <v>45756</v>
      </c>
      <c r="U606" s="23">
        <v>47578</v>
      </c>
      <c r="X606" s="20">
        <v>11000</v>
      </c>
      <c r="Z606" s="6" t="s">
        <v>5978</v>
      </c>
      <c r="AA606" s="14">
        <f t="shared" ref="AA606:AA611" si="76">+(0.6/1000)</f>
        <v>5.9999999999999995E-4</v>
      </c>
      <c r="AB606">
        <v>5.3934959999999998</v>
      </c>
      <c r="AC606">
        <v>5.6092358400000002</v>
      </c>
    </row>
    <row r="607" spans="1:29" x14ac:dyDescent="0.3">
      <c r="A607">
        <v>151760</v>
      </c>
      <c r="B607" s="25" t="s">
        <v>5984</v>
      </c>
      <c r="C607" t="s">
        <v>20</v>
      </c>
      <c r="D607" t="s">
        <v>21</v>
      </c>
      <c r="E607">
        <v>2222222</v>
      </c>
      <c r="F607" s="8" t="s">
        <v>22</v>
      </c>
      <c r="G607" s="2">
        <v>98</v>
      </c>
      <c r="H607" t="s">
        <v>3909</v>
      </c>
      <c r="I607" t="s">
        <v>4480</v>
      </c>
      <c r="J607" s="9" t="s">
        <v>4852</v>
      </c>
      <c r="K607" t="s">
        <v>4841</v>
      </c>
      <c r="L607" s="2">
        <v>1</v>
      </c>
      <c r="M607" s="24" t="s">
        <v>5971</v>
      </c>
      <c r="N607" s="2" t="s">
        <v>23</v>
      </c>
      <c r="O607" s="18" t="s">
        <v>512</v>
      </c>
      <c r="P607" s="18" t="s">
        <v>0</v>
      </c>
      <c r="Q607" s="6" t="s">
        <v>4475</v>
      </c>
      <c r="T607" s="23">
        <v>46185</v>
      </c>
      <c r="U607" s="23">
        <v>46275</v>
      </c>
      <c r="X607" s="20">
        <v>1000</v>
      </c>
      <c r="Z607" s="6" t="s">
        <v>5978</v>
      </c>
      <c r="AA607" s="14">
        <f t="shared" si="76"/>
        <v>5.9999999999999995E-4</v>
      </c>
      <c r="AB607">
        <v>0.6</v>
      </c>
      <c r="AC607">
        <v>0.624</v>
      </c>
    </row>
    <row r="608" spans="1:29" x14ac:dyDescent="0.3">
      <c r="A608">
        <v>147615</v>
      </c>
      <c r="B608" s="25" t="s">
        <v>5984</v>
      </c>
      <c r="C608" t="s">
        <v>20</v>
      </c>
      <c r="D608" t="s">
        <v>21</v>
      </c>
      <c r="E608">
        <v>2222222</v>
      </c>
      <c r="F608" s="8" t="s">
        <v>22</v>
      </c>
      <c r="G608" s="2">
        <v>98</v>
      </c>
      <c r="H608" t="s">
        <v>3910</v>
      </c>
      <c r="I608" t="s">
        <v>4794</v>
      </c>
      <c r="J608" s="9" t="s">
        <v>5085</v>
      </c>
      <c r="K608" t="s">
        <v>5228</v>
      </c>
      <c r="L608" s="2">
        <v>1</v>
      </c>
      <c r="M608" s="24" t="s">
        <v>5971</v>
      </c>
      <c r="N608" s="2" t="s">
        <v>23</v>
      </c>
      <c r="O608" s="18" t="s">
        <v>513</v>
      </c>
      <c r="P608" s="18" t="s">
        <v>0</v>
      </c>
      <c r="Q608" s="6" t="s">
        <v>4475</v>
      </c>
      <c r="T608" s="23">
        <v>45901</v>
      </c>
      <c r="U608" s="23">
        <v>47001</v>
      </c>
      <c r="X608" s="20">
        <v>5000</v>
      </c>
      <c r="Z608" s="6" t="s">
        <v>5978</v>
      </c>
      <c r="AA608" s="14">
        <f t="shared" si="76"/>
        <v>5.9999999999999995E-4</v>
      </c>
      <c r="AB608">
        <v>2.305002</v>
      </c>
      <c r="AC608">
        <v>2.39720208</v>
      </c>
    </row>
    <row r="609" spans="1:29" x14ac:dyDescent="0.3">
      <c r="A609">
        <v>148708</v>
      </c>
      <c r="B609" s="25" t="s">
        <v>5984</v>
      </c>
      <c r="C609" t="s">
        <v>20</v>
      </c>
      <c r="D609" t="s">
        <v>21</v>
      </c>
      <c r="E609">
        <v>2222222</v>
      </c>
      <c r="F609" s="8" t="s">
        <v>22</v>
      </c>
      <c r="G609" s="2">
        <v>98</v>
      </c>
      <c r="H609" t="s">
        <v>3910</v>
      </c>
      <c r="I609" t="s">
        <v>4672</v>
      </c>
      <c r="J609" s="9" t="s">
        <v>4901</v>
      </c>
      <c r="K609" t="s">
        <v>4847</v>
      </c>
      <c r="L609" s="2">
        <v>1</v>
      </c>
      <c r="M609" s="24" t="s">
        <v>5971</v>
      </c>
      <c r="N609" s="2" t="s">
        <v>23</v>
      </c>
      <c r="O609" s="18" t="s">
        <v>514</v>
      </c>
      <c r="P609" s="18" t="s">
        <v>0</v>
      </c>
      <c r="Q609" s="6" t="s">
        <v>4475</v>
      </c>
      <c r="T609" s="23">
        <v>45974</v>
      </c>
      <c r="U609" s="23">
        <v>47435</v>
      </c>
      <c r="X609" s="20">
        <v>4500</v>
      </c>
      <c r="Z609" s="6" t="s">
        <v>5978</v>
      </c>
      <c r="AA609" s="14">
        <f t="shared" si="76"/>
        <v>5.9999999999999995E-4</v>
      </c>
      <c r="AB609">
        <v>2.3724059999999998</v>
      </c>
      <c r="AC609">
        <v>2.46730224</v>
      </c>
    </row>
    <row r="610" spans="1:29" x14ac:dyDescent="0.3">
      <c r="A610">
        <v>150089</v>
      </c>
      <c r="B610" s="25" t="s">
        <v>5984</v>
      </c>
      <c r="C610" t="s">
        <v>20</v>
      </c>
      <c r="D610" t="s">
        <v>21</v>
      </c>
      <c r="E610">
        <v>2222222</v>
      </c>
      <c r="F610" s="8" t="s">
        <v>22</v>
      </c>
      <c r="G610" s="2">
        <v>98</v>
      </c>
      <c r="H610" t="s">
        <v>3910</v>
      </c>
      <c r="I610" t="s">
        <v>4794</v>
      </c>
      <c r="J610" s="9" t="s">
        <v>5085</v>
      </c>
      <c r="K610" t="s">
        <v>5228</v>
      </c>
      <c r="L610" s="2">
        <v>1</v>
      </c>
      <c r="M610" s="24" t="s">
        <v>5971</v>
      </c>
      <c r="N610" s="2" t="s">
        <v>23</v>
      </c>
      <c r="O610" s="18" t="s">
        <v>513</v>
      </c>
      <c r="P610" s="18" t="s">
        <v>0</v>
      </c>
      <c r="Q610" s="6" t="s">
        <v>4475</v>
      </c>
      <c r="T610" s="23">
        <v>46071</v>
      </c>
      <c r="U610" s="23">
        <v>47016</v>
      </c>
      <c r="X610" s="20">
        <v>2000</v>
      </c>
      <c r="Z610" s="6" t="s">
        <v>5978</v>
      </c>
      <c r="AA610" s="14">
        <f t="shared" si="76"/>
        <v>5.9999999999999995E-4</v>
      </c>
      <c r="AB610">
        <v>1.0404179999999998</v>
      </c>
      <c r="AC610">
        <v>1.0820347199999998</v>
      </c>
    </row>
    <row r="611" spans="1:29" x14ac:dyDescent="0.3">
      <c r="A611">
        <v>150416</v>
      </c>
      <c r="B611" s="25" t="s">
        <v>5984</v>
      </c>
      <c r="C611" t="s">
        <v>20</v>
      </c>
      <c r="D611" t="s">
        <v>21</v>
      </c>
      <c r="E611">
        <v>2222222</v>
      </c>
      <c r="F611" s="8" t="s">
        <v>22</v>
      </c>
      <c r="G611" s="2">
        <v>98</v>
      </c>
      <c r="H611" t="s">
        <v>3911</v>
      </c>
      <c r="I611" t="s">
        <v>4795</v>
      </c>
      <c r="J611" s="9" t="s">
        <v>4836</v>
      </c>
      <c r="K611" t="s">
        <v>5229</v>
      </c>
      <c r="L611" s="2">
        <v>1</v>
      </c>
      <c r="M611" s="24" t="s">
        <v>5971</v>
      </c>
      <c r="N611" s="2" t="s">
        <v>23</v>
      </c>
      <c r="O611" s="18" t="s">
        <v>515</v>
      </c>
      <c r="P611" s="18" t="s">
        <v>3781</v>
      </c>
      <c r="Q611" s="6" t="s">
        <v>4475</v>
      </c>
      <c r="T611" s="23">
        <v>46100</v>
      </c>
      <c r="U611" s="23">
        <v>47925</v>
      </c>
      <c r="X611" s="20">
        <v>9500</v>
      </c>
      <c r="Z611" s="6" t="s">
        <v>5978</v>
      </c>
      <c r="AA611" s="14">
        <f t="shared" si="76"/>
        <v>5.9999999999999995E-4</v>
      </c>
      <c r="AB611">
        <v>5.4306599999999996</v>
      </c>
      <c r="AC611">
        <v>5.6478864</v>
      </c>
    </row>
    <row r="612" spans="1:29" x14ac:dyDescent="0.3">
      <c r="A612">
        <v>116362</v>
      </c>
      <c r="B612" s="25" t="s">
        <v>5984</v>
      </c>
      <c r="C612" t="s">
        <v>20</v>
      </c>
      <c r="D612" t="s">
        <v>21</v>
      </c>
      <c r="E612">
        <v>2222222</v>
      </c>
      <c r="F612" s="8" t="s">
        <v>22</v>
      </c>
      <c r="G612" s="2">
        <v>98</v>
      </c>
      <c r="H612" t="s">
        <v>3912</v>
      </c>
      <c r="I612" t="s">
        <v>4369</v>
      </c>
      <c r="J612" s="9" t="s">
        <v>5120</v>
      </c>
      <c r="K612" t="s">
        <v>4844</v>
      </c>
      <c r="L612" s="2">
        <v>1</v>
      </c>
      <c r="M612" s="24" t="s">
        <v>5971</v>
      </c>
      <c r="N612" s="2" t="s">
        <v>23</v>
      </c>
      <c r="O612" s="18" t="s">
        <v>516</v>
      </c>
      <c r="P612" s="18" t="s">
        <v>0</v>
      </c>
      <c r="Q612" s="6" t="s">
        <v>4475</v>
      </c>
      <c r="T612" s="23">
        <v>44153</v>
      </c>
      <c r="U612" s="23">
        <v>46905</v>
      </c>
      <c r="X612" s="20">
        <v>15000</v>
      </c>
      <c r="Z612" s="6" t="s">
        <v>5978</v>
      </c>
      <c r="AA612" s="15">
        <f t="shared" ref="AA612:AA613" si="77">+(0.42/1000)</f>
        <v>4.1999999999999996E-4</v>
      </c>
      <c r="AB612">
        <v>2.4710867999999997</v>
      </c>
      <c r="AC612">
        <v>2.5699302719999997</v>
      </c>
    </row>
    <row r="613" spans="1:29" x14ac:dyDescent="0.3">
      <c r="A613">
        <v>120263</v>
      </c>
      <c r="B613" s="25" t="s">
        <v>5984</v>
      </c>
      <c r="C613" t="s">
        <v>20</v>
      </c>
      <c r="D613" t="s">
        <v>21</v>
      </c>
      <c r="E613">
        <v>2222222</v>
      </c>
      <c r="F613" s="8" t="s">
        <v>22</v>
      </c>
      <c r="G613" s="2">
        <v>98</v>
      </c>
      <c r="H613" t="s">
        <v>3912</v>
      </c>
      <c r="I613" t="s">
        <v>4796</v>
      </c>
      <c r="J613" s="9" t="s">
        <v>4929</v>
      </c>
      <c r="K613" t="s">
        <v>5189</v>
      </c>
      <c r="L613" s="2">
        <v>1</v>
      </c>
      <c r="M613" s="24" t="s">
        <v>5971</v>
      </c>
      <c r="N613" s="2" t="s">
        <v>23</v>
      </c>
      <c r="O613" s="18" t="s">
        <v>517</v>
      </c>
      <c r="P613" s="18" t="s">
        <v>0</v>
      </c>
      <c r="Q613" s="6" t="s">
        <v>4475</v>
      </c>
      <c r="T613" s="23">
        <v>44316</v>
      </c>
      <c r="U613" s="23">
        <v>46874</v>
      </c>
      <c r="X613" s="20">
        <v>25000</v>
      </c>
      <c r="Z613" s="6" t="s">
        <v>5978</v>
      </c>
      <c r="AA613" s="15">
        <f t="shared" si="77"/>
        <v>4.1999999999999996E-4</v>
      </c>
      <c r="AB613">
        <v>3.9734435999999995</v>
      </c>
      <c r="AC613">
        <v>4.1323813439999997</v>
      </c>
    </row>
    <row r="614" spans="1:29" x14ac:dyDescent="0.3">
      <c r="A614">
        <v>136346</v>
      </c>
      <c r="B614" s="25" t="s">
        <v>5984</v>
      </c>
      <c r="C614" t="s">
        <v>20</v>
      </c>
      <c r="D614" t="s">
        <v>21</v>
      </c>
      <c r="E614">
        <v>2222222</v>
      </c>
      <c r="F614" s="8" t="s">
        <v>22</v>
      </c>
      <c r="G614" s="2">
        <v>98</v>
      </c>
      <c r="H614" t="s">
        <v>3912</v>
      </c>
      <c r="I614" t="s">
        <v>3983</v>
      </c>
      <c r="J614" s="9" t="s">
        <v>4960</v>
      </c>
      <c r="K614" t="s">
        <v>5230</v>
      </c>
      <c r="L614" s="2">
        <v>1</v>
      </c>
      <c r="M614" s="24" t="s">
        <v>5971</v>
      </c>
      <c r="N614" s="2" t="s">
        <v>23</v>
      </c>
      <c r="O614" s="18" t="s">
        <v>518</v>
      </c>
      <c r="P614" s="18" t="s">
        <v>3781</v>
      </c>
      <c r="Q614" s="6" t="s">
        <v>4475</v>
      </c>
      <c r="T614" s="23">
        <v>45176</v>
      </c>
      <c r="U614" s="23">
        <v>47003</v>
      </c>
      <c r="X614" s="20">
        <v>10000</v>
      </c>
      <c r="Z614" s="6" t="s">
        <v>5978</v>
      </c>
      <c r="AA614" s="13">
        <f t="shared" ref="AA614:AA616" si="78">+(0.56/1000)</f>
        <v>5.6000000000000006E-4</v>
      </c>
      <c r="AB614">
        <v>3.1727864000000001</v>
      </c>
      <c r="AC614">
        <v>3.2996978560000003</v>
      </c>
    </row>
    <row r="615" spans="1:29" x14ac:dyDescent="0.3">
      <c r="A615">
        <v>137741</v>
      </c>
      <c r="B615" s="25" t="s">
        <v>5984</v>
      </c>
      <c r="C615" t="s">
        <v>20</v>
      </c>
      <c r="D615" t="s">
        <v>21</v>
      </c>
      <c r="E615">
        <v>2222222</v>
      </c>
      <c r="F615" s="8" t="s">
        <v>22</v>
      </c>
      <c r="G615" s="2">
        <v>98</v>
      </c>
      <c r="H615" t="s">
        <v>3912</v>
      </c>
      <c r="I615" t="s">
        <v>4423</v>
      </c>
      <c r="J615" s="9" t="s">
        <v>4852</v>
      </c>
      <c r="K615" t="s">
        <v>5121</v>
      </c>
      <c r="L615" s="2">
        <v>1</v>
      </c>
      <c r="M615" s="24" t="s">
        <v>5971</v>
      </c>
      <c r="N615" s="2" t="s">
        <v>23</v>
      </c>
      <c r="O615" s="18" t="s">
        <v>519</v>
      </c>
      <c r="P615" s="18" t="s">
        <v>0</v>
      </c>
      <c r="Q615" s="6" t="s">
        <v>4475</v>
      </c>
      <c r="T615" s="23">
        <v>45252</v>
      </c>
      <c r="U615" s="23">
        <v>47543</v>
      </c>
      <c r="X615" s="20">
        <v>16500</v>
      </c>
      <c r="Z615" s="6" t="s">
        <v>5978</v>
      </c>
      <c r="AA615" s="13">
        <f t="shared" si="78"/>
        <v>5.6000000000000006E-4</v>
      </c>
      <c r="AB615">
        <v>6.6491432000000001</v>
      </c>
      <c r="AC615">
        <v>6.9151089280000004</v>
      </c>
    </row>
    <row r="616" spans="1:29" x14ac:dyDescent="0.3">
      <c r="A616">
        <v>140719</v>
      </c>
      <c r="B616" s="25" t="s">
        <v>5984</v>
      </c>
      <c r="C616" t="s">
        <v>20</v>
      </c>
      <c r="D616" t="s">
        <v>21</v>
      </c>
      <c r="E616">
        <v>2222222</v>
      </c>
      <c r="F616" s="8" t="s">
        <v>22</v>
      </c>
      <c r="G616" s="2">
        <v>98</v>
      </c>
      <c r="H616" t="s">
        <v>3912</v>
      </c>
      <c r="I616" t="s">
        <v>4266</v>
      </c>
      <c r="J616" s="9" t="s">
        <v>4815</v>
      </c>
      <c r="K616" t="s">
        <v>5231</v>
      </c>
      <c r="L616" s="2">
        <v>1</v>
      </c>
      <c r="M616" s="24" t="s">
        <v>5971</v>
      </c>
      <c r="N616" s="2" t="s">
        <v>23</v>
      </c>
      <c r="O616" s="18" t="s">
        <v>520</v>
      </c>
      <c r="P616" s="18" t="s">
        <v>0</v>
      </c>
      <c r="Q616" s="6" t="s">
        <v>4475</v>
      </c>
      <c r="T616" s="23">
        <v>45406</v>
      </c>
      <c r="U616" s="23">
        <v>46501</v>
      </c>
      <c r="X616" s="20">
        <v>3000</v>
      </c>
      <c r="Z616" s="6" t="s">
        <v>5978</v>
      </c>
      <c r="AA616" s="13">
        <f t="shared" si="78"/>
        <v>5.6000000000000006E-4</v>
      </c>
      <c r="AB616">
        <v>0.50940400000000008</v>
      </c>
      <c r="AC616">
        <v>0.52978016000000006</v>
      </c>
    </row>
    <row r="617" spans="1:29" x14ac:dyDescent="0.3">
      <c r="A617">
        <v>140781</v>
      </c>
      <c r="B617" s="25" t="s">
        <v>5984</v>
      </c>
      <c r="C617" t="s">
        <v>20</v>
      </c>
      <c r="D617" t="s">
        <v>21</v>
      </c>
      <c r="E617">
        <v>2222222</v>
      </c>
      <c r="F617" s="8" t="s">
        <v>22</v>
      </c>
      <c r="G617" s="2">
        <v>98</v>
      </c>
      <c r="H617" t="s">
        <v>3912</v>
      </c>
      <c r="I617" t="s">
        <v>3985</v>
      </c>
      <c r="J617" s="9" t="s">
        <v>5096</v>
      </c>
      <c r="K617" t="s">
        <v>5206</v>
      </c>
      <c r="L617" s="2">
        <v>1</v>
      </c>
      <c r="M617" s="24" t="s">
        <v>5971</v>
      </c>
      <c r="N617" s="2" t="s">
        <v>23</v>
      </c>
      <c r="O617" s="18" t="s">
        <v>521</v>
      </c>
      <c r="P617" s="18" t="s">
        <v>3781</v>
      </c>
      <c r="Q617" s="6" t="s">
        <v>4475</v>
      </c>
      <c r="T617" s="23">
        <v>45413</v>
      </c>
      <c r="U617" s="23">
        <v>46508</v>
      </c>
      <c r="X617" s="20">
        <v>4000</v>
      </c>
      <c r="Z617" s="6" t="s">
        <v>5978</v>
      </c>
      <c r="AA617" s="14">
        <f t="shared" ref="AA617:AA643" si="79">+(0.6/1000)</f>
        <v>5.9999999999999995E-4</v>
      </c>
      <c r="AB617">
        <v>0.80154599999999998</v>
      </c>
      <c r="AC617">
        <v>0.83360783999999999</v>
      </c>
    </row>
    <row r="618" spans="1:29" x14ac:dyDescent="0.3">
      <c r="A618">
        <v>142237</v>
      </c>
      <c r="B618" s="25" t="s">
        <v>5984</v>
      </c>
      <c r="C618" t="s">
        <v>20</v>
      </c>
      <c r="D618" t="s">
        <v>21</v>
      </c>
      <c r="E618">
        <v>2222222</v>
      </c>
      <c r="F618" s="8" t="s">
        <v>22</v>
      </c>
      <c r="G618" s="2">
        <v>98</v>
      </c>
      <c r="H618" t="s">
        <v>3912</v>
      </c>
      <c r="I618" t="s">
        <v>4726</v>
      </c>
      <c r="J618" s="9" t="s">
        <v>5020</v>
      </c>
      <c r="K618" t="s">
        <v>4949</v>
      </c>
      <c r="L618" s="2">
        <v>1</v>
      </c>
      <c r="M618" s="24" t="s">
        <v>5971</v>
      </c>
      <c r="N618" s="2" t="s">
        <v>23</v>
      </c>
      <c r="O618" s="18" t="s">
        <v>522</v>
      </c>
      <c r="P618" s="18" t="s">
        <v>0</v>
      </c>
      <c r="Q618" s="6" t="s">
        <v>4475</v>
      </c>
      <c r="T618" s="23">
        <v>45505</v>
      </c>
      <c r="U618" s="23">
        <v>47028</v>
      </c>
      <c r="X618" s="20">
        <v>2930</v>
      </c>
      <c r="Z618" s="6" t="s">
        <v>5978</v>
      </c>
      <c r="AA618" s="14">
        <f t="shared" si="79"/>
        <v>5.9999999999999995E-4</v>
      </c>
      <c r="AB618">
        <v>1.148028</v>
      </c>
      <c r="AC618">
        <v>1.1939491200000001</v>
      </c>
    </row>
    <row r="619" spans="1:29" x14ac:dyDescent="0.3">
      <c r="A619">
        <v>143800</v>
      </c>
      <c r="B619" s="25" t="s">
        <v>5984</v>
      </c>
      <c r="C619" t="s">
        <v>20</v>
      </c>
      <c r="D619" t="s">
        <v>21</v>
      </c>
      <c r="E619">
        <v>2222222</v>
      </c>
      <c r="F619" s="8" t="s">
        <v>22</v>
      </c>
      <c r="G619" s="2">
        <v>98</v>
      </c>
      <c r="H619" t="s">
        <v>3912</v>
      </c>
      <c r="I619" t="s">
        <v>4430</v>
      </c>
      <c r="J619" s="9" t="s">
        <v>4894</v>
      </c>
      <c r="K619" t="s">
        <v>5117</v>
      </c>
      <c r="L619" s="2">
        <v>1</v>
      </c>
      <c r="M619" s="24" t="s">
        <v>5971</v>
      </c>
      <c r="N619" s="2" t="s">
        <v>23</v>
      </c>
      <c r="O619" s="18" t="s">
        <v>523</v>
      </c>
      <c r="P619" s="18" t="s">
        <v>0</v>
      </c>
      <c r="Q619" s="6" t="s">
        <v>4475</v>
      </c>
      <c r="T619" s="23">
        <v>45618</v>
      </c>
      <c r="U619" s="23">
        <v>47079</v>
      </c>
      <c r="X619" s="20">
        <v>4435</v>
      </c>
      <c r="Z619" s="6" t="s">
        <v>5978</v>
      </c>
      <c r="AA619" s="14">
        <f t="shared" si="79"/>
        <v>5.9999999999999995E-4</v>
      </c>
      <c r="AB619">
        <v>1.7776619999999999</v>
      </c>
      <c r="AC619">
        <v>1.8487684799999999</v>
      </c>
    </row>
    <row r="620" spans="1:29" x14ac:dyDescent="0.3">
      <c r="A620">
        <v>144093</v>
      </c>
      <c r="B620" s="25" t="s">
        <v>5984</v>
      </c>
      <c r="C620" t="s">
        <v>20</v>
      </c>
      <c r="D620" t="s">
        <v>21</v>
      </c>
      <c r="E620">
        <v>2222222</v>
      </c>
      <c r="F620" s="8" t="s">
        <v>22</v>
      </c>
      <c r="G620" s="2">
        <v>98</v>
      </c>
      <c r="H620" t="s">
        <v>3912</v>
      </c>
      <c r="I620" t="s">
        <v>3985</v>
      </c>
      <c r="J620" s="9" t="s">
        <v>4836</v>
      </c>
      <c r="K620" t="s">
        <v>4516</v>
      </c>
      <c r="L620" s="2">
        <v>1</v>
      </c>
      <c r="M620" s="24" t="s">
        <v>5971</v>
      </c>
      <c r="N620" s="2" t="s">
        <v>23</v>
      </c>
      <c r="O620" s="18" t="s">
        <v>149</v>
      </c>
      <c r="P620" s="18" t="s">
        <v>3781</v>
      </c>
      <c r="Q620" s="6" t="s">
        <v>4475</v>
      </c>
      <c r="T620" s="23">
        <v>45636</v>
      </c>
      <c r="U620" s="23">
        <v>47096</v>
      </c>
      <c r="X620" s="20">
        <v>2570</v>
      </c>
      <c r="Z620" s="6" t="s">
        <v>5978</v>
      </c>
      <c r="AA620" s="14">
        <f t="shared" si="79"/>
        <v>5.9999999999999995E-4</v>
      </c>
      <c r="AB620">
        <v>1.0589099999999998</v>
      </c>
      <c r="AC620">
        <v>1.1012663999999999</v>
      </c>
    </row>
    <row r="621" spans="1:29" x14ac:dyDescent="0.3">
      <c r="A621">
        <v>144216</v>
      </c>
      <c r="B621" s="25" t="s">
        <v>5984</v>
      </c>
      <c r="C621" t="s">
        <v>20</v>
      </c>
      <c r="D621" t="s">
        <v>21</v>
      </c>
      <c r="E621">
        <v>2222222</v>
      </c>
      <c r="F621" s="8" t="s">
        <v>22</v>
      </c>
      <c r="G621" s="2">
        <v>98</v>
      </c>
      <c r="H621" t="s">
        <v>3912</v>
      </c>
      <c r="I621" t="s">
        <v>4312</v>
      </c>
      <c r="J621" s="9" t="s">
        <v>4901</v>
      </c>
      <c r="K621" t="s">
        <v>5135</v>
      </c>
      <c r="L621" s="2">
        <v>1</v>
      </c>
      <c r="M621" s="24" t="s">
        <v>5971</v>
      </c>
      <c r="N621" s="2" t="s">
        <v>23</v>
      </c>
      <c r="O621" s="18" t="s">
        <v>524</v>
      </c>
      <c r="P621" s="18" t="s">
        <v>0</v>
      </c>
      <c r="Q621" s="6" t="s">
        <v>4475</v>
      </c>
      <c r="T621" s="23">
        <v>45686</v>
      </c>
      <c r="U621" s="23">
        <v>51166</v>
      </c>
      <c r="X621" s="20">
        <v>60000</v>
      </c>
      <c r="Z621" s="6" t="s">
        <v>5978</v>
      </c>
      <c r="AA621" s="14">
        <f t="shared" si="79"/>
        <v>5.9999999999999995E-4</v>
      </c>
      <c r="AB621">
        <v>32.400035999999993</v>
      </c>
      <c r="AC621">
        <v>33.696037439999991</v>
      </c>
    </row>
    <row r="622" spans="1:29" x14ac:dyDescent="0.3">
      <c r="A622">
        <v>144878</v>
      </c>
      <c r="B622" s="25" t="s">
        <v>5984</v>
      </c>
      <c r="C622" t="s">
        <v>20</v>
      </c>
      <c r="D622" t="s">
        <v>21</v>
      </c>
      <c r="E622">
        <v>2222222</v>
      </c>
      <c r="F622" s="8" t="s">
        <v>22</v>
      </c>
      <c r="G622" s="2">
        <v>98</v>
      </c>
      <c r="H622" t="s">
        <v>3912</v>
      </c>
      <c r="I622" t="s">
        <v>4727</v>
      </c>
      <c r="J622" s="9" t="s">
        <v>4916</v>
      </c>
      <c r="K622" t="s">
        <v>4887</v>
      </c>
      <c r="L622" s="2">
        <v>1</v>
      </c>
      <c r="M622" s="24" t="s">
        <v>5971</v>
      </c>
      <c r="N622" s="2" t="s">
        <v>23</v>
      </c>
      <c r="O622" s="18" t="s">
        <v>525</v>
      </c>
      <c r="P622" s="18" t="s">
        <v>3781</v>
      </c>
      <c r="Q622" s="6" t="s">
        <v>4475</v>
      </c>
      <c r="T622" s="23">
        <v>45694</v>
      </c>
      <c r="U622" s="23">
        <v>47157</v>
      </c>
      <c r="X622" s="20">
        <v>4175</v>
      </c>
      <c r="Z622" s="6" t="s">
        <v>5978</v>
      </c>
      <c r="AA622" s="14">
        <f t="shared" si="79"/>
        <v>5.9999999999999995E-4</v>
      </c>
      <c r="AB622">
        <v>1.8162959999999997</v>
      </c>
      <c r="AC622">
        <v>1.8889478399999997</v>
      </c>
    </row>
    <row r="623" spans="1:29" x14ac:dyDescent="0.3">
      <c r="A623">
        <v>145271</v>
      </c>
      <c r="B623" s="25" t="s">
        <v>5984</v>
      </c>
      <c r="C623" t="s">
        <v>20</v>
      </c>
      <c r="D623" t="s">
        <v>21</v>
      </c>
      <c r="E623">
        <v>2222222</v>
      </c>
      <c r="F623" s="8" t="s">
        <v>22</v>
      </c>
      <c r="G623" s="2">
        <v>98</v>
      </c>
      <c r="H623" t="s">
        <v>3912</v>
      </c>
      <c r="I623" t="s">
        <v>4369</v>
      </c>
      <c r="J623" s="9" t="s">
        <v>5120</v>
      </c>
      <c r="K623" t="s">
        <v>4844</v>
      </c>
      <c r="L623" s="2">
        <v>1</v>
      </c>
      <c r="M623" s="24" t="s">
        <v>5971</v>
      </c>
      <c r="N623" s="2" t="s">
        <v>23</v>
      </c>
      <c r="O623" s="18" t="s">
        <v>516</v>
      </c>
      <c r="P623" s="18" t="s">
        <v>0</v>
      </c>
      <c r="Q623" s="6" t="s">
        <v>4475</v>
      </c>
      <c r="T623" s="23">
        <v>45730</v>
      </c>
      <c r="U623" s="23">
        <v>47647</v>
      </c>
      <c r="X623" s="20">
        <v>25000</v>
      </c>
      <c r="Z623" s="6" t="s">
        <v>5978</v>
      </c>
      <c r="AA623" s="14">
        <f t="shared" si="79"/>
        <v>5.9999999999999995E-4</v>
      </c>
      <c r="AB623">
        <v>12.415151999999997</v>
      </c>
      <c r="AC623">
        <v>12.911758079999998</v>
      </c>
    </row>
    <row r="624" spans="1:29" x14ac:dyDescent="0.3">
      <c r="A624">
        <v>145642</v>
      </c>
      <c r="B624" s="25" t="s">
        <v>5984</v>
      </c>
      <c r="C624" t="s">
        <v>20</v>
      </c>
      <c r="D624" t="s">
        <v>21</v>
      </c>
      <c r="E624">
        <v>2222222</v>
      </c>
      <c r="F624" s="8" t="s">
        <v>22</v>
      </c>
      <c r="G624" s="2">
        <v>98</v>
      </c>
      <c r="H624" t="s">
        <v>3912</v>
      </c>
      <c r="I624" t="s">
        <v>4266</v>
      </c>
      <c r="J624" s="9" t="s">
        <v>4836</v>
      </c>
      <c r="K624" t="s">
        <v>4031</v>
      </c>
      <c r="L624" s="2">
        <v>1</v>
      </c>
      <c r="M624" s="24" t="s">
        <v>5971</v>
      </c>
      <c r="N624" s="2" t="s">
        <v>23</v>
      </c>
      <c r="O624" s="18" t="s">
        <v>526</v>
      </c>
      <c r="P624" s="18" t="s">
        <v>3781</v>
      </c>
      <c r="Q624" s="6" t="s">
        <v>4475</v>
      </c>
      <c r="T624" s="23">
        <v>45754</v>
      </c>
      <c r="U624" s="23">
        <v>46302</v>
      </c>
      <c r="X624" s="20">
        <v>520</v>
      </c>
      <c r="Z624" s="6" t="s">
        <v>5978</v>
      </c>
      <c r="AA624" s="14">
        <f t="shared" si="79"/>
        <v>5.9999999999999995E-4</v>
      </c>
      <c r="AB624">
        <v>5.7761999999999994E-2</v>
      </c>
      <c r="AC624">
        <v>6.0072479999999998E-2</v>
      </c>
    </row>
    <row r="625" spans="1:29" x14ac:dyDescent="0.3">
      <c r="A625">
        <v>146380</v>
      </c>
      <c r="B625" s="25" t="s">
        <v>5984</v>
      </c>
      <c r="C625" t="s">
        <v>20</v>
      </c>
      <c r="D625" t="s">
        <v>21</v>
      </c>
      <c r="E625">
        <v>2222222</v>
      </c>
      <c r="F625" s="8" t="s">
        <v>22</v>
      </c>
      <c r="G625" s="2">
        <v>98</v>
      </c>
      <c r="H625" t="s">
        <v>3912</v>
      </c>
      <c r="I625" t="s">
        <v>4668</v>
      </c>
      <c r="J625" s="9" t="s">
        <v>4871</v>
      </c>
      <c r="K625" t="s">
        <v>4870</v>
      </c>
      <c r="L625" s="2">
        <v>1</v>
      </c>
      <c r="M625" s="24" t="s">
        <v>5971</v>
      </c>
      <c r="N625" s="2" t="s">
        <v>23</v>
      </c>
      <c r="O625" s="18" t="s">
        <v>527</v>
      </c>
      <c r="P625" s="18" t="s">
        <v>0</v>
      </c>
      <c r="Q625" s="6" t="s">
        <v>4475</v>
      </c>
      <c r="T625" s="23">
        <v>45813</v>
      </c>
      <c r="U625" s="23">
        <v>46548</v>
      </c>
      <c r="X625" s="20">
        <v>5100</v>
      </c>
      <c r="Z625" s="6" t="s">
        <v>5978</v>
      </c>
      <c r="AA625" s="14">
        <f t="shared" si="79"/>
        <v>5.9999999999999995E-4</v>
      </c>
      <c r="AB625">
        <v>1.494618</v>
      </c>
      <c r="AC625">
        <v>1.5544027200000001</v>
      </c>
    </row>
    <row r="626" spans="1:29" x14ac:dyDescent="0.3">
      <c r="A626">
        <v>146469</v>
      </c>
      <c r="B626" s="25" t="s">
        <v>5984</v>
      </c>
      <c r="C626" t="s">
        <v>20</v>
      </c>
      <c r="D626" t="s">
        <v>21</v>
      </c>
      <c r="E626">
        <v>2222222</v>
      </c>
      <c r="F626" s="8" t="s">
        <v>22</v>
      </c>
      <c r="G626" s="2">
        <v>98</v>
      </c>
      <c r="H626" t="s">
        <v>3912</v>
      </c>
      <c r="I626" t="s">
        <v>3903</v>
      </c>
      <c r="J626" s="9" t="s">
        <v>5143</v>
      </c>
      <c r="K626" t="s">
        <v>4863</v>
      </c>
      <c r="L626" s="2">
        <v>1</v>
      </c>
      <c r="M626" s="24" t="s">
        <v>5971</v>
      </c>
      <c r="N626" s="2" t="s">
        <v>23</v>
      </c>
      <c r="O626" s="18" t="s">
        <v>528</v>
      </c>
      <c r="P626" s="18" t="s">
        <v>3781</v>
      </c>
      <c r="Q626" s="6" t="s">
        <v>4475</v>
      </c>
      <c r="T626" s="23">
        <v>45866</v>
      </c>
      <c r="U626" s="23">
        <v>49517</v>
      </c>
      <c r="X626" s="20">
        <v>10000</v>
      </c>
      <c r="Z626" s="6" t="s">
        <v>5978</v>
      </c>
      <c r="AA626" s="14">
        <f t="shared" si="79"/>
        <v>5.9999999999999995E-4</v>
      </c>
      <c r="AB626">
        <v>5.6611919999999989</v>
      </c>
      <c r="AC626">
        <v>5.8876396799999995</v>
      </c>
    </row>
    <row r="627" spans="1:29" x14ac:dyDescent="0.3">
      <c r="A627">
        <v>146548</v>
      </c>
      <c r="B627" s="25" t="s">
        <v>5984</v>
      </c>
      <c r="C627" t="s">
        <v>20</v>
      </c>
      <c r="D627" t="s">
        <v>21</v>
      </c>
      <c r="E627">
        <v>2222222</v>
      </c>
      <c r="F627" s="8" t="s">
        <v>22</v>
      </c>
      <c r="G627" s="2">
        <v>98</v>
      </c>
      <c r="H627" t="s">
        <v>3912</v>
      </c>
      <c r="I627" t="s">
        <v>4727</v>
      </c>
      <c r="J627" s="9" t="s">
        <v>5232</v>
      </c>
      <c r="K627" t="s">
        <v>4845</v>
      </c>
      <c r="L627" s="2">
        <v>1</v>
      </c>
      <c r="M627" s="24" t="s">
        <v>5971</v>
      </c>
      <c r="N627" s="2" t="s">
        <v>23</v>
      </c>
      <c r="O627" s="18" t="s">
        <v>529</v>
      </c>
      <c r="P627" s="18" t="s">
        <v>3781</v>
      </c>
      <c r="Q627" s="6" t="s">
        <v>4475</v>
      </c>
      <c r="T627" s="23">
        <v>45825</v>
      </c>
      <c r="U627" s="23">
        <v>47286</v>
      </c>
      <c r="X627" s="20">
        <v>5000</v>
      </c>
      <c r="Z627" s="6" t="s">
        <v>5978</v>
      </c>
      <c r="AA627" s="14">
        <f t="shared" si="79"/>
        <v>5.9999999999999995E-4</v>
      </c>
      <c r="AB627">
        <v>2.3882219999999998</v>
      </c>
      <c r="AC627">
        <v>2.4837508800000001</v>
      </c>
    </row>
    <row r="628" spans="1:29" x14ac:dyDescent="0.3">
      <c r="A628">
        <v>147156</v>
      </c>
      <c r="B628" s="25" t="s">
        <v>5984</v>
      </c>
      <c r="C628" t="s">
        <v>20</v>
      </c>
      <c r="D628" t="s">
        <v>21</v>
      </c>
      <c r="E628">
        <v>2222222</v>
      </c>
      <c r="F628" s="8" t="s">
        <v>22</v>
      </c>
      <c r="G628" s="2">
        <v>98</v>
      </c>
      <c r="H628" t="s">
        <v>3912</v>
      </c>
      <c r="I628" t="s">
        <v>4312</v>
      </c>
      <c r="J628" s="9" t="s">
        <v>4901</v>
      </c>
      <c r="K628" t="s">
        <v>5135</v>
      </c>
      <c r="L628" s="2">
        <v>1</v>
      </c>
      <c r="M628" s="24" t="s">
        <v>5971</v>
      </c>
      <c r="N628" s="2" t="s">
        <v>23</v>
      </c>
      <c r="O628" s="18" t="s">
        <v>524</v>
      </c>
      <c r="P628" s="18" t="s">
        <v>0</v>
      </c>
      <c r="Q628" s="6" t="s">
        <v>4475</v>
      </c>
      <c r="T628" s="23">
        <v>45887</v>
      </c>
      <c r="U628" s="23">
        <v>49538</v>
      </c>
      <c r="X628" s="20">
        <v>20000</v>
      </c>
      <c r="Z628" s="6" t="s">
        <v>5978</v>
      </c>
      <c r="AA628" s="14">
        <f t="shared" si="79"/>
        <v>5.9999999999999995E-4</v>
      </c>
      <c r="AB628">
        <v>10.899977999999999</v>
      </c>
      <c r="AC628">
        <v>11.335977119999999</v>
      </c>
    </row>
    <row r="629" spans="1:29" x14ac:dyDescent="0.3">
      <c r="A629">
        <v>147338</v>
      </c>
      <c r="B629" s="25" t="s">
        <v>5984</v>
      </c>
      <c r="C629" t="s">
        <v>20</v>
      </c>
      <c r="D629" t="s">
        <v>21</v>
      </c>
      <c r="E629">
        <v>2222222</v>
      </c>
      <c r="F629" s="8" t="s">
        <v>22</v>
      </c>
      <c r="G629" s="2">
        <v>98</v>
      </c>
      <c r="H629" t="s">
        <v>3912</v>
      </c>
      <c r="I629" t="s">
        <v>4668</v>
      </c>
      <c r="J629" s="9" t="s">
        <v>4871</v>
      </c>
      <c r="K629" t="s">
        <v>4870</v>
      </c>
      <c r="L629" s="2">
        <v>1</v>
      </c>
      <c r="M629" s="24" t="s">
        <v>5971</v>
      </c>
      <c r="N629" s="2" t="s">
        <v>23</v>
      </c>
      <c r="O629" s="18" t="s">
        <v>527</v>
      </c>
      <c r="P629" s="18" t="s">
        <v>0</v>
      </c>
      <c r="Q629" s="6" t="s">
        <v>4475</v>
      </c>
      <c r="T629" s="23">
        <v>45882</v>
      </c>
      <c r="U629" s="23">
        <v>46611</v>
      </c>
      <c r="X629" s="20">
        <v>5000</v>
      </c>
      <c r="Z629" s="6" t="s">
        <v>5978</v>
      </c>
      <c r="AA629" s="14">
        <f t="shared" si="79"/>
        <v>5.9999999999999995E-4</v>
      </c>
      <c r="AB629">
        <v>1.7133779999999998</v>
      </c>
      <c r="AC629">
        <v>1.7819131199999998</v>
      </c>
    </row>
    <row r="630" spans="1:29" x14ac:dyDescent="0.3">
      <c r="A630">
        <v>147755</v>
      </c>
      <c r="B630" s="25" t="s">
        <v>5984</v>
      </c>
      <c r="C630" t="s">
        <v>20</v>
      </c>
      <c r="D630" t="s">
        <v>21</v>
      </c>
      <c r="E630">
        <v>2222222</v>
      </c>
      <c r="F630" s="8" t="s">
        <v>22</v>
      </c>
      <c r="G630" s="2">
        <v>98</v>
      </c>
      <c r="H630" t="s">
        <v>3912</v>
      </c>
      <c r="I630" t="s">
        <v>4405</v>
      </c>
      <c r="J630" s="9" t="s">
        <v>4901</v>
      </c>
      <c r="K630" t="s">
        <v>4841</v>
      </c>
      <c r="L630" s="2">
        <v>1</v>
      </c>
      <c r="M630" s="24" t="s">
        <v>5971</v>
      </c>
      <c r="N630" s="2" t="s">
        <v>23</v>
      </c>
      <c r="O630" s="18" t="s">
        <v>530</v>
      </c>
      <c r="P630" s="18" t="s">
        <v>0</v>
      </c>
      <c r="Q630" s="6" t="s">
        <v>4475</v>
      </c>
      <c r="T630" s="23">
        <v>45910</v>
      </c>
      <c r="U630" s="23">
        <v>47006</v>
      </c>
      <c r="X630" s="20">
        <v>3000</v>
      </c>
      <c r="Z630" s="6" t="s">
        <v>5978</v>
      </c>
      <c r="AA630" s="14">
        <f t="shared" si="79"/>
        <v>5.9999999999999995E-4</v>
      </c>
      <c r="AB630">
        <v>1.3878839999999999</v>
      </c>
      <c r="AC630">
        <v>1.4433993599999999</v>
      </c>
    </row>
    <row r="631" spans="1:29" x14ac:dyDescent="0.3">
      <c r="A631">
        <v>147810</v>
      </c>
      <c r="B631" s="25" t="s">
        <v>5984</v>
      </c>
      <c r="C631" t="s">
        <v>20</v>
      </c>
      <c r="D631" t="s">
        <v>21</v>
      </c>
      <c r="E631">
        <v>2222222</v>
      </c>
      <c r="F631" s="8" t="s">
        <v>22</v>
      </c>
      <c r="G631" s="2">
        <v>98</v>
      </c>
      <c r="H631" t="s">
        <v>3912</v>
      </c>
      <c r="I631" t="s">
        <v>4664</v>
      </c>
      <c r="J631" s="9" t="s">
        <v>5233</v>
      </c>
      <c r="K631" t="s">
        <v>4848</v>
      </c>
      <c r="L631" s="2">
        <v>1</v>
      </c>
      <c r="M631" s="24" t="s">
        <v>5971</v>
      </c>
      <c r="N631" s="2" t="s">
        <v>23</v>
      </c>
      <c r="O631" s="18" t="s">
        <v>531</v>
      </c>
      <c r="P631" s="18" t="s">
        <v>0</v>
      </c>
      <c r="Q631" s="6" t="s">
        <v>4475</v>
      </c>
      <c r="T631" s="23">
        <v>45920</v>
      </c>
      <c r="U631" s="23">
        <v>48477</v>
      </c>
      <c r="X631" s="20">
        <v>20000</v>
      </c>
      <c r="Z631" s="6" t="s">
        <v>5978</v>
      </c>
      <c r="AA631" s="14">
        <f t="shared" si="79"/>
        <v>5.9999999999999995E-4</v>
      </c>
      <c r="AB631">
        <v>10.937748000000001</v>
      </c>
      <c r="AC631">
        <v>11.375257920000001</v>
      </c>
    </row>
    <row r="632" spans="1:29" x14ac:dyDescent="0.3">
      <c r="A632">
        <v>148711</v>
      </c>
      <c r="B632" s="25" t="s">
        <v>5984</v>
      </c>
      <c r="C632" t="s">
        <v>20</v>
      </c>
      <c r="D632" t="s">
        <v>21</v>
      </c>
      <c r="E632">
        <v>2222222</v>
      </c>
      <c r="F632" s="8" t="s">
        <v>22</v>
      </c>
      <c r="G632" s="2">
        <v>98</v>
      </c>
      <c r="H632" t="s">
        <v>3912</v>
      </c>
      <c r="I632" t="s">
        <v>4236</v>
      </c>
      <c r="J632" s="9" t="s">
        <v>5098</v>
      </c>
      <c r="K632" t="s">
        <v>4863</v>
      </c>
      <c r="L632" s="2">
        <v>1</v>
      </c>
      <c r="M632" s="24" t="s">
        <v>5971</v>
      </c>
      <c r="N632" s="2" t="s">
        <v>23</v>
      </c>
      <c r="O632" s="18" t="s">
        <v>532</v>
      </c>
      <c r="P632" s="18" t="s">
        <v>3781</v>
      </c>
      <c r="Q632" s="6" t="s">
        <v>4475</v>
      </c>
      <c r="T632" s="23">
        <v>45974</v>
      </c>
      <c r="U632" s="23">
        <v>47070</v>
      </c>
      <c r="X632" s="20">
        <v>2500</v>
      </c>
      <c r="Z632" s="6" t="s">
        <v>5978</v>
      </c>
      <c r="AA632" s="14">
        <f t="shared" si="79"/>
        <v>5.9999999999999995E-4</v>
      </c>
      <c r="AB632">
        <v>1.22889</v>
      </c>
      <c r="AC632">
        <v>1.2780456</v>
      </c>
    </row>
    <row r="633" spans="1:29" x14ac:dyDescent="0.3">
      <c r="A633">
        <v>148936</v>
      </c>
      <c r="B633" s="25" t="s">
        <v>5984</v>
      </c>
      <c r="C633" t="s">
        <v>20</v>
      </c>
      <c r="D633" t="s">
        <v>21</v>
      </c>
      <c r="E633">
        <v>2222222</v>
      </c>
      <c r="F633" s="8" t="s">
        <v>22</v>
      </c>
      <c r="G633" s="2">
        <v>98</v>
      </c>
      <c r="H633" t="s">
        <v>3912</v>
      </c>
      <c r="I633" t="s">
        <v>3985</v>
      </c>
      <c r="J633" s="9" t="s">
        <v>5234</v>
      </c>
      <c r="K633" t="s">
        <v>4841</v>
      </c>
      <c r="L633" s="2">
        <v>1</v>
      </c>
      <c r="M633" s="24" t="s">
        <v>5971</v>
      </c>
      <c r="N633" s="2" t="s">
        <v>23</v>
      </c>
      <c r="O633" s="18" t="s">
        <v>533</v>
      </c>
      <c r="P633" s="18" t="s">
        <v>0</v>
      </c>
      <c r="Q633" s="6" t="s">
        <v>4475</v>
      </c>
      <c r="T633" s="23">
        <v>45996</v>
      </c>
      <c r="U633" s="23">
        <v>46726</v>
      </c>
      <c r="X633" s="20">
        <v>5000</v>
      </c>
      <c r="Z633" s="6" t="s">
        <v>5978</v>
      </c>
      <c r="AA633" s="14">
        <f t="shared" si="79"/>
        <v>5.9999999999999995E-4</v>
      </c>
      <c r="AB633">
        <v>2.2313699999999996</v>
      </c>
      <c r="AC633">
        <v>2.3206247999999996</v>
      </c>
    </row>
    <row r="634" spans="1:29" x14ac:dyDescent="0.3">
      <c r="A634">
        <v>149107</v>
      </c>
      <c r="B634" s="25" t="s">
        <v>5984</v>
      </c>
      <c r="C634" t="s">
        <v>20</v>
      </c>
      <c r="D634" t="s">
        <v>21</v>
      </c>
      <c r="E634">
        <v>2222222</v>
      </c>
      <c r="F634" s="8" t="s">
        <v>22</v>
      </c>
      <c r="G634" s="2">
        <v>98</v>
      </c>
      <c r="H634" t="s">
        <v>3912</v>
      </c>
      <c r="I634" t="s">
        <v>4315</v>
      </c>
      <c r="J634" s="9" t="s">
        <v>4836</v>
      </c>
      <c r="K634" t="s">
        <v>5235</v>
      </c>
      <c r="L634" s="2">
        <v>1</v>
      </c>
      <c r="M634" s="24" t="s">
        <v>5971</v>
      </c>
      <c r="N634" s="2" t="s">
        <v>23</v>
      </c>
      <c r="O634" s="18" t="s">
        <v>534</v>
      </c>
      <c r="P634" s="18" t="s">
        <v>3781</v>
      </c>
      <c r="Q634" s="6" t="s">
        <v>4475</v>
      </c>
      <c r="T634" s="23">
        <v>46006</v>
      </c>
      <c r="U634" s="23">
        <v>49658</v>
      </c>
      <c r="X634" s="20">
        <v>20300</v>
      </c>
      <c r="Z634" s="6" t="s">
        <v>5978</v>
      </c>
      <c r="AA634" s="14">
        <f t="shared" si="79"/>
        <v>5.9999999999999995E-4</v>
      </c>
      <c r="AB634">
        <v>11.833487999999999</v>
      </c>
      <c r="AC634">
        <v>12.306827519999999</v>
      </c>
    </row>
    <row r="635" spans="1:29" x14ac:dyDescent="0.3">
      <c r="A635">
        <v>150221</v>
      </c>
      <c r="B635" s="25" t="s">
        <v>5984</v>
      </c>
      <c r="C635" t="s">
        <v>20</v>
      </c>
      <c r="D635" t="s">
        <v>21</v>
      </c>
      <c r="E635">
        <v>2222222</v>
      </c>
      <c r="F635" s="8" t="s">
        <v>22</v>
      </c>
      <c r="G635" s="2">
        <v>98</v>
      </c>
      <c r="H635" t="s">
        <v>3912</v>
      </c>
      <c r="I635" t="s">
        <v>4423</v>
      </c>
      <c r="J635" s="9" t="s">
        <v>4852</v>
      </c>
      <c r="K635" t="s">
        <v>5121</v>
      </c>
      <c r="L635" s="2">
        <v>1</v>
      </c>
      <c r="M635" s="24" t="s">
        <v>5971</v>
      </c>
      <c r="N635" s="2" t="s">
        <v>23</v>
      </c>
      <c r="O635" s="18" t="s">
        <v>519</v>
      </c>
      <c r="P635" s="18" t="s">
        <v>0</v>
      </c>
      <c r="Q635" s="6" t="s">
        <v>4475</v>
      </c>
      <c r="T635" s="23">
        <v>46079</v>
      </c>
      <c r="U635" s="23">
        <v>46811</v>
      </c>
      <c r="X635" s="20">
        <v>1580</v>
      </c>
      <c r="Z635" s="6" t="s">
        <v>5978</v>
      </c>
      <c r="AA635" s="14">
        <f t="shared" si="79"/>
        <v>5.9999999999999995E-4</v>
      </c>
      <c r="AB635">
        <v>0.8080679999999999</v>
      </c>
      <c r="AC635">
        <v>0.84039071999999992</v>
      </c>
    </row>
    <row r="636" spans="1:29" x14ac:dyDescent="0.3">
      <c r="A636">
        <v>150231</v>
      </c>
      <c r="B636" s="25" t="s">
        <v>5984</v>
      </c>
      <c r="C636" t="s">
        <v>20</v>
      </c>
      <c r="D636" t="s">
        <v>21</v>
      </c>
      <c r="E636">
        <v>2222222</v>
      </c>
      <c r="F636" s="8" t="s">
        <v>22</v>
      </c>
      <c r="G636" s="2">
        <v>98</v>
      </c>
      <c r="H636" t="s">
        <v>3912</v>
      </c>
      <c r="I636" t="s">
        <v>4086</v>
      </c>
      <c r="J636" s="9" t="s">
        <v>4936</v>
      </c>
      <c r="K636" t="s">
        <v>5199</v>
      </c>
      <c r="L636" s="2">
        <v>1</v>
      </c>
      <c r="M636" s="24" t="s">
        <v>5971</v>
      </c>
      <c r="N636" s="2" t="s">
        <v>23</v>
      </c>
      <c r="O636" s="18" t="s">
        <v>535</v>
      </c>
      <c r="P636" s="18" t="s">
        <v>0</v>
      </c>
      <c r="Q636" s="6" t="s">
        <v>4475</v>
      </c>
      <c r="T636" s="23">
        <v>46150</v>
      </c>
      <c r="U636" s="23">
        <v>49802</v>
      </c>
      <c r="X636" s="20">
        <v>72000</v>
      </c>
      <c r="Z636" s="6" t="s">
        <v>5978</v>
      </c>
      <c r="AA636" s="14">
        <f t="shared" si="79"/>
        <v>5.9999999999999995E-4</v>
      </c>
      <c r="AB636">
        <v>42.814151999999993</v>
      </c>
      <c r="AC636">
        <v>44.526718079999995</v>
      </c>
    </row>
    <row r="637" spans="1:29" x14ac:dyDescent="0.3">
      <c r="A637">
        <v>150348</v>
      </c>
      <c r="B637" s="25" t="s">
        <v>5984</v>
      </c>
      <c r="C637" t="s">
        <v>20</v>
      </c>
      <c r="D637" t="s">
        <v>21</v>
      </c>
      <c r="E637">
        <v>2222222</v>
      </c>
      <c r="F637" s="8" t="s">
        <v>22</v>
      </c>
      <c r="G637" s="2">
        <v>98</v>
      </c>
      <c r="H637" t="s">
        <v>3912</v>
      </c>
      <c r="I637" t="s">
        <v>3937</v>
      </c>
      <c r="J637" s="9" t="s">
        <v>4836</v>
      </c>
      <c r="K637" t="s">
        <v>4911</v>
      </c>
      <c r="L637" s="2">
        <v>1</v>
      </c>
      <c r="M637" s="24" t="s">
        <v>5971</v>
      </c>
      <c r="N637" s="2" t="s">
        <v>23</v>
      </c>
      <c r="O637" s="18" t="s">
        <v>536</v>
      </c>
      <c r="P637" s="18" t="s">
        <v>3781</v>
      </c>
      <c r="Q637" s="6" t="s">
        <v>4475</v>
      </c>
      <c r="T637" s="23">
        <v>46087</v>
      </c>
      <c r="U637" s="23">
        <v>47917</v>
      </c>
      <c r="X637" s="20">
        <v>4650</v>
      </c>
      <c r="Z637" s="6" t="s">
        <v>5978</v>
      </c>
      <c r="AA637" s="14">
        <f t="shared" si="79"/>
        <v>5.9999999999999995E-4</v>
      </c>
      <c r="AB637">
        <v>2.6581619999999999</v>
      </c>
      <c r="AC637">
        <v>2.7644884799999998</v>
      </c>
    </row>
    <row r="638" spans="1:29" x14ac:dyDescent="0.3">
      <c r="A638">
        <v>150714</v>
      </c>
      <c r="B638" s="25" t="s">
        <v>5984</v>
      </c>
      <c r="C638" t="s">
        <v>20</v>
      </c>
      <c r="D638" t="s">
        <v>21</v>
      </c>
      <c r="E638">
        <v>2222222</v>
      </c>
      <c r="F638" s="8" t="s">
        <v>22</v>
      </c>
      <c r="G638" s="2">
        <v>98</v>
      </c>
      <c r="H638" t="s">
        <v>3912</v>
      </c>
      <c r="I638" t="s">
        <v>3985</v>
      </c>
      <c r="J638" s="9" t="s">
        <v>5096</v>
      </c>
      <c r="K638" t="s">
        <v>5206</v>
      </c>
      <c r="L638" s="2">
        <v>1</v>
      </c>
      <c r="M638" s="24" t="s">
        <v>5971</v>
      </c>
      <c r="N638" s="2" t="s">
        <v>23</v>
      </c>
      <c r="O638" s="18" t="s">
        <v>521</v>
      </c>
      <c r="P638" s="18" t="s">
        <v>3781</v>
      </c>
      <c r="Q638" s="6" t="s">
        <v>4475</v>
      </c>
      <c r="T638" s="23">
        <v>46111</v>
      </c>
      <c r="U638" s="23">
        <v>46659</v>
      </c>
      <c r="X638" s="20">
        <v>2600</v>
      </c>
      <c r="Z638" s="6" t="s">
        <v>5978</v>
      </c>
      <c r="AA638" s="14">
        <f t="shared" si="79"/>
        <v>5.9999999999999995E-4</v>
      </c>
      <c r="AB638">
        <v>1.2484739999999999</v>
      </c>
      <c r="AC638">
        <v>1.2984129599999998</v>
      </c>
    </row>
    <row r="639" spans="1:29" x14ac:dyDescent="0.3">
      <c r="A639">
        <v>151318</v>
      </c>
      <c r="B639" s="25" t="s">
        <v>5984</v>
      </c>
      <c r="C639" t="s">
        <v>20</v>
      </c>
      <c r="D639" t="s">
        <v>21</v>
      </c>
      <c r="E639">
        <v>2222222</v>
      </c>
      <c r="F639" s="8" t="s">
        <v>22</v>
      </c>
      <c r="G639" s="2">
        <v>98</v>
      </c>
      <c r="H639" t="s">
        <v>3912</v>
      </c>
      <c r="I639" t="s">
        <v>4369</v>
      </c>
      <c r="J639" s="9" t="s">
        <v>5120</v>
      </c>
      <c r="K639" t="s">
        <v>4844</v>
      </c>
      <c r="L639" s="2">
        <v>1</v>
      </c>
      <c r="M639" s="24" t="s">
        <v>5971</v>
      </c>
      <c r="N639" s="2" t="s">
        <v>23</v>
      </c>
      <c r="O639" s="18" t="s">
        <v>516</v>
      </c>
      <c r="P639" s="18" t="s">
        <v>0</v>
      </c>
      <c r="Q639" s="6" t="s">
        <v>4475</v>
      </c>
      <c r="T639" s="23">
        <v>46156</v>
      </c>
      <c r="U639" s="23">
        <v>46246</v>
      </c>
      <c r="X639" s="20">
        <v>4000</v>
      </c>
      <c r="Z639" s="6" t="s">
        <v>5978</v>
      </c>
      <c r="AA639" s="14">
        <f t="shared" si="79"/>
        <v>5.9999999999999995E-4</v>
      </c>
      <c r="AB639">
        <v>2.4</v>
      </c>
      <c r="AC639">
        <v>2.496</v>
      </c>
    </row>
    <row r="640" spans="1:29" x14ac:dyDescent="0.3">
      <c r="A640">
        <v>151523</v>
      </c>
      <c r="B640" s="25" t="s">
        <v>5984</v>
      </c>
      <c r="C640" t="s">
        <v>20</v>
      </c>
      <c r="D640" t="s">
        <v>21</v>
      </c>
      <c r="E640">
        <v>2222222</v>
      </c>
      <c r="F640" s="8" t="s">
        <v>22</v>
      </c>
      <c r="G640" s="2">
        <v>98</v>
      </c>
      <c r="H640" t="s">
        <v>3912</v>
      </c>
      <c r="I640" t="s">
        <v>4086</v>
      </c>
      <c r="J640" s="9" t="s">
        <v>4826</v>
      </c>
      <c r="K640" t="s">
        <v>4937</v>
      </c>
      <c r="L640" s="2">
        <v>1</v>
      </c>
      <c r="M640" s="24" t="s">
        <v>5971</v>
      </c>
      <c r="N640" s="2" t="s">
        <v>23</v>
      </c>
      <c r="O640" s="18" t="s">
        <v>537</v>
      </c>
      <c r="P640" s="18" t="s">
        <v>0</v>
      </c>
      <c r="Q640" s="6" t="s">
        <v>4475</v>
      </c>
      <c r="T640" s="23">
        <v>46182</v>
      </c>
      <c r="U640" s="23">
        <v>48739</v>
      </c>
      <c r="X640" s="20">
        <v>14000</v>
      </c>
      <c r="Z640" s="6" t="s">
        <v>5978</v>
      </c>
      <c r="AA640" s="14">
        <f t="shared" si="79"/>
        <v>5.9999999999999995E-4</v>
      </c>
      <c r="AB640">
        <v>8.3349659999999997</v>
      </c>
      <c r="AC640">
        <v>8.6683646400000001</v>
      </c>
    </row>
    <row r="641" spans="1:29" x14ac:dyDescent="0.3">
      <c r="A641">
        <v>151718</v>
      </c>
      <c r="B641" s="25" t="s">
        <v>5984</v>
      </c>
      <c r="C641" t="s">
        <v>20</v>
      </c>
      <c r="D641" t="s">
        <v>21</v>
      </c>
      <c r="E641">
        <v>2222222</v>
      </c>
      <c r="F641" s="8" t="s">
        <v>22</v>
      </c>
      <c r="G641" s="2">
        <v>98</v>
      </c>
      <c r="H641" t="s">
        <v>3912</v>
      </c>
      <c r="I641" t="s">
        <v>4668</v>
      </c>
      <c r="J641" s="9" t="s">
        <v>4871</v>
      </c>
      <c r="K641" t="s">
        <v>4870</v>
      </c>
      <c r="L641" s="2">
        <v>1</v>
      </c>
      <c r="M641" s="24" t="s">
        <v>5971</v>
      </c>
      <c r="N641" s="2" t="s">
        <v>23</v>
      </c>
      <c r="O641" s="18" t="s">
        <v>527</v>
      </c>
      <c r="P641" s="18" t="s">
        <v>0</v>
      </c>
      <c r="Q641" s="6" t="s">
        <v>4475</v>
      </c>
      <c r="T641" s="23">
        <v>46206</v>
      </c>
      <c r="U641" s="23">
        <v>47301</v>
      </c>
      <c r="X641" s="20">
        <v>45000</v>
      </c>
      <c r="Z641" s="6" t="s">
        <v>5978</v>
      </c>
      <c r="AA641" s="14">
        <f t="shared" si="79"/>
        <v>5.9999999999999995E-4</v>
      </c>
      <c r="AB641">
        <v>26.999999999999996</v>
      </c>
      <c r="AC641">
        <v>28.08</v>
      </c>
    </row>
    <row r="642" spans="1:29" x14ac:dyDescent="0.3">
      <c r="A642">
        <v>151803</v>
      </c>
      <c r="B642" s="25" t="s">
        <v>5984</v>
      </c>
      <c r="C642" t="s">
        <v>20</v>
      </c>
      <c r="D642" t="s">
        <v>21</v>
      </c>
      <c r="E642">
        <v>2222222</v>
      </c>
      <c r="F642" s="8" t="s">
        <v>22</v>
      </c>
      <c r="G642" s="2">
        <v>98</v>
      </c>
      <c r="H642" t="s">
        <v>3912</v>
      </c>
      <c r="I642" t="s">
        <v>4430</v>
      </c>
      <c r="J642" s="9" t="s">
        <v>4894</v>
      </c>
      <c r="K642" t="s">
        <v>5117</v>
      </c>
      <c r="L642" s="2">
        <v>1</v>
      </c>
      <c r="M642" s="24" t="s">
        <v>5971</v>
      </c>
      <c r="N642" s="2" t="s">
        <v>23</v>
      </c>
      <c r="O642" s="18" t="s">
        <v>523</v>
      </c>
      <c r="P642" s="18" t="s">
        <v>0</v>
      </c>
      <c r="Q642" s="6" t="s">
        <v>4475</v>
      </c>
      <c r="T642" s="23">
        <v>46203</v>
      </c>
      <c r="U642" s="23">
        <v>48030</v>
      </c>
      <c r="X642" s="20">
        <v>4600</v>
      </c>
      <c r="Z642" s="6" t="s">
        <v>5978</v>
      </c>
      <c r="AA642" s="14">
        <f t="shared" si="79"/>
        <v>5.9999999999999995E-4</v>
      </c>
      <c r="AB642">
        <v>2.76</v>
      </c>
      <c r="AC642">
        <v>2.8704000000000001</v>
      </c>
    </row>
    <row r="643" spans="1:29" x14ac:dyDescent="0.3">
      <c r="A643">
        <v>152377</v>
      </c>
      <c r="B643" s="25" t="s">
        <v>5984</v>
      </c>
      <c r="C643" t="s">
        <v>20</v>
      </c>
      <c r="D643" t="s">
        <v>21</v>
      </c>
      <c r="E643">
        <v>2222222</v>
      </c>
      <c r="F643" s="8" t="s">
        <v>22</v>
      </c>
      <c r="G643" s="2">
        <v>98</v>
      </c>
      <c r="H643" t="s">
        <v>3912</v>
      </c>
      <c r="I643" t="s">
        <v>4369</v>
      </c>
      <c r="J643" s="9" t="s">
        <v>5120</v>
      </c>
      <c r="K643" t="s">
        <v>4844</v>
      </c>
      <c r="L643" s="2">
        <v>1</v>
      </c>
      <c r="M643" s="24" t="s">
        <v>5971</v>
      </c>
      <c r="N643" s="2" t="s">
        <v>23</v>
      </c>
      <c r="O643" s="18" t="s">
        <v>516</v>
      </c>
      <c r="P643" s="18" t="s">
        <v>0</v>
      </c>
      <c r="Q643" s="6" t="s">
        <v>4475</v>
      </c>
      <c r="T643" s="23">
        <v>46234</v>
      </c>
      <c r="U643" s="23">
        <v>48061</v>
      </c>
      <c r="X643" s="20">
        <v>5000</v>
      </c>
      <c r="Z643" s="6" t="s">
        <v>5978</v>
      </c>
      <c r="AA643" s="14">
        <f t="shared" si="79"/>
        <v>5.9999999999999995E-4</v>
      </c>
      <c r="AB643">
        <v>2.9999999999999996</v>
      </c>
      <c r="AC643">
        <v>3.1199999999999997</v>
      </c>
    </row>
    <row r="644" spans="1:29" x14ac:dyDescent="0.3">
      <c r="A644">
        <v>97127</v>
      </c>
      <c r="B644" s="25" t="s">
        <v>5984</v>
      </c>
      <c r="C644" t="s">
        <v>20</v>
      </c>
      <c r="D644" t="s">
        <v>21</v>
      </c>
      <c r="E644">
        <v>2222222</v>
      </c>
      <c r="F644" s="8" t="s">
        <v>22</v>
      </c>
      <c r="G644" s="2">
        <v>98</v>
      </c>
      <c r="H644" t="s">
        <v>3913</v>
      </c>
      <c r="I644" t="s">
        <v>4500</v>
      </c>
      <c r="J644" s="9" t="s">
        <v>4848</v>
      </c>
      <c r="K644" t="s">
        <v>5236</v>
      </c>
      <c r="L644" s="2">
        <v>1</v>
      </c>
      <c r="M644" s="24" t="s">
        <v>5971</v>
      </c>
      <c r="N644" s="2" t="s">
        <v>23</v>
      </c>
      <c r="O644" s="18" t="s">
        <v>538</v>
      </c>
      <c r="P644" s="18" t="s">
        <v>0</v>
      </c>
      <c r="Q644" s="6" t="s">
        <v>4475</v>
      </c>
      <c r="T644" s="23">
        <v>43347</v>
      </c>
      <c r="U644" s="23">
        <v>43437</v>
      </c>
      <c r="X644" s="20">
        <v>1384.28</v>
      </c>
      <c r="Z644" s="6" t="s">
        <v>5978</v>
      </c>
      <c r="AA644" s="15">
        <f>+(0.42/1000)</f>
        <v>4.1999999999999996E-4</v>
      </c>
      <c r="AB644">
        <v>0.58139759999999996</v>
      </c>
      <c r="AC644">
        <v>0.60465350399999995</v>
      </c>
    </row>
    <row r="645" spans="1:29" x14ac:dyDescent="0.3">
      <c r="A645">
        <v>145701</v>
      </c>
      <c r="B645" s="25" t="s">
        <v>5984</v>
      </c>
      <c r="C645" t="s">
        <v>20</v>
      </c>
      <c r="D645" t="s">
        <v>21</v>
      </c>
      <c r="E645">
        <v>2222222</v>
      </c>
      <c r="F645" s="8" t="s">
        <v>22</v>
      </c>
      <c r="G645" s="2">
        <v>98</v>
      </c>
      <c r="H645" t="s">
        <v>3913</v>
      </c>
      <c r="I645" t="s">
        <v>4797</v>
      </c>
      <c r="J645" s="9" t="s">
        <v>5237</v>
      </c>
      <c r="K645" t="s">
        <v>5238</v>
      </c>
      <c r="L645" s="2">
        <v>1</v>
      </c>
      <c r="M645" s="24" t="s">
        <v>5971</v>
      </c>
      <c r="N645" s="2" t="s">
        <v>23</v>
      </c>
      <c r="O645" s="18" t="s">
        <v>539</v>
      </c>
      <c r="P645" s="18" t="s">
        <v>3781</v>
      </c>
      <c r="Q645" s="6" t="s">
        <v>4475</v>
      </c>
      <c r="T645" s="23">
        <v>45757</v>
      </c>
      <c r="U645" s="23">
        <v>46853</v>
      </c>
      <c r="X645" s="20">
        <v>4000</v>
      </c>
      <c r="Z645" s="6" t="s">
        <v>5978</v>
      </c>
      <c r="AA645" s="14">
        <f t="shared" ref="AA645:AA646" si="80">+(0.6/1000)</f>
        <v>5.9999999999999995E-4</v>
      </c>
      <c r="AB645">
        <v>1.5468959999999998</v>
      </c>
      <c r="AC645">
        <v>1.60877184</v>
      </c>
    </row>
    <row r="646" spans="1:29" x14ac:dyDescent="0.3">
      <c r="A646">
        <v>146705</v>
      </c>
      <c r="B646" s="25" t="s">
        <v>5984</v>
      </c>
      <c r="C646" t="s">
        <v>20</v>
      </c>
      <c r="D646" t="s">
        <v>21</v>
      </c>
      <c r="E646">
        <v>2222222</v>
      </c>
      <c r="F646" s="8" t="s">
        <v>22</v>
      </c>
      <c r="G646" s="2">
        <v>98</v>
      </c>
      <c r="H646" t="s">
        <v>3913</v>
      </c>
      <c r="I646" t="s">
        <v>4727</v>
      </c>
      <c r="J646" s="9" t="s">
        <v>4843</v>
      </c>
      <c r="K646" t="s">
        <v>5239</v>
      </c>
      <c r="L646" s="2">
        <v>1</v>
      </c>
      <c r="M646" s="24" t="s">
        <v>5971</v>
      </c>
      <c r="N646" s="2" t="s">
        <v>23</v>
      </c>
      <c r="O646" s="18" t="s">
        <v>540</v>
      </c>
      <c r="P646" s="18" t="s">
        <v>0</v>
      </c>
      <c r="Q646" s="6" t="s">
        <v>4475</v>
      </c>
      <c r="T646" s="23">
        <v>45838</v>
      </c>
      <c r="U646" s="23">
        <v>47665</v>
      </c>
      <c r="X646" s="20">
        <v>5750</v>
      </c>
      <c r="Z646" s="6" t="s">
        <v>5978</v>
      </c>
      <c r="AA646" s="14">
        <f t="shared" si="80"/>
        <v>5.9999999999999995E-4</v>
      </c>
      <c r="AB646">
        <v>2.9613899999999993</v>
      </c>
      <c r="AC646">
        <v>3.0798455999999992</v>
      </c>
    </row>
    <row r="647" spans="1:29" x14ac:dyDescent="0.3">
      <c r="A647">
        <v>148531</v>
      </c>
      <c r="B647" s="25" t="s">
        <v>5984</v>
      </c>
      <c r="C647" t="s">
        <v>20</v>
      </c>
      <c r="D647" t="s">
        <v>21</v>
      </c>
      <c r="E647">
        <v>2222222</v>
      </c>
      <c r="F647" s="8" t="s">
        <v>22</v>
      </c>
      <c r="G647" s="2">
        <v>98</v>
      </c>
      <c r="H647" t="s">
        <v>3913</v>
      </c>
      <c r="I647" t="s">
        <v>4029</v>
      </c>
      <c r="J647" s="9" t="s">
        <v>4852</v>
      </c>
      <c r="K647" t="s">
        <v>5063</v>
      </c>
      <c r="L647" s="2">
        <v>1</v>
      </c>
      <c r="M647" s="24" t="s">
        <v>5971</v>
      </c>
      <c r="N647" s="2" t="s">
        <v>23</v>
      </c>
      <c r="O647" s="18" t="s">
        <v>541</v>
      </c>
      <c r="P647" s="18" t="s">
        <v>0</v>
      </c>
      <c r="Q647" s="6" t="s">
        <v>4475</v>
      </c>
      <c r="T647" s="23">
        <v>44832</v>
      </c>
      <c r="U647" s="23">
        <v>47401</v>
      </c>
      <c r="X647" s="20">
        <v>21650</v>
      </c>
      <c r="Z647" s="6" t="s">
        <v>5978</v>
      </c>
      <c r="AA647" s="13">
        <f>+(0.56/1000)</f>
        <v>5.6000000000000006E-4</v>
      </c>
      <c r="AB647">
        <v>7.5844552000000007</v>
      </c>
      <c r="AC647">
        <v>7.8878334080000014</v>
      </c>
    </row>
    <row r="648" spans="1:29" x14ac:dyDescent="0.3">
      <c r="A648">
        <v>149414</v>
      </c>
      <c r="B648" s="25" t="s">
        <v>5984</v>
      </c>
      <c r="C648" t="s">
        <v>20</v>
      </c>
      <c r="D648" t="s">
        <v>21</v>
      </c>
      <c r="E648">
        <v>2222222</v>
      </c>
      <c r="F648" s="8" t="s">
        <v>22</v>
      </c>
      <c r="G648" s="2">
        <v>98</v>
      </c>
      <c r="H648" t="s">
        <v>3913</v>
      </c>
      <c r="I648" t="s">
        <v>4370</v>
      </c>
      <c r="J648" s="9" t="s">
        <v>4836</v>
      </c>
      <c r="K648" t="s">
        <v>4845</v>
      </c>
      <c r="L648" s="2">
        <v>1</v>
      </c>
      <c r="M648" s="24" t="s">
        <v>5971</v>
      </c>
      <c r="N648" s="2" t="s">
        <v>23</v>
      </c>
      <c r="O648" s="18" t="s">
        <v>542</v>
      </c>
      <c r="P648" s="18" t="s">
        <v>3781</v>
      </c>
      <c r="Q648" s="6" t="s">
        <v>4475</v>
      </c>
      <c r="T648" s="23">
        <v>46021</v>
      </c>
      <c r="U648" s="23">
        <v>47116</v>
      </c>
      <c r="X648" s="20">
        <v>3000</v>
      </c>
      <c r="Z648" s="6" t="s">
        <v>5978</v>
      </c>
      <c r="AA648" s="14">
        <f t="shared" ref="AA648:AA650" si="81">+(0.6/1000)</f>
        <v>5.9999999999999995E-4</v>
      </c>
      <c r="AB648">
        <v>1.5589919999999999</v>
      </c>
      <c r="AC648">
        <v>1.6213516800000001</v>
      </c>
    </row>
    <row r="649" spans="1:29" x14ac:dyDescent="0.3">
      <c r="A649">
        <v>150840</v>
      </c>
      <c r="B649" s="25" t="s">
        <v>5984</v>
      </c>
      <c r="C649" t="s">
        <v>20</v>
      </c>
      <c r="D649" t="s">
        <v>21</v>
      </c>
      <c r="E649">
        <v>2222222</v>
      </c>
      <c r="F649" s="8" t="s">
        <v>22</v>
      </c>
      <c r="G649" s="2">
        <v>98</v>
      </c>
      <c r="H649" t="s">
        <v>3913</v>
      </c>
      <c r="I649" t="s">
        <v>3936</v>
      </c>
      <c r="J649" s="9" t="s">
        <v>5240</v>
      </c>
      <c r="K649" t="s">
        <v>5241</v>
      </c>
      <c r="L649" s="2">
        <v>1</v>
      </c>
      <c r="M649" s="24" t="s">
        <v>5971</v>
      </c>
      <c r="N649" s="2" t="s">
        <v>23</v>
      </c>
      <c r="O649" s="18" t="s">
        <v>543</v>
      </c>
      <c r="P649" s="18" t="s">
        <v>0</v>
      </c>
      <c r="Q649" s="6" t="s">
        <v>4475</v>
      </c>
      <c r="T649" s="23">
        <v>46120</v>
      </c>
      <c r="U649" s="23">
        <v>46668</v>
      </c>
      <c r="X649" s="20">
        <v>1100</v>
      </c>
      <c r="Z649" s="6" t="s">
        <v>5978</v>
      </c>
      <c r="AA649" s="14">
        <f t="shared" si="81"/>
        <v>5.9999999999999995E-4</v>
      </c>
      <c r="AB649">
        <v>0.59478599999999993</v>
      </c>
      <c r="AC649">
        <v>0.61857743999999992</v>
      </c>
    </row>
    <row r="650" spans="1:29" x14ac:dyDescent="0.3">
      <c r="A650">
        <v>151861</v>
      </c>
      <c r="B650" s="25" t="s">
        <v>5984</v>
      </c>
      <c r="C650" t="s">
        <v>20</v>
      </c>
      <c r="D650" t="s">
        <v>21</v>
      </c>
      <c r="E650">
        <v>2222222</v>
      </c>
      <c r="F650" s="8" t="s">
        <v>22</v>
      </c>
      <c r="G650" s="2">
        <v>98</v>
      </c>
      <c r="H650" t="s">
        <v>3914</v>
      </c>
      <c r="I650" t="s">
        <v>4798</v>
      </c>
      <c r="J650" s="9" t="s">
        <v>4883</v>
      </c>
      <c r="K650" t="s">
        <v>5242</v>
      </c>
      <c r="L650" s="2">
        <v>1</v>
      </c>
      <c r="M650" s="24" t="s">
        <v>5971</v>
      </c>
      <c r="N650" s="2" t="s">
        <v>23</v>
      </c>
      <c r="O650" s="18" t="s">
        <v>544</v>
      </c>
      <c r="P650" s="18" t="s">
        <v>3781</v>
      </c>
      <c r="Q650" s="6" t="s">
        <v>4475</v>
      </c>
      <c r="T650" s="23">
        <v>46193</v>
      </c>
      <c r="U650" s="23">
        <v>47289</v>
      </c>
      <c r="X650" s="20">
        <v>3000</v>
      </c>
      <c r="Z650" s="6" t="s">
        <v>5978</v>
      </c>
      <c r="AA650" s="14">
        <f t="shared" si="81"/>
        <v>5.9999999999999995E-4</v>
      </c>
      <c r="AB650">
        <v>1.7611139999999998</v>
      </c>
      <c r="AC650">
        <v>1.8315585599999999</v>
      </c>
    </row>
    <row r="651" spans="1:29" x14ac:dyDescent="0.3">
      <c r="A651">
        <v>124737</v>
      </c>
      <c r="B651" s="25" t="s">
        <v>5984</v>
      </c>
      <c r="C651" t="s">
        <v>20</v>
      </c>
      <c r="D651" t="s">
        <v>21</v>
      </c>
      <c r="E651">
        <v>2222222</v>
      </c>
      <c r="F651" s="8" t="s">
        <v>22</v>
      </c>
      <c r="G651" s="2">
        <v>98</v>
      </c>
      <c r="H651" t="s">
        <v>3915</v>
      </c>
      <c r="I651" t="s">
        <v>4124</v>
      </c>
      <c r="J651" s="9" t="s">
        <v>4824</v>
      </c>
      <c r="L651" s="2">
        <v>1</v>
      </c>
      <c r="M651" s="24" t="s">
        <v>5971</v>
      </c>
      <c r="N651" s="2" t="s">
        <v>23</v>
      </c>
      <c r="O651" s="18" t="s">
        <v>545</v>
      </c>
      <c r="P651" s="18" t="s">
        <v>0</v>
      </c>
      <c r="Q651" s="6" t="s">
        <v>4475</v>
      </c>
      <c r="T651" s="23">
        <v>44533</v>
      </c>
      <c r="U651" s="23">
        <v>46358</v>
      </c>
      <c r="X651" s="20">
        <v>16500</v>
      </c>
      <c r="Z651" s="6" t="s">
        <v>5978</v>
      </c>
      <c r="AA651" s="15">
        <f>+(0.42/1000)</f>
        <v>4.1999999999999996E-4</v>
      </c>
      <c r="AB651">
        <v>1.2168113999999999</v>
      </c>
      <c r="AC651">
        <v>1.2654838559999999</v>
      </c>
    </row>
    <row r="652" spans="1:29" x14ac:dyDescent="0.3">
      <c r="A652">
        <v>142622</v>
      </c>
      <c r="B652" s="25" t="s">
        <v>5984</v>
      </c>
      <c r="C652" t="s">
        <v>20</v>
      </c>
      <c r="D652" t="s">
        <v>21</v>
      </c>
      <c r="E652">
        <v>2222222</v>
      </c>
      <c r="F652" s="8" t="s">
        <v>22</v>
      </c>
      <c r="G652" s="2">
        <v>98</v>
      </c>
      <c r="H652" t="s">
        <v>3916</v>
      </c>
      <c r="I652" t="s">
        <v>4483</v>
      </c>
      <c r="J652" s="9" t="s">
        <v>5243</v>
      </c>
      <c r="K652" t="s">
        <v>5024</v>
      </c>
      <c r="L652" s="2">
        <v>1</v>
      </c>
      <c r="M652" s="24" t="s">
        <v>5971</v>
      </c>
      <c r="N652" s="2" t="s">
        <v>23</v>
      </c>
      <c r="O652" s="18" t="s">
        <v>546</v>
      </c>
      <c r="P652" s="18" t="s">
        <v>0</v>
      </c>
      <c r="Q652" s="6" t="s">
        <v>4475</v>
      </c>
      <c r="T652" s="23">
        <v>45540</v>
      </c>
      <c r="U652" s="23">
        <v>47092</v>
      </c>
      <c r="X652" s="20">
        <v>5000</v>
      </c>
      <c r="Z652" s="6" t="s">
        <v>5978</v>
      </c>
      <c r="AA652" s="14">
        <f>+(0.6/1000)</f>
        <v>5.9999999999999995E-4</v>
      </c>
      <c r="AB652">
        <v>2.0222699999999998</v>
      </c>
      <c r="AC652">
        <v>2.1031607999999999</v>
      </c>
    </row>
    <row r="653" spans="1:29" x14ac:dyDescent="0.3">
      <c r="A653">
        <v>134179</v>
      </c>
      <c r="B653" s="25" t="s">
        <v>5984</v>
      </c>
      <c r="C653" t="s">
        <v>20</v>
      </c>
      <c r="D653" t="s">
        <v>21</v>
      </c>
      <c r="E653">
        <v>2222222</v>
      </c>
      <c r="F653" s="8" t="s">
        <v>22</v>
      </c>
      <c r="G653" s="2">
        <v>98</v>
      </c>
      <c r="H653" t="s">
        <v>3917</v>
      </c>
      <c r="I653" t="s">
        <v>4686</v>
      </c>
      <c r="J653" s="9" t="s">
        <v>5244</v>
      </c>
      <c r="K653" t="s">
        <v>5245</v>
      </c>
      <c r="L653" s="2">
        <v>1</v>
      </c>
      <c r="M653" s="24" t="s">
        <v>5971</v>
      </c>
      <c r="N653" s="2" t="s">
        <v>23</v>
      </c>
      <c r="O653" s="18" t="s">
        <v>547</v>
      </c>
      <c r="P653" s="18" t="s">
        <v>3781</v>
      </c>
      <c r="Q653" s="6" t="s">
        <v>4475</v>
      </c>
      <c r="T653" s="23">
        <v>45044</v>
      </c>
      <c r="U653" s="23">
        <v>47697</v>
      </c>
      <c r="X653" s="20">
        <v>20000</v>
      </c>
      <c r="Z653" s="6" t="s">
        <v>5978</v>
      </c>
      <c r="AA653" s="13">
        <f t="shared" ref="AA653:AA654" si="82">+(0.56/1000)</f>
        <v>5.6000000000000006E-4</v>
      </c>
      <c r="AB653">
        <v>7.9877728000000001</v>
      </c>
      <c r="AC653">
        <v>8.3072837120000003</v>
      </c>
    </row>
    <row r="654" spans="1:29" x14ac:dyDescent="0.3">
      <c r="A654">
        <v>134278</v>
      </c>
      <c r="B654" s="25" t="s">
        <v>5984</v>
      </c>
      <c r="C654" t="s">
        <v>20</v>
      </c>
      <c r="D654" t="s">
        <v>21</v>
      </c>
      <c r="E654">
        <v>2222222</v>
      </c>
      <c r="F654" s="8" t="s">
        <v>22</v>
      </c>
      <c r="G654" s="2">
        <v>98</v>
      </c>
      <c r="H654" t="s">
        <v>3917</v>
      </c>
      <c r="I654" t="s">
        <v>4686</v>
      </c>
      <c r="J654" s="9" t="s">
        <v>5246</v>
      </c>
      <c r="K654" t="s">
        <v>5025</v>
      </c>
      <c r="L654" s="2">
        <v>1</v>
      </c>
      <c r="M654" s="24" t="s">
        <v>5971</v>
      </c>
      <c r="N654" s="2" t="s">
        <v>23</v>
      </c>
      <c r="O654" s="18" t="s">
        <v>548</v>
      </c>
      <c r="P654" s="18" t="s">
        <v>3781</v>
      </c>
      <c r="Q654" s="6" t="s">
        <v>4475</v>
      </c>
      <c r="T654" s="23">
        <v>45046</v>
      </c>
      <c r="U654" s="23">
        <v>48700</v>
      </c>
      <c r="X654" s="20">
        <v>25000</v>
      </c>
      <c r="Z654" s="6" t="s">
        <v>5978</v>
      </c>
      <c r="AA654" s="13">
        <f t="shared" si="82"/>
        <v>5.6000000000000006E-4</v>
      </c>
      <c r="AB654">
        <v>13.279056000000001</v>
      </c>
      <c r="AC654">
        <v>13.810218240000001</v>
      </c>
    </row>
    <row r="655" spans="1:29" x14ac:dyDescent="0.3">
      <c r="A655">
        <v>146859</v>
      </c>
      <c r="B655" s="25" t="s">
        <v>5984</v>
      </c>
      <c r="C655" t="s">
        <v>20</v>
      </c>
      <c r="D655" t="s">
        <v>21</v>
      </c>
      <c r="E655">
        <v>2222222</v>
      </c>
      <c r="F655" s="8" t="s">
        <v>22</v>
      </c>
      <c r="G655" s="2">
        <v>98</v>
      </c>
      <c r="H655" t="s">
        <v>3917</v>
      </c>
      <c r="I655" t="s">
        <v>4110</v>
      </c>
      <c r="J655" s="9" t="s">
        <v>5247</v>
      </c>
      <c r="K655" t="s">
        <v>4949</v>
      </c>
      <c r="L655" s="2">
        <v>1</v>
      </c>
      <c r="M655" s="24" t="s">
        <v>5971</v>
      </c>
      <c r="N655" s="2" t="s">
        <v>23</v>
      </c>
      <c r="O655" s="18" t="s">
        <v>549</v>
      </c>
      <c r="P655" s="18" t="s">
        <v>0</v>
      </c>
      <c r="Q655" s="6" t="s">
        <v>4475</v>
      </c>
      <c r="T655" s="23">
        <v>45848</v>
      </c>
      <c r="U655" s="23">
        <v>47308</v>
      </c>
      <c r="X655" s="20">
        <v>5000</v>
      </c>
      <c r="Z655" s="6" t="s">
        <v>5978</v>
      </c>
      <c r="AA655" s="14">
        <f>+(0.6/1000)</f>
        <v>5.9999999999999995E-4</v>
      </c>
      <c r="AB655">
        <v>2.4685739999999998</v>
      </c>
      <c r="AC655">
        <v>2.5673169599999999</v>
      </c>
    </row>
    <row r="656" spans="1:29" x14ac:dyDescent="0.3">
      <c r="A656">
        <v>133182</v>
      </c>
      <c r="B656" s="25" t="s">
        <v>5984</v>
      </c>
      <c r="C656" t="s">
        <v>20</v>
      </c>
      <c r="D656" t="s">
        <v>21</v>
      </c>
      <c r="E656">
        <v>2222222</v>
      </c>
      <c r="F656" s="8" t="s">
        <v>22</v>
      </c>
      <c r="G656" s="2">
        <v>98</v>
      </c>
      <c r="H656" t="s">
        <v>3918</v>
      </c>
      <c r="I656" t="s">
        <v>4686</v>
      </c>
      <c r="J656" s="9" t="s">
        <v>5248</v>
      </c>
      <c r="K656" t="s">
        <v>4941</v>
      </c>
      <c r="L656" s="2">
        <v>1</v>
      </c>
      <c r="M656" s="24" t="s">
        <v>5971</v>
      </c>
      <c r="N656" s="2" t="s">
        <v>23</v>
      </c>
      <c r="O656" s="18" t="s">
        <v>550</v>
      </c>
      <c r="P656" s="18" t="s">
        <v>3781</v>
      </c>
      <c r="Q656" s="6" t="s">
        <v>4475</v>
      </c>
      <c r="T656" s="23">
        <v>45029</v>
      </c>
      <c r="U656" s="23">
        <v>47586</v>
      </c>
      <c r="X656" s="20">
        <v>80000</v>
      </c>
      <c r="Z656" s="6" t="s">
        <v>5978</v>
      </c>
      <c r="AA656" s="13">
        <f t="shared" ref="AA656:AA658" si="83">+(0.56/1000)</f>
        <v>5.6000000000000006E-4</v>
      </c>
      <c r="AB656">
        <v>28.441330400000002</v>
      </c>
      <c r="AC656">
        <v>29.578983616000002</v>
      </c>
    </row>
    <row r="657" spans="1:29" x14ac:dyDescent="0.3">
      <c r="A657">
        <v>135741</v>
      </c>
      <c r="B657" s="25" t="s">
        <v>5984</v>
      </c>
      <c r="C657" t="s">
        <v>20</v>
      </c>
      <c r="D657" t="s">
        <v>21</v>
      </c>
      <c r="E657">
        <v>2222222</v>
      </c>
      <c r="F657" s="8" t="s">
        <v>22</v>
      </c>
      <c r="G657" s="2">
        <v>98</v>
      </c>
      <c r="H657" t="s">
        <v>3918</v>
      </c>
      <c r="I657" t="s">
        <v>4606</v>
      </c>
      <c r="J657" s="9" t="s">
        <v>4998</v>
      </c>
      <c r="K657" t="s">
        <v>4880</v>
      </c>
      <c r="L657" s="2">
        <v>1</v>
      </c>
      <c r="M657" s="24" t="s">
        <v>5971</v>
      </c>
      <c r="N657" s="2" t="s">
        <v>23</v>
      </c>
      <c r="O657" s="18" t="s">
        <v>551</v>
      </c>
      <c r="P657" s="18" t="s">
        <v>3781</v>
      </c>
      <c r="Q657" s="6" t="s">
        <v>4475</v>
      </c>
      <c r="T657" s="23">
        <v>45131</v>
      </c>
      <c r="U657" s="23">
        <v>46591</v>
      </c>
      <c r="X657" s="20">
        <v>5000</v>
      </c>
      <c r="Z657" s="6" t="s">
        <v>5978</v>
      </c>
      <c r="AA657" s="13">
        <f t="shared" si="83"/>
        <v>5.6000000000000006E-4</v>
      </c>
      <c r="AB657">
        <v>2.0427232000000002</v>
      </c>
      <c r="AC657">
        <v>2.1244321280000005</v>
      </c>
    </row>
    <row r="658" spans="1:29" x14ac:dyDescent="0.3">
      <c r="A658">
        <v>138260</v>
      </c>
      <c r="B658" s="25" t="s">
        <v>5984</v>
      </c>
      <c r="C658" t="s">
        <v>20</v>
      </c>
      <c r="D658" t="s">
        <v>21</v>
      </c>
      <c r="E658">
        <v>2222222</v>
      </c>
      <c r="F658" s="8" t="s">
        <v>22</v>
      </c>
      <c r="G658" s="2">
        <v>98</v>
      </c>
      <c r="H658" t="s">
        <v>3918</v>
      </c>
      <c r="I658" t="s">
        <v>4686</v>
      </c>
      <c r="J658" s="9" t="s">
        <v>5248</v>
      </c>
      <c r="K658" t="s">
        <v>4941</v>
      </c>
      <c r="L658" s="2">
        <v>1</v>
      </c>
      <c r="M658" s="24" t="s">
        <v>5971</v>
      </c>
      <c r="N658" s="2" t="s">
        <v>23</v>
      </c>
      <c r="O658" s="18" t="s">
        <v>550</v>
      </c>
      <c r="P658" s="18" t="s">
        <v>3781</v>
      </c>
      <c r="Q658" s="6" t="s">
        <v>4475</v>
      </c>
      <c r="T658" s="23">
        <v>45267</v>
      </c>
      <c r="U658" s="23">
        <v>46362</v>
      </c>
      <c r="X658" s="20">
        <v>25000</v>
      </c>
      <c r="Z658" s="6" t="s">
        <v>5978</v>
      </c>
      <c r="AA658" s="13">
        <f t="shared" si="83"/>
        <v>5.6000000000000006E-4</v>
      </c>
      <c r="AB658">
        <v>2.3269063999999999</v>
      </c>
      <c r="AC658">
        <v>2.4199826560000002</v>
      </c>
    </row>
    <row r="659" spans="1:29" x14ac:dyDescent="0.3">
      <c r="A659">
        <v>143757</v>
      </c>
      <c r="B659" s="25" t="s">
        <v>5984</v>
      </c>
      <c r="C659" t="s">
        <v>20</v>
      </c>
      <c r="D659" t="s">
        <v>21</v>
      </c>
      <c r="E659">
        <v>2222222</v>
      </c>
      <c r="F659" s="8" t="s">
        <v>22</v>
      </c>
      <c r="G659" s="2">
        <v>98</v>
      </c>
      <c r="H659" t="s">
        <v>3919</v>
      </c>
      <c r="I659" t="s">
        <v>4799</v>
      </c>
      <c r="J659" s="9" t="s">
        <v>5249</v>
      </c>
      <c r="K659" t="s">
        <v>4926</v>
      </c>
      <c r="L659" s="2">
        <v>1</v>
      </c>
      <c r="M659" s="24" t="s">
        <v>5971</v>
      </c>
      <c r="N659" s="2" t="s">
        <v>23</v>
      </c>
      <c r="O659" s="18" t="s">
        <v>552</v>
      </c>
      <c r="P659" s="18" t="s">
        <v>3781</v>
      </c>
      <c r="Q659" s="6" t="s">
        <v>4475</v>
      </c>
      <c r="T659" s="23">
        <v>45615</v>
      </c>
      <c r="U659" s="23">
        <v>46710</v>
      </c>
      <c r="X659" s="20">
        <v>4780</v>
      </c>
      <c r="Z659" s="6" t="s">
        <v>5978</v>
      </c>
      <c r="AA659" s="14">
        <f t="shared" ref="AA659:AA660" si="84">+(0.6/1000)</f>
        <v>5.9999999999999995E-4</v>
      </c>
      <c r="AB659">
        <v>1.46604</v>
      </c>
      <c r="AC659">
        <v>1.5246816000000001</v>
      </c>
    </row>
    <row r="660" spans="1:29" x14ac:dyDescent="0.3">
      <c r="A660">
        <v>151659</v>
      </c>
      <c r="B660" s="25" t="s">
        <v>5984</v>
      </c>
      <c r="C660" t="s">
        <v>20</v>
      </c>
      <c r="D660" t="s">
        <v>21</v>
      </c>
      <c r="E660">
        <v>2222222</v>
      </c>
      <c r="F660" s="8" t="s">
        <v>22</v>
      </c>
      <c r="G660" s="2">
        <v>98</v>
      </c>
      <c r="H660" t="s">
        <v>3920</v>
      </c>
      <c r="I660" t="s">
        <v>4800</v>
      </c>
      <c r="J660" s="9" t="s">
        <v>4874</v>
      </c>
      <c r="K660" t="s">
        <v>5250</v>
      </c>
      <c r="L660" s="2">
        <v>1</v>
      </c>
      <c r="M660" s="24" t="s">
        <v>5971</v>
      </c>
      <c r="N660" s="2" t="s">
        <v>23</v>
      </c>
      <c r="O660" s="18" t="s">
        <v>553</v>
      </c>
      <c r="P660" s="18" t="s">
        <v>0</v>
      </c>
      <c r="Q660" s="6" t="s">
        <v>4475</v>
      </c>
      <c r="T660" s="23">
        <v>46184</v>
      </c>
      <c r="U660" s="23">
        <v>49106</v>
      </c>
      <c r="X660" s="20">
        <v>120000</v>
      </c>
      <c r="Z660" s="6" t="s">
        <v>5978</v>
      </c>
      <c r="AA660" s="14">
        <f t="shared" si="84"/>
        <v>5.9999999999999995E-4</v>
      </c>
      <c r="AB660">
        <v>71.599235999999991</v>
      </c>
      <c r="AC660">
        <v>74.463205439999996</v>
      </c>
    </row>
    <row r="661" spans="1:29" x14ac:dyDescent="0.3">
      <c r="A661">
        <v>126953</v>
      </c>
      <c r="B661" s="25" t="s">
        <v>5984</v>
      </c>
      <c r="C661" t="s">
        <v>20</v>
      </c>
      <c r="D661" t="s">
        <v>21</v>
      </c>
      <c r="E661">
        <v>2222222</v>
      </c>
      <c r="F661" s="8" t="s">
        <v>22</v>
      </c>
      <c r="G661" s="2">
        <v>98</v>
      </c>
      <c r="H661" t="s">
        <v>3921</v>
      </c>
      <c r="I661" t="s">
        <v>4672</v>
      </c>
      <c r="J661" s="9" t="s">
        <v>5251</v>
      </c>
      <c r="K661" t="s">
        <v>4932</v>
      </c>
      <c r="L661" s="2">
        <v>1</v>
      </c>
      <c r="M661" s="24" t="s">
        <v>5971</v>
      </c>
      <c r="N661" s="2" t="s">
        <v>23</v>
      </c>
      <c r="O661" s="18" t="s">
        <v>554</v>
      </c>
      <c r="P661" s="18" t="s">
        <v>3781</v>
      </c>
      <c r="Q661" s="6" t="s">
        <v>4475</v>
      </c>
      <c r="T661" s="23">
        <v>44643</v>
      </c>
      <c r="U661" s="23">
        <v>46560</v>
      </c>
      <c r="X661" s="20">
        <v>60000</v>
      </c>
      <c r="Z661" s="6" t="s">
        <v>5978</v>
      </c>
      <c r="AA661" s="15">
        <f t="shared" ref="AA661:AA663" si="85">+(0.42/1000)</f>
        <v>4.1999999999999996E-4</v>
      </c>
      <c r="AB661">
        <v>14.288156399999998</v>
      </c>
      <c r="AC661">
        <v>14.859682655999999</v>
      </c>
    </row>
    <row r="662" spans="1:29" x14ac:dyDescent="0.3">
      <c r="A662">
        <v>126955</v>
      </c>
      <c r="B662" s="25" t="s">
        <v>5984</v>
      </c>
      <c r="C662" t="s">
        <v>20</v>
      </c>
      <c r="D662" t="s">
        <v>21</v>
      </c>
      <c r="E662">
        <v>2222222</v>
      </c>
      <c r="F662" s="8" t="s">
        <v>22</v>
      </c>
      <c r="G662" s="2">
        <v>98</v>
      </c>
      <c r="H662" t="s">
        <v>3921</v>
      </c>
      <c r="I662" t="s">
        <v>4672</v>
      </c>
      <c r="J662" s="9" t="s">
        <v>5047</v>
      </c>
      <c r="K662" t="s">
        <v>4980</v>
      </c>
      <c r="L662" s="2">
        <v>1</v>
      </c>
      <c r="M662" s="24" t="s">
        <v>5971</v>
      </c>
      <c r="N662" s="2" t="s">
        <v>23</v>
      </c>
      <c r="O662" s="18" t="s">
        <v>555</v>
      </c>
      <c r="P662" s="18" t="s">
        <v>3781</v>
      </c>
      <c r="Q662" s="6" t="s">
        <v>4475</v>
      </c>
      <c r="T662" s="23">
        <v>44643</v>
      </c>
      <c r="U662" s="23">
        <v>46468</v>
      </c>
      <c r="X662" s="20">
        <v>60000</v>
      </c>
      <c r="Z662" s="6" t="s">
        <v>5978</v>
      </c>
      <c r="AA662" s="15">
        <f t="shared" si="85"/>
        <v>4.1999999999999996E-4</v>
      </c>
      <c r="AB662">
        <v>13.862868599999999</v>
      </c>
      <c r="AC662">
        <v>14.417383343999999</v>
      </c>
    </row>
    <row r="663" spans="1:29" x14ac:dyDescent="0.3">
      <c r="A663">
        <v>128238</v>
      </c>
      <c r="B663" s="25" t="s">
        <v>5984</v>
      </c>
      <c r="C663" t="s">
        <v>20</v>
      </c>
      <c r="D663" t="s">
        <v>21</v>
      </c>
      <c r="E663">
        <v>2222222</v>
      </c>
      <c r="F663" s="8" t="s">
        <v>22</v>
      </c>
      <c r="G663" s="2">
        <v>98</v>
      </c>
      <c r="H663" t="s">
        <v>3921</v>
      </c>
      <c r="I663" t="s">
        <v>4371</v>
      </c>
      <c r="J663" s="9" t="s">
        <v>5253</v>
      </c>
      <c r="K663" t="s">
        <v>4836</v>
      </c>
      <c r="L663" s="2">
        <v>1</v>
      </c>
      <c r="M663" s="24" t="s">
        <v>5971</v>
      </c>
      <c r="N663" s="2" t="s">
        <v>23</v>
      </c>
      <c r="O663" s="18" t="s">
        <v>556</v>
      </c>
      <c r="P663" s="18" t="s">
        <v>3781</v>
      </c>
      <c r="Q663" s="6" t="s">
        <v>4475</v>
      </c>
      <c r="T663" s="23">
        <v>44714</v>
      </c>
      <c r="U663" s="23">
        <v>46275</v>
      </c>
      <c r="X663" s="20">
        <v>5000</v>
      </c>
      <c r="Z663" s="6" t="s">
        <v>5978</v>
      </c>
      <c r="AA663" s="15">
        <f t="shared" si="85"/>
        <v>4.1999999999999996E-4</v>
      </c>
      <c r="AB663">
        <v>0.1249122</v>
      </c>
      <c r="AC663">
        <v>0.12990868799999999</v>
      </c>
    </row>
    <row r="664" spans="1:29" x14ac:dyDescent="0.3">
      <c r="A664">
        <v>132818</v>
      </c>
      <c r="B664" s="25" t="s">
        <v>5984</v>
      </c>
      <c r="C664" t="s">
        <v>20</v>
      </c>
      <c r="D664" t="s">
        <v>21</v>
      </c>
      <c r="E664">
        <v>2222222</v>
      </c>
      <c r="F664" s="8" t="s">
        <v>22</v>
      </c>
      <c r="G664" s="2">
        <v>98</v>
      </c>
      <c r="H664" t="s">
        <v>3921</v>
      </c>
      <c r="I664" t="s">
        <v>4672</v>
      </c>
      <c r="J664" s="9" t="s">
        <v>4908</v>
      </c>
      <c r="K664" t="s">
        <v>4875</v>
      </c>
      <c r="L664" s="2">
        <v>1</v>
      </c>
      <c r="M664" s="24" t="s">
        <v>5971</v>
      </c>
      <c r="N664" s="2" t="s">
        <v>23</v>
      </c>
      <c r="O664" s="18" t="s">
        <v>557</v>
      </c>
      <c r="P664" s="18" t="s">
        <v>0</v>
      </c>
      <c r="Q664" s="6" t="s">
        <v>4475</v>
      </c>
      <c r="T664" s="23">
        <v>44960</v>
      </c>
      <c r="U664" s="23">
        <v>47154</v>
      </c>
      <c r="X664" s="20">
        <v>13000</v>
      </c>
      <c r="Z664" s="6" t="s">
        <v>5978</v>
      </c>
      <c r="AA664" s="13">
        <f t="shared" ref="AA664:AA669" si="86">+(0.56/1000)</f>
        <v>5.6000000000000006E-4</v>
      </c>
      <c r="AB664">
        <v>4.0059376000000002</v>
      </c>
      <c r="AC664">
        <v>4.1661751040000006</v>
      </c>
    </row>
    <row r="665" spans="1:29" x14ac:dyDescent="0.3">
      <c r="A665">
        <v>135126</v>
      </c>
      <c r="B665" s="25" t="s">
        <v>5984</v>
      </c>
      <c r="C665" t="s">
        <v>20</v>
      </c>
      <c r="D665" t="s">
        <v>21</v>
      </c>
      <c r="E665">
        <v>2222222</v>
      </c>
      <c r="F665" s="8" t="s">
        <v>22</v>
      </c>
      <c r="G665" s="2">
        <v>98</v>
      </c>
      <c r="H665" t="s">
        <v>3921</v>
      </c>
      <c r="I665" t="s">
        <v>4801</v>
      </c>
      <c r="J665" s="9" t="s">
        <v>4936</v>
      </c>
      <c r="K665" t="s">
        <v>4966</v>
      </c>
      <c r="L665" s="2">
        <v>1</v>
      </c>
      <c r="M665" s="24" t="s">
        <v>5971</v>
      </c>
      <c r="N665" s="2" t="s">
        <v>23</v>
      </c>
      <c r="O665" s="18" t="s">
        <v>558</v>
      </c>
      <c r="P665" s="18" t="s">
        <v>0</v>
      </c>
      <c r="Q665" s="6" t="s">
        <v>4475</v>
      </c>
      <c r="T665" s="23">
        <v>45095</v>
      </c>
      <c r="U665" s="23">
        <v>46288</v>
      </c>
      <c r="X665" s="20">
        <v>4000</v>
      </c>
      <c r="Z665" s="6" t="s">
        <v>5978</v>
      </c>
      <c r="AA665" s="13">
        <f t="shared" si="86"/>
        <v>5.6000000000000006E-4</v>
      </c>
      <c r="AB665">
        <v>0.23836960000000004</v>
      </c>
      <c r="AC665">
        <v>0.24790438400000006</v>
      </c>
    </row>
    <row r="666" spans="1:29" x14ac:dyDescent="0.3">
      <c r="A666">
        <v>136780</v>
      </c>
      <c r="B666" s="25" t="s">
        <v>5984</v>
      </c>
      <c r="C666" t="s">
        <v>20</v>
      </c>
      <c r="D666" t="s">
        <v>21</v>
      </c>
      <c r="E666">
        <v>2222222</v>
      </c>
      <c r="F666" s="8" t="s">
        <v>22</v>
      </c>
      <c r="G666" s="2">
        <v>98</v>
      </c>
      <c r="H666" t="s">
        <v>3921</v>
      </c>
      <c r="I666" t="s">
        <v>4802</v>
      </c>
      <c r="J666" s="9" t="s">
        <v>4929</v>
      </c>
      <c r="K666" t="s">
        <v>5089</v>
      </c>
      <c r="L666" s="2">
        <v>1</v>
      </c>
      <c r="M666" s="24" t="s">
        <v>5971</v>
      </c>
      <c r="N666" s="2" t="s">
        <v>23</v>
      </c>
      <c r="O666" s="18" t="s">
        <v>559</v>
      </c>
      <c r="P666" s="18" t="s">
        <v>0</v>
      </c>
      <c r="Q666" s="6" t="s">
        <v>4475</v>
      </c>
      <c r="T666" s="23">
        <v>45197</v>
      </c>
      <c r="U666" s="23">
        <v>50767</v>
      </c>
      <c r="X666" s="20">
        <v>40450</v>
      </c>
      <c r="Z666" s="6" t="s">
        <v>5978</v>
      </c>
      <c r="AA666" s="13">
        <f t="shared" si="86"/>
        <v>5.6000000000000006E-4</v>
      </c>
      <c r="AB666">
        <v>21.027949600000003</v>
      </c>
      <c r="AC666">
        <v>21.869067584000003</v>
      </c>
    </row>
    <row r="667" spans="1:29" x14ac:dyDescent="0.3">
      <c r="A667">
        <v>137836</v>
      </c>
      <c r="B667" s="25" t="s">
        <v>5984</v>
      </c>
      <c r="C667" t="s">
        <v>20</v>
      </c>
      <c r="D667" t="s">
        <v>21</v>
      </c>
      <c r="E667">
        <v>2222222</v>
      </c>
      <c r="F667" s="8" t="s">
        <v>22</v>
      </c>
      <c r="G667" s="2">
        <v>98</v>
      </c>
      <c r="H667" t="s">
        <v>3921</v>
      </c>
      <c r="I667" t="s">
        <v>3905</v>
      </c>
      <c r="J667" s="9" t="s">
        <v>4845</v>
      </c>
      <c r="K667" t="s">
        <v>5019</v>
      </c>
      <c r="L667" s="2">
        <v>1</v>
      </c>
      <c r="M667" s="24" t="s">
        <v>5971</v>
      </c>
      <c r="N667" s="2" t="s">
        <v>23</v>
      </c>
      <c r="O667" s="18" t="s">
        <v>560</v>
      </c>
      <c r="P667" s="18" t="s">
        <v>3781</v>
      </c>
      <c r="Q667" s="6" t="s">
        <v>4475</v>
      </c>
      <c r="T667" s="23">
        <v>45244</v>
      </c>
      <c r="U667" s="23">
        <v>46340</v>
      </c>
      <c r="X667" s="20">
        <v>4000</v>
      </c>
      <c r="Z667" s="6" t="s">
        <v>5978</v>
      </c>
      <c r="AA667" s="13">
        <f t="shared" si="86"/>
        <v>5.6000000000000006E-4</v>
      </c>
      <c r="AB667">
        <v>0.31343200000000004</v>
      </c>
      <c r="AC667">
        <v>0.32596928000000008</v>
      </c>
    </row>
    <row r="668" spans="1:29" x14ac:dyDescent="0.3">
      <c r="A668">
        <v>139238</v>
      </c>
      <c r="B668" s="25" t="s">
        <v>5984</v>
      </c>
      <c r="C668" t="s">
        <v>20</v>
      </c>
      <c r="D668" t="s">
        <v>21</v>
      </c>
      <c r="E668">
        <v>2222222</v>
      </c>
      <c r="F668" s="8" t="s">
        <v>22</v>
      </c>
      <c r="G668" s="2">
        <v>98</v>
      </c>
      <c r="H668" t="s">
        <v>3921</v>
      </c>
      <c r="I668" t="s">
        <v>4672</v>
      </c>
      <c r="J668" s="9" t="s">
        <v>5254</v>
      </c>
      <c r="K668" t="s">
        <v>5255</v>
      </c>
      <c r="L668" s="2">
        <v>1</v>
      </c>
      <c r="M668" s="24" t="s">
        <v>5971</v>
      </c>
      <c r="N668" s="2" t="s">
        <v>23</v>
      </c>
      <c r="O668" s="18" t="s">
        <v>561</v>
      </c>
      <c r="P668" s="18" t="s">
        <v>3781</v>
      </c>
      <c r="Q668" s="6" t="s">
        <v>4475</v>
      </c>
      <c r="T668" s="23">
        <v>45321</v>
      </c>
      <c r="U668" s="23">
        <v>46781</v>
      </c>
      <c r="X668" s="20">
        <v>5000</v>
      </c>
      <c r="Z668" s="6" t="s">
        <v>5978</v>
      </c>
      <c r="AA668" s="13">
        <f t="shared" si="86"/>
        <v>5.6000000000000006E-4</v>
      </c>
      <c r="AB668">
        <v>2.7183576000000005</v>
      </c>
      <c r="AC668">
        <v>2.8270919040000004</v>
      </c>
    </row>
    <row r="669" spans="1:29" x14ac:dyDescent="0.3">
      <c r="A669">
        <v>139834</v>
      </c>
      <c r="B669" s="25" t="s">
        <v>5984</v>
      </c>
      <c r="C669" t="s">
        <v>20</v>
      </c>
      <c r="D669" t="s">
        <v>21</v>
      </c>
      <c r="E669">
        <v>2222222</v>
      </c>
      <c r="F669" s="8" t="s">
        <v>22</v>
      </c>
      <c r="G669" s="2">
        <v>98</v>
      </c>
      <c r="H669" t="s">
        <v>3921</v>
      </c>
      <c r="I669" t="s">
        <v>4672</v>
      </c>
      <c r="J669" s="9" t="s">
        <v>5254</v>
      </c>
      <c r="K669" t="s">
        <v>5255</v>
      </c>
      <c r="L669" s="2">
        <v>1</v>
      </c>
      <c r="M669" s="24" t="s">
        <v>5971</v>
      </c>
      <c r="N669" s="2" t="s">
        <v>23</v>
      </c>
      <c r="O669" s="18" t="s">
        <v>561</v>
      </c>
      <c r="P669" s="18" t="s">
        <v>3781</v>
      </c>
      <c r="Q669" s="6" t="s">
        <v>4475</v>
      </c>
      <c r="T669" s="23">
        <v>45351</v>
      </c>
      <c r="U669" s="23">
        <v>45381</v>
      </c>
      <c r="X669" s="20">
        <v>4310</v>
      </c>
      <c r="Z669" s="6" t="s">
        <v>5978</v>
      </c>
      <c r="AA669" s="13">
        <f t="shared" si="86"/>
        <v>5.6000000000000006E-4</v>
      </c>
      <c r="AB669">
        <v>2.4136000000000002</v>
      </c>
      <c r="AC669">
        <v>2.5101440000000004</v>
      </c>
    </row>
    <row r="670" spans="1:29" x14ac:dyDescent="0.3">
      <c r="A670">
        <v>140732</v>
      </c>
      <c r="B670" s="25" t="s">
        <v>5984</v>
      </c>
      <c r="C670" t="s">
        <v>20</v>
      </c>
      <c r="D670" t="s">
        <v>21</v>
      </c>
      <c r="E670">
        <v>2222222</v>
      </c>
      <c r="F670" s="8" t="s">
        <v>22</v>
      </c>
      <c r="G670" s="2">
        <v>98</v>
      </c>
      <c r="H670" t="s">
        <v>3921</v>
      </c>
      <c r="I670" t="s">
        <v>4235</v>
      </c>
      <c r="J670" s="9" t="s">
        <v>5256</v>
      </c>
      <c r="K670" t="s">
        <v>4512</v>
      </c>
      <c r="L670" s="2">
        <v>1</v>
      </c>
      <c r="M670" s="24" t="s">
        <v>5971</v>
      </c>
      <c r="N670" s="2" t="s">
        <v>23</v>
      </c>
      <c r="O670" s="18" t="s">
        <v>562</v>
      </c>
      <c r="P670" s="18" t="s">
        <v>0</v>
      </c>
      <c r="Q670" s="6" t="s">
        <v>4475</v>
      </c>
      <c r="T670" s="23">
        <v>45423</v>
      </c>
      <c r="U670" s="23">
        <v>47340</v>
      </c>
      <c r="X670" s="20">
        <v>17000</v>
      </c>
      <c r="Z670" s="6" t="s">
        <v>5978</v>
      </c>
      <c r="AA670" s="14">
        <f t="shared" ref="AA670:AA685" si="87">+(0.6/1000)</f>
        <v>5.9999999999999995E-4</v>
      </c>
      <c r="AB670">
        <v>7.1625719999999999</v>
      </c>
      <c r="AC670">
        <v>7.4490748800000004</v>
      </c>
    </row>
    <row r="671" spans="1:29" x14ac:dyDescent="0.3">
      <c r="A671">
        <v>141159</v>
      </c>
      <c r="B671" s="25" t="s">
        <v>5984</v>
      </c>
      <c r="C671" t="s">
        <v>20</v>
      </c>
      <c r="D671" t="s">
        <v>21</v>
      </c>
      <c r="E671">
        <v>2222222</v>
      </c>
      <c r="F671" s="8" t="s">
        <v>22</v>
      </c>
      <c r="G671" s="2">
        <v>98</v>
      </c>
      <c r="H671" t="s">
        <v>3921</v>
      </c>
      <c r="I671" t="s">
        <v>3842</v>
      </c>
      <c r="J671" s="9" t="s">
        <v>5057</v>
      </c>
      <c r="K671" t="s">
        <v>4924</v>
      </c>
      <c r="L671" s="2">
        <v>1</v>
      </c>
      <c r="M671" s="24" t="s">
        <v>5971</v>
      </c>
      <c r="N671" s="2" t="s">
        <v>23</v>
      </c>
      <c r="O671" s="18" t="s">
        <v>563</v>
      </c>
      <c r="P671" s="18" t="s">
        <v>3781</v>
      </c>
      <c r="Q671" s="6" t="s">
        <v>4475</v>
      </c>
      <c r="T671" s="23">
        <v>45442</v>
      </c>
      <c r="U671" s="23">
        <v>49277</v>
      </c>
      <c r="X671" s="20">
        <v>34000</v>
      </c>
      <c r="Z671" s="6" t="s">
        <v>5978</v>
      </c>
      <c r="AA671" s="14">
        <f t="shared" si="87"/>
        <v>5.9999999999999995E-4</v>
      </c>
      <c r="AB671">
        <v>18.921479999999999</v>
      </c>
      <c r="AC671">
        <v>19.6783392</v>
      </c>
    </row>
    <row r="672" spans="1:29" x14ac:dyDescent="0.3">
      <c r="A672">
        <v>141770</v>
      </c>
      <c r="B672" s="25" t="s">
        <v>5984</v>
      </c>
      <c r="C672" t="s">
        <v>20</v>
      </c>
      <c r="D672" t="s">
        <v>21</v>
      </c>
      <c r="E672">
        <v>2222222</v>
      </c>
      <c r="F672" s="8" t="s">
        <v>22</v>
      </c>
      <c r="G672" s="2">
        <v>98</v>
      </c>
      <c r="H672" t="s">
        <v>3921</v>
      </c>
      <c r="I672" t="s">
        <v>4672</v>
      </c>
      <c r="J672" s="9" t="s">
        <v>4950</v>
      </c>
      <c r="K672" t="s">
        <v>5024</v>
      </c>
      <c r="L672" s="2">
        <v>1</v>
      </c>
      <c r="M672" s="24" t="s">
        <v>5971</v>
      </c>
      <c r="N672" s="2" t="s">
        <v>23</v>
      </c>
      <c r="O672" s="18" t="s">
        <v>564</v>
      </c>
      <c r="P672" s="18" t="s">
        <v>0</v>
      </c>
      <c r="Q672" s="6" t="s">
        <v>4475</v>
      </c>
      <c r="T672" s="23">
        <v>45474</v>
      </c>
      <c r="U672" s="23">
        <v>46569</v>
      </c>
      <c r="X672" s="20">
        <v>5000</v>
      </c>
      <c r="Z672" s="6" t="s">
        <v>5978</v>
      </c>
      <c r="AA672" s="14">
        <f t="shared" si="87"/>
        <v>5.9999999999999995E-4</v>
      </c>
      <c r="AB672">
        <v>1.194858</v>
      </c>
      <c r="AC672">
        <v>1.2426523199999999</v>
      </c>
    </row>
    <row r="673" spans="1:29" x14ac:dyDescent="0.3">
      <c r="A673">
        <v>142321</v>
      </c>
      <c r="B673" s="25" t="s">
        <v>5984</v>
      </c>
      <c r="C673" t="s">
        <v>20</v>
      </c>
      <c r="D673" t="s">
        <v>21</v>
      </c>
      <c r="E673">
        <v>2222222</v>
      </c>
      <c r="F673" s="8" t="s">
        <v>22</v>
      </c>
      <c r="G673" s="2">
        <v>98</v>
      </c>
      <c r="H673" t="s">
        <v>3921</v>
      </c>
      <c r="I673" t="s">
        <v>4803</v>
      </c>
      <c r="J673" s="9" t="s">
        <v>4876</v>
      </c>
      <c r="K673" t="s">
        <v>4870</v>
      </c>
      <c r="L673" s="2">
        <v>1</v>
      </c>
      <c r="M673" s="24" t="s">
        <v>5971</v>
      </c>
      <c r="N673" s="2" t="s">
        <v>23</v>
      </c>
      <c r="O673" s="18" t="s">
        <v>565</v>
      </c>
      <c r="P673" s="18" t="s">
        <v>0</v>
      </c>
      <c r="Q673" s="6" t="s">
        <v>4475</v>
      </c>
      <c r="T673" s="23">
        <v>45511</v>
      </c>
      <c r="U673" s="23">
        <v>46332</v>
      </c>
      <c r="X673" s="20">
        <v>3800</v>
      </c>
      <c r="Z673" s="6" t="s">
        <v>5978</v>
      </c>
      <c r="AA673" s="14">
        <f t="shared" si="87"/>
        <v>5.9999999999999995E-4</v>
      </c>
      <c r="AB673">
        <v>0.7562819999999999</v>
      </c>
      <c r="AC673">
        <v>0.78653327999999989</v>
      </c>
    </row>
    <row r="674" spans="1:29" x14ac:dyDescent="0.3">
      <c r="A674">
        <v>144161</v>
      </c>
      <c r="B674" s="25" t="s">
        <v>5984</v>
      </c>
      <c r="C674" t="s">
        <v>20</v>
      </c>
      <c r="D674" t="s">
        <v>21</v>
      </c>
      <c r="E674">
        <v>2222222</v>
      </c>
      <c r="F674" s="8" t="s">
        <v>22</v>
      </c>
      <c r="G674" s="2">
        <v>98</v>
      </c>
      <c r="H674" t="s">
        <v>3921</v>
      </c>
      <c r="I674" t="s">
        <v>3905</v>
      </c>
      <c r="J674" s="9" t="s">
        <v>4845</v>
      </c>
      <c r="K674" t="s">
        <v>5019</v>
      </c>
      <c r="L674" s="2">
        <v>1</v>
      </c>
      <c r="M674" s="24" t="s">
        <v>5971</v>
      </c>
      <c r="N674" s="2" t="s">
        <v>23</v>
      </c>
      <c r="O674" s="18" t="s">
        <v>560</v>
      </c>
      <c r="P674" s="18" t="s">
        <v>3781</v>
      </c>
      <c r="Q674" s="6" t="s">
        <v>4475</v>
      </c>
      <c r="T674" s="23">
        <v>45643</v>
      </c>
      <c r="U674" s="23">
        <v>47103</v>
      </c>
      <c r="X674" s="20">
        <v>5000</v>
      </c>
      <c r="Z674" s="6" t="s">
        <v>5978</v>
      </c>
      <c r="AA674" s="14">
        <f t="shared" si="87"/>
        <v>5.9999999999999995E-4</v>
      </c>
      <c r="AB674">
        <v>2.0600999999999998</v>
      </c>
      <c r="AC674">
        <v>2.1425039999999997</v>
      </c>
    </row>
    <row r="675" spans="1:29" x14ac:dyDescent="0.3">
      <c r="A675">
        <v>144380</v>
      </c>
      <c r="B675" s="25" t="s">
        <v>5984</v>
      </c>
      <c r="C675" t="s">
        <v>20</v>
      </c>
      <c r="D675" t="s">
        <v>21</v>
      </c>
      <c r="E675">
        <v>2222222</v>
      </c>
      <c r="F675" s="8" t="s">
        <v>22</v>
      </c>
      <c r="G675" s="2">
        <v>98</v>
      </c>
      <c r="H675" t="s">
        <v>3921</v>
      </c>
      <c r="I675" t="s">
        <v>4672</v>
      </c>
      <c r="J675" s="9" t="s">
        <v>5251</v>
      </c>
      <c r="K675" t="s">
        <v>4932</v>
      </c>
      <c r="L675" s="2">
        <v>1</v>
      </c>
      <c r="M675" s="24" t="s">
        <v>5971</v>
      </c>
      <c r="N675" s="2" t="s">
        <v>23</v>
      </c>
      <c r="O675" s="18" t="s">
        <v>554</v>
      </c>
      <c r="P675" s="18" t="s">
        <v>3781</v>
      </c>
      <c r="Q675" s="6" t="s">
        <v>4475</v>
      </c>
      <c r="T675" s="23">
        <v>45657</v>
      </c>
      <c r="U675" s="23">
        <v>45747</v>
      </c>
      <c r="X675" s="20">
        <v>3735</v>
      </c>
      <c r="Z675" s="6" t="s">
        <v>5978</v>
      </c>
      <c r="AA675" s="14">
        <f t="shared" si="87"/>
        <v>5.9999999999999995E-4</v>
      </c>
      <c r="AB675">
        <v>2.2409999999999997</v>
      </c>
      <c r="AC675">
        <v>2.3306399999999998</v>
      </c>
    </row>
    <row r="676" spans="1:29" x14ac:dyDescent="0.3">
      <c r="A676">
        <v>147564</v>
      </c>
      <c r="B676" s="25" t="s">
        <v>5984</v>
      </c>
      <c r="C676" t="s">
        <v>20</v>
      </c>
      <c r="D676" t="s">
        <v>21</v>
      </c>
      <c r="E676">
        <v>2222222</v>
      </c>
      <c r="F676" s="8" t="s">
        <v>22</v>
      </c>
      <c r="G676" s="2">
        <v>98</v>
      </c>
      <c r="H676" t="s">
        <v>3921</v>
      </c>
      <c r="I676" t="s">
        <v>3893</v>
      </c>
      <c r="J676" s="9" t="s">
        <v>4836</v>
      </c>
      <c r="K676" t="s">
        <v>4829</v>
      </c>
      <c r="L676" s="2">
        <v>1</v>
      </c>
      <c r="M676" s="24" t="s">
        <v>5971</v>
      </c>
      <c r="N676" s="2" t="s">
        <v>23</v>
      </c>
      <c r="O676" s="18" t="s">
        <v>566</v>
      </c>
      <c r="P676" s="18" t="s">
        <v>0</v>
      </c>
      <c r="Q676" s="6" t="s">
        <v>4475</v>
      </c>
      <c r="T676" s="23">
        <v>45899</v>
      </c>
      <c r="U676" s="23">
        <v>46450</v>
      </c>
      <c r="X676" s="20">
        <v>1700</v>
      </c>
      <c r="Z676" s="6" t="s">
        <v>5978</v>
      </c>
      <c r="AA676" s="14">
        <f t="shared" si="87"/>
        <v>5.9999999999999995E-4</v>
      </c>
      <c r="AB676">
        <v>0.48536999999999997</v>
      </c>
      <c r="AC676">
        <v>0.50478480000000003</v>
      </c>
    </row>
    <row r="677" spans="1:29" x14ac:dyDescent="0.3">
      <c r="A677">
        <v>149492</v>
      </c>
      <c r="B677" s="25" t="s">
        <v>5984</v>
      </c>
      <c r="C677" t="s">
        <v>20</v>
      </c>
      <c r="D677" t="s">
        <v>21</v>
      </c>
      <c r="E677">
        <v>2222222</v>
      </c>
      <c r="F677" s="8" t="s">
        <v>22</v>
      </c>
      <c r="G677" s="2">
        <v>98</v>
      </c>
      <c r="H677" t="s">
        <v>3921</v>
      </c>
      <c r="I677" t="s">
        <v>4804</v>
      </c>
      <c r="J677" s="9" t="s">
        <v>4911</v>
      </c>
      <c r="K677" t="s">
        <v>4942</v>
      </c>
      <c r="L677" s="2">
        <v>1</v>
      </c>
      <c r="M677" s="24" t="s">
        <v>5971</v>
      </c>
      <c r="N677" s="2" t="s">
        <v>23</v>
      </c>
      <c r="O677" s="18" t="s">
        <v>567</v>
      </c>
      <c r="P677" s="18" t="s">
        <v>3781</v>
      </c>
      <c r="Q677" s="6" t="s">
        <v>4475</v>
      </c>
      <c r="T677" s="23">
        <v>46037</v>
      </c>
      <c r="U677" s="23">
        <v>47497</v>
      </c>
      <c r="X677" s="20">
        <v>7000</v>
      </c>
      <c r="Z677" s="6" t="s">
        <v>5978</v>
      </c>
      <c r="AA677" s="14">
        <f t="shared" si="87"/>
        <v>5.9999999999999995E-4</v>
      </c>
      <c r="AB677">
        <v>3.5157719999999997</v>
      </c>
      <c r="AC677">
        <v>3.6564028799999999</v>
      </c>
    </row>
    <row r="678" spans="1:29" x14ac:dyDescent="0.3">
      <c r="A678">
        <v>149597</v>
      </c>
      <c r="B678" s="25" t="s">
        <v>5984</v>
      </c>
      <c r="C678" t="s">
        <v>20</v>
      </c>
      <c r="D678" t="s">
        <v>21</v>
      </c>
      <c r="E678">
        <v>2222222</v>
      </c>
      <c r="F678" s="8" t="s">
        <v>22</v>
      </c>
      <c r="G678" s="2">
        <v>98</v>
      </c>
      <c r="H678" t="s">
        <v>3921</v>
      </c>
      <c r="I678" t="s">
        <v>3957</v>
      </c>
      <c r="J678" s="9" t="s">
        <v>4815</v>
      </c>
      <c r="K678" t="s">
        <v>5077</v>
      </c>
      <c r="L678" s="2">
        <v>1</v>
      </c>
      <c r="M678" s="24" t="s">
        <v>5971</v>
      </c>
      <c r="N678" s="2" t="s">
        <v>23</v>
      </c>
      <c r="O678" s="18" t="s">
        <v>568</v>
      </c>
      <c r="P678" s="18" t="s">
        <v>0</v>
      </c>
      <c r="Q678" s="6" t="s">
        <v>4475</v>
      </c>
      <c r="T678" s="23">
        <v>46043</v>
      </c>
      <c r="U678" s="23">
        <v>46588</v>
      </c>
      <c r="X678" s="20">
        <v>20000</v>
      </c>
      <c r="Z678" s="6" t="s">
        <v>5978</v>
      </c>
      <c r="AA678" s="14">
        <f t="shared" si="87"/>
        <v>5.9999999999999995E-4</v>
      </c>
      <c r="AB678">
        <v>8.3041379999999982</v>
      </c>
      <c r="AC678">
        <v>8.6363035199999985</v>
      </c>
    </row>
    <row r="679" spans="1:29" x14ac:dyDescent="0.3">
      <c r="A679">
        <v>149937</v>
      </c>
      <c r="B679" s="25" t="s">
        <v>5984</v>
      </c>
      <c r="C679" t="s">
        <v>20</v>
      </c>
      <c r="D679" t="s">
        <v>21</v>
      </c>
      <c r="E679">
        <v>2222222</v>
      </c>
      <c r="F679" s="8" t="s">
        <v>22</v>
      </c>
      <c r="G679" s="2">
        <v>98</v>
      </c>
      <c r="H679" t="s">
        <v>3921</v>
      </c>
      <c r="I679" t="s">
        <v>4235</v>
      </c>
      <c r="J679" s="9" t="s">
        <v>5256</v>
      </c>
      <c r="K679" t="s">
        <v>4512</v>
      </c>
      <c r="L679" s="2">
        <v>1</v>
      </c>
      <c r="M679" s="24" t="s">
        <v>5971</v>
      </c>
      <c r="N679" s="2" t="s">
        <v>23</v>
      </c>
      <c r="O679" s="18" t="s">
        <v>562</v>
      </c>
      <c r="P679" s="18" t="s">
        <v>0</v>
      </c>
      <c r="Q679" s="6" t="s">
        <v>4475</v>
      </c>
      <c r="T679" s="23">
        <v>46059</v>
      </c>
      <c r="U679" s="23">
        <v>47162</v>
      </c>
      <c r="X679" s="20">
        <v>5000</v>
      </c>
      <c r="Z679" s="6" t="s">
        <v>5978</v>
      </c>
      <c r="AA679" s="14">
        <f t="shared" si="87"/>
        <v>5.9999999999999995E-4</v>
      </c>
      <c r="AB679">
        <v>2.6740679999999997</v>
      </c>
      <c r="AC679">
        <v>2.78103072</v>
      </c>
    </row>
    <row r="680" spans="1:29" x14ac:dyDescent="0.3">
      <c r="A680">
        <v>150218</v>
      </c>
      <c r="B680" s="25" t="s">
        <v>5984</v>
      </c>
      <c r="C680" t="s">
        <v>20</v>
      </c>
      <c r="D680" t="s">
        <v>21</v>
      </c>
      <c r="E680">
        <v>2222222</v>
      </c>
      <c r="F680" s="8" t="s">
        <v>22</v>
      </c>
      <c r="G680" s="2">
        <v>98</v>
      </c>
      <c r="H680" t="s">
        <v>3921</v>
      </c>
      <c r="I680" t="s">
        <v>4215</v>
      </c>
      <c r="J680" s="9" t="s">
        <v>4903</v>
      </c>
      <c r="K680" t="s">
        <v>4893</v>
      </c>
      <c r="L680" s="2">
        <v>1</v>
      </c>
      <c r="M680" s="24" t="s">
        <v>5971</v>
      </c>
      <c r="N680" s="2" t="s">
        <v>23</v>
      </c>
      <c r="O680" s="18" t="s">
        <v>569</v>
      </c>
      <c r="P680" s="18" t="s">
        <v>3781</v>
      </c>
      <c r="Q680" s="6" t="s">
        <v>4475</v>
      </c>
      <c r="T680" s="23">
        <v>46079</v>
      </c>
      <c r="U680" s="23">
        <v>49733</v>
      </c>
      <c r="X680" s="20">
        <v>9440</v>
      </c>
      <c r="Z680" s="6" t="s">
        <v>5978</v>
      </c>
      <c r="AA680" s="14">
        <f t="shared" si="87"/>
        <v>5.9999999999999995E-4</v>
      </c>
      <c r="AB680">
        <v>5.5057019999999994</v>
      </c>
      <c r="AC680">
        <v>5.7259300799999995</v>
      </c>
    </row>
    <row r="681" spans="1:29" x14ac:dyDescent="0.3">
      <c r="A681">
        <v>151083</v>
      </c>
      <c r="B681" s="25" t="s">
        <v>5984</v>
      </c>
      <c r="C681" t="s">
        <v>20</v>
      </c>
      <c r="D681" t="s">
        <v>21</v>
      </c>
      <c r="E681">
        <v>2222222</v>
      </c>
      <c r="F681" s="8" t="s">
        <v>22</v>
      </c>
      <c r="G681" s="2">
        <v>98</v>
      </c>
      <c r="H681" t="s">
        <v>3921</v>
      </c>
      <c r="I681" t="s">
        <v>4683</v>
      </c>
      <c r="J681" s="9" t="s">
        <v>4903</v>
      </c>
      <c r="K681" t="s">
        <v>4893</v>
      </c>
      <c r="L681" s="2">
        <v>1</v>
      </c>
      <c r="M681" s="24" t="s">
        <v>5971</v>
      </c>
      <c r="N681" s="2" t="s">
        <v>23</v>
      </c>
      <c r="O681" s="18" t="s">
        <v>570</v>
      </c>
      <c r="P681" s="18" t="s">
        <v>3781</v>
      </c>
      <c r="Q681" s="6" t="s">
        <v>4475</v>
      </c>
      <c r="T681" s="23">
        <v>46136</v>
      </c>
      <c r="U681" s="23">
        <v>47232</v>
      </c>
      <c r="X681" s="20">
        <v>2800</v>
      </c>
      <c r="Z681" s="6" t="s">
        <v>5978</v>
      </c>
      <c r="AA681" s="14">
        <f t="shared" si="87"/>
        <v>5.9999999999999995E-4</v>
      </c>
      <c r="AB681">
        <v>1.5703499999999999</v>
      </c>
      <c r="AC681">
        <v>1.6331640000000001</v>
      </c>
    </row>
    <row r="682" spans="1:29" x14ac:dyDescent="0.3">
      <c r="A682">
        <v>151217</v>
      </c>
      <c r="B682" s="25" t="s">
        <v>5984</v>
      </c>
      <c r="C682" t="s">
        <v>20</v>
      </c>
      <c r="D682" t="s">
        <v>21</v>
      </c>
      <c r="E682">
        <v>2222222</v>
      </c>
      <c r="F682" s="8" t="s">
        <v>22</v>
      </c>
      <c r="G682" s="2">
        <v>98</v>
      </c>
      <c r="H682" t="s">
        <v>3921</v>
      </c>
      <c r="I682" t="s">
        <v>4802</v>
      </c>
      <c r="J682" s="9" t="s">
        <v>4929</v>
      </c>
      <c r="K682" t="s">
        <v>5089</v>
      </c>
      <c r="L682" s="2">
        <v>1</v>
      </c>
      <c r="M682" s="24" t="s">
        <v>5971</v>
      </c>
      <c r="N682" s="2" t="s">
        <v>23</v>
      </c>
      <c r="O682" s="18" t="s">
        <v>559</v>
      </c>
      <c r="P682" s="18" t="s">
        <v>0</v>
      </c>
      <c r="Q682" s="6" t="s">
        <v>4475</v>
      </c>
      <c r="T682" s="23">
        <v>46147</v>
      </c>
      <c r="U682" s="23">
        <v>46237</v>
      </c>
      <c r="X682" s="20">
        <v>1010</v>
      </c>
      <c r="Z682" s="6" t="s">
        <v>5978</v>
      </c>
      <c r="AA682" s="14">
        <f t="shared" si="87"/>
        <v>5.9999999999999995E-4</v>
      </c>
      <c r="AB682">
        <v>0.60599999999999998</v>
      </c>
      <c r="AC682">
        <v>0.63024000000000002</v>
      </c>
    </row>
    <row r="683" spans="1:29" x14ac:dyDescent="0.3">
      <c r="A683">
        <v>151566</v>
      </c>
      <c r="B683" s="25" t="s">
        <v>5984</v>
      </c>
      <c r="C683" t="s">
        <v>20</v>
      </c>
      <c r="D683" t="s">
        <v>21</v>
      </c>
      <c r="E683">
        <v>2222222</v>
      </c>
      <c r="F683" s="8" t="s">
        <v>22</v>
      </c>
      <c r="G683" s="2">
        <v>98</v>
      </c>
      <c r="H683" t="s">
        <v>3921</v>
      </c>
      <c r="I683" t="s">
        <v>3990</v>
      </c>
      <c r="J683" s="9" t="s">
        <v>5049</v>
      </c>
      <c r="K683" t="s">
        <v>5174</v>
      </c>
      <c r="L683" s="2">
        <v>1</v>
      </c>
      <c r="M683" s="24" t="s">
        <v>5971</v>
      </c>
      <c r="N683" s="2" t="s">
        <v>23</v>
      </c>
      <c r="O683" s="18" t="s">
        <v>571</v>
      </c>
      <c r="P683" s="18" t="s">
        <v>0</v>
      </c>
      <c r="Q683" s="6" t="s">
        <v>4475</v>
      </c>
      <c r="T683" s="23">
        <v>46174</v>
      </c>
      <c r="U683" s="23">
        <v>46483</v>
      </c>
      <c r="X683" s="20">
        <v>1000</v>
      </c>
      <c r="Z683" s="6" t="s">
        <v>5978</v>
      </c>
      <c r="AA683" s="14">
        <f t="shared" si="87"/>
        <v>5.9999999999999995E-4</v>
      </c>
      <c r="AB683">
        <v>0.54365999999999992</v>
      </c>
      <c r="AC683">
        <v>0.56540639999999998</v>
      </c>
    </row>
    <row r="684" spans="1:29" x14ac:dyDescent="0.3">
      <c r="A684">
        <v>151758</v>
      </c>
      <c r="B684" s="25" t="s">
        <v>5984</v>
      </c>
      <c r="C684" t="s">
        <v>20</v>
      </c>
      <c r="D684" t="s">
        <v>21</v>
      </c>
      <c r="E684">
        <v>2222222</v>
      </c>
      <c r="F684" s="8" t="s">
        <v>22</v>
      </c>
      <c r="G684" s="2">
        <v>98</v>
      </c>
      <c r="H684" t="s">
        <v>3921</v>
      </c>
      <c r="I684" t="s">
        <v>4672</v>
      </c>
      <c r="J684" s="9" t="s">
        <v>5048</v>
      </c>
      <c r="K684" t="s">
        <v>4932</v>
      </c>
      <c r="L684" s="2">
        <v>1</v>
      </c>
      <c r="M684" s="24" t="s">
        <v>5971</v>
      </c>
      <c r="N684" s="2" t="s">
        <v>23</v>
      </c>
      <c r="O684" s="18" t="s">
        <v>572</v>
      </c>
      <c r="P684" s="18" t="s">
        <v>3781</v>
      </c>
      <c r="Q684" s="6" t="s">
        <v>4475</v>
      </c>
      <c r="T684" s="23">
        <v>46185</v>
      </c>
      <c r="U684" s="23">
        <v>46275</v>
      </c>
      <c r="X684" s="20">
        <v>2000</v>
      </c>
      <c r="Z684" s="6" t="s">
        <v>5978</v>
      </c>
      <c r="AA684" s="14">
        <f t="shared" si="87"/>
        <v>5.9999999999999995E-4</v>
      </c>
      <c r="AB684">
        <v>1.2</v>
      </c>
      <c r="AC684">
        <v>1.248</v>
      </c>
    </row>
    <row r="685" spans="1:29" x14ac:dyDescent="0.3">
      <c r="A685">
        <v>152307</v>
      </c>
      <c r="B685" s="25" t="s">
        <v>5984</v>
      </c>
      <c r="C685" t="s">
        <v>20</v>
      </c>
      <c r="D685" t="s">
        <v>21</v>
      </c>
      <c r="E685">
        <v>2222222</v>
      </c>
      <c r="F685" s="8" t="s">
        <v>22</v>
      </c>
      <c r="G685" s="2">
        <v>98</v>
      </c>
      <c r="H685" t="s">
        <v>3921</v>
      </c>
      <c r="I685" t="s">
        <v>4805</v>
      </c>
      <c r="J685" s="9" t="s">
        <v>4815</v>
      </c>
      <c r="K685" t="s">
        <v>4905</v>
      </c>
      <c r="L685" s="2">
        <v>1</v>
      </c>
      <c r="M685" s="24" t="s">
        <v>5971</v>
      </c>
      <c r="N685" s="2" t="s">
        <v>23</v>
      </c>
      <c r="O685" s="18" t="s">
        <v>573</v>
      </c>
      <c r="P685" s="18" t="s">
        <v>0</v>
      </c>
      <c r="Q685" s="6" t="s">
        <v>4475</v>
      </c>
      <c r="T685" s="23">
        <v>46230</v>
      </c>
      <c r="U685" s="23">
        <v>47325</v>
      </c>
      <c r="X685" s="20">
        <v>5000</v>
      </c>
      <c r="Z685" s="6" t="s">
        <v>5978</v>
      </c>
      <c r="AA685" s="14">
        <f t="shared" si="87"/>
        <v>5.9999999999999995E-4</v>
      </c>
      <c r="AB685">
        <v>2.9999999999999996</v>
      </c>
      <c r="AC685">
        <v>3.1199999999999997</v>
      </c>
    </row>
    <row r="686" spans="1:29" x14ac:dyDescent="0.3">
      <c r="A686">
        <v>133407</v>
      </c>
      <c r="B686" s="25" t="s">
        <v>5984</v>
      </c>
      <c r="C686" t="s">
        <v>20</v>
      </c>
      <c r="D686" t="s">
        <v>21</v>
      </c>
      <c r="E686">
        <v>2222222</v>
      </c>
      <c r="F686" s="8" t="s">
        <v>22</v>
      </c>
      <c r="G686" s="2">
        <v>98</v>
      </c>
      <c r="H686" t="s">
        <v>3922</v>
      </c>
      <c r="I686" t="s">
        <v>4552</v>
      </c>
      <c r="J686" s="9" t="s">
        <v>5257</v>
      </c>
      <c r="K686" t="s">
        <v>5258</v>
      </c>
      <c r="L686" s="2">
        <v>1</v>
      </c>
      <c r="M686" s="24" t="s">
        <v>5971</v>
      </c>
      <c r="N686" s="2" t="s">
        <v>23</v>
      </c>
      <c r="O686" s="18" t="s">
        <v>574</v>
      </c>
      <c r="P686" s="18" t="s">
        <v>0</v>
      </c>
      <c r="Q686" s="6" t="s">
        <v>4475</v>
      </c>
      <c r="T686" s="23">
        <v>45007</v>
      </c>
      <c r="U686" s="23">
        <v>46467</v>
      </c>
      <c r="X686" s="20">
        <v>12000</v>
      </c>
      <c r="Z686" s="6" t="s">
        <v>5978</v>
      </c>
      <c r="AA686" s="13">
        <f t="shared" ref="AA686:AA687" si="88">+(0.56/1000)</f>
        <v>5.6000000000000006E-4</v>
      </c>
      <c r="AB686">
        <v>1.4437640000000003</v>
      </c>
      <c r="AC686">
        <v>1.5015145600000004</v>
      </c>
    </row>
    <row r="687" spans="1:29" x14ac:dyDescent="0.3">
      <c r="A687">
        <v>137344</v>
      </c>
      <c r="B687" s="25" t="s">
        <v>5984</v>
      </c>
      <c r="C687" t="s">
        <v>20</v>
      </c>
      <c r="D687" t="s">
        <v>21</v>
      </c>
      <c r="E687">
        <v>2222222</v>
      </c>
      <c r="F687" s="8" t="s">
        <v>22</v>
      </c>
      <c r="G687" s="2">
        <v>98</v>
      </c>
      <c r="H687" t="s">
        <v>3922</v>
      </c>
      <c r="I687" t="s">
        <v>4806</v>
      </c>
      <c r="J687" s="9" t="s">
        <v>5259</v>
      </c>
      <c r="K687" t="s">
        <v>5091</v>
      </c>
      <c r="L687" s="2">
        <v>1</v>
      </c>
      <c r="M687" s="24" t="s">
        <v>5971</v>
      </c>
      <c r="N687" s="2" t="s">
        <v>23</v>
      </c>
      <c r="O687" s="18" t="s">
        <v>575</v>
      </c>
      <c r="P687" s="18" t="s">
        <v>3781</v>
      </c>
      <c r="Q687" s="6" t="s">
        <v>4475</v>
      </c>
      <c r="T687" s="23">
        <v>45223</v>
      </c>
      <c r="U687" s="23">
        <v>46683</v>
      </c>
      <c r="X687" s="20">
        <v>8000</v>
      </c>
      <c r="Z687" s="6" t="s">
        <v>5978</v>
      </c>
      <c r="AA687" s="13">
        <f t="shared" si="88"/>
        <v>5.6000000000000006E-4</v>
      </c>
      <c r="AB687">
        <v>1.7090584000000002</v>
      </c>
      <c r="AC687">
        <v>1.7774207360000003</v>
      </c>
    </row>
    <row r="688" spans="1:29" x14ac:dyDescent="0.3">
      <c r="A688">
        <v>146499</v>
      </c>
      <c r="B688" s="25" t="s">
        <v>5984</v>
      </c>
      <c r="C688" t="s">
        <v>20</v>
      </c>
      <c r="D688" t="s">
        <v>21</v>
      </c>
      <c r="E688">
        <v>2222222</v>
      </c>
      <c r="F688" s="8" t="s">
        <v>22</v>
      </c>
      <c r="G688" s="2">
        <v>98</v>
      </c>
      <c r="H688" t="s">
        <v>3922</v>
      </c>
      <c r="I688" t="s">
        <v>4152</v>
      </c>
      <c r="J688" s="9" t="s">
        <v>5055</v>
      </c>
      <c r="K688" t="s">
        <v>5075</v>
      </c>
      <c r="L688" s="2">
        <v>1</v>
      </c>
      <c r="M688" s="24" t="s">
        <v>5971</v>
      </c>
      <c r="N688" s="2" t="s">
        <v>23</v>
      </c>
      <c r="O688" s="18" t="s">
        <v>576</v>
      </c>
      <c r="P688" s="18" t="s">
        <v>3781</v>
      </c>
      <c r="Q688" s="6" t="s">
        <v>4475</v>
      </c>
      <c r="T688" s="23">
        <v>45821</v>
      </c>
      <c r="U688" s="23">
        <v>47647</v>
      </c>
      <c r="X688" s="20">
        <v>1390</v>
      </c>
      <c r="Z688" s="6" t="s">
        <v>5978</v>
      </c>
      <c r="AA688" s="14">
        <f t="shared" ref="AA688:AA689" si="89">+(0.6/1000)</f>
        <v>5.9999999999999995E-4</v>
      </c>
      <c r="AB688">
        <v>0.74299799999999994</v>
      </c>
      <c r="AC688">
        <v>0.77271791999999995</v>
      </c>
    </row>
    <row r="689" spans="1:29" x14ac:dyDescent="0.3">
      <c r="A689">
        <v>147261</v>
      </c>
      <c r="B689" s="25" t="s">
        <v>5984</v>
      </c>
      <c r="C689" t="s">
        <v>20</v>
      </c>
      <c r="D689" t="s">
        <v>21</v>
      </c>
      <c r="E689">
        <v>2222222</v>
      </c>
      <c r="F689" s="8" t="s">
        <v>22</v>
      </c>
      <c r="G689" s="2">
        <v>98</v>
      </c>
      <c r="H689" t="s">
        <v>3922</v>
      </c>
      <c r="I689" t="s">
        <v>4246</v>
      </c>
      <c r="J689" s="9" t="s">
        <v>5260</v>
      </c>
      <c r="K689" t="s">
        <v>4991</v>
      </c>
      <c r="L689" s="2">
        <v>1</v>
      </c>
      <c r="M689" s="24" t="s">
        <v>5971</v>
      </c>
      <c r="N689" s="2" t="s">
        <v>23</v>
      </c>
      <c r="O689" s="18" t="s">
        <v>577</v>
      </c>
      <c r="P689" s="18" t="s">
        <v>3781</v>
      </c>
      <c r="Q689" s="6" t="s">
        <v>4475</v>
      </c>
      <c r="T689" s="23">
        <v>45876</v>
      </c>
      <c r="U689" s="23">
        <v>48432</v>
      </c>
      <c r="X689" s="20">
        <v>5500</v>
      </c>
      <c r="Z689" s="6" t="s">
        <v>5978</v>
      </c>
      <c r="AA689" s="14">
        <f t="shared" si="89"/>
        <v>5.9999999999999995E-4</v>
      </c>
      <c r="AB689">
        <v>3.0629159999999995</v>
      </c>
      <c r="AC689">
        <v>3.1854326399999997</v>
      </c>
    </row>
    <row r="690" spans="1:29" x14ac:dyDescent="0.3">
      <c r="A690">
        <v>134629</v>
      </c>
      <c r="B690" s="25" t="s">
        <v>5984</v>
      </c>
      <c r="C690" t="s">
        <v>20</v>
      </c>
      <c r="D690" t="s">
        <v>21</v>
      </c>
      <c r="E690">
        <v>2222222</v>
      </c>
      <c r="F690" s="8" t="s">
        <v>22</v>
      </c>
      <c r="G690" s="2">
        <v>98</v>
      </c>
      <c r="H690" t="s">
        <v>3923</v>
      </c>
      <c r="I690" t="s">
        <v>4583</v>
      </c>
      <c r="J690" s="9" t="s">
        <v>4815</v>
      </c>
      <c r="K690" t="s">
        <v>4870</v>
      </c>
      <c r="L690" s="2">
        <v>1</v>
      </c>
      <c r="M690" s="24" t="s">
        <v>5971</v>
      </c>
      <c r="N690" s="2" t="s">
        <v>23</v>
      </c>
      <c r="O690" s="18" t="s">
        <v>578</v>
      </c>
      <c r="P690" s="18" t="s">
        <v>0</v>
      </c>
      <c r="Q690" s="6" t="s">
        <v>4475</v>
      </c>
      <c r="T690" s="23">
        <v>45068</v>
      </c>
      <c r="U690" s="23">
        <v>48720</v>
      </c>
      <c r="X690" s="20">
        <v>20390</v>
      </c>
      <c r="Z690" s="6" t="s">
        <v>5978</v>
      </c>
      <c r="AA690" s="13">
        <f>+(0.56/1000)</f>
        <v>5.6000000000000006E-4</v>
      </c>
      <c r="AB690">
        <v>9.5255496000000015</v>
      </c>
      <c r="AC690">
        <v>9.9065715840000017</v>
      </c>
    </row>
    <row r="691" spans="1:29" x14ac:dyDescent="0.3">
      <c r="A691">
        <v>142512</v>
      </c>
      <c r="B691" s="25" t="s">
        <v>5984</v>
      </c>
      <c r="C691" t="s">
        <v>20</v>
      </c>
      <c r="D691" t="s">
        <v>21</v>
      </c>
      <c r="E691">
        <v>2222222</v>
      </c>
      <c r="F691" s="8" t="s">
        <v>22</v>
      </c>
      <c r="G691" s="2">
        <v>98</v>
      </c>
      <c r="H691" t="s">
        <v>3923</v>
      </c>
      <c r="I691" t="s">
        <v>4405</v>
      </c>
      <c r="J691" s="9" t="s">
        <v>4964</v>
      </c>
      <c r="K691" t="s">
        <v>4485</v>
      </c>
      <c r="L691" s="2">
        <v>1</v>
      </c>
      <c r="M691" s="24" t="s">
        <v>5971</v>
      </c>
      <c r="N691" s="2" t="s">
        <v>23</v>
      </c>
      <c r="O691" s="18" t="s">
        <v>579</v>
      </c>
      <c r="P691" s="18" t="s">
        <v>0</v>
      </c>
      <c r="Q691" s="6" t="s">
        <v>4475</v>
      </c>
      <c r="T691" s="23">
        <v>45525</v>
      </c>
      <c r="U691" s="23">
        <v>46985</v>
      </c>
      <c r="X691" s="20">
        <v>5000</v>
      </c>
      <c r="Z691" s="6" t="s">
        <v>5978</v>
      </c>
      <c r="AA691" s="14">
        <f t="shared" ref="AA691:AA697" si="90">+(0.6/1000)</f>
        <v>5.9999999999999995E-4</v>
      </c>
      <c r="AB691">
        <v>1.8410879999999998</v>
      </c>
      <c r="AC691">
        <v>1.9147315199999999</v>
      </c>
    </row>
    <row r="692" spans="1:29" x14ac:dyDescent="0.3">
      <c r="A692">
        <v>143184</v>
      </c>
      <c r="B692" s="25" t="s">
        <v>5984</v>
      </c>
      <c r="C692" t="s">
        <v>20</v>
      </c>
      <c r="D692" t="s">
        <v>21</v>
      </c>
      <c r="E692">
        <v>2222222</v>
      </c>
      <c r="F692" s="8" t="s">
        <v>22</v>
      </c>
      <c r="G692" s="2">
        <v>98</v>
      </c>
      <c r="H692" t="s">
        <v>3923</v>
      </c>
      <c r="I692" t="s">
        <v>4583</v>
      </c>
      <c r="J692" s="9" t="s">
        <v>4929</v>
      </c>
      <c r="K692" t="s">
        <v>5189</v>
      </c>
      <c r="L692" s="2">
        <v>1</v>
      </c>
      <c r="M692" s="24" t="s">
        <v>5971</v>
      </c>
      <c r="N692" s="2" t="s">
        <v>23</v>
      </c>
      <c r="O692" s="18" t="s">
        <v>580</v>
      </c>
      <c r="P692" s="18" t="s">
        <v>0</v>
      </c>
      <c r="Q692" s="6" t="s">
        <v>4475</v>
      </c>
      <c r="T692" s="23">
        <v>45572</v>
      </c>
      <c r="U692" s="23">
        <v>47032</v>
      </c>
      <c r="X692" s="20">
        <v>5000</v>
      </c>
      <c r="Z692" s="6" t="s">
        <v>5978</v>
      </c>
      <c r="AA692" s="14">
        <f t="shared" si="90"/>
        <v>5.9999999999999995E-4</v>
      </c>
      <c r="AB692">
        <v>1.9589219999999998</v>
      </c>
      <c r="AC692">
        <v>2.0372788799999997</v>
      </c>
    </row>
    <row r="693" spans="1:29" x14ac:dyDescent="0.3">
      <c r="A693">
        <v>149794</v>
      </c>
      <c r="B693" s="25" t="s">
        <v>5984</v>
      </c>
      <c r="C693" t="s">
        <v>20</v>
      </c>
      <c r="D693" t="s">
        <v>21</v>
      </c>
      <c r="E693">
        <v>2222222</v>
      </c>
      <c r="F693" s="8" t="s">
        <v>22</v>
      </c>
      <c r="G693" s="2">
        <v>98</v>
      </c>
      <c r="H693" t="s">
        <v>3923</v>
      </c>
      <c r="I693" t="s">
        <v>4731</v>
      </c>
      <c r="J693" s="9" t="s">
        <v>5123</v>
      </c>
      <c r="K693" t="s">
        <v>4832</v>
      </c>
      <c r="L693" s="2">
        <v>1</v>
      </c>
      <c r="M693" s="24" t="s">
        <v>5971</v>
      </c>
      <c r="N693" s="2" t="s">
        <v>23</v>
      </c>
      <c r="O693" s="18" t="s">
        <v>581</v>
      </c>
      <c r="P693" s="18" t="s">
        <v>3781</v>
      </c>
      <c r="Q693" s="6" t="s">
        <v>4475</v>
      </c>
      <c r="T693" s="23">
        <v>46049</v>
      </c>
      <c r="U693" s="23">
        <v>47509</v>
      </c>
      <c r="X693" s="20">
        <v>5000</v>
      </c>
      <c r="Z693" s="6" t="s">
        <v>5978</v>
      </c>
      <c r="AA693" s="14">
        <f t="shared" si="90"/>
        <v>5.9999999999999995E-4</v>
      </c>
      <c r="AB693">
        <v>2.7287159999999995</v>
      </c>
      <c r="AC693">
        <v>2.8378646399999994</v>
      </c>
    </row>
    <row r="694" spans="1:29" x14ac:dyDescent="0.3">
      <c r="A694">
        <v>151737</v>
      </c>
      <c r="B694" s="25" t="s">
        <v>5984</v>
      </c>
      <c r="C694" t="s">
        <v>20</v>
      </c>
      <c r="D694" t="s">
        <v>21</v>
      </c>
      <c r="E694">
        <v>2222222</v>
      </c>
      <c r="F694" s="8" t="s">
        <v>22</v>
      </c>
      <c r="G694" s="2">
        <v>98</v>
      </c>
      <c r="H694" t="s">
        <v>3923</v>
      </c>
      <c r="I694" t="s">
        <v>4731</v>
      </c>
      <c r="J694" s="9" t="s">
        <v>5090</v>
      </c>
      <c r="K694" t="s">
        <v>4926</v>
      </c>
      <c r="L694" s="2">
        <v>1</v>
      </c>
      <c r="M694" s="24" t="s">
        <v>5971</v>
      </c>
      <c r="N694" s="2" t="s">
        <v>23</v>
      </c>
      <c r="O694" s="18" t="s">
        <v>582</v>
      </c>
      <c r="P694" s="18" t="s">
        <v>3781</v>
      </c>
      <c r="Q694" s="6" t="s">
        <v>4475</v>
      </c>
      <c r="T694" s="23">
        <v>46184</v>
      </c>
      <c r="U694" s="23">
        <v>46549</v>
      </c>
      <c r="X694" s="20">
        <v>2000</v>
      </c>
      <c r="Z694" s="6" t="s">
        <v>5978</v>
      </c>
      <c r="AA694" s="14">
        <f t="shared" si="90"/>
        <v>5.9999999999999995E-4</v>
      </c>
      <c r="AB694">
        <v>1.1074199999999998</v>
      </c>
      <c r="AC694">
        <v>1.1517168</v>
      </c>
    </row>
    <row r="695" spans="1:29" x14ac:dyDescent="0.3">
      <c r="A695">
        <v>152136</v>
      </c>
      <c r="B695" s="25" t="s">
        <v>5984</v>
      </c>
      <c r="C695" t="s">
        <v>20</v>
      </c>
      <c r="D695" t="s">
        <v>21</v>
      </c>
      <c r="E695">
        <v>2222222</v>
      </c>
      <c r="F695" s="8" t="s">
        <v>22</v>
      </c>
      <c r="G695" s="2">
        <v>98</v>
      </c>
      <c r="H695" t="s">
        <v>3923</v>
      </c>
      <c r="I695" t="s">
        <v>4532</v>
      </c>
      <c r="J695" s="9" t="s">
        <v>5261</v>
      </c>
      <c r="K695" t="s">
        <v>5262</v>
      </c>
      <c r="L695" s="2">
        <v>1</v>
      </c>
      <c r="M695" s="24" t="s">
        <v>5971</v>
      </c>
      <c r="N695" s="2" t="s">
        <v>23</v>
      </c>
      <c r="O695" s="18" t="s">
        <v>583</v>
      </c>
      <c r="P695" s="18" t="s">
        <v>0</v>
      </c>
      <c r="Q695" s="6" t="s">
        <v>4475</v>
      </c>
      <c r="T695" s="23">
        <v>46213</v>
      </c>
      <c r="U695" s="23">
        <v>46303</v>
      </c>
      <c r="X695" s="20">
        <v>1000</v>
      </c>
      <c r="Z695" s="6" t="s">
        <v>5978</v>
      </c>
      <c r="AA695" s="14">
        <f t="shared" si="90"/>
        <v>5.9999999999999995E-4</v>
      </c>
      <c r="AB695">
        <v>0.6</v>
      </c>
      <c r="AC695">
        <v>0.624</v>
      </c>
    </row>
    <row r="696" spans="1:29" x14ac:dyDescent="0.3">
      <c r="A696">
        <v>152138</v>
      </c>
      <c r="B696" s="25" t="s">
        <v>5984</v>
      </c>
      <c r="C696" t="s">
        <v>20</v>
      </c>
      <c r="D696" t="s">
        <v>21</v>
      </c>
      <c r="E696">
        <v>2222222</v>
      </c>
      <c r="F696" s="8" t="s">
        <v>22</v>
      </c>
      <c r="G696" s="2">
        <v>98</v>
      </c>
      <c r="H696" t="s">
        <v>3923</v>
      </c>
      <c r="I696" t="s">
        <v>3923</v>
      </c>
      <c r="J696" s="9" t="s">
        <v>4836</v>
      </c>
      <c r="K696" t="s">
        <v>4880</v>
      </c>
      <c r="L696" s="2">
        <v>1</v>
      </c>
      <c r="M696" s="24" t="s">
        <v>5971</v>
      </c>
      <c r="N696" s="2" t="s">
        <v>23</v>
      </c>
      <c r="O696" s="18" t="s">
        <v>584</v>
      </c>
      <c r="P696" s="18" t="s">
        <v>3781</v>
      </c>
      <c r="Q696" s="6" t="s">
        <v>4475</v>
      </c>
      <c r="T696" s="23">
        <v>46213</v>
      </c>
      <c r="U696" s="23">
        <v>46396</v>
      </c>
      <c r="X696" s="20">
        <v>510</v>
      </c>
      <c r="Z696" s="6" t="s">
        <v>5978</v>
      </c>
      <c r="AA696" s="14">
        <f t="shared" si="90"/>
        <v>5.9999999999999995E-4</v>
      </c>
      <c r="AB696">
        <v>0.30599999999999999</v>
      </c>
      <c r="AC696">
        <v>0.31824000000000002</v>
      </c>
    </row>
    <row r="697" spans="1:29" x14ac:dyDescent="0.3">
      <c r="A697">
        <v>152357</v>
      </c>
      <c r="B697" s="25" t="s">
        <v>5984</v>
      </c>
      <c r="C697" t="s">
        <v>20</v>
      </c>
      <c r="D697" t="s">
        <v>21</v>
      </c>
      <c r="E697">
        <v>2222222</v>
      </c>
      <c r="F697" s="8" t="s">
        <v>22</v>
      </c>
      <c r="G697" s="2">
        <v>98</v>
      </c>
      <c r="H697" t="s">
        <v>3923</v>
      </c>
      <c r="I697" t="s">
        <v>4583</v>
      </c>
      <c r="J697" s="9" t="s">
        <v>4815</v>
      </c>
      <c r="K697" t="s">
        <v>4870</v>
      </c>
      <c r="L697" s="2">
        <v>1</v>
      </c>
      <c r="M697" s="24" t="s">
        <v>5971</v>
      </c>
      <c r="N697" s="2" t="s">
        <v>23</v>
      </c>
      <c r="O697" s="18" t="s">
        <v>578</v>
      </c>
      <c r="P697" s="18" t="s">
        <v>0</v>
      </c>
      <c r="Q697" s="6" t="s">
        <v>4475</v>
      </c>
      <c r="T697" s="23">
        <v>46231</v>
      </c>
      <c r="U697" s="23">
        <v>46321</v>
      </c>
      <c r="X697" s="20">
        <v>3515</v>
      </c>
      <c r="Z697" s="6" t="s">
        <v>5978</v>
      </c>
      <c r="AA697" s="14">
        <f t="shared" si="90"/>
        <v>5.9999999999999995E-4</v>
      </c>
      <c r="AB697">
        <v>2.109</v>
      </c>
      <c r="AC697">
        <v>2.1933600000000002</v>
      </c>
    </row>
    <row r="698" spans="1:29" x14ac:dyDescent="0.3">
      <c r="A698">
        <v>132158</v>
      </c>
      <c r="B698" s="25" t="s">
        <v>5984</v>
      </c>
      <c r="C698" t="s">
        <v>20</v>
      </c>
      <c r="D698" t="s">
        <v>21</v>
      </c>
      <c r="E698">
        <v>2222222</v>
      </c>
      <c r="F698" s="8" t="s">
        <v>22</v>
      </c>
      <c r="G698" s="2">
        <v>98</v>
      </c>
      <c r="H698" t="s">
        <v>3924</v>
      </c>
      <c r="I698" t="s">
        <v>4532</v>
      </c>
      <c r="J698" s="9" t="s">
        <v>4891</v>
      </c>
      <c r="K698" t="s">
        <v>4942</v>
      </c>
      <c r="L698" s="2">
        <v>1</v>
      </c>
      <c r="M698" s="24" t="s">
        <v>5971</v>
      </c>
      <c r="N698" s="2" t="s">
        <v>23</v>
      </c>
      <c r="O698" s="18" t="s">
        <v>585</v>
      </c>
      <c r="P698" s="18" t="s">
        <v>3781</v>
      </c>
      <c r="Q698" s="6" t="s">
        <v>4475</v>
      </c>
      <c r="T698" s="23">
        <v>44926</v>
      </c>
      <c r="U698" s="23">
        <v>47482</v>
      </c>
      <c r="X698" s="20">
        <v>26000</v>
      </c>
      <c r="Z698" s="6" t="s">
        <v>5978</v>
      </c>
      <c r="AA698" s="13">
        <f t="shared" ref="AA698:AA701" si="91">+(0.56/1000)</f>
        <v>5.6000000000000006E-4</v>
      </c>
      <c r="AB698">
        <v>9.1050568000000016</v>
      </c>
      <c r="AC698">
        <v>9.4692590720000016</v>
      </c>
    </row>
    <row r="699" spans="1:29" x14ac:dyDescent="0.3">
      <c r="A699">
        <v>136083</v>
      </c>
      <c r="B699" s="25" t="s">
        <v>5984</v>
      </c>
      <c r="C699" t="s">
        <v>20</v>
      </c>
      <c r="D699" t="s">
        <v>21</v>
      </c>
      <c r="E699">
        <v>2222222</v>
      </c>
      <c r="F699" s="8" t="s">
        <v>22</v>
      </c>
      <c r="G699" s="2">
        <v>98</v>
      </c>
      <c r="H699" t="s">
        <v>3924</v>
      </c>
      <c r="I699" t="s">
        <v>4532</v>
      </c>
      <c r="J699" s="9" t="s">
        <v>5133</v>
      </c>
      <c r="K699" t="s">
        <v>4980</v>
      </c>
      <c r="L699" s="2">
        <v>1</v>
      </c>
      <c r="M699" s="24" t="s">
        <v>5971</v>
      </c>
      <c r="N699" s="2" t="s">
        <v>23</v>
      </c>
      <c r="O699" s="18" t="s">
        <v>586</v>
      </c>
      <c r="P699" s="18" t="s">
        <v>3781</v>
      </c>
      <c r="Q699" s="6" t="s">
        <v>4475</v>
      </c>
      <c r="T699" s="23">
        <v>45153</v>
      </c>
      <c r="U699" s="23">
        <v>46248</v>
      </c>
      <c r="X699" s="20">
        <v>5000</v>
      </c>
      <c r="Z699" s="6" t="s">
        <v>5978</v>
      </c>
      <c r="AA699" s="13">
        <f t="shared" si="91"/>
        <v>5.6000000000000006E-4</v>
      </c>
      <c r="AB699">
        <v>0.10114720000000001</v>
      </c>
      <c r="AC699">
        <v>0.105193088</v>
      </c>
    </row>
    <row r="700" spans="1:29" x14ac:dyDescent="0.3">
      <c r="A700">
        <v>137933</v>
      </c>
      <c r="B700" s="25" t="s">
        <v>5984</v>
      </c>
      <c r="C700" t="s">
        <v>20</v>
      </c>
      <c r="D700" t="s">
        <v>21</v>
      </c>
      <c r="E700">
        <v>2222222</v>
      </c>
      <c r="F700" s="8" t="s">
        <v>22</v>
      </c>
      <c r="G700" s="2">
        <v>98</v>
      </c>
      <c r="H700" t="s">
        <v>3924</v>
      </c>
      <c r="I700" t="s">
        <v>4500</v>
      </c>
      <c r="J700" s="9" t="s">
        <v>5137</v>
      </c>
      <c r="K700" t="s">
        <v>4832</v>
      </c>
      <c r="L700" s="2">
        <v>1</v>
      </c>
      <c r="M700" s="24" t="s">
        <v>5971</v>
      </c>
      <c r="N700" s="2" t="s">
        <v>23</v>
      </c>
      <c r="O700" s="18" t="s">
        <v>587</v>
      </c>
      <c r="P700" s="18" t="s">
        <v>3781</v>
      </c>
      <c r="Q700" s="6" t="s">
        <v>4475</v>
      </c>
      <c r="T700" s="23">
        <v>45249</v>
      </c>
      <c r="U700" s="23">
        <v>46345</v>
      </c>
      <c r="X700" s="20">
        <v>2000</v>
      </c>
      <c r="Z700" s="6" t="s">
        <v>5978</v>
      </c>
      <c r="AA700" s="13">
        <f t="shared" si="91"/>
        <v>5.6000000000000006E-4</v>
      </c>
      <c r="AB700">
        <v>0.17748640000000002</v>
      </c>
      <c r="AC700">
        <v>0.18458585600000002</v>
      </c>
    </row>
    <row r="701" spans="1:29" x14ac:dyDescent="0.3">
      <c r="A701">
        <v>139251</v>
      </c>
      <c r="B701" s="25" t="s">
        <v>5984</v>
      </c>
      <c r="C701" t="s">
        <v>20</v>
      </c>
      <c r="D701" t="s">
        <v>21</v>
      </c>
      <c r="E701">
        <v>2222222</v>
      </c>
      <c r="F701" s="8" t="s">
        <v>22</v>
      </c>
      <c r="G701" s="2">
        <v>98</v>
      </c>
      <c r="H701" t="s">
        <v>3924</v>
      </c>
      <c r="I701" t="s">
        <v>4500</v>
      </c>
      <c r="J701" s="9" t="s">
        <v>5137</v>
      </c>
      <c r="K701" t="s">
        <v>4832</v>
      </c>
      <c r="L701" s="2">
        <v>1</v>
      </c>
      <c r="M701" s="24" t="s">
        <v>5971</v>
      </c>
      <c r="N701" s="2" t="s">
        <v>23</v>
      </c>
      <c r="O701" s="18" t="s">
        <v>587</v>
      </c>
      <c r="P701" s="18" t="s">
        <v>3781</v>
      </c>
      <c r="Q701" s="6" t="s">
        <v>4475</v>
      </c>
      <c r="T701" s="23">
        <v>45322</v>
      </c>
      <c r="U701" s="23">
        <v>47150</v>
      </c>
      <c r="X701" s="20">
        <v>3570</v>
      </c>
      <c r="Z701" s="6" t="s">
        <v>5978</v>
      </c>
      <c r="AA701" s="13">
        <f t="shared" si="91"/>
        <v>5.6000000000000006E-4</v>
      </c>
      <c r="AB701">
        <v>1.2188848000000001</v>
      </c>
      <c r="AC701">
        <v>1.2676401920000002</v>
      </c>
    </row>
    <row r="702" spans="1:29" x14ac:dyDescent="0.3">
      <c r="A702">
        <v>143656</v>
      </c>
      <c r="B702" s="25" t="s">
        <v>5984</v>
      </c>
      <c r="C702" t="s">
        <v>20</v>
      </c>
      <c r="D702" t="s">
        <v>21</v>
      </c>
      <c r="E702">
        <v>2222222</v>
      </c>
      <c r="F702" s="8" t="s">
        <v>22</v>
      </c>
      <c r="G702" s="2">
        <v>98</v>
      </c>
      <c r="H702" t="s">
        <v>3924</v>
      </c>
      <c r="I702" t="s">
        <v>4497</v>
      </c>
      <c r="J702" s="9" t="s">
        <v>4978</v>
      </c>
      <c r="K702" t="s">
        <v>5190</v>
      </c>
      <c r="L702" s="2">
        <v>1</v>
      </c>
      <c r="M702" s="24" t="s">
        <v>5971</v>
      </c>
      <c r="N702" s="2" t="s">
        <v>23</v>
      </c>
      <c r="O702" s="18" t="s">
        <v>588</v>
      </c>
      <c r="P702" s="18" t="s">
        <v>0</v>
      </c>
      <c r="Q702" s="6" t="s">
        <v>4475</v>
      </c>
      <c r="T702" s="23">
        <v>45608</v>
      </c>
      <c r="U702" s="23">
        <v>47069</v>
      </c>
      <c r="X702" s="20">
        <v>5000</v>
      </c>
      <c r="Z702" s="6" t="s">
        <v>5978</v>
      </c>
      <c r="AA702" s="14">
        <f t="shared" ref="AA702:AA708" si="92">+(0.6/1000)</f>
        <v>5.9999999999999995E-4</v>
      </c>
      <c r="AB702">
        <v>2.0174699999999999</v>
      </c>
      <c r="AC702">
        <v>2.0981687999999998</v>
      </c>
    </row>
    <row r="703" spans="1:29" x14ac:dyDescent="0.3">
      <c r="A703">
        <v>149232</v>
      </c>
      <c r="B703" s="25" t="s">
        <v>5984</v>
      </c>
      <c r="C703" t="s">
        <v>20</v>
      </c>
      <c r="D703" t="s">
        <v>21</v>
      </c>
      <c r="E703">
        <v>2222222</v>
      </c>
      <c r="F703" s="8" t="s">
        <v>22</v>
      </c>
      <c r="G703" s="2">
        <v>98</v>
      </c>
      <c r="H703" t="s">
        <v>3924</v>
      </c>
      <c r="I703" t="s">
        <v>4405</v>
      </c>
      <c r="J703" s="9" t="s">
        <v>4836</v>
      </c>
      <c r="K703" t="s">
        <v>4942</v>
      </c>
      <c r="L703" s="2">
        <v>1</v>
      </c>
      <c r="M703" s="24" t="s">
        <v>5971</v>
      </c>
      <c r="N703" s="2" t="s">
        <v>23</v>
      </c>
      <c r="O703" s="18" t="s">
        <v>589</v>
      </c>
      <c r="P703" s="18" t="s">
        <v>3781</v>
      </c>
      <c r="Q703" s="6" t="s">
        <v>4475</v>
      </c>
      <c r="T703" s="23">
        <v>46007</v>
      </c>
      <c r="U703" s="23">
        <v>47102</v>
      </c>
      <c r="X703" s="20">
        <v>3580</v>
      </c>
      <c r="Z703" s="6" t="s">
        <v>5978</v>
      </c>
      <c r="AA703" s="14">
        <f t="shared" si="92"/>
        <v>5.9999999999999995E-4</v>
      </c>
      <c r="AB703">
        <v>1.7967359999999999</v>
      </c>
      <c r="AC703">
        <v>1.8686054399999998</v>
      </c>
    </row>
    <row r="704" spans="1:29" x14ac:dyDescent="0.3">
      <c r="A704">
        <v>151613</v>
      </c>
      <c r="B704" s="25" t="s">
        <v>5984</v>
      </c>
      <c r="C704" t="s">
        <v>20</v>
      </c>
      <c r="D704" t="s">
        <v>21</v>
      </c>
      <c r="E704">
        <v>2222222</v>
      </c>
      <c r="F704" s="8" t="s">
        <v>22</v>
      </c>
      <c r="G704" s="2">
        <v>98</v>
      </c>
      <c r="H704" t="s">
        <v>3924</v>
      </c>
      <c r="I704" t="s">
        <v>4595</v>
      </c>
      <c r="J704" s="9" t="s">
        <v>5164</v>
      </c>
      <c r="K704" t="s">
        <v>5031</v>
      </c>
      <c r="L704" s="2">
        <v>1</v>
      </c>
      <c r="M704" s="24" t="s">
        <v>5971</v>
      </c>
      <c r="N704" s="2" t="s">
        <v>23</v>
      </c>
      <c r="O704" s="18" t="s">
        <v>590</v>
      </c>
      <c r="P704" s="18" t="s">
        <v>3781</v>
      </c>
      <c r="Q704" s="6" t="s">
        <v>4475</v>
      </c>
      <c r="T704" s="23">
        <v>46175</v>
      </c>
      <c r="U704" s="23">
        <v>47649</v>
      </c>
      <c r="X704" s="20">
        <v>5000</v>
      </c>
      <c r="Z704" s="6" t="s">
        <v>5978</v>
      </c>
      <c r="AA704" s="14">
        <f t="shared" si="92"/>
        <v>5.9999999999999995E-4</v>
      </c>
      <c r="AB704">
        <v>2.9564819999999998</v>
      </c>
      <c r="AC704">
        <v>3.07474128</v>
      </c>
    </row>
    <row r="705" spans="1:29" x14ac:dyDescent="0.3">
      <c r="A705">
        <v>151734</v>
      </c>
      <c r="B705" s="25" t="s">
        <v>5984</v>
      </c>
      <c r="C705" t="s">
        <v>20</v>
      </c>
      <c r="D705" t="s">
        <v>21</v>
      </c>
      <c r="E705">
        <v>2222222</v>
      </c>
      <c r="F705" s="8" t="s">
        <v>22</v>
      </c>
      <c r="G705" s="2">
        <v>98</v>
      </c>
      <c r="H705" t="s">
        <v>3924</v>
      </c>
      <c r="I705" t="s">
        <v>4405</v>
      </c>
      <c r="J705" s="9" t="s">
        <v>4836</v>
      </c>
      <c r="K705" t="s">
        <v>4942</v>
      </c>
      <c r="L705" s="2">
        <v>1</v>
      </c>
      <c r="M705" s="24" t="s">
        <v>5971</v>
      </c>
      <c r="N705" s="2" t="s">
        <v>23</v>
      </c>
      <c r="O705" s="18" t="s">
        <v>589</v>
      </c>
      <c r="P705" s="18" t="s">
        <v>3781</v>
      </c>
      <c r="Q705" s="6" t="s">
        <v>4475</v>
      </c>
      <c r="T705" s="23">
        <v>46183</v>
      </c>
      <c r="U705" s="23">
        <v>46731</v>
      </c>
      <c r="X705" s="20">
        <v>800</v>
      </c>
      <c r="Z705" s="6" t="s">
        <v>5978</v>
      </c>
      <c r="AA705" s="14">
        <f t="shared" si="92"/>
        <v>5.9999999999999995E-4</v>
      </c>
      <c r="AB705">
        <v>0.45634799999999998</v>
      </c>
      <c r="AC705">
        <v>0.47460192000000001</v>
      </c>
    </row>
    <row r="706" spans="1:29" x14ac:dyDescent="0.3">
      <c r="A706">
        <v>152009</v>
      </c>
      <c r="B706" s="25" t="s">
        <v>5984</v>
      </c>
      <c r="C706" t="s">
        <v>20</v>
      </c>
      <c r="D706" t="s">
        <v>21</v>
      </c>
      <c r="E706">
        <v>2222222</v>
      </c>
      <c r="F706" s="8" t="s">
        <v>22</v>
      </c>
      <c r="G706" s="2">
        <v>98</v>
      </c>
      <c r="H706" t="s">
        <v>3924</v>
      </c>
      <c r="I706" t="s">
        <v>3924</v>
      </c>
      <c r="J706" s="9" t="s">
        <v>4917</v>
      </c>
      <c r="K706" t="s">
        <v>4836</v>
      </c>
      <c r="L706" s="2">
        <v>1</v>
      </c>
      <c r="M706" s="24" t="s">
        <v>5971</v>
      </c>
      <c r="N706" s="2" t="s">
        <v>23</v>
      </c>
      <c r="O706" s="18" t="s">
        <v>591</v>
      </c>
      <c r="P706" s="18" t="s">
        <v>3781</v>
      </c>
      <c r="Q706" s="6" t="s">
        <v>4475</v>
      </c>
      <c r="T706" s="23">
        <v>46204</v>
      </c>
      <c r="U706" s="23">
        <v>46234</v>
      </c>
      <c r="X706" s="20">
        <v>2580</v>
      </c>
      <c r="Z706" s="6" t="s">
        <v>5978</v>
      </c>
      <c r="AA706" s="14">
        <f t="shared" si="92"/>
        <v>5.9999999999999995E-4</v>
      </c>
      <c r="AB706">
        <v>1.2398699999999998</v>
      </c>
      <c r="AC706">
        <v>1.2894647999999997</v>
      </c>
    </row>
    <row r="707" spans="1:29" x14ac:dyDescent="0.3">
      <c r="A707">
        <v>152162</v>
      </c>
      <c r="B707" s="25" t="s">
        <v>5984</v>
      </c>
      <c r="C707" t="s">
        <v>20</v>
      </c>
      <c r="D707" t="s">
        <v>21</v>
      </c>
      <c r="E707">
        <v>2222222</v>
      </c>
      <c r="F707" s="8" t="s">
        <v>22</v>
      </c>
      <c r="G707" s="2">
        <v>98</v>
      </c>
      <c r="H707" t="s">
        <v>3924</v>
      </c>
      <c r="I707" t="s">
        <v>3924</v>
      </c>
      <c r="J707" s="9" t="s">
        <v>4901</v>
      </c>
      <c r="K707" t="s">
        <v>4825</v>
      </c>
      <c r="L707" s="2">
        <v>1</v>
      </c>
      <c r="M707" s="24" t="s">
        <v>5971</v>
      </c>
      <c r="N707" s="2" t="s">
        <v>23</v>
      </c>
      <c r="O707" s="18" t="s">
        <v>592</v>
      </c>
      <c r="P707" s="18" t="s">
        <v>0</v>
      </c>
      <c r="Q707" s="6" t="s">
        <v>4475</v>
      </c>
      <c r="T707" s="23">
        <v>46217</v>
      </c>
      <c r="U707" s="23">
        <v>46581</v>
      </c>
      <c r="X707" s="20">
        <v>500</v>
      </c>
      <c r="Z707" s="6" t="s">
        <v>5978</v>
      </c>
      <c r="AA707" s="14">
        <f t="shared" si="92"/>
        <v>5.9999999999999995E-4</v>
      </c>
      <c r="AB707">
        <v>0.3</v>
      </c>
      <c r="AC707">
        <v>0.312</v>
      </c>
    </row>
    <row r="708" spans="1:29" x14ac:dyDescent="0.3">
      <c r="A708">
        <v>152241</v>
      </c>
      <c r="B708" s="25" t="s">
        <v>5984</v>
      </c>
      <c r="C708" t="s">
        <v>20</v>
      </c>
      <c r="D708" t="s">
        <v>21</v>
      </c>
      <c r="E708">
        <v>2222222</v>
      </c>
      <c r="F708" s="8" t="s">
        <v>22</v>
      </c>
      <c r="G708" s="2">
        <v>98</v>
      </c>
      <c r="H708" t="s">
        <v>3924</v>
      </c>
      <c r="I708" t="s">
        <v>4405</v>
      </c>
      <c r="J708" s="9" t="s">
        <v>5263</v>
      </c>
      <c r="K708" t="s">
        <v>5264</v>
      </c>
      <c r="L708" s="2">
        <v>1</v>
      </c>
      <c r="M708" s="24" t="s">
        <v>5971</v>
      </c>
      <c r="N708" s="2" t="s">
        <v>23</v>
      </c>
      <c r="O708" s="18" t="s">
        <v>593</v>
      </c>
      <c r="P708" s="18" t="s">
        <v>3781</v>
      </c>
      <c r="Q708" s="6" t="s">
        <v>4475</v>
      </c>
      <c r="T708" s="23">
        <v>46222</v>
      </c>
      <c r="U708" s="23">
        <v>46312</v>
      </c>
      <c r="X708" s="20">
        <v>2000</v>
      </c>
      <c r="Z708" s="6" t="s">
        <v>5978</v>
      </c>
      <c r="AA708" s="14">
        <f t="shared" si="92"/>
        <v>5.9999999999999995E-4</v>
      </c>
      <c r="AB708">
        <v>1.2</v>
      </c>
      <c r="AC708">
        <v>1.248</v>
      </c>
    </row>
    <row r="709" spans="1:29" x14ac:dyDescent="0.3">
      <c r="A709">
        <v>117991</v>
      </c>
      <c r="B709" s="25" t="s">
        <v>5984</v>
      </c>
      <c r="C709" t="s">
        <v>20</v>
      </c>
      <c r="D709" t="s">
        <v>21</v>
      </c>
      <c r="E709">
        <v>2222222</v>
      </c>
      <c r="F709" s="8" t="s">
        <v>22</v>
      </c>
      <c r="G709" s="2">
        <v>98</v>
      </c>
      <c r="H709" t="s">
        <v>3925</v>
      </c>
      <c r="I709" t="s">
        <v>4296</v>
      </c>
      <c r="J709" s="9" t="s">
        <v>5265</v>
      </c>
      <c r="K709" t="s">
        <v>4965</v>
      </c>
      <c r="L709" s="2">
        <v>1</v>
      </c>
      <c r="M709" s="24" t="s">
        <v>5971</v>
      </c>
      <c r="N709" s="2" t="s">
        <v>23</v>
      </c>
      <c r="O709" s="18" t="s">
        <v>594</v>
      </c>
      <c r="P709" s="18" t="s">
        <v>0</v>
      </c>
      <c r="Q709" s="6" t="s">
        <v>4475</v>
      </c>
      <c r="T709" s="23">
        <v>44225</v>
      </c>
      <c r="U709" s="23">
        <v>46784</v>
      </c>
      <c r="X709" s="20">
        <v>45000</v>
      </c>
      <c r="Z709" s="6" t="s">
        <v>5978</v>
      </c>
      <c r="AA709" s="15">
        <f>+(0.42/1000)</f>
        <v>4.1999999999999996E-4</v>
      </c>
      <c r="AB709">
        <v>6.6006023999999988</v>
      </c>
      <c r="AC709">
        <v>6.8646264959999987</v>
      </c>
    </row>
    <row r="710" spans="1:29" x14ac:dyDescent="0.3">
      <c r="A710">
        <v>129366</v>
      </c>
      <c r="B710" s="25" t="s">
        <v>5984</v>
      </c>
      <c r="C710" t="s">
        <v>20</v>
      </c>
      <c r="D710" t="s">
        <v>21</v>
      </c>
      <c r="E710">
        <v>2222222</v>
      </c>
      <c r="F710" s="8" t="s">
        <v>22</v>
      </c>
      <c r="G710" s="2">
        <v>98</v>
      </c>
      <c r="H710" t="s">
        <v>3925</v>
      </c>
      <c r="I710" t="s">
        <v>4110</v>
      </c>
      <c r="J710" s="9" t="s">
        <v>4894</v>
      </c>
      <c r="K710" t="s">
        <v>4989</v>
      </c>
      <c r="L710" s="2">
        <v>1</v>
      </c>
      <c r="M710" s="24" t="s">
        <v>5971</v>
      </c>
      <c r="N710" s="2" t="s">
        <v>23</v>
      </c>
      <c r="O710" s="18" t="s">
        <v>595</v>
      </c>
      <c r="P710" s="18" t="s">
        <v>0</v>
      </c>
      <c r="Q710" s="6" t="s">
        <v>4475</v>
      </c>
      <c r="T710" s="23">
        <v>44775</v>
      </c>
      <c r="U710" s="23">
        <v>46296</v>
      </c>
      <c r="X710" s="20">
        <v>4500</v>
      </c>
      <c r="Z710" s="6" t="s">
        <v>5978</v>
      </c>
      <c r="AA710" s="13">
        <f t="shared" ref="AA710:AA712" si="93">+(0.56/1000)</f>
        <v>5.6000000000000006E-4</v>
      </c>
      <c r="AB710">
        <v>0.21899360000000004</v>
      </c>
      <c r="AC710">
        <v>0.22775334400000005</v>
      </c>
    </row>
    <row r="711" spans="1:29" x14ac:dyDescent="0.3">
      <c r="A711">
        <v>136480</v>
      </c>
      <c r="B711" s="25" t="s">
        <v>5984</v>
      </c>
      <c r="C711" t="s">
        <v>20</v>
      </c>
      <c r="D711" t="s">
        <v>21</v>
      </c>
      <c r="E711">
        <v>2222222</v>
      </c>
      <c r="F711" s="8" t="s">
        <v>22</v>
      </c>
      <c r="G711" s="2">
        <v>98</v>
      </c>
      <c r="H711" t="s">
        <v>3925</v>
      </c>
      <c r="I711" t="s">
        <v>4488</v>
      </c>
      <c r="J711" s="9" t="s">
        <v>4914</v>
      </c>
      <c r="K711" t="s">
        <v>5266</v>
      </c>
      <c r="L711" s="2">
        <v>1</v>
      </c>
      <c r="M711" s="24" t="s">
        <v>5971</v>
      </c>
      <c r="N711" s="2" t="s">
        <v>23</v>
      </c>
      <c r="O711" s="18" t="s">
        <v>596</v>
      </c>
      <c r="P711" s="18" t="s">
        <v>3781</v>
      </c>
      <c r="Q711" s="6" t="s">
        <v>4475</v>
      </c>
      <c r="T711" s="23">
        <v>45181</v>
      </c>
      <c r="U711" s="23">
        <v>46733</v>
      </c>
      <c r="X711" s="20">
        <v>5000</v>
      </c>
      <c r="Z711" s="6" t="s">
        <v>5978</v>
      </c>
      <c r="AA711" s="13">
        <f t="shared" si="93"/>
        <v>5.6000000000000006E-4</v>
      </c>
      <c r="AB711">
        <v>2.1921424000000003</v>
      </c>
      <c r="AC711">
        <v>2.2798280960000001</v>
      </c>
    </row>
    <row r="712" spans="1:29" x14ac:dyDescent="0.3">
      <c r="A712">
        <v>139683</v>
      </c>
      <c r="B712" s="25" t="s">
        <v>5984</v>
      </c>
      <c r="C712" t="s">
        <v>20</v>
      </c>
      <c r="D712" t="s">
        <v>21</v>
      </c>
      <c r="E712">
        <v>2222222</v>
      </c>
      <c r="F712" s="8" t="s">
        <v>22</v>
      </c>
      <c r="G712" s="2">
        <v>98</v>
      </c>
      <c r="H712" t="s">
        <v>3925</v>
      </c>
      <c r="I712" t="s">
        <v>4368</v>
      </c>
      <c r="J712" s="9" t="s">
        <v>5007</v>
      </c>
      <c r="K712" t="s">
        <v>4825</v>
      </c>
      <c r="L712" s="2">
        <v>1</v>
      </c>
      <c r="M712" s="24" t="s">
        <v>5971</v>
      </c>
      <c r="N712" s="2" t="s">
        <v>23</v>
      </c>
      <c r="O712" s="18" t="s">
        <v>597</v>
      </c>
      <c r="P712" s="18" t="s">
        <v>0</v>
      </c>
      <c r="Q712" s="6" t="s">
        <v>4475</v>
      </c>
      <c r="T712" s="23">
        <v>45345</v>
      </c>
      <c r="U712" s="23">
        <v>46807</v>
      </c>
      <c r="X712" s="20">
        <v>5000</v>
      </c>
      <c r="Z712" s="6" t="s">
        <v>5978</v>
      </c>
      <c r="AA712" s="13">
        <f t="shared" si="93"/>
        <v>5.6000000000000006E-4</v>
      </c>
      <c r="AB712">
        <v>1.5494808</v>
      </c>
      <c r="AC712">
        <v>1.6114600320000001</v>
      </c>
    </row>
    <row r="713" spans="1:29" x14ac:dyDescent="0.3">
      <c r="A713">
        <v>141619</v>
      </c>
      <c r="B713" s="25" t="s">
        <v>5984</v>
      </c>
      <c r="C713" t="s">
        <v>20</v>
      </c>
      <c r="D713" t="s">
        <v>21</v>
      </c>
      <c r="E713">
        <v>2222222</v>
      </c>
      <c r="F713" s="8" t="s">
        <v>22</v>
      </c>
      <c r="G713" s="2">
        <v>98</v>
      </c>
      <c r="H713" t="s">
        <v>3925</v>
      </c>
      <c r="I713" t="s">
        <v>3899</v>
      </c>
      <c r="J713" s="9" t="s">
        <v>5267</v>
      </c>
      <c r="K713" t="s">
        <v>5268</v>
      </c>
      <c r="L713" s="2">
        <v>1</v>
      </c>
      <c r="M713" s="24" t="s">
        <v>5971</v>
      </c>
      <c r="N713" s="2" t="s">
        <v>23</v>
      </c>
      <c r="O713" s="18" t="s">
        <v>598</v>
      </c>
      <c r="P713" s="18" t="s">
        <v>3781</v>
      </c>
      <c r="Q713" s="6" t="s">
        <v>4475</v>
      </c>
      <c r="T713" s="23">
        <v>45464</v>
      </c>
      <c r="U713" s="23">
        <v>46651</v>
      </c>
      <c r="X713" s="20">
        <v>4000</v>
      </c>
      <c r="Z713" s="6" t="s">
        <v>5978</v>
      </c>
      <c r="AA713" s="14">
        <f t="shared" ref="AA713:AA724" si="94">+(0.6/1000)</f>
        <v>5.9999999999999995E-4</v>
      </c>
      <c r="AB713">
        <v>2.1441359999999996</v>
      </c>
      <c r="AC713">
        <v>2.2299014399999995</v>
      </c>
    </row>
    <row r="714" spans="1:29" x14ac:dyDescent="0.3">
      <c r="A714">
        <v>144033</v>
      </c>
      <c r="B714" s="25" t="s">
        <v>5984</v>
      </c>
      <c r="C714" t="s">
        <v>20</v>
      </c>
      <c r="D714" t="s">
        <v>21</v>
      </c>
      <c r="E714">
        <v>2222222</v>
      </c>
      <c r="F714" s="8" t="s">
        <v>22</v>
      </c>
      <c r="G714" s="2">
        <v>98</v>
      </c>
      <c r="H714" t="s">
        <v>3925</v>
      </c>
      <c r="I714" t="s">
        <v>4489</v>
      </c>
      <c r="J714" s="9" t="s">
        <v>5055</v>
      </c>
      <c r="K714" t="s">
        <v>5217</v>
      </c>
      <c r="L714" s="2">
        <v>1</v>
      </c>
      <c r="M714" s="24" t="s">
        <v>5971</v>
      </c>
      <c r="N714" s="2" t="s">
        <v>23</v>
      </c>
      <c r="O714" s="18" t="s">
        <v>599</v>
      </c>
      <c r="P714" s="18" t="s">
        <v>3781</v>
      </c>
      <c r="Q714" s="6" t="s">
        <v>4475</v>
      </c>
      <c r="T714" s="23">
        <v>45632</v>
      </c>
      <c r="U714" s="23">
        <v>47092</v>
      </c>
      <c r="X714" s="20">
        <v>4900</v>
      </c>
      <c r="Z714" s="6" t="s">
        <v>5978</v>
      </c>
      <c r="AA714" s="14">
        <f t="shared" si="94"/>
        <v>5.9999999999999995E-4</v>
      </c>
      <c r="AB714">
        <v>2.0188920000000001</v>
      </c>
      <c r="AC714">
        <v>2.0996476800000003</v>
      </c>
    </row>
    <row r="715" spans="1:29" x14ac:dyDescent="0.3">
      <c r="A715">
        <v>146105</v>
      </c>
      <c r="B715" s="25" t="s">
        <v>5984</v>
      </c>
      <c r="C715" t="s">
        <v>20</v>
      </c>
      <c r="D715" t="s">
        <v>21</v>
      </c>
      <c r="E715">
        <v>2222222</v>
      </c>
      <c r="F715" s="8" t="s">
        <v>22</v>
      </c>
      <c r="G715" s="2">
        <v>98</v>
      </c>
      <c r="H715" t="s">
        <v>3925</v>
      </c>
      <c r="I715" t="s">
        <v>4656</v>
      </c>
      <c r="J715" s="9" t="s">
        <v>4836</v>
      </c>
      <c r="K715" t="s">
        <v>5056</v>
      </c>
      <c r="L715" s="2">
        <v>1</v>
      </c>
      <c r="M715" s="24" t="s">
        <v>5971</v>
      </c>
      <c r="N715" s="2" t="s">
        <v>23</v>
      </c>
      <c r="O715" s="18" t="s">
        <v>600</v>
      </c>
      <c r="P715" s="18" t="s">
        <v>3781</v>
      </c>
      <c r="Q715" s="6" t="s">
        <v>4475</v>
      </c>
      <c r="T715" s="23">
        <v>45793</v>
      </c>
      <c r="U715" s="23">
        <v>47618</v>
      </c>
      <c r="X715" s="20">
        <v>20000</v>
      </c>
      <c r="Z715" s="6" t="s">
        <v>5978</v>
      </c>
      <c r="AA715" s="14">
        <f t="shared" si="94"/>
        <v>5.9999999999999995E-4</v>
      </c>
      <c r="AB715">
        <v>9.9915299999999991</v>
      </c>
      <c r="AC715">
        <v>10.3911912</v>
      </c>
    </row>
    <row r="716" spans="1:29" x14ac:dyDescent="0.3">
      <c r="A716">
        <v>146586</v>
      </c>
      <c r="B716" s="25" t="s">
        <v>5984</v>
      </c>
      <c r="C716" t="s">
        <v>20</v>
      </c>
      <c r="D716" t="s">
        <v>21</v>
      </c>
      <c r="E716">
        <v>2222222</v>
      </c>
      <c r="F716" s="8" t="s">
        <v>22</v>
      </c>
      <c r="G716" s="2">
        <v>98</v>
      </c>
      <c r="H716" t="s">
        <v>3925</v>
      </c>
      <c r="I716" t="s">
        <v>4166</v>
      </c>
      <c r="J716" s="9" t="s">
        <v>5269</v>
      </c>
      <c r="K716" t="s">
        <v>5270</v>
      </c>
      <c r="L716" s="2">
        <v>1</v>
      </c>
      <c r="M716" s="24" t="s">
        <v>5971</v>
      </c>
      <c r="N716" s="2" t="s">
        <v>23</v>
      </c>
      <c r="O716" s="18" t="s">
        <v>601</v>
      </c>
      <c r="P716" s="18" t="s">
        <v>0</v>
      </c>
      <c r="Q716" s="6" t="s">
        <v>4475</v>
      </c>
      <c r="T716" s="23">
        <v>45827</v>
      </c>
      <c r="U716" s="23">
        <v>47288</v>
      </c>
      <c r="X716" s="20">
        <v>5000</v>
      </c>
      <c r="Z716" s="6" t="s">
        <v>5978</v>
      </c>
      <c r="AA716" s="14">
        <f t="shared" si="94"/>
        <v>5.9999999999999995E-4</v>
      </c>
      <c r="AB716">
        <v>2.3882219999999998</v>
      </c>
      <c r="AC716">
        <v>2.4837508800000001</v>
      </c>
    </row>
    <row r="717" spans="1:29" x14ac:dyDescent="0.3">
      <c r="A717">
        <v>149077</v>
      </c>
      <c r="B717" s="25" t="s">
        <v>5984</v>
      </c>
      <c r="C717" t="s">
        <v>20</v>
      </c>
      <c r="D717" t="s">
        <v>21</v>
      </c>
      <c r="E717">
        <v>2222222</v>
      </c>
      <c r="F717" s="8" t="s">
        <v>22</v>
      </c>
      <c r="G717" s="2">
        <v>98</v>
      </c>
      <c r="H717" t="s">
        <v>3925</v>
      </c>
      <c r="I717" t="s">
        <v>4166</v>
      </c>
      <c r="J717" s="9" t="s">
        <v>5269</v>
      </c>
      <c r="K717" t="s">
        <v>5270</v>
      </c>
      <c r="L717" s="2">
        <v>1</v>
      </c>
      <c r="M717" s="24" t="s">
        <v>5971</v>
      </c>
      <c r="N717" s="2" t="s">
        <v>23</v>
      </c>
      <c r="O717" s="18" t="s">
        <v>601</v>
      </c>
      <c r="P717" s="18" t="s">
        <v>0</v>
      </c>
      <c r="Q717" s="6" t="s">
        <v>4475</v>
      </c>
      <c r="T717" s="23">
        <v>45996</v>
      </c>
      <c r="U717" s="23">
        <v>47092</v>
      </c>
      <c r="X717" s="20">
        <v>4000</v>
      </c>
      <c r="Z717" s="6" t="s">
        <v>5978</v>
      </c>
      <c r="AA717" s="14">
        <f t="shared" si="94"/>
        <v>5.9999999999999995E-4</v>
      </c>
      <c r="AB717">
        <v>2.0222879999999996</v>
      </c>
      <c r="AC717">
        <v>2.1031795199999999</v>
      </c>
    </row>
    <row r="718" spans="1:29" x14ac:dyDescent="0.3">
      <c r="A718">
        <v>149863</v>
      </c>
      <c r="B718" s="25" t="s">
        <v>5984</v>
      </c>
      <c r="C718" t="s">
        <v>20</v>
      </c>
      <c r="D718" t="s">
        <v>21</v>
      </c>
      <c r="E718">
        <v>2222222</v>
      </c>
      <c r="F718" s="8" t="s">
        <v>22</v>
      </c>
      <c r="G718" s="2">
        <v>98</v>
      </c>
      <c r="H718" t="s">
        <v>3925</v>
      </c>
      <c r="I718" t="s">
        <v>4675</v>
      </c>
      <c r="J718" s="9" t="s">
        <v>4949</v>
      </c>
      <c r="K718" t="s">
        <v>5271</v>
      </c>
      <c r="L718" s="2">
        <v>1</v>
      </c>
      <c r="M718" s="24" t="s">
        <v>5971</v>
      </c>
      <c r="N718" s="2" t="s">
        <v>23</v>
      </c>
      <c r="O718" s="18" t="s">
        <v>602</v>
      </c>
      <c r="P718" s="18" t="s">
        <v>0</v>
      </c>
      <c r="Q718" s="6" t="s">
        <v>4475</v>
      </c>
      <c r="T718" s="23">
        <v>46052</v>
      </c>
      <c r="U718" s="23">
        <v>47150</v>
      </c>
      <c r="X718" s="20">
        <v>5000</v>
      </c>
      <c r="Z718" s="6" t="s">
        <v>5978</v>
      </c>
      <c r="AA718" s="14">
        <f t="shared" si="94"/>
        <v>5.9999999999999995E-4</v>
      </c>
      <c r="AB718">
        <v>2.6740679999999997</v>
      </c>
      <c r="AC718">
        <v>2.78103072</v>
      </c>
    </row>
    <row r="719" spans="1:29" x14ac:dyDescent="0.3">
      <c r="A719">
        <v>150087</v>
      </c>
      <c r="B719" s="25" t="s">
        <v>5984</v>
      </c>
      <c r="C719" t="s">
        <v>20</v>
      </c>
      <c r="D719" t="s">
        <v>21</v>
      </c>
      <c r="E719">
        <v>2222222</v>
      </c>
      <c r="F719" s="8" t="s">
        <v>22</v>
      </c>
      <c r="G719" s="2">
        <v>98</v>
      </c>
      <c r="H719" t="s">
        <v>3925</v>
      </c>
      <c r="I719" t="s">
        <v>4136</v>
      </c>
      <c r="J719" s="9" t="s">
        <v>4859</v>
      </c>
      <c r="K719" t="s">
        <v>4924</v>
      </c>
      <c r="L719" s="2">
        <v>1</v>
      </c>
      <c r="M719" s="24" t="s">
        <v>5971</v>
      </c>
      <c r="N719" s="2" t="s">
        <v>23</v>
      </c>
      <c r="O719" s="18" t="s">
        <v>603</v>
      </c>
      <c r="P719" s="18" t="s">
        <v>3781</v>
      </c>
      <c r="Q719" s="6" t="s">
        <v>4475</v>
      </c>
      <c r="T719" s="23">
        <v>46071</v>
      </c>
      <c r="U719" s="23">
        <v>46356</v>
      </c>
      <c r="X719" s="20">
        <v>600</v>
      </c>
      <c r="Z719" s="6" t="s">
        <v>5978</v>
      </c>
      <c r="AA719" s="14">
        <f t="shared" si="94"/>
        <v>5.9999999999999995E-4</v>
      </c>
      <c r="AB719">
        <v>0.36</v>
      </c>
      <c r="AC719">
        <v>0.37440000000000001</v>
      </c>
    </row>
    <row r="720" spans="1:29" x14ac:dyDescent="0.3">
      <c r="A720">
        <v>151469</v>
      </c>
      <c r="B720" s="25" t="s">
        <v>5984</v>
      </c>
      <c r="C720" t="s">
        <v>20</v>
      </c>
      <c r="D720" t="s">
        <v>21</v>
      </c>
      <c r="E720">
        <v>2222222</v>
      </c>
      <c r="F720" s="8" t="s">
        <v>22</v>
      </c>
      <c r="G720" s="2">
        <v>98</v>
      </c>
      <c r="H720" t="s">
        <v>3925</v>
      </c>
      <c r="I720" t="s">
        <v>4675</v>
      </c>
      <c r="J720" s="9" t="s">
        <v>4906</v>
      </c>
      <c r="K720" t="s">
        <v>4953</v>
      </c>
      <c r="L720" s="2">
        <v>1</v>
      </c>
      <c r="M720" s="24" t="s">
        <v>5971</v>
      </c>
      <c r="N720" s="2" t="s">
        <v>23</v>
      </c>
      <c r="O720" s="18" t="s">
        <v>604</v>
      </c>
      <c r="P720" s="18" t="s">
        <v>0</v>
      </c>
      <c r="Q720" s="6" t="s">
        <v>4475</v>
      </c>
      <c r="T720" s="23">
        <v>46170</v>
      </c>
      <c r="U720" s="23">
        <v>46535</v>
      </c>
      <c r="X720" s="20">
        <v>1050</v>
      </c>
      <c r="Z720" s="6" t="s">
        <v>5978</v>
      </c>
      <c r="AA720" s="14">
        <f t="shared" si="94"/>
        <v>5.9999999999999995E-4</v>
      </c>
      <c r="AB720">
        <v>0.53210999999999997</v>
      </c>
      <c r="AC720">
        <v>0.55339439999999995</v>
      </c>
    </row>
    <row r="721" spans="1:29" x14ac:dyDescent="0.3">
      <c r="A721">
        <v>151681</v>
      </c>
      <c r="B721" s="25" t="s">
        <v>5984</v>
      </c>
      <c r="C721" t="s">
        <v>20</v>
      </c>
      <c r="D721" t="s">
        <v>21</v>
      </c>
      <c r="E721">
        <v>2222222</v>
      </c>
      <c r="F721" s="8" t="s">
        <v>22</v>
      </c>
      <c r="G721" s="2">
        <v>98</v>
      </c>
      <c r="H721" t="s">
        <v>3925</v>
      </c>
      <c r="I721" t="s">
        <v>4571</v>
      </c>
      <c r="J721" s="9" t="s">
        <v>4953</v>
      </c>
      <c r="K721" t="s">
        <v>4961</v>
      </c>
      <c r="L721" s="2">
        <v>1</v>
      </c>
      <c r="M721" s="24" t="s">
        <v>5971</v>
      </c>
      <c r="N721" s="2" t="s">
        <v>23</v>
      </c>
      <c r="O721" s="18" t="s">
        <v>605</v>
      </c>
      <c r="P721" s="18" t="s">
        <v>0</v>
      </c>
      <c r="Q721" s="6" t="s">
        <v>4475</v>
      </c>
      <c r="T721" s="23">
        <v>46181</v>
      </c>
      <c r="U721" s="23">
        <v>46271</v>
      </c>
      <c r="X721" s="20">
        <v>400</v>
      </c>
      <c r="Z721" s="6" t="s">
        <v>5978</v>
      </c>
      <c r="AA721" s="14">
        <f t="shared" si="94"/>
        <v>5.9999999999999995E-4</v>
      </c>
      <c r="AB721">
        <v>0.24</v>
      </c>
      <c r="AC721">
        <v>0.24959999999999999</v>
      </c>
    </row>
    <row r="722" spans="1:29" x14ac:dyDescent="0.3">
      <c r="A722">
        <v>151944</v>
      </c>
      <c r="B722" s="25" t="s">
        <v>5984</v>
      </c>
      <c r="C722" t="s">
        <v>20</v>
      </c>
      <c r="D722" t="s">
        <v>21</v>
      </c>
      <c r="E722">
        <v>2222222</v>
      </c>
      <c r="F722" s="8" t="s">
        <v>22</v>
      </c>
      <c r="G722" s="2">
        <v>98</v>
      </c>
      <c r="H722" t="s">
        <v>3925</v>
      </c>
      <c r="I722" t="s">
        <v>4656</v>
      </c>
      <c r="J722" s="9" t="s">
        <v>4836</v>
      </c>
      <c r="K722" t="s">
        <v>5056</v>
      </c>
      <c r="L722" s="2">
        <v>1</v>
      </c>
      <c r="M722" s="24" t="s">
        <v>5971</v>
      </c>
      <c r="N722" s="2" t="s">
        <v>23</v>
      </c>
      <c r="O722" s="18" t="s">
        <v>600</v>
      </c>
      <c r="P722" s="18" t="s">
        <v>3781</v>
      </c>
      <c r="Q722" s="6" t="s">
        <v>4475</v>
      </c>
      <c r="T722" s="23">
        <v>46201</v>
      </c>
      <c r="U722" s="23">
        <v>46291</v>
      </c>
      <c r="X722" s="20">
        <v>4650</v>
      </c>
      <c r="Z722" s="6" t="s">
        <v>5978</v>
      </c>
      <c r="AA722" s="14">
        <f t="shared" si="94"/>
        <v>5.9999999999999995E-4</v>
      </c>
      <c r="AB722">
        <v>2.7899999999999996</v>
      </c>
      <c r="AC722">
        <v>2.9015999999999997</v>
      </c>
    </row>
    <row r="723" spans="1:29" x14ac:dyDescent="0.3">
      <c r="A723">
        <v>143164</v>
      </c>
      <c r="B723" s="25" t="s">
        <v>5984</v>
      </c>
      <c r="C723" t="s">
        <v>20</v>
      </c>
      <c r="D723" t="s">
        <v>21</v>
      </c>
      <c r="E723">
        <v>2222222</v>
      </c>
      <c r="F723" s="8" t="s">
        <v>22</v>
      </c>
      <c r="G723" s="2">
        <v>98</v>
      </c>
      <c r="H723" t="s">
        <v>3926</v>
      </c>
      <c r="I723" t="s">
        <v>4130</v>
      </c>
      <c r="J723" s="9" t="s">
        <v>5212</v>
      </c>
      <c r="K723" t="s">
        <v>4961</v>
      </c>
      <c r="L723" s="2">
        <v>1</v>
      </c>
      <c r="M723" s="24" t="s">
        <v>5971</v>
      </c>
      <c r="N723" s="2" t="s">
        <v>23</v>
      </c>
      <c r="O723" s="18" t="s">
        <v>606</v>
      </c>
      <c r="P723" s="18" t="s">
        <v>0</v>
      </c>
      <c r="Q723" s="6" t="s">
        <v>4475</v>
      </c>
      <c r="T723" s="23">
        <v>45570</v>
      </c>
      <c r="U723" s="23">
        <v>46299</v>
      </c>
      <c r="X723" s="20">
        <v>2350</v>
      </c>
      <c r="Z723" s="6" t="s">
        <v>5978</v>
      </c>
      <c r="AA723" s="14">
        <f t="shared" si="94"/>
        <v>5.9999999999999995E-4</v>
      </c>
      <c r="AB723">
        <v>0.20598599999999997</v>
      </c>
      <c r="AC723">
        <v>0.21422543999999999</v>
      </c>
    </row>
    <row r="724" spans="1:29" x14ac:dyDescent="0.3">
      <c r="A724">
        <v>145818</v>
      </c>
      <c r="B724" s="25" t="s">
        <v>5984</v>
      </c>
      <c r="C724" t="s">
        <v>20</v>
      </c>
      <c r="D724" t="s">
        <v>21</v>
      </c>
      <c r="E724">
        <v>2222222</v>
      </c>
      <c r="F724" s="8" t="s">
        <v>22</v>
      </c>
      <c r="G724" s="2">
        <v>98</v>
      </c>
      <c r="H724" t="s">
        <v>3926</v>
      </c>
      <c r="I724" t="s">
        <v>4807</v>
      </c>
      <c r="J724" s="9" t="s">
        <v>4829</v>
      </c>
      <c r="K724" t="s">
        <v>5179</v>
      </c>
      <c r="L724" s="2">
        <v>1</v>
      </c>
      <c r="M724" s="24" t="s">
        <v>5971</v>
      </c>
      <c r="N724" s="2" t="s">
        <v>23</v>
      </c>
      <c r="O724" s="18" t="s">
        <v>607</v>
      </c>
      <c r="P724" s="18" t="s">
        <v>3781</v>
      </c>
      <c r="Q724" s="6" t="s">
        <v>4475</v>
      </c>
      <c r="T724" s="23">
        <v>45768</v>
      </c>
      <c r="U724" s="23">
        <v>46681</v>
      </c>
      <c r="X724" s="20">
        <v>2470</v>
      </c>
      <c r="Z724" s="6" t="s">
        <v>5978</v>
      </c>
      <c r="AA724" s="14">
        <f t="shared" si="94"/>
        <v>5.9999999999999995E-4</v>
      </c>
      <c r="AB724">
        <v>0.82004999999999995</v>
      </c>
      <c r="AC724">
        <v>0.85285199999999994</v>
      </c>
    </row>
    <row r="725" spans="1:29" x14ac:dyDescent="0.3">
      <c r="A725">
        <v>107291</v>
      </c>
      <c r="B725" s="25" t="s">
        <v>5984</v>
      </c>
      <c r="C725" t="s">
        <v>20</v>
      </c>
      <c r="D725" t="s">
        <v>21</v>
      </c>
      <c r="E725">
        <v>2222222</v>
      </c>
      <c r="F725" s="8" t="s">
        <v>22</v>
      </c>
      <c r="G725" s="2">
        <v>98</v>
      </c>
      <c r="H725" t="s">
        <v>3927</v>
      </c>
      <c r="I725" t="s">
        <v>4341</v>
      </c>
      <c r="J725" s="9" t="s">
        <v>5055</v>
      </c>
      <c r="K725" t="s">
        <v>4942</v>
      </c>
      <c r="L725" s="2">
        <v>1</v>
      </c>
      <c r="M725" s="24" t="s">
        <v>5971</v>
      </c>
      <c r="N725" s="2" t="s">
        <v>23</v>
      </c>
      <c r="O725" s="18" t="s">
        <v>608</v>
      </c>
      <c r="P725" s="18" t="s">
        <v>3781</v>
      </c>
      <c r="Q725" s="6" t="s">
        <v>4475</v>
      </c>
      <c r="T725" s="23">
        <v>43769</v>
      </c>
      <c r="U725" s="23">
        <v>46052</v>
      </c>
      <c r="X725" s="20">
        <v>25000</v>
      </c>
      <c r="Z725" s="6" t="s">
        <v>5978</v>
      </c>
      <c r="AA725" s="15">
        <f t="shared" ref="AA725:AA726" si="95">+(0.42/1000)</f>
        <v>4.1999999999999996E-4</v>
      </c>
      <c r="AB725">
        <v>1.5483216</v>
      </c>
      <c r="AC725">
        <v>1.6102544640000001</v>
      </c>
    </row>
    <row r="726" spans="1:29" x14ac:dyDescent="0.3">
      <c r="A726">
        <v>127569</v>
      </c>
      <c r="B726" s="25" t="s">
        <v>5984</v>
      </c>
      <c r="C726" t="s">
        <v>20</v>
      </c>
      <c r="D726" t="s">
        <v>21</v>
      </c>
      <c r="E726">
        <v>2222222</v>
      </c>
      <c r="F726" s="8" t="s">
        <v>22</v>
      </c>
      <c r="G726" s="2">
        <v>98</v>
      </c>
      <c r="H726" t="s">
        <v>3927</v>
      </c>
      <c r="I726" t="s">
        <v>4677</v>
      </c>
      <c r="J726" s="9" t="s">
        <v>4950</v>
      </c>
      <c r="K726" t="s">
        <v>5272</v>
      </c>
      <c r="L726" s="2">
        <v>1</v>
      </c>
      <c r="M726" s="24" t="s">
        <v>5971</v>
      </c>
      <c r="N726" s="2" t="s">
        <v>23</v>
      </c>
      <c r="O726" s="18" t="s">
        <v>609</v>
      </c>
      <c r="P726" s="18" t="s">
        <v>0</v>
      </c>
      <c r="Q726" s="6" t="s">
        <v>4475</v>
      </c>
      <c r="T726" s="23">
        <v>44678</v>
      </c>
      <c r="U726" s="23">
        <v>46237</v>
      </c>
      <c r="X726" s="20">
        <v>3635</v>
      </c>
      <c r="Z726" s="6" t="s">
        <v>5978</v>
      </c>
      <c r="AA726" s="15">
        <f t="shared" si="95"/>
        <v>4.1999999999999996E-4</v>
      </c>
      <c r="AB726">
        <v>0.17705099999999999</v>
      </c>
      <c r="AC726">
        <v>0.18413304</v>
      </c>
    </row>
    <row r="727" spans="1:29" x14ac:dyDescent="0.3">
      <c r="A727">
        <v>134273</v>
      </c>
      <c r="B727" s="25" t="s">
        <v>5984</v>
      </c>
      <c r="C727" t="s">
        <v>20</v>
      </c>
      <c r="D727" t="s">
        <v>21</v>
      </c>
      <c r="E727">
        <v>2222222</v>
      </c>
      <c r="F727" s="8" t="s">
        <v>22</v>
      </c>
      <c r="G727" s="2">
        <v>98</v>
      </c>
      <c r="H727" t="s">
        <v>3927</v>
      </c>
      <c r="I727" t="s">
        <v>4341</v>
      </c>
      <c r="J727" s="9" t="s">
        <v>4838</v>
      </c>
      <c r="K727" t="s">
        <v>4905</v>
      </c>
      <c r="L727" s="2">
        <v>1</v>
      </c>
      <c r="M727" s="24" t="s">
        <v>5971</v>
      </c>
      <c r="N727" s="2" t="s">
        <v>23</v>
      </c>
      <c r="O727" s="18" t="s">
        <v>610</v>
      </c>
      <c r="P727" s="18" t="s">
        <v>0</v>
      </c>
      <c r="Q727" s="6" t="s">
        <v>4475</v>
      </c>
      <c r="T727" s="23">
        <v>45045</v>
      </c>
      <c r="U727" s="23">
        <v>47604</v>
      </c>
      <c r="X727" s="20">
        <v>21400</v>
      </c>
      <c r="Z727" s="6" t="s">
        <v>5978</v>
      </c>
      <c r="AA727" s="13">
        <f t="shared" ref="AA727:AA729" si="96">+(0.56/1000)</f>
        <v>5.6000000000000006E-4</v>
      </c>
      <c r="AB727">
        <v>8.1588920000000016</v>
      </c>
      <c r="AC727">
        <v>8.4852476800000023</v>
      </c>
    </row>
    <row r="728" spans="1:29" x14ac:dyDescent="0.3">
      <c r="A728">
        <v>135544</v>
      </c>
      <c r="B728" s="25" t="s">
        <v>5984</v>
      </c>
      <c r="C728" t="s">
        <v>20</v>
      </c>
      <c r="D728" t="s">
        <v>21</v>
      </c>
      <c r="E728">
        <v>2222222</v>
      </c>
      <c r="F728" s="8" t="s">
        <v>22</v>
      </c>
      <c r="G728" s="2">
        <v>98</v>
      </c>
      <c r="H728" t="s">
        <v>3927</v>
      </c>
      <c r="I728" t="s">
        <v>3921</v>
      </c>
      <c r="J728" s="9" t="s">
        <v>4859</v>
      </c>
      <c r="K728" t="s">
        <v>4924</v>
      </c>
      <c r="L728" s="2">
        <v>1</v>
      </c>
      <c r="M728" s="24" t="s">
        <v>5971</v>
      </c>
      <c r="N728" s="2" t="s">
        <v>23</v>
      </c>
      <c r="O728" s="18" t="s">
        <v>611</v>
      </c>
      <c r="P728" s="18" t="s">
        <v>3781</v>
      </c>
      <c r="Q728" s="6" t="s">
        <v>4475</v>
      </c>
      <c r="T728" s="23">
        <v>45118</v>
      </c>
      <c r="U728" s="23">
        <v>46944</v>
      </c>
      <c r="X728" s="20">
        <v>3585</v>
      </c>
      <c r="Z728" s="6" t="s">
        <v>5978</v>
      </c>
      <c r="AA728" s="13">
        <f t="shared" si="96"/>
        <v>5.6000000000000006E-4</v>
      </c>
      <c r="AB728">
        <v>0.9817416000000001</v>
      </c>
      <c r="AC728">
        <v>1.0210112640000002</v>
      </c>
    </row>
    <row r="729" spans="1:29" x14ac:dyDescent="0.3">
      <c r="A729">
        <v>140584</v>
      </c>
      <c r="B729" s="25" t="s">
        <v>5984</v>
      </c>
      <c r="C729" t="s">
        <v>20</v>
      </c>
      <c r="D729" t="s">
        <v>21</v>
      </c>
      <c r="E729">
        <v>2222222</v>
      </c>
      <c r="F729" s="8" t="s">
        <v>22</v>
      </c>
      <c r="G729" s="2">
        <v>98</v>
      </c>
      <c r="H729" t="s">
        <v>3927</v>
      </c>
      <c r="I729" t="s">
        <v>3905</v>
      </c>
      <c r="J729" s="9" t="s">
        <v>4997</v>
      </c>
      <c r="K729" t="s">
        <v>5030</v>
      </c>
      <c r="L729" s="2">
        <v>1</v>
      </c>
      <c r="M729" s="24" t="s">
        <v>5971</v>
      </c>
      <c r="N729" s="2" t="s">
        <v>23</v>
      </c>
      <c r="O729" s="18" t="s">
        <v>612</v>
      </c>
      <c r="P729" s="18" t="s">
        <v>3781</v>
      </c>
      <c r="Q729" s="6" t="s">
        <v>4475</v>
      </c>
      <c r="T729" s="23">
        <v>45397</v>
      </c>
      <c r="U729" s="23">
        <v>46492</v>
      </c>
      <c r="X729" s="20">
        <v>2970</v>
      </c>
      <c r="Z729" s="6" t="s">
        <v>5978</v>
      </c>
      <c r="AA729" s="13">
        <f t="shared" si="96"/>
        <v>5.6000000000000006E-4</v>
      </c>
      <c r="AB729">
        <v>0.5041736</v>
      </c>
      <c r="AC729">
        <v>0.52434054399999996</v>
      </c>
    </row>
    <row r="730" spans="1:29" x14ac:dyDescent="0.3">
      <c r="A730">
        <v>141658</v>
      </c>
      <c r="B730" s="25" t="s">
        <v>5984</v>
      </c>
      <c r="C730" t="s">
        <v>20</v>
      </c>
      <c r="D730" t="s">
        <v>21</v>
      </c>
      <c r="E730">
        <v>2222222</v>
      </c>
      <c r="F730" s="8" t="s">
        <v>22</v>
      </c>
      <c r="G730" s="2">
        <v>98</v>
      </c>
      <c r="H730" t="s">
        <v>3927</v>
      </c>
      <c r="I730" t="s">
        <v>4497</v>
      </c>
      <c r="J730" s="9" t="s">
        <v>5098</v>
      </c>
      <c r="K730" t="s">
        <v>5103</v>
      </c>
      <c r="L730" s="2">
        <v>1</v>
      </c>
      <c r="M730" s="24" t="s">
        <v>5971</v>
      </c>
      <c r="N730" s="2" t="s">
        <v>23</v>
      </c>
      <c r="O730" s="18" t="s">
        <v>613</v>
      </c>
      <c r="P730" s="18" t="s">
        <v>3781</v>
      </c>
      <c r="Q730" s="6" t="s">
        <v>4475</v>
      </c>
      <c r="T730" s="23">
        <v>45468</v>
      </c>
      <c r="U730" s="23">
        <v>46563</v>
      </c>
      <c r="X730" s="20">
        <v>3000</v>
      </c>
      <c r="Z730" s="6" t="s">
        <v>5978</v>
      </c>
      <c r="AA730" s="14">
        <f t="shared" ref="AA730:AA745" si="97">+(0.6/1000)</f>
        <v>5.9999999999999995E-4</v>
      </c>
      <c r="AB730">
        <v>0.66300599999999998</v>
      </c>
      <c r="AC730">
        <v>0.68952623999999996</v>
      </c>
    </row>
    <row r="731" spans="1:29" x14ac:dyDescent="0.3">
      <c r="A731">
        <v>142145</v>
      </c>
      <c r="B731" s="25" t="s">
        <v>5984</v>
      </c>
      <c r="C731" t="s">
        <v>20</v>
      </c>
      <c r="D731" t="s">
        <v>21</v>
      </c>
      <c r="E731">
        <v>2222222</v>
      </c>
      <c r="F731" s="8" t="s">
        <v>22</v>
      </c>
      <c r="G731" s="2">
        <v>98</v>
      </c>
      <c r="H731" t="s">
        <v>3927</v>
      </c>
      <c r="I731" t="s">
        <v>4105</v>
      </c>
      <c r="J731" s="9" t="s">
        <v>5273</v>
      </c>
      <c r="K731" t="s">
        <v>4926</v>
      </c>
      <c r="L731" s="2">
        <v>1</v>
      </c>
      <c r="M731" s="24" t="s">
        <v>5971</v>
      </c>
      <c r="N731" s="2" t="s">
        <v>23</v>
      </c>
      <c r="O731" s="18" t="s">
        <v>614</v>
      </c>
      <c r="P731" s="18" t="s">
        <v>3781</v>
      </c>
      <c r="Q731" s="6" t="s">
        <v>4475</v>
      </c>
      <c r="T731" s="23">
        <v>45498</v>
      </c>
      <c r="U731" s="23">
        <v>46684</v>
      </c>
      <c r="X731" s="20">
        <v>4000</v>
      </c>
      <c r="Z731" s="6" t="s">
        <v>5978</v>
      </c>
      <c r="AA731" s="14">
        <f t="shared" si="97"/>
        <v>5.9999999999999995E-4</v>
      </c>
      <c r="AB731">
        <v>1.2360959999999999</v>
      </c>
      <c r="AC731">
        <v>1.28553984</v>
      </c>
    </row>
    <row r="732" spans="1:29" x14ac:dyDescent="0.3">
      <c r="A732">
        <v>142509</v>
      </c>
      <c r="B732" s="25" t="s">
        <v>5984</v>
      </c>
      <c r="C732" t="s">
        <v>20</v>
      </c>
      <c r="D732" t="s">
        <v>21</v>
      </c>
      <c r="E732">
        <v>2222222</v>
      </c>
      <c r="F732" s="8" t="s">
        <v>22</v>
      </c>
      <c r="G732" s="2">
        <v>98</v>
      </c>
      <c r="H732" t="s">
        <v>3927</v>
      </c>
      <c r="I732" t="s">
        <v>4232</v>
      </c>
      <c r="J732" s="9" t="s">
        <v>5220</v>
      </c>
      <c r="K732" t="s">
        <v>5144</v>
      </c>
      <c r="L732" s="2">
        <v>1</v>
      </c>
      <c r="M732" s="24" t="s">
        <v>5971</v>
      </c>
      <c r="N732" s="2" t="s">
        <v>23</v>
      </c>
      <c r="O732" s="18" t="s">
        <v>615</v>
      </c>
      <c r="P732" s="18" t="s">
        <v>0</v>
      </c>
      <c r="Q732" s="6" t="s">
        <v>4475</v>
      </c>
      <c r="T732" s="23">
        <v>45524</v>
      </c>
      <c r="U732" s="23">
        <v>46984</v>
      </c>
      <c r="X732" s="20">
        <v>5000</v>
      </c>
      <c r="Z732" s="6" t="s">
        <v>5978</v>
      </c>
      <c r="AA732" s="14">
        <f t="shared" si="97"/>
        <v>5.9999999999999995E-4</v>
      </c>
      <c r="AB732">
        <v>1.8410879999999998</v>
      </c>
      <c r="AC732">
        <v>1.9147315199999999</v>
      </c>
    </row>
    <row r="733" spans="1:29" x14ac:dyDescent="0.3">
      <c r="A733">
        <v>143458</v>
      </c>
      <c r="B733" s="25" t="s">
        <v>5984</v>
      </c>
      <c r="C733" t="s">
        <v>20</v>
      </c>
      <c r="D733" t="s">
        <v>21</v>
      </c>
      <c r="E733">
        <v>2222222</v>
      </c>
      <c r="F733" s="8" t="s">
        <v>22</v>
      </c>
      <c r="G733" s="2">
        <v>98</v>
      </c>
      <c r="H733" t="s">
        <v>3927</v>
      </c>
      <c r="I733" t="s">
        <v>4808</v>
      </c>
      <c r="J733" s="9" t="s">
        <v>4911</v>
      </c>
      <c r="K733" t="s">
        <v>5169</v>
      </c>
      <c r="L733" s="2">
        <v>1</v>
      </c>
      <c r="M733" s="24" t="s">
        <v>5971</v>
      </c>
      <c r="N733" s="2" t="s">
        <v>23</v>
      </c>
      <c r="O733" s="18" t="s">
        <v>616</v>
      </c>
      <c r="P733" s="18" t="s">
        <v>3781</v>
      </c>
      <c r="Q733" s="6" t="s">
        <v>4475</v>
      </c>
      <c r="T733" s="23">
        <v>45596</v>
      </c>
      <c r="U733" s="23">
        <v>48243</v>
      </c>
      <c r="X733" s="20">
        <v>21000</v>
      </c>
      <c r="Z733" s="6" t="s">
        <v>5978</v>
      </c>
      <c r="AA733" s="14">
        <f t="shared" si="97"/>
        <v>5.9999999999999995E-4</v>
      </c>
      <c r="AB733">
        <v>11.105195999999999</v>
      </c>
      <c r="AC733">
        <v>11.54940384</v>
      </c>
    </row>
    <row r="734" spans="1:29" x14ac:dyDescent="0.3">
      <c r="A734">
        <v>143672</v>
      </c>
      <c r="B734" s="25" t="s">
        <v>5984</v>
      </c>
      <c r="C734" t="s">
        <v>20</v>
      </c>
      <c r="D734" t="s">
        <v>21</v>
      </c>
      <c r="E734">
        <v>2222222</v>
      </c>
      <c r="F734" s="8" t="s">
        <v>22</v>
      </c>
      <c r="G734" s="2">
        <v>98</v>
      </c>
      <c r="H734" t="s">
        <v>3927</v>
      </c>
      <c r="I734" t="s">
        <v>4105</v>
      </c>
      <c r="J734" s="9" t="s">
        <v>4981</v>
      </c>
      <c r="K734" t="s">
        <v>5090</v>
      </c>
      <c r="L734" s="2">
        <v>1</v>
      </c>
      <c r="M734" s="24" t="s">
        <v>5971</v>
      </c>
      <c r="N734" s="2" t="s">
        <v>23</v>
      </c>
      <c r="O734" s="18" t="s">
        <v>617</v>
      </c>
      <c r="P734" s="18" t="s">
        <v>3781</v>
      </c>
      <c r="Q734" s="6" t="s">
        <v>4475</v>
      </c>
      <c r="T734" s="23">
        <v>45608</v>
      </c>
      <c r="U734" s="23">
        <v>46338</v>
      </c>
      <c r="X734" s="20">
        <v>5000</v>
      </c>
      <c r="Z734" s="6" t="s">
        <v>5978</v>
      </c>
      <c r="AA734" s="14">
        <f t="shared" si="97"/>
        <v>5.9999999999999995E-4</v>
      </c>
      <c r="AB734">
        <v>0.58130399999999993</v>
      </c>
      <c r="AC734">
        <v>0.6045561599999999</v>
      </c>
    </row>
    <row r="735" spans="1:29" x14ac:dyDescent="0.3">
      <c r="A735">
        <v>147176</v>
      </c>
      <c r="B735" s="25" t="s">
        <v>5984</v>
      </c>
      <c r="C735" t="s">
        <v>20</v>
      </c>
      <c r="D735" t="s">
        <v>21</v>
      </c>
      <c r="E735">
        <v>2222222</v>
      </c>
      <c r="F735" s="8" t="s">
        <v>22</v>
      </c>
      <c r="G735" s="2">
        <v>98</v>
      </c>
      <c r="H735" t="s">
        <v>3927</v>
      </c>
      <c r="I735" t="s">
        <v>3927</v>
      </c>
      <c r="J735" s="9" t="s">
        <v>5274</v>
      </c>
      <c r="K735" t="s">
        <v>5275</v>
      </c>
      <c r="L735" s="2">
        <v>1</v>
      </c>
      <c r="M735" s="24" t="s">
        <v>5971</v>
      </c>
      <c r="N735" s="2" t="s">
        <v>23</v>
      </c>
      <c r="O735" s="18" t="s">
        <v>618</v>
      </c>
      <c r="P735" s="18" t="s">
        <v>0</v>
      </c>
      <c r="Q735" s="6" t="s">
        <v>4475</v>
      </c>
      <c r="T735" s="23">
        <v>45877</v>
      </c>
      <c r="U735" s="23">
        <v>48067</v>
      </c>
      <c r="X735" s="20">
        <v>30000</v>
      </c>
      <c r="Z735" s="6" t="s">
        <v>5978</v>
      </c>
      <c r="AA735" s="14">
        <f t="shared" si="97"/>
        <v>5.9999999999999995E-4</v>
      </c>
      <c r="AB735">
        <v>16.011551999999998</v>
      </c>
      <c r="AC735">
        <v>16.652014079999997</v>
      </c>
    </row>
    <row r="736" spans="1:29" x14ac:dyDescent="0.3">
      <c r="A736">
        <v>148863</v>
      </c>
      <c r="B736" s="25" t="s">
        <v>5984</v>
      </c>
      <c r="C736" t="s">
        <v>20</v>
      </c>
      <c r="D736" t="s">
        <v>21</v>
      </c>
      <c r="E736">
        <v>2222222</v>
      </c>
      <c r="F736" s="8" t="s">
        <v>22</v>
      </c>
      <c r="G736" s="2">
        <v>98</v>
      </c>
      <c r="H736" t="s">
        <v>3927</v>
      </c>
      <c r="I736" t="s">
        <v>4134</v>
      </c>
      <c r="J736" s="9" t="s">
        <v>4894</v>
      </c>
      <c r="K736" t="s">
        <v>5261</v>
      </c>
      <c r="L736" s="2">
        <v>1</v>
      </c>
      <c r="M736" s="24" t="s">
        <v>5971</v>
      </c>
      <c r="N736" s="2" t="s">
        <v>23</v>
      </c>
      <c r="O736" s="18" t="s">
        <v>619</v>
      </c>
      <c r="P736" s="18" t="s">
        <v>0</v>
      </c>
      <c r="Q736" s="6" t="s">
        <v>4475</v>
      </c>
      <c r="T736" s="23">
        <v>45983</v>
      </c>
      <c r="U736" s="23">
        <v>47444</v>
      </c>
      <c r="X736" s="20">
        <v>5000</v>
      </c>
      <c r="Z736" s="6" t="s">
        <v>5978</v>
      </c>
      <c r="AA736" s="14">
        <f t="shared" si="97"/>
        <v>5.9999999999999995E-4</v>
      </c>
      <c r="AB736">
        <v>2.6360219999999996</v>
      </c>
      <c r="AC736">
        <v>2.7414628799999998</v>
      </c>
    </row>
    <row r="737" spans="1:29" x14ac:dyDescent="0.3">
      <c r="A737">
        <v>149140</v>
      </c>
      <c r="B737" s="25" t="s">
        <v>5984</v>
      </c>
      <c r="C737" t="s">
        <v>20</v>
      </c>
      <c r="D737" t="s">
        <v>21</v>
      </c>
      <c r="E737">
        <v>2222222</v>
      </c>
      <c r="F737" s="8" t="s">
        <v>22</v>
      </c>
      <c r="G737" s="2">
        <v>98</v>
      </c>
      <c r="H737" t="s">
        <v>3927</v>
      </c>
      <c r="I737" t="s">
        <v>3949</v>
      </c>
      <c r="J737" s="9" t="s">
        <v>4836</v>
      </c>
      <c r="K737" t="s">
        <v>5268</v>
      </c>
      <c r="L737" s="2">
        <v>1</v>
      </c>
      <c r="M737" s="24" t="s">
        <v>5971</v>
      </c>
      <c r="N737" s="2" t="s">
        <v>23</v>
      </c>
      <c r="O737" s="18" t="s">
        <v>620</v>
      </c>
      <c r="P737" s="18" t="s">
        <v>3781</v>
      </c>
      <c r="Q737" s="6" t="s">
        <v>4475</v>
      </c>
      <c r="T737" s="23">
        <v>46001</v>
      </c>
      <c r="U737" s="23">
        <v>47096</v>
      </c>
      <c r="X737" s="20">
        <v>4000</v>
      </c>
      <c r="Z737" s="6" t="s">
        <v>5978</v>
      </c>
      <c r="AA737" s="14">
        <f t="shared" si="97"/>
        <v>5.9999999999999995E-4</v>
      </c>
      <c r="AB737">
        <v>2.0222879999999996</v>
      </c>
      <c r="AC737">
        <v>2.1031795199999999</v>
      </c>
    </row>
    <row r="738" spans="1:29" x14ac:dyDescent="0.3">
      <c r="A738">
        <v>150511</v>
      </c>
      <c r="B738" s="25" t="s">
        <v>5984</v>
      </c>
      <c r="C738" t="s">
        <v>20</v>
      </c>
      <c r="D738" t="s">
        <v>21</v>
      </c>
      <c r="E738">
        <v>2222222</v>
      </c>
      <c r="F738" s="8" t="s">
        <v>22</v>
      </c>
      <c r="G738" s="2">
        <v>98</v>
      </c>
      <c r="H738" t="s">
        <v>3927</v>
      </c>
      <c r="I738" t="s">
        <v>4029</v>
      </c>
      <c r="J738" s="9" t="s">
        <v>4903</v>
      </c>
      <c r="K738" t="s">
        <v>4837</v>
      </c>
      <c r="L738" s="2">
        <v>1</v>
      </c>
      <c r="M738" s="24" t="s">
        <v>5971</v>
      </c>
      <c r="N738" s="2" t="s">
        <v>23</v>
      </c>
      <c r="O738" s="18" t="s">
        <v>215</v>
      </c>
      <c r="P738" s="18" t="s">
        <v>3781</v>
      </c>
      <c r="Q738" s="6" t="s">
        <v>4475</v>
      </c>
      <c r="T738" s="23">
        <v>46098</v>
      </c>
      <c r="U738" s="23">
        <v>46646</v>
      </c>
      <c r="X738" s="20">
        <v>3000</v>
      </c>
      <c r="Z738" s="6" t="s">
        <v>5978</v>
      </c>
      <c r="AA738" s="14">
        <f t="shared" si="97"/>
        <v>5.9999999999999995E-4</v>
      </c>
      <c r="AB738">
        <v>1.43838</v>
      </c>
      <c r="AC738">
        <v>1.4959152</v>
      </c>
    </row>
    <row r="739" spans="1:29" x14ac:dyDescent="0.3">
      <c r="A739">
        <v>150541</v>
      </c>
      <c r="B739" s="25" t="s">
        <v>5984</v>
      </c>
      <c r="C739" t="s">
        <v>20</v>
      </c>
      <c r="D739" t="s">
        <v>21</v>
      </c>
      <c r="E739">
        <v>2222222</v>
      </c>
      <c r="F739" s="8" t="s">
        <v>22</v>
      </c>
      <c r="G739" s="2">
        <v>98</v>
      </c>
      <c r="H739" t="s">
        <v>3927</v>
      </c>
      <c r="I739" t="s">
        <v>3936</v>
      </c>
      <c r="J739" s="9" t="s">
        <v>4830</v>
      </c>
      <c r="K739" t="s">
        <v>5045</v>
      </c>
      <c r="L739" s="2">
        <v>1</v>
      </c>
      <c r="M739" s="24" t="s">
        <v>5971</v>
      </c>
      <c r="N739" s="2" t="s">
        <v>23</v>
      </c>
      <c r="O739" s="18" t="s">
        <v>621</v>
      </c>
      <c r="P739" s="18" t="s">
        <v>3781</v>
      </c>
      <c r="Q739" s="6" t="s">
        <v>4475</v>
      </c>
      <c r="T739" s="23">
        <v>46100</v>
      </c>
      <c r="U739" s="23">
        <v>46830</v>
      </c>
      <c r="X739" s="20">
        <v>1600</v>
      </c>
      <c r="Z739" s="6" t="s">
        <v>5978</v>
      </c>
      <c r="AA739" s="14">
        <f t="shared" si="97"/>
        <v>5.9999999999999995E-4</v>
      </c>
      <c r="AB739">
        <v>0.8216159999999999</v>
      </c>
      <c r="AC739">
        <v>0.8544806399999999</v>
      </c>
    </row>
    <row r="740" spans="1:29" x14ac:dyDescent="0.3">
      <c r="A740">
        <v>150591</v>
      </c>
      <c r="B740" s="25" t="s">
        <v>5984</v>
      </c>
      <c r="C740" t="s">
        <v>20</v>
      </c>
      <c r="D740" t="s">
        <v>21</v>
      </c>
      <c r="E740">
        <v>2222222</v>
      </c>
      <c r="F740" s="8" t="s">
        <v>22</v>
      </c>
      <c r="G740" s="2">
        <v>98</v>
      </c>
      <c r="H740" t="s">
        <v>3927</v>
      </c>
      <c r="I740" t="s">
        <v>3949</v>
      </c>
      <c r="J740" s="9" t="s">
        <v>4836</v>
      </c>
      <c r="K740" t="s">
        <v>5268</v>
      </c>
      <c r="L740" s="2">
        <v>1</v>
      </c>
      <c r="M740" s="24" t="s">
        <v>5971</v>
      </c>
      <c r="N740" s="2" t="s">
        <v>23</v>
      </c>
      <c r="O740" s="18" t="s">
        <v>620</v>
      </c>
      <c r="P740" s="18" t="s">
        <v>3781</v>
      </c>
      <c r="Q740" s="6" t="s">
        <v>4475</v>
      </c>
      <c r="T740" s="23">
        <v>46105</v>
      </c>
      <c r="U740" s="23">
        <v>47572</v>
      </c>
      <c r="X740" s="20">
        <v>5000</v>
      </c>
      <c r="Z740" s="6" t="s">
        <v>5978</v>
      </c>
      <c r="AA740" s="14">
        <f t="shared" si="97"/>
        <v>5.9999999999999995E-4</v>
      </c>
      <c r="AB740">
        <v>2.8689299999999998</v>
      </c>
      <c r="AC740">
        <v>2.9836871999999999</v>
      </c>
    </row>
    <row r="741" spans="1:29" x14ac:dyDescent="0.3">
      <c r="A741">
        <v>150725</v>
      </c>
      <c r="B741" s="25" t="s">
        <v>5984</v>
      </c>
      <c r="C741" t="s">
        <v>20</v>
      </c>
      <c r="D741" t="s">
        <v>21</v>
      </c>
      <c r="E741">
        <v>2222222</v>
      </c>
      <c r="F741" s="8" t="s">
        <v>22</v>
      </c>
      <c r="G741" s="2">
        <v>98</v>
      </c>
      <c r="H741" t="s">
        <v>3927</v>
      </c>
      <c r="I741" t="s">
        <v>4334</v>
      </c>
      <c r="J741" s="9" t="s">
        <v>5164</v>
      </c>
      <c r="K741" t="s">
        <v>5276</v>
      </c>
      <c r="L741" s="2">
        <v>1</v>
      </c>
      <c r="M741" s="24" t="s">
        <v>5971</v>
      </c>
      <c r="N741" s="2" t="s">
        <v>23</v>
      </c>
      <c r="O741" s="18" t="s">
        <v>622</v>
      </c>
      <c r="P741" s="18" t="s">
        <v>3781</v>
      </c>
      <c r="Q741" s="6" t="s">
        <v>4475</v>
      </c>
      <c r="T741" s="23">
        <v>46111</v>
      </c>
      <c r="U741" s="23">
        <v>47936</v>
      </c>
      <c r="X741" s="20">
        <v>3150</v>
      </c>
      <c r="Z741" s="6" t="s">
        <v>5978</v>
      </c>
      <c r="AA741" s="14">
        <f t="shared" si="97"/>
        <v>5.9999999999999995E-4</v>
      </c>
      <c r="AB741">
        <v>1.89</v>
      </c>
      <c r="AC741">
        <v>1.9656</v>
      </c>
    </row>
    <row r="742" spans="1:29" x14ac:dyDescent="0.3">
      <c r="A742">
        <v>150894</v>
      </c>
      <c r="B742" s="25" t="s">
        <v>5984</v>
      </c>
      <c r="C742" t="s">
        <v>20</v>
      </c>
      <c r="D742" t="s">
        <v>21</v>
      </c>
      <c r="E742">
        <v>2222222</v>
      </c>
      <c r="F742" s="8" t="s">
        <v>22</v>
      </c>
      <c r="G742" s="2">
        <v>98</v>
      </c>
      <c r="H742" t="s">
        <v>3927</v>
      </c>
      <c r="I742" t="s">
        <v>4530</v>
      </c>
      <c r="J742" s="9" t="s">
        <v>5001</v>
      </c>
      <c r="K742" t="s">
        <v>4964</v>
      </c>
      <c r="L742" s="2">
        <v>1</v>
      </c>
      <c r="M742" s="24" t="s">
        <v>5971</v>
      </c>
      <c r="N742" s="2" t="s">
        <v>23</v>
      </c>
      <c r="O742" s="18" t="s">
        <v>623</v>
      </c>
      <c r="P742" s="18" t="s">
        <v>0</v>
      </c>
      <c r="Q742" s="6" t="s">
        <v>4475</v>
      </c>
      <c r="T742" s="23">
        <v>46125</v>
      </c>
      <c r="U742" s="23">
        <v>46490</v>
      </c>
      <c r="X742" s="20">
        <v>2000</v>
      </c>
      <c r="Z742" s="6" t="s">
        <v>5978</v>
      </c>
      <c r="AA742" s="14">
        <f t="shared" si="97"/>
        <v>5.9999999999999995E-4</v>
      </c>
      <c r="AB742">
        <v>0.91883999999999999</v>
      </c>
      <c r="AC742">
        <v>0.95559360000000004</v>
      </c>
    </row>
    <row r="743" spans="1:29" x14ac:dyDescent="0.3">
      <c r="A743">
        <v>151232</v>
      </c>
      <c r="B743" s="25" t="s">
        <v>5984</v>
      </c>
      <c r="C743" t="s">
        <v>20</v>
      </c>
      <c r="D743" t="s">
        <v>21</v>
      </c>
      <c r="E743">
        <v>2222222</v>
      </c>
      <c r="F743" s="8" t="s">
        <v>22</v>
      </c>
      <c r="G743" s="2">
        <v>98</v>
      </c>
      <c r="H743" t="s">
        <v>3927</v>
      </c>
      <c r="I743" t="s">
        <v>4506</v>
      </c>
      <c r="J743" s="9" t="s">
        <v>4826</v>
      </c>
      <c r="K743" t="s">
        <v>5024</v>
      </c>
      <c r="L743" s="2">
        <v>1</v>
      </c>
      <c r="M743" s="24" t="s">
        <v>5971</v>
      </c>
      <c r="N743" s="2" t="s">
        <v>23</v>
      </c>
      <c r="O743" s="18" t="s">
        <v>624</v>
      </c>
      <c r="P743" s="18" t="s">
        <v>0</v>
      </c>
      <c r="Q743" s="6" t="s">
        <v>4475</v>
      </c>
      <c r="T743" s="23">
        <v>46149</v>
      </c>
      <c r="U743" s="23">
        <v>47244</v>
      </c>
      <c r="X743" s="20">
        <v>5000</v>
      </c>
      <c r="Z743" s="6" t="s">
        <v>5978</v>
      </c>
      <c r="AA743" s="14">
        <f t="shared" si="97"/>
        <v>5.9999999999999995E-4</v>
      </c>
      <c r="AB743">
        <v>2.8713719999999996</v>
      </c>
      <c r="AC743">
        <v>2.9862268799999998</v>
      </c>
    </row>
    <row r="744" spans="1:29" x14ac:dyDescent="0.3">
      <c r="A744">
        <v>151433</v>
      </c>
      <c r="B744" s="25" t="s">
        <v>5984</v>
      </c>
      <c r="C744" t="s">
        <v>20</v>
      </c>
      <c r="D744" t="s">
        <v>21</v>
      </c>
      <c r="E744">
        <v>2222222</v>
      </c>
      <c r="F744" s="8" t="s">
        <v>22</v>
      </c>
      <c r="G744" s="2">
        <v>98</v>
      </c>
      <c r="H744" t="s">
        <v>3927</v>
      </c>
      <c r="I744" t="s">
        <v>3921</v>
      </c>
      <c r="J744" s="9" t="s">
        <v>4859</v>
      </c>
      <c r="K744" t="s">
        <v>4924</v>
      </c>
      <c r="L744" s="2">
        <v>1</v>
      </c>
      <c r="M744" s="24" t="s">
        <v>5971</v>
      </c>
      <c r="N744" s="2" t="s">
        <v>23</v>
      </c>
      <c r="O744" s="18" t="s">
        <v>611</v>
      </c>
      <c r="P744" s="18" t="s">
        <v>3781</v>
      </c>
      <c r="Q744" s="6" t="s">
        <v>4475</v>
      </c>
      <c r="T744" s="23">
        <v>46163</v>
      </c>
      <c r="U744" s="23">
        <v>47624</v>
      </c>
      <c r="X744" s="20">
        <v>4150</v>
      </c>
      <c r="Z744" s="6" t="s">
        <v>5978</v>
      </c>
      <c r="AA744" s="14">
        <f t="shared" si="97"/>
        <v>5.9999999999999995E-4</v>
      </c>
      <c r="AB744">
        <v>2.4172199999999995</v>
      </c>
      <c r="AC744">
        <v>2.5139087999999994</v>
      </c>
    </row>
    <row r="745" spans="1:29" x14ac:dyDescent="0.3">
      <c r="A745">
        <v>151696</v>
      </c>
      <c r="B745" s="25" t="s">
        <v>5984</v>
      </c>
      <c r="C745" t="s">
        <v>20</v>
      </c>
      <c r="D745" t="s">
        <v>21</v>
      </c>
      <c r="E745">
        <v>2222222</v>
      </c>
      <c r="F745" s="8" t="s">
        <v>22</v>
      </c>
      <c r="G745" s="2">
        <v>98</v>
      </c>
      <c r="H745" t="s">
        <v>3927</v>
      </c>
      <c r="I745" t="s">
        <v>3938</v>
      </c>
      <c r="J745" s="9" t="s">
        <v>5277</v>
      </c>
      <c r="K745" t="s">
        <v>5033</v>
      </c>
      <c r="L745" s="2">
        <v>1</v>
      </c>
      <c r="M745" s="24" t="s">
        <v>5971</v>
      </c>
      <c r="N745" s="2" t="s">
        <v>23</v>
      </c>
      <c r="O745" s="18" t="s">
        <v>625</v>
      </c>
      <c r="P745" s="18" t="s">
        <v>3781</v>
      </c>
      <c r="Q745" s="6" t="s">
        <v>4475</v>
      </c>
      <c r="T745" s="23">
        <v>46181</v>
      </c>
      <c r="U745" s="23">
        <v>47277</v>
      </c>
      <c r="X745" s="20">
        <v>1400</v>
      </c>
      <c r="Z745" s="6" t="s">
        <v>5978</v>
      </c>
      <c r="AA745" s="14">
        <f t="shared" si="97"/>
        <v>5.9999999999999995E-4</v>
      </c>
      <c r="AB745">
        <v>0.82184999999999997</v>
      </c>
      <c r="AC745">
        <v>0.85472400000000004</v>
      </c>
    </row>
    <row r="746" spans="1:29" x14ac:dyDescent="0.3">
      <c r="A746">
        <v>136627</v>
      </c>
      <c r="B746" s="25" t="s">
        <v>5984</v>
      </c>
      <c r="C746" t="s">
        <v>20</v>
      </c>
      <c r="D746" t="s">
        <v>21</v>
      </c>
      <c r="E746">
        <v>2222222</v>
      </c>
      <c r="F746" s="8" t="s">
        <v>22</v>
      </c>
      <c r="G746" s="2">
        <v>98</v>
      </c>
      <c r="H746" t="s">
        <v>3928</v>
      </c>
      <c r="I746" t="s">
        <v>4050</v>
      </c>
      <c r="J746" s="9" t="s">
        <v>4964</v>
      </c>
      <c r="K746" t="s">
        <v>5278</v>
      </c>
      <c r="L746" s="2">
        <v>1</v>
      </c>
      <c r="M746" s="24" t="s">
        <v>5971</v>
      </c>
      <c r="N746" s="2" t="s">
        <v>23</v>
      </c>
      <c r="O746" s="18" t="s">
        <v>626</v>
      </c>
      <c r="P746" s="18" t="s">
        <v>0</v>
      </c>
      <c r="Q746" s="6" t="s">
        <v>4475</v>
      </c>
      <c r="T746" s="23">
        <v>45188</v>
      </c>
      <c r="U746" s="23">
        <v>47380</v>
      </c>
      <c r="X746" s="20">
        <v>12000</v>
      </c>
      <c r="Z746" s="6" t="s">
        <v>5978</v>
      </c>
      <c r="AA746" s="13">
        <f t="shared" ref="AA746:AA747" si="98">+(0.56/1000)</f>
        <v>5.6000000000000006E-4</v>
      </c>
      <c r="AB746">
        <v>4.334618400000001</v>
      </c>
      <c r="AC746">
        <v>4.508003136000001</v>
      </c>
    </row>
    <row r="747" spans="1:29" x14ac:dyDescent="0.3">
      <c r="A747">
        <v>138774</v>
      </c>
      <c r="B747" s="25" t="s">
        <v>5984</v>
      </c>
      <c r="C747" t="s">
        <v>20</v>
      </c>
      <c r="D747" t="s">
        <v>21</v>
      </c>
      <c r="E747">
        <v>2222222</v>
      </c>
      <c r="F747" s="8" t="s">
        <v>22</v>
      </c>
      <c r="G747" s="2">
        <v>98</v>
      </c>
      <c r="H747" t="s">
        <v>3928</v>
      </c>
      <c r="I747" t="s">
        <v>4809</v>
      </c>
      <c r="J747" s="9" t="s">
        <v>5279</v>
      </c>
      <c r="K747" t="s">
        <v>5011</v>
      </c>
      <c r="L747" s="2">
        <v>1</v>
      </c>
      <c r="M747" s="24" t="s">
        <v>5971</v>
      </c>
      <c r="N747" s="2" t="s">
        <v>23</v>
      </c>
      <c r="O747" s="18" t="s">
        <v>627</v>
      </c>
      <c r="P747" s="18" t="s">
        <v>3781</v>
      </c>
      <c r="Q747" s="6" t="s">
        <v>4475</v>
      </c>
      <c r="T747" s="23">
        <v>45296</v>
      </c>
      <c r="U747" s="23">
        <v>47122</v>
      </c>
      <c r="X747" s="20">
        <v>5000</v>
      </c>
      <c r="Z747" s="6" t="s">
        <v>5978</v>
      </c>
      <c r="AA747" s="13">
        <f t="shared" si="98"/>
        <v>5.6000000000000006E-4</v>
      </c>
      <c r="AB747">
        <v>1.9163424000000002</v>
      </c>
      <c r="AC747">
        <v>1.9929960960000004</v>
      </c>
    </row>
    <row r="748" spans="1:29" x14ac:dyDescent="0.3">
      <c r="A748">
        <v>141436</v>
      </c>
      <c r="B748" s="25" t="s">
        <v>5984</v>
      </c>
      <c r="C748" t="s">
        <v>20</v>
      </c>
      <c r="D748" t="s">
        <v>21</v>
      </c>
      <c r="E748">
        <v>2222222</v>
      </c>
      <c r="F748" s="8" t="s">
        <v>22</v>
      </c>
      <c r="G748" s="2">
        <v>98</v>
      </c>
      <c r="H748" t="s">
        <v>3928</v>
      </c>
      <c r="I748" t="s">
        <v>3796</v>
      </c>
      <c r="J748" s="9" t="s">
        <v>4916</v>
      </c>
      <c r="K748" t="s">
        <v>5280</v>
      </c>
      <c r="L748" s="2">
        <v>1</v>
      </c>
      <c r="M748" s="24" t="s">
        <v>5971</v>
      </c>
      <c r="N748" s="2" t="s">
        <v>23</v>
      </c>
      <c r="O748" s="18" t="s">
        <v>628</v>
      </c>
      <c r="P748" s="18" t="s">
        <v>0</v>
      </c>
      <c r="Q748" s="6" t="s">
        <v>4475</v>
      </c>
      <c r="T748" s="23">
        <v>45453</v>
      </c>
      <c r="U748" s="23">
        <v>47279</v>
      </c>
      <c r="X748" s="20">
        <v>3820</v>
      </c>
      <c r="Z748" s="6" t="s">
        <v>5978</v>
      </c>
      <c r="AA748" s="14">
        <f t="shared" ref="AA748:AA755" si="99">+(0.6/1000)</f>
        <v>5.9999999999999995E-4</v>
      </c>
      <c r="AB748">
        <v>2.2919999999999998</v>
      </c>
      <c r="AC748">
        <v>2.38368</v>
      </c>
    </row>
    <row r="749" spans="1:29" x14ac:dyDescent="0.3">
      <c r="A749">
        <v>143382</v>
      </c>
      <c r="B749" s="25" t="s">
        <v>5984</v>
      </c>
      <c r="C749" t="s">
        <v>20</v>
      </c>
      <c r="D749" t="s">
        <v>21</v>
      </c>
      <c r="E749">
        <v>2222222</v>
      </c>
      <c r="F749" s="8" t="s">
        <v>22</v>
      </c>
      <c r="G749" s="2">
        <v>98</v>
      </c>
      <c r="H749" t="s">
        <v>3928</v>
      </c>
      <c r="I749" t="s">
        <v>4809</v>
      </c>
      <c r="J749" s="9" t="s">
        <v>5279</v>
      </c>
      <c r="K749" t="s">
        <v>5011</v>
      </c>
      <c r="L749" s="2">
        <v>1</v>
      </c>
      <c r="M749" s="24" t="s">
        <v>5971</v>
      </c>
      <c r="N749" s="2" t="s">
        <v>23</v>
      </c>
      <c r="O749" s="18" t="s">
        <v>627</v>
      </c>
      <c r="P749" s="18" t="s">
        <v>3781</v>
      </c>
      <c r="Q749" s="6" t="s">
        <v>4475</v>
      </c>
      <c r="T749" s="23">
        <v>45587</v>
      </c>
      <c r="U749" s="23">
        <v>47047</v>
      </c>
      <c r="X749" s="20">
        <v>3000</v>
      </c>
      <c r="Z749" s="6" t="s">
        <v>5978</v>
      </c>
      <c r="AA749" s="14">
        <f t="shared" si="99"/>
        <v>5.9999999999999995E-4</v>
      </c>
      <c r="AB749">
        <v>1.3762079999999999</v>
      </c>
      <c r="AC749">
        <v>1.4312563199999999</v>
      </c>
    </row>
    <row r="750" spans="1:29" x14ac:dyDescent="0.3">
      <c r="A750">
        <v>144584</v>
      </c>
      <c r="B750" s="25" t="s">
        <v>5984</v>
      </c>
      <c r="C750" t="s">
        <v>20</v>
      </c>
      <c r="D750" t="s">
        <v>21</v>
      </c>
      <c r="E750">
        <v>2222222</v>
      </c>
      <c r="F750" s="8" t="s">
        <v>22</v>
      </c>
      <c r="G750" s="2">
        <v>98</v>
      </c>
      <c r="H750" t="s">
        <v>3928</v>
      </c>
      <c r="I750" t="s">
        <v>4809</v>
      </c>
      <c r="J750" s="9" t="s">
        <v>5279</v>
      </c>
      <c r="K750" t="s">
        <v>5011</v>
      </c>
      <c r="L750" s="2">
        <v>1</v>
      </c>
      <c r="M750" s="24" t="s">
        <v>5971</v>
      </c>
      <c r="N750" s="2" t="s">
        <v>23</v>
      </c>
      <c r="O750" s="18" t="s">
        <v>627</v>
      </c>
      <c r="P750" s="18" t="s">
        <v>3781</v>
      </c>
      <c r="Q750" s="6" t="s">
        <v>4475</v>
      </c>
      <c r="T750" s="23">
        <v>45675</v>
      </c>
      <c r="U750" s="23">
        <v>47500</v>
      </c>
      <c r="X750" s="20">
        <v>5000</v>
      </c>
      <c r="Z750" s="6" t="s">
        <v>5978</v>
      </c>
      <c r="AA750" s="14">
        <f t="shared" si="99"/>
        <v>5.9999999999999995E-4</v>
      </c>
      <c r="AB750">
        <v>2.5745100000000001</v>
      </c>
      <c r="AC750">
        <v>2.6774904000000004</v>
      </c>
    </row>
    <row r="751" spans="1:29" x14ac:dyDescent="0.3">
      <c r="A751">
        <v>147734</v>
      </c>
      <c r="B751" s="25" t="s">
        <v>5984</v>
      </c>
      <c r="C751" t="s">
        <v>20</v>
      </c>
      <c r="D751" t="s">
        <v>21</v>
      </c>
      <c r="E751">
        <v>2222222</v>
      </c>
      <c r="F751" s="8" t="s">
        <v>22</v>
      </c>
      <c r="G751" s="2">
        <v>98</v>
      </c>
      <c r="H751" t="s">
        <v>3928</v>
      </c>
      <c r="I751" t="s">
        <v>4029</v>
      </c>
      <c r="J751" s="9" t="s">
        <v>4962</v>
      </c>
      <c r="K751" t="s">
        <v>4956</v>
      </c>
      <c r="L751" s="2">
        <v>1</v>
      </c>
      <c r="M751" s="24" t="s">
        <v>5971</v>
      </c>
      <c r="N751" s="2" t="s">
        <v>23</v>
      </c>
      <c r="O751" s="18" t="s">
        <v>629</v>
      </c>
      <c r="P751" s="18" t="s">
        <v>3781</v>
      </c>
      <c r="Q751" s="6" t="s">
        <v>4475</v>
      </c>
      <c r="T751" s="23">
        <v>45909</v>
      </c>
      <c r="U751" s="23">
        <v>47370</v>
      </c>
      <c r="X751" s="20">
        <v>5000</v>
      </c>
      <c r="Z751" s="6" t="s">
        <v>5978</v>
      </c>
      <c r="AA751" s="14">
        <f t="shared" si="99"/>
        <v>5.9999999999999995E-4</v>
      </c>
      <c r="AB751">
        <v>2.5388099999999998</v>
      </c>
      <c r="AC751">
        <v>2.6403623999999999</v>
      </c>
    </row>
    <row r="752" spans="1:29" x14ac:dyDescent="0.3">
      <c r="A752">
        <v>149758</v>
      </c>
      <c r="B752" s="25" t="s">
        <v>5984</v>
      </c>
      <c r="C752" t="s">
        <v>20</v>
      </c>
      <c r="D752" t="s">
        <v>21</v>
      </c>
      <c r="E752">
        <v>2222222</v>
      </c>
      <c r="F752" s="8" t="s">
        <v>22</v>
      </c>
      <c r="G752" s="2">
        <v>98</v>
      </c>
      <c r="H752" t="s">
        <v>3928</v>
      </c>
      <c r="I752" t="s">
        <v>4315</v>
      </c>
      <c r="J752" s="9" t="s">
        <v>4836</v>
      </c>
      <c r="K752" t="s">
        <v>4837</v>
      </c>
      <c r="L752" s="2">
        <v>1</v>
      </c>
      <c r="M752" s="24" t="s">
        <v>5971</v>
      </c>
      <c r="N752" s="2" t="s">
        <v>23</v>
      </c>
      <c r="O752" s="18" t="s">
        <v>630</v>
      </c>
      <c r="P752" s="18" t="s">
        <v>3781</v>
      </c>
      <c r="Q752" s="6" t="s">
        <v>4475</v>
      </c>
      <c r="T752" s="23">
        <v>46047</v>
      </c>
      <c r="U752" s="23">
        <v>47142</v>
      </c>
      <c r="X752" s="20">
        <v>5000</v>
      </c>
      <c r="Z752" s="6" t="s">
        <v>5978</v>
      </c>
      <c r="AA752" s="14">
        <f t="shared" si="99"/>
        <v>5.9999999999999995E-4</v>
      </c>
      <c r="AB752">
        <v>2.6708819999999998</v>
      </c>
      <c r="AC752">
        <v>2.7777172799999996</v>
      </c>
    </row>
    <row r="753" spans="1:29" x14ac:dyDescent="0.3">
      <c r="A753">
        <v>142834</v>
      </c>
      <c r="B753" s="25" t="s">
        <v>5984</v>
      </c>
      <c r="C753" t="s">
        <v>20</v>
      </c>
      <c r="D753" t="s">
        <v>21</v>
      </c>
      <c r="E753">
        <v>2222222</v>
      </c>
      <c r="F753" s="8" t="s">
        <v>22</v>
      </c>
      <c r="G753" s="2">
        <v>98</v>
      </c>
      <c r="H753" t="s">
        <v>3929</v>
      </c>
      <c r="I753" t="s">
        <v>4810</v>
      </c>
      <c r="J753" s="9" t="s">
        <v>5281</v>
      </c>
      <c r="K753" t="s">
        <v>5174</v>
      </c>
      <c r="L753" s="2">
        <v>1</v>
      </c>
      <c r="M753" s="24" t="s">
        <v>5971</v>
      </c>
      <c r="N753" s="2" t="s">
        <v>23</v>
      </c>
      <c r="O753" s="18" t="s">
        <v>631</v>
      </c>
      <c r="P753" s="18" t="s">
        <v>0</v>
      </c>
      <c r="Q753" s="6" t="s">
        <v>4475</v>
      </c>
      <c r="T753" s="23">
        <v>45548</v>
      </c>
      <c r="U753" s="23">
        <v>49291</v>
      </c>
      <c r="X753" s="20">
        <v>5860</v>
      </c>
      <c r="Z753" s="6" t="s">
        <v>5978</v>
      </c>
      <c r="AA753" s="14">
        <f t="shared" si="99"/>
        <v>5.9999999999999995E-4</v>
      </c>
      <c r="AB753">
        <v>3.4442939999999997</v>
      </c>
      <c r="AC753">
        <v>3.5820657599999999</v>
      </c>
    </row>
    <row r="754" spans="1:29" x14ac:dyDescent="0.3">
      <c r="A754">
        <v>143334</v>
      </c>
      <c r="B754" s="25" t="s">
        <v>5984</v>
      </c>
      <c r="C754" t="s">
        <v>20</v>
      </c>
      <c r="D754" t="s">
        <v>21</v>
      </c>
      <c r="E754">
        <v>2222222</v>
      </c>
      <c r="F754" s="8" t="s">
        <v>22</v>
      </c>
      <c r="G754" s="2">
        <v>98</v>
      </c>
      <c r="H754" t="s">
        <v>3930</v>
      </c>
      <c r="I754" t="s">
        <v>4155</v>
      </c>
      <c r="J754" s="9" t="s">
        <v>4182</v>
      </c>
      <c r="K754" t="s">
        <v>5282</v>
      </c>
      <c r="L754" s="2">
        <v>1</v>
      </c>
      <c r="M754" s="24" t="s">
        <v>5971</v>
      </c>
      <c r="N754" s="2" t="s">
        <v>23</v>
      </c>
      <c r="O754" s="18" t="s">
        <v>632</v>
      </c>
      <c r="P754" s="18" t="s">
        <v>0</v>
      </c>
      <c r="Q754" s="6" t="s">
        <v>4475</v>
      </c>
      <c r="T754" s="23">
        <v>45588</v>
      </c>
      <c r="U754" s="23">
        <v>47412</v>
      </c>
      <c r="X754" s="20">
        <v>22700</v>
      </c>
      <c r="Z754" s="6" t="s">
        <v>5978</v>
      </c>
      <c r="AA754" s="14">
        <f t="shared" si="99"/>
        <v>5.9999999999999995E-4</v>
      </c>
      <c r="AB754">
        <v>10.430531999999999</v>
      </c>
      <c r="AC754">
        <v>10.847753279999999</v>
      </c>
    </row>
    <row r="755" spans="1:29" x14ac:dyDescent="0.3">
      <c r="A755">
        <v>151487</v>
      </c>
      <c r="B755" s="25" t="s">
        <v>5984</v>
      </c>
      <c r="C755" t="s">
        <v>20</v>
      </c>
      <c r="D755" t="s">
        <v>21</v>
      </c>
      <c r="E755">
        <v>2222222</v>
      </c>
      <c r="F755" s="8" t="s">
        <v>22</v>
      </c>
      <c r="G755" s="2">
        <v>98</v>
      </c>
      <c r="H755" t="s">
        <v>3931</v>
      </c>
      <c r="I755" t="s">
        <v>3931</v>
      </c>
      <c r="J755" s="9" t="s">
        <v>5283</v>
      </c>
      <c r="K755" t="s">
        <v>5284</v>
      </c>
      <c r="L755" s="2">
        <v>1</v>
      </c>
      <c r="M755" s="24" t="s">
        <v>5971</v>
      </c>
      <c r="N755" s="2" t="s">
        <v>23</v>
      </c>
      <c r="O755" s="18" t="s">
        <v>633</v>
      </c>
      <c r="P755" s="18" t="s">
        <v>3781</v>
      </c>
      <c r="Q755" s="6" t="s">
        <v>4475</v>
      </c>
      <c r="T755" s="23">
        <v>46168</v>
      </c>
      <c r="U755" s="23">
        <v>46258</v>
      </c>
      <c r="X755" s="20">
        <v>800</v>
      </c>
      <c r="Z755" s="6" t="s">
        <v>5978</v>
      </c>
      <c r="AA755" s="14">
        <f t="shared" si="99"/>
        <v>5.9999999999999995E-4</v>
      </c>
      <c r="AB755">
        <v>0.48</v>
      </c>
      <c r="AC755">
        <v>0.49919999999999998</v>
      </c>
    </row>
    <row r="756" spans="1:29" x14ac:dyDescent="0.3">
      <c r="A756">
        <v>51257</v>
      </c>
      <c r="B756" s="25" t="s">
        <v>5984</v>
      </c>
      <c r="C756" t="s">
        <v>20</v>
      </c>
      <c r="D756" t="s">
        <v>21</v>
      </c>
      <c r="E756">
        <v>2222222</v>
      </c>
      <c r="F756" s="8" t="s">
        <v>22</v>
      </c>
      <c r="G756" s="2">
        <v>98</v>
      </c>
      <c r="H756" t="s">
        <v>3932</v>
      </c>
      <c r="I756" t="s">
        <v>3932</v>
      </c>
      <c r="J756" s="9" t="s">
        <v>5204</v>
      </c>
      <c r="K756" t="s">
        <v>4950</v>
      </c>
      <c r="L756" s="2">
        <v>1</v>
      </c>
      <c r="M756" s="24" t="s">
        <v>5971</v>
      </c>
      <c r="N756" s="2" t="s">
        <v>23</v>
      </c>
      <c r="O756" s="18" t="s">
        <v>634</v>
      </c>
      <c r="P756" s="18" t="s">
        <v>0</v>
      </c>
      <c r="Q756" s="6" t="s">
        <v>4475</v>
      </c>
      <c r="T756" s="23">
        <v>40814</v>
      </c>
      <c r="U756" s="23">
        <v>42275</v>
      </c>
      <c r="X756" s="20">
        <v>5000</v>
      </c>
      <c r="Z756" s="6" t="s">
        <v>5978</v>
      </c>
      <c r="AA756" s="16">
        <f>+(0.36/1000)</f>
        <v>3.5999999999999997E-4</v>
      </c>
      <c r="AB756">
        <v>1.5526727999999996</v>
      </c>
      <c r="AC756">
        <v>1.6147797119999996</v>
      </c>
    </row>
    <row r="757" spans="1:29" x14ac:dyDescent="0.3">
      <c r="A757">
        <v>140558</v>
      </c>
      <c r="B757" s="25" t="s">
        <v>5984</v>
      </c>
      <c r="C757" t="s">
        <v>20</v>
      </c>
      <c r="D757" t="s">
        <v>21</v>
      </c>
      <c r="E757">
        <v>2222222</v>
      </c>
      <c r="F757" s="8" t="s">
        <v>22</v>
      </c>
      <c r="G757" s="2">
        <v>98</v>
      </c>
      <c r="H757" t="s">
        <v>3932</v>
      </c>
      <c r="I757" t="s">
        <v>3877</v>
      </c>
      <c r="J757" s="9" t="s">
        <v>4924</v>
      </c>
      <c r="K757" t="s">
        <v>4836</v>
      </c>
      <c r="L757" s="2">
        <v>1</v>
      </c>
      <c r="M757" s="24" t="s">
        <v>5971</v>
      </c>
      <c r="N757" s="2" t="s">
        <v>23</v>
      </c>
      <c r="O757" s="18" t="s">
        <v>635</v>
      </c>
      <c r="P757" s="18" t="s">
        <v>3781</v>
      </c>
      <c r="Q757" s="6" t="s">
        <v>4475</v>
      </c>
      <c r="T757" s="23">
        <v>45394</v>
      </c>
      <c r="U757" s="23">
        <v>47220</v>
      </c>
      <c r="X757" s="20">
        <v>3090</v>
      </c>
      <c r="Z757" s="6" t="s">
        <v>5978</v>
      </c>
      <c r="AA757" s="13">
        <f t="shared" ref="AA757:AA758" si="100">+(0.56/1000)</f>
        <v>5.6000000000000006E-4</v>
      </c>
      <c r="AB757">
        <v>1.5259496000000001</v>
      </c>
      <c r="AC757">
        <v>1.5869875840000003</v>
      </c>
    </row>
    <row r="758" spans="1:29" x14ac:dyDescent="0.3">
      <c r="A758">
        <v>148534</v>
      </c>
      <c r="B758" s="25" t="s">
        <v>5984</v>
      </c>
      <c r="C758" t="s">
        <v>20</v>
      </c>
      <c r="D758" t="s">
        <v>21</v>
      </c>
      <c r="E758">
        <v>2222222</v>
      </c>
      <c r="F758" s="8" t="s">
        <v>22</v>
      </c>
      <c r="G758" s="2">
        <v>98</v>
      </c>
      <c r="H758" t="s">
        <v>3933</v>
      </c>
      <c r="I758" t="s">
        <v>3879</v>
      </c>
      <c r="J758" s="9" t="s">
        <v>5058</v>
      </c>
      <c r="K758" t="s">
        <v>5285</v>
      </c>
      <c r="L758" s="2">
        <v>1</v>
      </c>
      <c r="M758" s="24" t="s">
        <v>5971</v>
      </c>
      <c r="N758" s="2" t="s">
        <v>23</v>
      </c>
      <c r="O758" s="18" t="s">
        <v>636</v>
      </c>
      <c r="P758" s="18" t="s">
        <v>0</v>
      </c>
      <c r="Q758" s="6" t="s">
        <v>4475</v>
      </c>
      <c r="T758" s="23">
        <v>44890</v>
      </c>
      <c r="U758" s="23">
        <v>47821</v>
      </c>
      <c r="X758" s="20">
        <v>30000</v>
      </c>
      <c r="Z758" s="6" t="s">
        <v>5978</v>
      </c>
      <c r="AA758" s="13">
        <f t="shared" si="100"/>
        <v>5.6000000000000006E-4</v>
      </c>
      <c r="AB758">
        <v>11.870891200000001</v>
      </c>
      <c r="AC758">
        <v>12.345726848000002</v>
      </c>
    </row>
    <row r="759" spans="1:29" x14ac:dyDescent="0.3">
      <c r="A759">
        <v>149054</v>
      </c>
      <c r="B759" s="25" t="s">
        <v>5984</v>
      </c>
      <c r="C759" t="s">
        <v>20</v>
      </c>
      <c r="D759" t="s">
        <v>21</v>
      </c>
      <c r="E759">
        <v>2222222</v>
      </c>
      <c r="F759" s="8" t="s">
        <v>22</v>
      </c>
      <c r="G759" s="2">
        <v>98</v>
      </c>
      <c r="H759" t="s">
        <v>3934</v>
      </c>
      <c r="I759" t="s">
        <v>3879</v>
      </c>
      <c r="J759" s="9" t="s">
        <v>4826</v>
      </c>
      <c r="K759" t="s">
        <v>5130</v>
      </c>
      <c r="L759" s="2">
        <v>1</v>
      </c>
      <c r="M759" s="24" t="s">
        <v>5971</v>
      </c>
      <c r="N759" s="2" t="s">
        <v>23</v>
      </c>
      <c r="O759" s="18" t="s">
        <v>637</v>
      </c>
      <c r="P759" s="18" t="s">
        <v>0</v>
      </c>
      <c r="Q759" s="6" t="s">
        <v>4475</v>
      </c>
      <c r="T759" s="23">
        <v>46001</v>
      </c>
      <c r="U759" s="23">
        <v>46730</v>
      </c>
      <c r="X759" s="20">
        <v>2100</v>
      </c>
      <c r="Z759" s="6" t="s">
        <v>5978</v>
      </c>
      <c r="AA759" s="14">
        <f t="shared" ref="AA759:AA760" si="101">+(0.6/1000)</f>
        <v>5.9999999999999995E-4</v>
      </c>
      <c r="AB759">
        <v>0.93476999999999999</v>
      </c>
      <c r="AC759">
        <v>0.97216080000000005</v>
      </c>
    </row>
    <row r="760" spans="1:29" x14ac:dyDescent="0.3">
      <c r="A760">
        <v>151612</v>
      </c>
      <c r="B760" s="25" t="s">
        <v>5984</v>
      </c>
      <c r="C760" t="s">
        <v>20</v>
      </c>
      <c r="D760" t="s">
        <v>21</v>
      </c>
      <c r="E760">
        <v>2222222</v>
      </c>
      <c r="F760" s="8" t="s">
        <v>22</v>
      </c>
      <c r="G760" s="2">
        <v>98</v>
      </c>
      <c r="H760" t="s">
        <v>3934</v>
      </c>
      <c r="I760" t="s">
        <v>4166</v>
      </c>
      <c r="J760" s="9" t="s">
        <v>4838</v>
      </c>
      <c r="K760" t="s">
        <v>5068</v>
      </c>
      <c r="L760" s="2">
        <v>1</v>
      </c>
      <c r="M760" s="24" t="s">
        <v>5971</v>
      </c>
      <c r="N760" s="2" t="s">
        <v>23</v>
      </c>
      <c r="O760" s="18" t="s">
        <v>638</v>
      </c>
      <c r="P760" s="18" t="s">
        <v>0</v>
      </c>
      <c r="Q760" s="6" t="s">
        <v>4475</v>
      </c>
      <c r="T760" s="23">
        <v>46181</v>
      </c>
      <c r="U760" s="23">
        <v>47642</v>
      </c>
      <c r="X760" s="20">
        <v>5200</v>
      </c>
      <c r="Z760" s="6" t="s">
        <v>5978</v>
      </c>
      <c r="AA760" s="14">
        <f t="shared" si="101"/>
        <v>5.9999999999999995E-4</v>
      </c>
      <c r="AB760">
        <v>3.0747419999999996</v>
      </c>
      <c r="AC760">
        <v>3.1977316799999995</v>
      </c>
    </row>
    <row r="761" spans="1:29" x14ac:dyDescent="0.3">
      <c r="A761">
        <v>139107</v>
      </c>
      <c r="B761" s="25" t="s">
        <v>5984</v>
      </c>
      <c r="C761" t="s">
        <v>20</v>
      </c>
      <c r="D761" t="s">
        <v>21</v>
      </c>
      <c r="E761">
        <v>2222222</v>
      </c>
      <c r="F761" s="8" t="s">
        <v>22</v>
      </c>
      <c r="G761" s="2">
        <v>98</v>
      </c>
      <c r="H761" t="s">
        <v>3935</v>
      </c>
      <c r="I761" t="s">
        <v>4811</v>
      </c>
      <c r="J761" s="9" t="s">
        <v>5063</v>
      </c>
      <c r="K761" t="s">
        <v>5286</v>
      </c>
      <c r="L761" s="2">
        <v>1</v>
      </c>
      <c r="M761" s="24" t="s">
        <v>5971</v>
      </c>
      <c r="N761" s="2" t="s">
        <v>23</v>
      </c>
      <c r="O761" s="18" t="s">
        <v>639</v>
      </c>
      <c r="P761" s="18" t="s">
        <v>0</v>
      </c>
      <c r="Q761" s="6" t="s">
        <v>4475</v>
      </c>
      <c r="T761" s="23">
        <v>45346</v>
      </c>
      <c r="U761" s="23">
        <v>47628</v>
      </c>
      <c r="X761" s="20">
        <v>25000</v>
      </c>
      <c r="Z761" s="6" t="s">
        <v>5978</v>
      </c>
      <c r="AA761" s="13">
        <f>+(0.56/1000)</f>
        <v>5.6000000000000006E-4</v>
      </c>
      <c r="AB761">
        <v>10.573012800000003</v>
      </c>
      <c r="AC761">
        <v>10.995933312000004</v>
      </c>
    </row>
    <row r="762" spans="1:29" x14ac:dyDescent="0.3">
      <c r="A762">
        <v>115259</v>
      </c>
      <c r="B762" s="25" t="s">
        <v>5984</v>
      </c>
      <c r="C762" t="s">
        <v>20</v>
      </c>
      <c r="D762" t="s">
        <v>21</v>
      </c>
      <c r="E762">
        <v>2222222</v>
      </c>
      <c r="F762" s="8" t="s">
        <v>22</v>
      </c>
      <c r="G762" s="2">
        <v>98</v>
      </c>
      <c r="H762" t="s">
        <v>3936</v>
      </c>
      <c r="I762" t="s">
        <v>4812</v>
      </c>
      <c r="J762" s="9" t="s">
        <v>5204</v>
      </c>
      <c r="K762" t="s">
        <v>4810</v>
      </c>
      <c r="L762" s="2">
        <v>1</v>
      </c>
      <c r="M762" s="24" t="s">
        <v>5971</v>
      </c>
      <c r="N762" s="2" t="s">
        <v>23</v>
      </c>
      <c r="O762" s="18" t="s">
        <v>640</v>
      </c>
      <c r="P762" s="18" t="s">
        <v>0</v>
      </c>
      <c r="Q762" s="6" t="s">
        <v>4475</v>
      </c>
      <c r="T762" s="23">
        <v>44090</v>
      </c>
      <c r="U762" s="23">
        <v>46281</v>
      </c>
      <c r="X762" s="20">
        <v>13000</v>
      </c>
      <c r="Z762" s="6" t="s">
        <v>5978</v>
      </c>
      <c r="AA762" s="15">
        <f>+(0.42/1000)</f>
        <v>4.1999999999999996E-4</v>
      </c>
      <c r="AB762">
        <v>0.23240279999999999</v>
      </c>
      <c r="AC762">
        <v>0.24169891199999999</v>
      </c>
    </row>
    <row r="763" spans="1:29" x14ac:dyDescent="0.3">
      <c r="A763">
        <v>135201</v>
      </c>
      <c r="B763" s="25" t="s">
        <v>5984</v>
      </c>
      <c r="C763" t="s">
        <v>20</v>
      </c>
      <c r="D763" t="s">
        <v>21</v>
      </c>
      <c r="E763">
        <v>2222222</v>
      </c>
      <c r="F763" s="8" t="s">
        <v>22</v>
      </c>
      <c r="G763" s="2">
        <v>98</v>
      </c>
      <c r="H763" t="s">
        <v>3936</v>
      </c>
      <c r="I763" t="s">
        <v>4707</v>
      </c>
      <c r="J763" s="9" t="s">
        <v>4836</v>
      </c>
      <c r="K763" t="s">
        <v>5287</v>
      </c>
      <c r="L763" s="2">
        <v>1</v>
      </c>
      <c r="M763" s="24" t="s">
        <v>5971</v>
      </c>
      <c r="N763" s="2" t="s">
        <v>23</v>
      </c>
      <c r="O763" s="18" t="s">
        <v>641</v>
      </c>
      <c r="P763" s="18" t="s">
        <v>3781</v>
      </c>
      <c r="Q763" s="6" t="s">
        <v>4475</v>
      </c>
      <c r="T763" s="23">
        <v>45099</v>
      </c>
      <c r="U763" s="23">
        <v>46560</v>
      </c>
      <c r="X763" s="20">
        <v>5000</v>
      </c>
      <c r="Z763" s="6" t="s">
        <v>5978</v>
      </c>
      <c r="AA763" s="13">
        <f t="shared" ref="AA763:AA764" si="102">+(0.56/1000)</f>
        <v>5.6000000000000006E-4</v>
      </c>
      <c r="AB763">
        <v>0.84437360000000006</v>
      </c>
      <c r="AC763">
        <v>0.87814854400000009</v>
      </c>
    </row>
    <row r="764" spans="1:29" x14ac:dyDescent="0.3">
      <c r="A764">
        <v>135895</v>
      </c>
      <c r="B764" s="25" t="s">
        <v>5984</v>
      </c>
      <c r="C764" t="s">
        <v>20</v>
      </c>
      <c r="D764" t="s">
        <v>21</v>
      </c>
      <c r="E764">
        <v>2222222</v>
      </c>
      <c r="F764" s="8" t="s">
        <v>22</v>
      </c>
      <c r="G764" s="2">
        <v>98</v>
      </c>
      <c r="H764" t="s">
        <v>3936</v>
      </c>
      <c r="I764" t="s">
        <v>4145</v>
      </c>
      <c r="J764" s="9" t="s">
        <v>4815</v>
      </c>
      <c r="K764" t="s">
        <v>5288</v>
      </c>
      <c r="L764" s="2">
        <v>1</v>
      </c>
      <c r="M764" s="24" t="s">
        <v>5971</v>
      </c>
      <c r="N764" s="2" t="s">
        <v>23</v>
      </c>
      <c r="O764" s="18" t="s">
        <v>642</v>
      </c>
      <c r="P764" s="18" t="s">
        <v>0</v>
      </c>
      <c r="Q764" s="6" t="s">
        <v>4475</v>
      </c>
      <c r="T764" s="23">
        <v>45140</v>
      </c>
      <c r="U764" s="23">
        <v>46600</v>
      </c>
      <c r="X764" s="20">
        <v>4000</v>
      </c>
      <c r="Z764" s="6" t="s">
        <v>5978</v>
      </c>
      <c r="AA764" s="13">
        <f t="shared" si="102"/>
        <v>5.6000000000000006E-4</v>
      </c>
      <c r="AB764">
        <v>0.78346800000000005</v>
      </c>
      <c r="AC764">
        <v>0.8148067200000001</v>
      </c>
    </row>
    <row r="765" spans="1:29" x14ac:dyDescent="0.3">
      <c r="A765">
        <v>144531</v>
      </c>
      <c r="B765" s="25" t="s">
        <v>5984</v>
      </c>
      <c r="C765" t="s">
        <v>20</v>
      </c>
      <c r="D765" t="s">
        <v>21</v>
      </c>
      <c r="E765">
        <v>2222222</v>
      </c>
      <c r="F765" s="8" t="s">
        <v>22</v>
      </c>
      <c r="G765" s="2">
        <v>98</v>
      </c>
      <c r="H765" t="s">
        <v>3936</v>
      </c>
      <c r="I765" t="s">
        <v>4813</v>
      </c>
      <c r="J765" s="9" t="s">
        <v>4836</v>
      </c>
      <c r="K765" t="s">
        <v>5110</v>
      </c>
      <c r="L765" s="2">
        <v>1</v>
      </c>
      <c r="M765" s="24" t="s">
        <v>5971</v>
      </c>
      <c r="N765" s="2" t="s">
        <v>23</v>
      </c>
      <c r="O765" s="18" t="s">
        <v>643</v>
      </c>
      <c r="P765" s="18" t="s">
        <v>3781</v>
      </c>
      <c r="Q765" s="6" t="s">
        <v>4475</v>
      </c>
      <c r="T765" s="23">
        <v>45671</v>
      </c>
      <c r="U765" s="23">
        <v>47586</v>
      </c>
      <c r="X765" s="20">
        <v>4750</v>
      </c>
      <c r="Z765" s="6" t="s">
        <v>5978</v>
      </c>
      <c r="AA765" s="14">
        <f t="shared" ref="AA765:AA771" si="103">+(0.6/1000)</f>
        <v>5.9999999999999995E-4</v>
      </c>
      <c r="AB765">
        <v>2.7476459999999996</v>
      </c>
      <c r="AC765">
        <v>2.8575518399999997</v>
      </c>
    </row>
    <row r="766" spans="1:29" x14ac:dyDescent="0.3">
      <c r="A766">
        <v>146659</v>
      </c>
      <c r="B766" s="25" t="s">
        <v>5984</v>
      </c>
      <c r="C766" t="s">
        <v>20</v>
      </c>
      <c r="D766" t="s">
        <v>21</v>
      </c>
      <c r="E766">
        <v>2222222</v>
      </c>
      <c r="F766" s="8" t="s">
        <v>22</v>
      </c>
      <c r="G766" s="2">
        <v>98</v>
      </c>
      <c r="H766" t="s">
        <v>3936</v>
      </c>
      <c r="I766" t="s">
        <v>4425</v>
      </c>
      <c r="J766" s="9" t="s">
        <v>5110</v>
      </c>
      <c r="K766" t="s">
        <v>5289</v>
      </c>
      <c r="L766" s="2">
        <v>1</v>
      </c>
      <c r="M766" s="24" t="s">
        <v>5971</v>
      </c>
      <c r="N766" s="2" t="s">
        <v>23</v>
      </c>
      <c r="O766" s="18" t="s">
        <v>644</v>
      </c>
      <c r="P766" s="18" t="s">
        <v>3781</v>
      </c>
      <c r="Q766" s="6" t="s">
        <v>4475</v>
      </c>
      <c r="T766" s="23">
        <v>45833</v>
      </c>
      <c r="U766" s="23">
        <v>46929</v>
      </c>
      <c r="X766" s="20">
        <v>4900</v>
      </c>
      <c r="Z766" s="6" t="s">
        <v>5978</v>
      </c>
      <c r="AA766" s="14">
        <f t="shared" si="103"/>
        <v>5.9999999999999995E-4</v>
      </c>
      <c r="AB766">
        <v>2.0567519999999999</v>
      </c>
      <c r="AC766">
        <v>2.1390220800000002</v>
      </c>
    </row>
    <row r="767" spans="1:29" x14ac:dyDescent="0.3">
      <c r="A767">
        <v>149169</v>
      </c>
      <c r="B767" s="25" t="s">
        <v>5984</v>
      </c>
      <c r="C767" t="s">
        <v>20</v>
      </c>
      <c r="D767" t="s">
        <v>21</v>
      </c>
      <c r="E767">
        <v>2222222</v>
      </c>
      <c r="F767" s="8" t="s">
        <v>22</v>
      </c>
      <c r="G767" s="2">
        <v>98</v>
      </c>
      <c r="H767" t="s">
        <v>3936</v>
      </c>
      <c r="I767" t="s">
        <v>4731</v>
      </c>
      <c r="J767" s="9" t="s">
        <v>4969</v>
      </c>
      <c r="K767" t="s">
        <v>4999</v>
      </c>
      <c r="L767" s="2">
        <v>1</v>
      </c>
      <c r="M767" s="24" t="s">
        <v>5971</v>
      </c>
      <c r="N767" s="2" t="s">
        <v>23</v>
      </c>
      <c r="O767" s="18" t="s">
        <v>645</v>
      </c>
      <c r="P767" s="18" t="s">
        <v>3781</v>
      </c>
      <c r="Q767" s="6" t="s">
        <v>4475</v>
      </c>
      <c r="T767" s="23">
        <v>46002</v>
      </c>
      <c r="U767" s="23">
        <v>47467</v>
      </c>
      <c r="X767" s="20">
        <v>5000</v>
      </c>
      <c r="Z767" s="6" t="s">
        <v>5978</v>
      </c>
      <c r="AA767" s="14">
        <f t="shared" si="103"/>
        <v>5.9999999999999995E-4</v>
      </c>
      <c r="AB767">
        <v>2.7302939999999998</v>
      </c>
      <c r="AC767">
        <v>2.8395057599999998</v>
      </c>
    </row>
    <row r="768" spans="1:29" x14ac:dyDescent="0.3">
      <c r="A768">
        <v>149945</v>
      </c>
      <c r="B768" s="25" t="s">
        <v>5984</v>
      </c>
      <c r="C768" t="s">
        <v>20</v>
      </c>
      <c r="D768" t="s">
        <v>21</v>
      </c>
      <c r="E768">
        <v>2222222</v>
      </c>
      <c r="F768" s="8" t="s">
        <v>22</v>
      </c>
      <c r="G768" s="2">
        <v>98</v>
      </c>
      <c r="H768" t="s">
        <v>3936</v>
      </c>
      <c r="I768" t="s">
        <v>4814</v>
      </c>
      <c r="J768" s="9" t="s">
        <v>4852</v>
      </c>
      <c r="K768" t="s">
        <v>5049</v>
      </c>
      <c r="L768" s="2">
        <v>1</v>
      </c>
      <c r="M768" s="24" t="s">
        <v>5971</v>
      </c>
      <c r="N768" s="2" t="s">
        <v>23</v>
      </c>
      <c r="O768" s="18" t="s">
        <v>646</v>
      </c>
      <c r="P768" s="18" t="s">
        <v>0</v>
      </c>
      <c r="Q768" s="6" t="s">
        <v>4475</v>
      </c>
      <c r="T768" s="23">
        <v>46059</v>
      </c>
      <c r="U768" s="23">
        <v>46426</v>
      </c>
      <c r="X768" s="20">
        <v>2500</v>
      </c>
      <c r="Z768" s="6" t="s">
        <v>5978</v>
      </c>
      <c r="AA768" s="14">
        <f t="shared" si="103"/>
        <v>5.9999999999999995E-4</v>
      </c>
      <c r="AB768">
        <v>1.0283879999999999</v>
      </c>
      <c r="AC768">
        <v>1.0695235199999999</v>
      </c>
    </row>
    <row r="769" spans="1:29" x14ac:dyDescent="0.3">
      <c r="A769">
        <v>150822</v>
      </c>
      <c r="B769" s="25" t="s">
        <v>5984</v>
      </c>
      <c r="C769" t="s">
        <v>20</v>
      </c>
      <c r="D769" t="s">
        <v>21</v>
      </c>
      <c r="E769">
        <v>2222222</v>
      </c>
      <c r="F769" s="8" t="s">
        <v>22</v>
      </c>
      <c r="G769" s="2">
        <v>98</v>
      </c>
      <c r="H769" t="s">
        <v>3936</v>
      </c>
      <c r="I769" t="s">
        <v>4812</v>
      </c>
      <c r="J769" s="9" t="s">
        <v>5204</v>
      </c>
      <c r="K769" t="s">
        <v>4810</v>
      </c>
      <c r="L769" s="2">
        <v>1</v>
      </c>
      <c r="M769" s="24" t="s">
        <v>5971</v>
      </c>
      <c r="N769" s="2" t="s">
        <v>23</v>
      </c>
      <c r="O769" s="18" t="s">
        <v>640</v>
      </c>
      <c r="P769" s="18" t="s">
        <v>0</v>
      </c>
      <c r="Q769" s="6" t="s">
        <v>4475</v>
      </c>
      <c r="T769" s="23">
        <v>46128</v>
      </c>
      <c r="U769" s="23">
        <v>49781</v>
      </c>
      <c r="X769" s="20">
        <v>40000</v>
      </c>
      <c r="Z769" s="6" t="s">
        <v>5978</v>
      </c>
      <c r="AA769" s="14">
        <f t="shared" si="103"/>
        <v>5.9999999999999995E-4</v>
      </c>
      <c r="AB769">
        <v>23.735873999999999</v>
      </c>
      <c r="AC769">
        <v>24.68530896</v>
      </c>
    </row>
    <row r="770" spans="1:29" x14ac:dyDescent="0.3">
      <c r="A770">
        <v>151020</v>
      </c>
      <c r="B770" s="25" t="s">
        <v>5984</v>
      </c>
      <c r="C770" t="s">
        <v>20</v>
      </c>
      <c r="D770" t="s">
        <v>21</v>
      </c>
      <c r="E770">
        <v>2222222</v>
      </c>
      <c r="F770" s="8" t="s">
        <v>22</v>
      </c>
      <c r="G770" s="2">
        <v>98</v>
      </c>
      <c r="H770" t="s">
        <v>3936</v>
      </c>
      <c r="I770" t="s">
        <v>4425</v>
      </c>
      <c r="J770" s="9" t="s">
        <v>5110</v>
      </c>
      <c r="K770" t="s">
        <v>5289</v>
      </c>
      <c r="L770" s="2">
        <v>1</v>
      </c>
      <c r="M770" s="24" t="s">
        <v>5971</v>
      </c>
      <c r="N770" s="2" t="s">
        <v>23</v>
      </c>
      <c r="O770" s="18" t="s">
        <v>644</v>
      </c>
      <c r="P770" s="18" t="s">
        <v>3781</v>
      </c>
      <c r="Q770" s="6" t="s">
        <v>4475</v>
      </c>
      <c r="T770" s="23">
        <v>46133</v>
      </c>
      <c r="U770" s="23">
        <v>46864</v>
      </c>
      <c r="X770" s="20">
        <v>3000</v>
      </c>
      <c r="Z770" s="6" t="s">
        <v>5978</v>
      </c>
      <c r="AA770" s="14">
        <f t="shared" si="103"/>
        <v>5.9999999999999995E-4</v>
      </c>
      <c r="AB770">
        <v>1.6070039999999999</v>
      </c>
      <c r="AC770">
        <v>1.6712841599999999</v>
      </c>
    </row>
    <row r="771" spans="1:29" x14ac:dyDescent="0.3">
      <c r="A771">
        <v>151793</v>
      </c>
      <c r="B771" s="25" t="s">
        <v>5984</v>
      </c>
      <c r="C771" t="s">
        <v>20</v>
      </c>
      <c r="D771" t="s">
        <v>21</v>
      </c>
      <c r="E771">
        <v>2222222</v>
      </c>
      <c r="F771" s="8" t="s">
        <v>22</v>
      </c>
      <c r="G771" s="2">
        <v>98</v>
      </c>
      <c r="H771" t="s">
        <v>3936</v>
      </c>
      <c r="I771" t="s">
        <v>4815</v>
      </c>
      <c r="J771" s="9" t="s">
        <v>4825</v>
      </c>
      <c r="L771" s="2">
        <v>1</v>
      </c>
      <c r="M771" s="24" t="s">
        <v>5971</v>
      </c>
      <c r="N771" s="2" t="s">
        <v>23</v>
      </c>
      <c r="O771" s="18" t="s">
        <v>647</v>
      </c>
      <c r="P771" s="18" t="s">
        <v>0</v>
      </c>
      <c r="Q771" s="6" t="s">
        <v>4475</v>
      </c>
      <c r="T771" s="23">
        <v>46188</v>
      </c>
      <c r="U771" s="23">
        <v>46278</v>
      </c>
      <c r="X771" s="20">
        <v>390</v>
      </c>
      <c r="Z771" s="6" t="s">
        <v>5978</v>
      </c>
      <c r="AA771" s="14">
        <f t="shared" si="103"/>
        <v>5.9999999999999995E-4</v>
      </c>
      <c r="AB771">
        <v>0.23399999999999999</v>
      </c>
      <c r="AC771">
        <v>0.24335999999999999</v>
      </c>
    </row>
    <row r="772" spans="1:29" x14ac:dyDescent="0.3">
      <c r="A772">
        <v>135734</v>
      </c>
      <c r="B772" s="25" t="s">
        <v>5984</v>
      </c>
      <c r="C772" t="s">
        <v>20</v>
      </c>
      <c r="D772" t="s">
        <v>21</v>
      </c>
      <c r="E772">
        <v>2222222</v>
      </c>
      <c r="F772" s="8" t="s">
        <v>22</v>
      </c>
      <c r="G772" s="2">
        <v>98</v>
      </c>
      <c r="H772" t="s">
        <v>3937</v>
      </c>
      <c r="I772" t="s">
        <v>4816</v>
      </c>
      <c r="J772" s="9" t="s">
        <v>5179</v>
      </c>
      <c r="K772" t="s">
        <v>4980</v>
      </c>
      <c r="L772" s="2">
        <v>1</v>
      </c>
      <c r="M772" s="24" t="s">
        <v>5971</v>
      </c>
      <c r="N772" s="2" t="s">
        <v>23</v>
      </c>
      <c r="O772" s="18" t="s">
        <v>648</v>
      </c>
      <c r="P772" s="18" t="s">
        <v>3781</v>
      </c>
      <c r="Q772" s="6" t="s">
        <v>4475</v>
      </c>
      <c r="T772" s="23">
        <v>45184</v>
      </c>
      <c r="U772" s="23">
        <v>47011</v>
      </c>
      <c r="X772" s="20">
        <v>20000</v>
      </c>
      <c r="Z772" s="6" t="s">
        <v>5978</v>
      </c>
      <c r="AA772" s="13">
        <f>+(0.56/1000)</f>
        <v>5.6000000000000006E-4</v>
      </c>
      <c r="AB772">
        <v>6.1591376000000002</v>
      </c>
      <c r="AC772">
        <v>6.4055031040000001</v>
      </c>
    </row>
    <row r="773" spans="1:29" x14ac:dyDescent="0.3">
      <c r="A773">
        <v>151667</v>
      </c>
      <c r="B773" s="25" t="s">
        <v>5984</v>
      </c>
      <c r="C773" t="s">
        <v>20</v>
      </c>
      <c r="D773" t="s">
        <v>21</v>
      </c>
      <c r="E773">
        <v>2222222</v>
      </c>
      <c r="F773" s="8" t="s">
        <v>22</v>
      </c>
      <c r="G773" s="2">
        <v>98</v>
      </c>
      <c r="H773" t="s">
        <v>3937</v>
      </c>
      <c r="I773" t="s">
        <v>4817</v>
      </c>
      <c r="J773" s="9" t="s">
        <v>5067</v>
      </c>
      <c r="K773" t="s">
        <v>4887</v>
      </c>
      <c r="L773" s="2">
        <v>1</v>
      </c>
      <c r="M773" s="24" t="s">
        <v>5971</v>
      </c>
      <c r="N773" s="2" t="s">
        <v>23</v>
      </c>
      <c r="O773" s="18" t="s">
        <v>649</v>
      </c>
      <c r="P773" s="18" t="s">
        <v>3781</v>
      </c>
      <c r="Q773" s="6" t="s">
        <v>4475</v>
      </c>
      <c r="T773" s="23">
        <v>46197</v>
      </c>
      <c r="U773" s="23">
        <v>50580</v>
      </c>
      <c r="X773" s="20">
        <v>67000</v>
      </c>
      <c r="Z773" s="6" t="s">
        <v>5978</v>
      </c>
      <c r="AA773" s="14">
        <f>+(0.6/1000)</f>
        <v>5.9999999999999995E-4</v>
      </c>
      <c r="AB773">
        <v>40.053311999999998</v>
      </c>
      <c r="AC773">
        <v>41.65544448</v>
      </c>
    </row>
    <row r="774" spans="1:29" x14ac:dyDescent="0.3">
      <c r="A774">
        <v>73070</v>
      </c>
      <c r="B774" s="25" t="s">
        <v>5984</v>
      </c>
      <c r="C774" t="s">
        <v>20</v>
      </c>
      <c r="D774" t="s">
        <v>21</v>
      </c>
      <c r="E774">
        <v>2222222</v>
      </c>
      <c r="F774" s="8" t="s">
        <v>22</v>
      </c>
      <c r="G774" s="2">
        <v>98</v>
      </c>
      <c r="H774" t="s">
        <v>3938</v>
      </c>
      <c r="I774" t="s">
        <v>4369</v>
      </c>
      <c r="J774" s="9" t="s">
        <v>4182</v>
      </c>
      <c r="K774" t="s">
        <v>5290</v>
      </c>
      <c r="L774" s="2">
        <v>1</v>
      </c>
      <c r="M774" s="24" t="s">
        <v>5971</v>
      </c>
      <c r="N774" s="2" t="s">
        <v>23</v>
      </c>
      <c r="O774" s="18" t="s">
        <v>650</v>
      </c>
      <c r="P774" s="18" t="s">
        <v>0</v>
      </c>
      <c r="Q774" s="6" t="s">
        <v>4475</v>
      </c>
      <c r="T774" s="23">
        <v>42538</v>
      </c>
      <c r="U774" s="23">
        <v>43633</v>
      </c>
      <c r="X774" s="20">
        <v>7200</v>
      </c>
      <c r="Z774" s="6" t="s">
        <v>5978</v>
      </c>
      <c r="AA774" s="15">
        <f t="shared" ref="AA774:AA777" si="104">+(0.42/1000)</f>
        <v>4.1999999999999996E-4</v>
      </c>
      <c r="AB774">
        <v>0.42670739999999996</v>
      </c>
      <c r="AC774">
        <v>0.443775696</v>
      </c>
    </row>
    <row r="775" spans="1:29" x14ac:dyDescent="0.3">
      <c r="A775">
        <v>115101</v>
      </c>
      <c r="B775" s="25" t="s">
        <v>5984</v>
      </c>
      <c r="C775" t="s">
        <v>20</v>
      </c>
      <c r="D775" t="s">
        <v>21</v>
      </c>
      <c r="E775">
        <v>2222222</v>
      </c>
      <c r="F775" s="8" t="s">
        <v>22</v>
      </c>
      <c r="G775" s="2">
        <v>98</v>
      </c>
      <c r="H775" t="s">
        <v>3938</v>
      </c>
      <c r="I775" t="s">
        <v>4010</v>
      </c>
      <c r="J775" s="9" t="s">
        <v>5048</v>
      </c>
      <c r="K775" t="s">
        <v>5166</v>
      </c>
      <c r="L775" s="2">
        <v>1</v>
      </c>
      <c r="M775" s="24" t="s">
        <v>5971</v>
      </c>
      <c r="N775" s="2" t="s">
        <v>23</v>
      </c>
      <c r="O775" s="18" t="s">
        <v>651</v>
      </c>
      <c r="P775" s="18" t="s">
        <v>3781</v>
      </c>
      <c r="Q775" s="6" t="s">
        <v>4475</v>
      </c>
      <c r="T775" s="23">
        <v>44091</v>
      </c>
      <c r="U775" s="23">
        <v>46738</v>
      </c>
      <c r="X775" s="20">
        <v>15000</v>
      </c>
      <c r="Z775" s="6" t="s">
        <v>5978</v>
      </c>
      <c r="AA775" s="15">
        <f t="shared" si="104"/>
        <v>4.1999999999999996E-4</v>
      </c>
      <c r="AB775">
        <v>2.2274783999999999</v>
      </c>
      <c r="AC775">
        <v>2.316577536</v>
      </c>
    </row>
    <row r="776" spans="1:29" x14ac:dyDescent="0.3">
      <c r="A776">
        <v>127584</v>
      </c>
      <c r="B776" s="25" t="s">
        <v>5984</v>
      </c>
      <c r="C776" t="s">
        <v>20</v>
      </c>
      <c r="D776" t="s">
        <v>21</v>
      </c>
      <c r="E776">
        <v>2222222</v>
      </c>
      <c r="F776" s="8" t="s">
        <v>22</v>
      </c>
      <c r="G776" s="2">
        <v>98</v>
      </c>
      <c r="H776" t="s">
        <v>3938</v>
      </c>
      <c r="I776" t="s">
        <v>4512</v>
      </c>
      <c r="J776" s="9" t="s">
        <v>5168</v>
      </c>
      <c r="K776" t="s">
        <v>4986</v>
      </c>
      <c r="L776" s="2">
        <v>1</v>
      </c>
      <c r="M776" s="24" t="s">
        <v>5971</v>
      </c>
      <c r="N776" s="2" t="s">
        <v>23</v>
      </c>
      <c r="O776" s="18" t="s">
        <v>652</v>
      </c>
      <c r="P776" s="18" t="s">
        <v>0</v>
      </c>
      <c r="Q776" s="6" t="s">
        <v>4475</v>
      </c>
      <c r="T776" s="23">
        <v>44679</v>
      </c>
      <c r="U776" s="23">
        <v>48338</v>
      </c>
      <c r="X776" s="20">
        <v>35765</v>
      </c>
      <c r="Z776" s="6" t="s">
        <v>5978</v>
      </c>
      <c r="AA776" s="15">
        <f t="shared" si="104"/>
        <v>4.1999999999999996E-4</v>
      </c>
      <c r="AB776">
        <v>10.695232799999999</v>
      </c>
      <c r="AC776">
        <v>11.123042112</v>
      </c>
    </row>
    <row r="777" spans="1:29" x14ac:dyDescent="0.3">
      <c r="A777">
        <v>128182</v>
      </c>
      <c r="B777" s="25" t="s">
        <v>5984</v>
      </c>
      <c r="C777" t="s">
        <v>20</v>
      </c>
      <c r="D777" t="s">
        <v>21</v>
      </c>
      <c r="E777">
        <v>2222222</v>
      </c>
      <c r="F777" s="8" t="s">
        <v>22</v>
      </c>
      <c r="G777" s="2">
        <v>98</v>
      </c>
      <c r="H777" t="s">
        <v>3938</v>
      </c>
      <c r="I777" t="s">
        <v>4235</v>
      </c>
      <c r="J777" s="9" t="s">
        <v>4988</v>
      </c>
      <c r="K777" t="s">
        <v>4953</v>
      </c>
      <c r="L777" s="2">
        <v>1</v>
      </c>
      <c r="M777" s="24" t="s">
        <v>5971</v>
      </c>
      <c r="N777" s="2" t="s">
        <v>23</v>
      </c>
      <c r="O777" s="18" t="s">
        <v>653</v>
      </c>
      <c r="P777" s="18" t="s">
        <v>0</v>
      </c>
      <c r="Q777" s="6" t="s">
        <v>4475</v>
      </c>
      <c r="T777" s="23">
        <v>44712</v>
      </c>
      <c r="U777" s="23">
        <v>44805</v>
      </c>
      <c r="X777" s="20">
        <v>1545</v>
      </c>
      <c r="Z777" s="6" t="s">
        <v>5978</v>
      </c>
      <c r="AA777" s="15">
        <f t="shared" si="104"/>
        <v>4.1999999999999996E-4</v>
      </c>
      <c r="AB777">
        <v>0.64889999999999992</v>
      </c>
      <c r="AC777">
        <v>0.6748559999999999</v>
      </c>
    </row>
    <row r="778" spans="1:29" x14ac:dyDescent="0.3">
      <c r="A778">
        <v>138915</v>
      </c>
      <c r="B778" s="25" t="s">
        <v>5984</v>
      </c>
      <c r="C778" t="s">
        <v>20</v>
      </c>
      <c r="D778" t="s">
        <v>21</v>
      </c>
      <c r="E778">
        <v>2222222</v>
      </c>
      <c r="F778" s="8" t="s">
        <v>22</v>
      </c>
      <c r="G778" s="2">
        <v>98</v>
      </c>
      <c r="H778" t="s">
        <v>3938</v>
      </c>
      <c r="I778" t="s">
        <v>4210</v>
      </c>
      <c r="J778" s="9" t="s">
        <v>4901</v>
      </c>
      <c r="K778" t="s">
        <v>5291</v>
      </c>
      <c r="L778" s="2">
        <v>1</v>
      </c>
      <c r="M778" s="24" t="s">
        <v>5971</v>
      </c>
      <c r="N778" s="2" t="s">
        <v>23</v>
      </c>
      <c r="O778" s="18" t="s">
        <v>654</v>
      </c>
      <c r="P778" s="18" t="s">
        <v>0</v>
      </c>
      <c r="Q778" s="6" t="s">
        <v>4475</v>
      </c>
      <c r="T778" s="23">
        <v>45308</v>
      </c>
      <c r="U778" s="23">
        <v>46403</v>
      </c>
      <c r="X778" s="20">
        <v>5000</v>
      </c>
      <c r="Z778" s="6" t="s">
        <v>5978</v>
      </c>
      <c r="AA778" s="13">
        <f t="shared" ref="AA778:AA779" si="105">+(0.56/1000)</f>
        <v>5.6000000000000006E-4</v>
      </c>
      <c r="AB778">
        <v>0.58245040000000003</v>
      </c>
      <c r="AC778">
        <v>0.60574841600000007</v>
      </c>
    </row>
    <row r="779" spans="1:29" x14ac:dyDescent="0.3">
      <c r="A779">
        <v>140292</v>
      </c>
      <c r="B779" s="25" t="s">
        <v>5984</v>
      </c>
      <c r="C779" t="s">
        <v>20</v>
      </c>
      <c r="D779" t="s">
        <v>21</v>
      </c>
      <c r="E779">
        <v>2222222</v>
      </c>
      <c r="F779" s="8" t="s">
        <v>22</v>
      </c>
      <c r="G779" s="2">
        <v>98</v>
      </c>
      <c r="H779" t="s">
        <v>3938</v>
      </c>
      <c r="I779" t="s">
        <v>4010</v>
      </c>
      <c r="J779" s="9" t="s">
        <v>5048</v>
      </c>
      <c r="K779" t="s">
        <v>5166</v>
      </c>
      <c r="L779" s="2">
        <v>1</v>
      </c>
      <c r="M779" s="24" t="s">
        <v>5971</v>
      </c>
      <c r="N779" s="2" t="s">
        <v>23</v>
      </c>
      <c r="O779" s="18" t="s">
        <v>651</v>
      </c>
      <c r="P779" s="18" t="s">
        <v>3781</v>
      </c>
      <c r="Q779" s="6" t="s">
        <v>4475</v>
      </c>
      <c r="T779" s="23">
        <v>45379</v>
      </c>
      <c r="U779" s="23">
        <v>46473</v>
      </c>
      <c r="X779" s="20">
        <v>2670</v>
      </c>
      <c r="Z779" s="6" t="s">
        <v>5978</v>
      </c>
      <c r="AA779" s="13">
        <f t="shared" si="105"/>
        <v>5.6000000000000006E-4</v>
      </c>
      <c r="AB779">
        <v>0.57299200000000006</v>
      </c>
      <c r="AC779">
        <v>0.59591168000000005</v>
      </c>
    </row>
    <row r="780" spans="1:29" x14ac:dyDescent="0.3">
      <c r="A780">
        <v>142249</v>
      </c>
      <c r="B780" s="25" t="s">
        <v>5984</v>
      </c>
      <c r="C780" t="s">
        <v>20</v>
      </c>
      <c r="D780" t="s">
        <v>21</v>
      </c>
      <c r="E780">
        <v>2222222</v>
      </c>
      <c r="F780" s="8" t="s">
        <v>22</v>
      </c>
      <c r="G780" s="2">
        <v>98</v>
      </c>
      <c r="H780" t="s">
        <v>3938</v>
      </c>
      <c r="I780" t="s">
        <v>4327</v>
      </c>
      <c r="J780" s="9" t="s">
        <v>4836</v>
      </c>
      <c r="K780" t="s">
        <v>5292</v>
      </c>
      <c r="L780" s="2">
        <v>1</v>
      </c>
      <c r="M780" s="24" t="s">
        <v>5971</v>
      </c>
      <c r="N780" s="2" t="s">
        <v>23</v>
      </c>
      <c r="O780" s="18" t="s">
        <v>655</v>
      </c>
      <c r="P780" s="18" t="s">
        <v>3781</v>
      </c>
      <c r="Q780" s="6" t="s">
        <v>4475</v>
      </c>
      <c r="T780" s="23">
        <v>45509</v>
      </c>
      <c r="U780" s="23">
        <v>48064</v>
      </c>
      <c r="X780" s="20">
        <v>11000</v>
      </c>
      <c r="Z780" s="6" t="s">
        <v>5978</v>
      </c>
      <c r="AA780" s="14">
        <f t="shared" ref="AA780:AA788" si="106">+(0.6/1000)</f>
        <v>5.9999999999999995E-4</v>
      </c>
      <c r="AB780">
        <v>5.342039999999999</v>
      </c>
      <c r="AC780">
        <v>5.5557215999999991</v>
      </c>
    </row>
    <row r="781" spans="1:29" x14ac:dyDescent="0.3">
      <c r="A781">
        <v>143638</v>
      </c>
      <c r="B781" s="25" t="s">
        <v>5984</v>
      </c>
      <c r="C781" t="s">
        <v>20</v>
      </c>
      <c r="D781" t="s">
        <v>21</v>
      </c>
      <c r="E781">
        <v>2222222</v>
      </c>
      <c r="F781" s="8" t="s">
        <v>22</v>
      </c>
      <c r="G781" s="2">
        <v>98</v>
      </c>
      <c r="H781" t="s">
        <v>3938</v>
      </c>
      <c r="I781" t="s">
        <v>4656</v>
      </c>
      <c r="J781" s="9" t="s">
        <v>5148</v>
      </c>
      <c r="K781" t="s">
        <v>4980</v>
      </c>
      <c r="L781" s="2">
        <v>1</v>
      </c>
      <c r="M781" s="24" t="s">
        <v>5971</v>
      </c>
      <c r="N781" s="2" t="s">
        <v>23</v>
      </c>
      <c r="O781" s="18" t="s">
        <v>572</v>
      </c>
      <c r="P781" s="18" t="s">
        <v>3781</v>
      </c>
      <c r="Q781" s="6" t="s">
        <v>4475</v>
      </c>
      <c r="T781" s="23">
        <v>45607</v>
      </c>
      <c r="U781" s="23">
        <v>46702</v>
      </c>
      <c r="X781" s="20">
        <v>4000</v>
      </c>
      <c r="Z781" s="6" t="s">
        <v>5978</v>
      </c>
      <c r="AA781" s="14">
        <f t="shared" si="106"/>
        <v>5.9999999999999995E-4</v>
      </c>
      <c r="AB781">
        <v>1.19394</v>
      </c>
      <c r="AC781">
        <v>1.2416976</v>
      </c>
    </row>
    <row r="782" spans="1:29" x14ac:dyDescent="0.3">
      <c r="A782">
        <v>143930</v>
      </c>
      <c r="B782" s="25" t="s">
        <v>5984</v>
      </c>
      <c r="C782" t="s">
        <v>20</v>
      </c>
      <c r="D782" t="s">
        <v>21</v>
      </c>
      <c r="E782">
        <v>2222222</v>
      </c>
      <c r="F782" s="8" t="s">
        <v>22</v>
      </c>
      <c r="G782" s="2">
        <v>98</v>
      </c>
      <c r="H782" t="s">
        <v>3938</v>
      </c>
      <c r="I782" t="s">
        <v>4371</v>
      </c>
      <c r="J782" s="9" t="s">
        <v>4911</v>
      </c>
      <c r="K782" t="s">
        <v>4863</v>
      </c>
      <c r="L782" s="2">
        <v>1</v>
      </c>
      <c r="M782" s="24" t="s">
        <v>5971</v>
      </c>
      <c r="N782" s="2" t="s">
        <v>23</v>
      </c>
      <c r="O782" s="18" t="s">
        <v>656</v>
      </c>
      <c r="P782" s="18" t="s">
        <v>3781</v>
      </c>
      <c r="Q782" s="6" t="s">
        <v>4475</v>
      </c>
      <c r="T782" s="23">
        <v>45626</v>
      </c>
      <c r="U782" s="23">
        <v>48638</v>
      </c>
      <c r="X782" s="20">
        <v>12250</v>
      </c>
      <c r="Z782" s="6" t="s">
        <v>5978</v>
      </c>
      <c r="AA782" s="14">
        <f t="shared" si="106"/>
        <v>5.9999999999999995E-4</v>
      </c>
      <c r="AB782">
        <v>6.8093159999999999</v>
      </c>
      <c r="AC782">
        <v>7.0816886400000003</v>
      </c>
    </row>
    <row r="783" spans="1:29" x14ac:dyDescent="0.3">
      <c r="A783">
        <v>144001</v>
      </c>
      <c r="B783" s="25" t="s">
        <v>5984</v>
      </c>
      <c r="C783" t="s">
        <v>20</v>
      </c>
      <c r="D783" t="s">
        <v>21</v>
      </c>
      <c r="E783">
        <v>2222222</v>
      </c>
      <c r="F783" s="8" t="s">
        <v>22</v>
      </c>
      <c r="G783" s="2">
        <v>98</v>
      </c>
      <c r="H783" t="s">
        <v>3938</v>
      </c>
      <c r="I783" t="s">
        <v>4508</v>
      </c>
      <c r="J783" s="9" t="s">
        <v>4829</v>
      </c>
      <c r="K783" t="s">
        <v>4980</v>
      </c>
      <c r="L783" s="2">
        <v>1</v>
      </c>
      <c r="M783" s="24" t="s">
        <v>5971</v>
      </c>
      <c r="N783" s="2" t="s">
        <v>23</v>
      </c>
      <c r="O783" s="18" t="s">
        <v>657</v>
      </c>
      <c r="P783" s="18" t="s">
        <v>3781</v>
      </c>
      <c r="Q783" s="6" t="s">
        <v>4475</v>
      </c>
      <c r="T783" s="23">
        <v>45630</v>
      </c>
      <c r="U783" s="23">
        <v>46724</v>
      </c>
      <c r="X783" s="20">
        <v>2000</v>
      </c>
      <c r="Z783" s="6" t="s">
        <v>5978</v>
      </c>
      <c r="AA783" s="14">
        <f t="shared" si="106"/>
        <v>5.9999999999999995E-4</v>
      </c>
      <c r="AB783">
        <v>0.64227599999999996</v>
      </c>
      <c r="AC783">
        <v>0.66796703999999996</v>
      </c>
    </row>
    <row r="784" spans="1:29" x14ac:dyDescent="0.3">
      <c r="A784">
        <v>144848</v>
      </c>
      <c r="B784" s="25" t="s">
        <v>5984</v>
      </c>
      <c r="C784" t="s">
        <v>20</v>
      </c>
      <c r="D784" t="s">
        <v>21</v>
      </c>
      <c r="E784">
        <v>2222222</v>
      </c>
      <c r="F784" s="8" t="s">
        <v>22</v>
      </c>
      <c r="G784" s="2">
        <v>98</v>
      </c>
      <c r="H784" t="s">
        <v>3938</v>
      </c>
      <c r="I784" t="s">
        <v>4065</v>
      </c>
      <c r="J784" s="9" t="s">
        <v>5293</v>
      </c>
      <c r="K784" t="s">
        <v>5133</v>
      </c>
      <c r="L784" s="2">
        <v>1</v>
      </c>
      <c r="M784" s="24" t="s">
        <v>5971</v>
      </c>
      <c r="N784" s="2" t="s">
        <v>23</v>
      </c>
      <c r="O784" s="18" t="s">
        <v>658</v>
      </c>
      <c r="P784" s="18" t="s">
        <v>3781</v>
      </c>
      <c r="Q784" s="6" t="s">
        <v>4475</v>
      </c>
      <c r="T784" s="23">
        <v>45696</v>
      </c>
      <c r="U784" s="23">
        <v>47159</v>
      </c>
      <c r="X784" s="20">
        <v>10000</v>
      </c>
      <c r="Z784" s="6" t="s">
        <v>5978</v>
      </c>
      <c r="AA784" s="14">
        <f t="shared" si="106"/>
        <v>5.9999999999999995E-4</v>
      </c>
      <c r="AB784">
        <v>4.4124600000000003</v>
      </c>
      <c r="AC784">
        <v>4.5889584000000001</v>
      </c>
    </row>
    <row r="785" spans="1:29" x14ac:dyDescent="0.3">
      <c r="A785">
        <v>145464</v>
      </c>
      <c r="B785" s="25" t="s">
        <v>5984</v>
      </c>
      <c r="C785" t="s">
        <v>20</v>
      </c>
      <c r="D785" t="s">
        <v>21</v>
      </c>
      <c r="E785">
        <v>2222222</v>
      </c>
      <c r="F785" s="8" t="s">
        <v>22</v>
      </c>
      <c r="G785" s="2">
        <v>98</v>
      </c>
      <c r="H785" t="s">
        <v>3938</v>
      </c>
      <c r="I785" t="s">
        <v>4636</v>
      </c>
      <c r="J785" s="9" t="s">
        <v>5294</v>
      </c>
      <c r="K785" t="s">
        <v>4904</v>
      </c>
      <c r="L785" s="2">
        <v>1</v>
      </c>
      <c r="M785" s="24" t="s">
        <v>5971</v>
      </c>
      <c r="N785" s="2" t="s">
        <v>23</v>
      </c>
      <c r="O785" s="18" t="s">
        <v>659</v>
      </c>
      <c r="P785" s="18" t="s">
        <v>3781</v>
      </c>
      <c r="Q785" s="6" t="s">
        <v>4475</v>
      </c>
      <c r="T785" s="23">
        <v>45750</v>
      </c>
      <c r="U785" s="23">
        <v>47576</v>
      </c>
      <c r="X785" s="20">
        <v>40000</v>
      </c>
      <c r="Z785" s="6" t="s">
        <v>5978</v>
      </c>
      <c r="AA785" s="14">
        <f t="shared" si="106"/>
        <v>5.9999999999999995E-4</v>
      </c>
      <c r="AB785">
        <v>19.482408</v>
      </c>
      <c r="AC785">
        <v>20.26170432</v>
      </c>
    </row>
    <row r="786" spans="1:29" x14ac:dyDescent="0.3">
      <c r="A786">
        <v>145813</v>
      </c>
      <c r="B786" s="25" t="s">
        <v>5984</v>
      </c>
      <c r="C786" t="s">
        <v>20</v>
      </c>
      <c r="D786" t="s">
        <v>21</v>
      </c>
      <c r="E786">
        <v>2222222</v>
      </c>
      <c r="F786" s="8" t="s">
        <v>22</v>
      </c>
      <c r="G786" s="2">
        <v>98</v>
      </c>
      <c r="H786" t="s">
        <v>3938</v>
      </c>
      <c r="I786" t="s">
        <v>4158</v>
      </c>
      <c r="J786" s="9" t="s">
        <v>5295</v>
      </c>
      <c r="K786" t="s">
        <v>4884</v>
      </c>
      <c r="L786" s="2">
        <v>1</v>
      </c>
      <c r="M786" s="24" t="s">
        <v>5971</v>
      </c>
      <c r="N786" s="2" t="s">
        <v>23</v>
      </c>
      <c r="O786" s="18" t="s">
        <v>660</v>
      </c>
      <c r="P786" s="18" t="s">
        <v>3781</v>
      </c>
      <c r="Q786" s="6" t="s">
        <v>4475</v>
      </c>
      <c r="T786" s="23">
        <v>45781</v>
      </c>
      <c r="U786" s="23">
        <v>46876</v>
      </c>
      <c r="X786" s="20">
        <v>2405</v>
      </c>
      <c r="Z786" s="6" t="s">
        <v>5978</v>
      </c>
      <c r="AA786" s="14">
        <f t="shared" si="106"/>
        <v>5.9999999999999995E-4</v>
      </c>
      <c r="AB786">
        <v>1.0758359999999998</v>
      </c>
      <c r="AC786">
        <v>1.1188694399999999</v>
      </c>
    </row>
    <row r="787" spans="1:29" x14ac:dyDescent="0.3">
      <c r="A787">
        <v>146570</v>
      </c>
      <c r="B787" s="25" t="s">
        <v>5984</v>
      </c>
      <c r="C787" t="s">
        <v>20</v>
      </c>
      <c r="D787" t="s">
        <v>21</v>
      </c>
      <c r="E787">
        <v>2222222</v>
      </c>
      <c r="F787" s="8" t="s">
        <v>22</v>
      </c>
      <c r="G787" s="2">
        <v>98</v>
      </c>
      <c r="H787" t="s">
        <v>3938</v>
      </c>
      <c r="I787" t="s">
        <v>4299</v>
      </c>
      <c r="J787" s="9" t="s">
        <v>5296</v>
      </c>
      <c r="K787" t="s">
        <v>5193</v>
      </c>
      <c r="L787" s="2">
        <v>1</v>
      </c>
      <c r="M787" s="24" t="s">
        <v>5971</v>
      </c>
      <c r="N787" s="2" t="s">
        <v>23</v>
      </c>
      <c r="O787" s="18" t="s">
        <v>661</v>
      </c>
      <c r="P787" s="18" t="s">
        <v>0</v>
      </c>
      <c r="Q787" s="6" t="s">
        <v>4475</v>
      </c>
      <c r="T787" s="23">
        <v>45826</v>
      </c>
      <c r="U787" s="23">
        <v>46922</v>
      </c>
      <c r="X787" s="20">
        <v>2200</v>
      </c>
      <c r="Z787" s="6" t="s">
        <v>5978</v>
      </c>
      <c r="AA787" s="14">
        <f t="shared" si="106"/>
        <v>5.9999999999999995E-4</v>
      </c>
      <c r="AB787">
        <v>0.94049999999999989</v>
      </c>
      <c r="AC787">
        <v>0.97811999999999988</v>
      </c>
    </row>
    <row r="788" spans="1:29" x14ac:dyDescent="0.3">
      <c r="A788">
        <v>146997</v>
      </c>
      <c r="B788" s="25" t="s">
        <v>5984</v>
      </c>
      <c r="C788" t="s">
        <v>20</v>
      </c>
      <c r="D788" t="s">
        <v>21</v>
      </c>
      <c r="E788">
        <v>2222222</v>
      </c>
      <c r="F788" s="8" t="s">
        <v>22</v>
      </c>
      <c r="G788" s="2">
        <v>98</v>
      </c>
      <c r="H788" t="s">
        <v>3938</v>
      </c>
      <c r="I788" t="s">
        <v>4235</v>
      </c>
      <c r="J788" s="9" t="s">
        <v>4826</v>
      </c>
      <c r="K788" t="s">
        <v>4870</v>
      </c>
      <c r="L788" s="2">
        <v>1</v>
      </c>
      <c r="M788" s="24" t="s">
        <v>5971</v>
      </c>
      <c r="N788" s="2" t="s">
        <v>23</v>
      </c>
      <c r="O788" s="18" t="s">
        <v>405</v>
      </c>
      <c r="P788" s="18" t="s">
        <v>0</v>
      </c>
      <c r="Q788" s="6" t="s">
        <v>4475</v>
      </c>
      <c r="T788" s="23">
        <v>45858</v>
      </c>
      <c r="U788" s="23">
        <v>46953</v>
      </c>
      <c r="X788" s="20">
        <v>4270</v>
      </c>
      <c r="Z788" s="6" t="s">
        <v>5978</v>
      </c>
      <c r="AA788" s="14">
        <f t="shared" si="106"/>
        <v>5.9999999999999995E-4</v>
      </c>
      <c r="AB788">
        <v>1.8561119999999998</v>
      </c>
      <c r="AC788">
        <v>1.9303564799999997</v>
      </c>
    </row>
    <row r="789" spans="1:29" x14ac:dyDescent="0.3">
      <c r="A789">
        <v>148530</v>
      </c>
      <c r="B789" s="25" t="s">
        <v>5984</v>
      </c>
      <c r="C789" t="s">
        <v>20</v>
      </c>
      <c r="D789" t="s">
        <v>21</v>
      </c>
      <c r="E789">
        <v>2222222</v>
      </c>
      <c r="F789" s="8" t="s">
        <v>22</v>
      </c>
      <c r="G789" s="2">
        <v>98</v>
      </c>
      <c r="H789" t="s">
        <v>3938</v>
      </c>
      <c r="I789" t="s">
        <v>4735</v>
      </c>
      <c r="J789" s="9" t="s">
        <v>5147</v>
      </c>
      <c r="K789" t="s">
        <v>4872</v>
      </c>
      <c r="L789" s="2">
        <v>1</v>
      </c>
      <c r="M789" s="24" t="s">
        <v>5971</v>
      </c>
      <c r="N789" s="2" t="s">
        <v>23</v>
      </c>
      <c r="O789" s="18" t="s">
        <v>662</v>
      </c>
      <c r="P789" s="18" t="s">
        <v>3781</v>
      </c>
      <c r="Q789" s="6" t="s">
        <v>4475</v>
      </c>
      <c r="T789" s="23">
        <v>44823</v>
      </c>
      <c r="U789" s="23">
        <v>46285</v>
      </c>
      <c r="X789" s="20">
        <v>5800</v>
      </c>
      <c r="Z789" s="6" t="s">
        <v>5978</v>
      </c>
      <c r="AA789" s="13">
        <f>+(0.56/1000)</f>
        <v>5.6000000000000006E-4</v>
      </c>
      <c r="AB789">
        <v>0.20364960000000004</v>
      </c>
      <c r="AC789">
        <v>0.21179558400000006</v>
      </c>
    </row>
    <row r="790" spans="1:29" x14ac:dyDescent="0.3">
      <c r="A790">
        <v>148567</v>
      </c>
      <c r="B790" s="25" t="s">
        <v>5984</v>
      </c>
      <c r="C790" t="s">
        <v>20</v>
      </c>
      <c r="D790" t="s">
        <v>21</v>
      </c>
      <c r="E790">
        <v>2222222</v>
      </c>
      <c r="F790" s="8" t="s">
        <v>22</v>
      </c>
      <c r="G790" s="2">
        <v>98</v>
      </c>
      <c r="H790" t="s">
        <v>3938</v>
      </c>
      <c r="I790" t="s">
        <v>4380</v>
      </c>
      <c r="J790" s="9" t="s">
        <v>4779</v>
      </c>
      <c r="K790" t="s">
        <v>5297</v>
      </c>
      <c r="L790" s="2">
        <v>1</v>
      </c>
      <c r="M790" s="24" t="s">
        <v>5971</v>
      </c>
      <c r="N790" s="2" t="s">
        <v>23</v>
      </c>
      <c r="O790" s="18" t="s">
        <v>663</v>
      </c>
      <c r="P790" s="18" t="s">
        <v>0</v>
      </c>
      <c r="Q790" s="6" t="s">
        <v>4475</v>
      </c>
      <c r="T790" s="23">
        <v>45706</v>
      </c>
      <c r="U790" s="23">
        <v>47884</v>
      </c>
      <c r="X790" s="20">
        <v>12400</v>
      </c>
      <c r="Z790" s="6" t="s">
        <v>5978</v>
      </c>
      <c r="AA790" s="14">
        <f t="shared" ref="AA790:AA797" si="107">+(0.6/1000)</f>
        <v>5.9999999999999995E-4</v>
      </c>
      <c r="AB790">
        <v>6.2861339999999988</v>
      </c>
      <c r="AC790">
        <v>6.5375793599999987</v>
      </c>
    </row>
    <row r="791" spans="1:29" x14ac:dyDescent="0.3">
      <c r="A791">
        <v>148628</v>
      </c>
      <c r="B791" s="25" t="s">
        <v>5984</v>
      </c>
      <c r="C791" t="s">
        <v>20</v>
      </c>
      <c r="D791" t="s">
        <v>21</v>
      </c>
      <c r="E791">
        <v>2222222</v>
      </c>
      <c r="F791" s="8" t="s">
        <v>22</v>
      </c>
      <c r="G791" s="2">
        <v>98</v>
      </c>
      <c r="H791" t="s">
        <v>3938</v>
      </c>
      <c r="I791" t="s">
        <v>4315</v>
      </c>
      <c r="J791" s="9" t="s">
        <v>4894</v>
      </c>
      <c r="K791" t="s">
        <v>5298</v>
      </c>
      <c r="L791" s="2">
        <v>1</v>
      </c>
      <c r="M791" s="24" t="s">
        <v>5971</v>
      </c>
      <c r="N791" s="2" t="s">
        <v>23</v>
      </c>
      <c r="O791" s="18" t="s">
        <v>664</v>
      </c>
      <c r="P791" s="18" t="s">
        <v>0</v>
      </c>
      <c r="Q791" s="6" t="s">
        <v>4475</v>
      </c>
      <c r="T791" s="23">
        <v>45981</v>
      </c>
      <c r="U791" s="23">
        <v>49633</v>
      </c>
      <c r="X791" s="20">
        <v>75000</v>
      </c>
      <c r="Z791" s="6" t="s">
        <v>5978</v>
      </c>
      <c r="AA791" s="14">
        <f t="shared" si="107"/>
        <v>5.9999999999999995E-4</v>
      </c>
      <c r="AB791">
        <v>41.999999999999993</v>
      </c>
      <c r="AC791">
        <v>43.679999999999993</v>
      </c>
    </row>
    <row r="792" spans="1:29" x14ac:dyDescent="0.3">
      <c r="A792">
        <v>150382</v>
      </c>
      <c r="B792" s="25" t="s">
        <v>5984</v>
      </c>
      <c r="C792" t="s">
        <v>20</v>
      </c>
      <c r="D792" t="s">
        <v>21</v>
      </c>
      <c r="E792">
        <v>2222222</v>
      </c>
      <c r="F792" s="8" t="s">
        <v>22</v>
      </c>
      <c r="G792" s="2">
        <v>98</v>
      </c>
      <c r="H792" t="s">
        <v>3938</v>
      </c>
      <c r="I792" t="s">
        <v>4767</v>
      </c>
      <c r="J792" s="9" t="s">
        <v>5299</v>
      </c>
      <c r="K792" t="s">
        <v>4925</v>
      </c>
      <c r="L792" s="2">
        <v>1</v>
      </c>
      <c r="M792" s="24" t="s">
        <v>5971</v>
      </c>
      <c r="N792" s="2" t="s">
        <v>23</v>
      </c>
      <c r="O792" s="18" t="s">
        <v>665</v>
      </c>
      <c r="P792" s="18" t="s">
        <v>3781</v>
      </c>
      <c r="Q792" s="6" t="s">
        <v>4475</v>
      </c>
      <c r="T792" s="23">
        <v>46090</v>
      </c>
      <c r="U792" s="23">
        <v>46820</v>
      </c>
      <c r="X792" s="20">
        <v>5000</v>
      </c>
      <c r="Z792" s="6" t="s">
        <v>5978</v>
      </c>
      <c r="AA792" s="14">
        <f t="shared" si="107"/>
        <v>5.9999999999999995E-4</v>
      </c>
      <c r="AB792">
        <v>2.5713299999999997</v>
      </c>
      <c r="AC792">
        <v>2.6741831999999999</v>
      </c>
    </row>
    <row r="793" spans="1:29" x14ac:dyDescent="0.3">
      <c r="A793">
        <v>150599</v>
      </c>
      <c r="B793" s="25" t="s">
        <v>5984</v>
      </c>
      <c r="C793" t="s">
        <v>20</v>
      </c>
      <c r="D793" t="s">
        <v>21</v>
      </c>
      <c r="E793">
        <v>2222222</v>
      </c>
      <c r="F793" s="8" t="s">
        <v>22</v>
      </c>
      <c r="G793" s="2">
        <v>98</v>
      </c>
      <c r="H793" t="s">
        <v>3938</v>
      </c>
      <c r="I793" t="s">
        <v>3835</v>
      </c>
      <c r="J793" s="9" t="s">
        <v>5256</v>
      </c>
      <c r="K793" t="s">
        <v>4878</v>
      </c>
      <c r="L793" s="2">
        <v>1</v>
      </c>
      <c r="M793" s="24" t="s">
        <v>5971</v>
      </c>
      <c r="N793" s="2" t="s">
        <v>23</v>
      </c>
      <c r="O793" s="18" t="s">
        <v>666</v>
      </c>
      <c r="P793" s="18" t="s">
        <v>0</v>
      </c>
      <c r="Q793" s="6" t="s">
        <v>4475</v>
      </c>
      <c r="T793" s="23">
        <v>46104</v>
      </c>
      <c r="U793" s="23">
        <v>46835</v>
      </c>
      <c r="X793" s="20">
        <v>3600</v>
      </c>
      <c r="Z793" s="6" t="s">
        <v>5978</v>
      </c>
      <c r="AA793" s="14">
        <f t="shared" si="107"/>
        <v>5.9999999999999995E-4</v>
      </c>
      <c r="AB793">
        <v>1.8404039999999999</v>
      </c>
      <c r="AC793">
        <v>1.91402016</v>
      </c>
    </row>
    <row r="794" spans="1:29" x14ac:dyDescent="0.3">
      <c r="A794">
        <v>150651</v>
      </c>
      <c r="B794" s="25" t="s">
        <v>5984</v>
      </c>
      <c r="C794" t="s">
        <v>20</v>
      </c>
      <c r="D794" t="s">
        <v>21</v>
      </c>
      <c r="E794">
        <v>2222222</v>
      </c>
      <c r="F794" s="8" t="s">
        <v>22</v>
      </c>
      <c r="G794" s="2">
        <v>98</v>
      </c>
      <c r="H794" t="s">
        <v>3938</v>
      </c>
      <c r="I794" t="s">
        <v>4552</v>
      </c>
      <c r="J794" s="9" t="s">
        <v>4815</v>
      </c>
      <c r="K794" t="s">
        <v>4857</v>
      </c>
      <c r="L794" s="2">
        <v>1</v>
      </c>
      <c r="M794" s="24" t="s">
        <v>5971</v>
      </c>
      <c r="N794" s="2" t="s">
        <v>23</v>
      </c>
      <c r="O794" s="18" t="s">
        <v>667</v>
      </c>
      <c r="P794" s="18" t="s">
        <v>0</v>
      </c>
      <c r="Q794" s="6" t="s">
        <v>4475</v>
      </c>
      <c r="T794" s="23">
        <v>46106</v>
      </c>
      <c r="U794" s="23">
        <v>47201</v>
      </c>
      <c r="X794" s="20">
        <v>5000</v>
      </c>
      <c r="Z794" s="6" t="s">
        <v>5978</v>
      </c>
      <c r="AA794" s="14">
        <f t="shared" si="107"/>
        <v>5.9999999999999995E-4</v>
      </c>
      <c r="AB794">
        <v>2.7403199999999996</v>
      </c>
      <c r="AC794">
        <v>2.8499327999999999</v>
      </c>
    </row>
    <row r="795" spans="1:29" x14ac:dyDescent="0.3">
      <c r="A795">
        <v>151380</v>
      </c>
      <c r="B795" s="25" t="s">
        <v>5984</v>
      </c>
      <c r="C795" t="s">
        <v>20</v>
      </c>
      <c r="D795" t="s">
        <v>21</v>
      </c>
      <c r="E795">
        <v>2222222</v>
      </c>
      <c r="F795" s="8" t="s">
        <v>22</v>
      </c>
      <c r="G795" s="2">
        <v>98</v>
      </c>
      <c r="H795" t="s">
        <v>3938</v>
      </c>
      <c r="I795" t="s">
        <v>3835</v>
      </c>
      <c r="J795" s="9" t="s">
        <v>4898</v>
      </c>
      <c r="K795" t="s">
        <v>4928</v>
      </c>
      <c r="L795" s="2">
        <v>1</v>
      </c>
      <c r="M795" s="24" t="s">
        <v>5971</v>
      </c>
      <c r="N795" s="2" t="s">
        <v>23</v>
      </c>
      <c r="O795" s="18" t="s">
        <v>668</v>
      </c>
      <c r="P795" s="18" t="s">
        <v>3781</v>
      </c>
      <c r="Q795" s="6" t="s">
        <v>4475</v>
      </c>
      <c r="T795" s="23">
        <v>46162</v>
      </c>
      <c r="U795" s="23">
        <v>47257</v>
      </c>
      <c r="X795" s="20">
        <v>2000</v>
      </c>
      <c r="Z795" s="6" t="s">
        <v>5978</v>
      </c>
      <c r="AA795" s="14">
        <f t="shared" si="107"/>
        <v>5.9999999999999995E-4</v>
      </c>
      <c r="AB795">
        <v>1.1477819999999999</v>
      </c>
      <c r="AC795">
        <v>1.19369328</v>
      </c>
    </row>
    <row r="796" spans="1:29" x14ac:dyDescent="0.3">
      <c r="A796">
        <v>151982</v>
      </c>
      <c r="B796" s="25" t="s">
        <v>5984</v>
      </c>
      <c r="C796" t="s">
        <v>20</v>
      </c>
      <c r="D796" t="s">
        <v>21</v>
      </c>
      <c r="E796">
        <v>2222222</v>
      </c>
      <c r="F796" s="8" t="s">
        <v>22</v>
      </c>
      <c r="G796" s="2">
        <v>98</v>
      </c>
      <c r="H796" t="s">
        <v>3938</v>
      </c>
      <c r="I796" t="s">
        <v>4552</v>
      </c>
      <c r="J796" s="9" t="s">
        <v>4815</v>
      </c>
      <c r="K796" t="s">
        <v>4857</v>
      </c>
      <c r="L796" s="2">
        <v>1</v>
      </c>
      <c r="M796" s="24" t="s">
        <v>5971</v>
      </c>
      <c r="N796" s="2" t="s">
        <v>23</v>
      </c>
      <c r="O796" s="18" t="s">
        <v>667</v>
      </c>
      <c r="P796" s="18" t="s">
        <v>0</v>
      </c>
      <c r="Q796" s="6" t="s">
        <v>4475</v>
      </c>
      <c r="T796" s="23">
        <v>46203</v>
      </c>
      <c r="U796" s="23">
        <v>46293</v>
      </c>
      <c r="X796" s="20">
        <v>2075</v>
      </c>
      <c r="Z796" s="6" t="s">
        <v>5978</v>
      </c>
      <c r="AA796" s="14">
        <f t="shared" si="107"/>
        <v>5.9999999999999995E-4</v>
      </c>
      <c r="AB796">
        <v>1.2449999999999999</v>
      </c>
      <c r="AC796">
        <v>1.2948</v>
      </c>
    </row>
    <row r="797" spans="1:29" x14ac:dyDescent="0.3">
      <c r="A797">
        <v>152008</v>
      </c>
      <c r="B797" s="25" t="s">
        <v>5984</v>
      </c>
      <c r="C797" t="s">
        <v>20</v>
      </c>
      <c r="D797" t="s">
        <v>21</v>
      </c>
      <c r="E797">
        <v>2222222</v>
      </c>
      <c r="F797" s="8" t="s">
        <v>22</v>
      </c>
      <c r="G797" s="2">
        <v>98</v>
      </c>
      <c r="H797" t="s">
        <v>3938</v>
      </c>
      <c r="I797" t="s">
        <v>4636</v>
      </c>
      <c r="J797" s="9" t="s">
        <v>5294</v>
      </c>
      <c r="K797" t="s">
        <v>4904</v>
      </c>
      <c r="L797" s="2">
        <v>1</v>
      </c>
      <c r="M797" s="24" t="s">
        <v>5971</v>
      </c>
      <c r="N797" s="2" t="s">
        <v>23</v>
      </c>
      <c r="O797" s="18" t="s">
        <v>659</v>
      </c>
      <c r="P797" s="18" t="s">
        <v>3781</v>
      </c>
      <c r="Q797" s="6" t="s">
        <v>4475</v>
      </c>
      <c r="T797" s="23">
        <v>46204</v>
      </c>
      <c r="U797" s="23">
        <v>46294</v>
      </c>
      <c r="X797" s="20">
        <v>3820</v>
      </c>
      <c r="Z797" s="6" t="s">
        <v>5978</v>
      </c>
      <c r="AA797" s="14">
        <f t="shared" si="107"/>
        <v>5.9999999999999995E-4</v>
      </c>
      <c r="AB797">
        <v>2.2919999999999998</v>
      </c>
      <c r="AC797">
        <v>2.38368</v>
      </c>
    </row>
    <row r="798" spans="1:29" x14ac:dyDescent="0.3">
      <c r="A798">
        <v>116002</v>
      </c>
      <c r="B798" s="25" t="s">
        <v>5984</v>
      </c>
      <c r="C798" t="s">
        <v>20</v>
      </c>
      <c r="D798" t="s">
        <v>21</v>
      </c>
      <c r="E798">
        <v>2222222</v>
      </c>
      <c r="F798" s="8" t="s">
        <v>22</v>
      </c>
      <c r="G798" s="2">
        <v>98</v>
      </c>
      <c r="H798" t="s">
        <v>3939</v>
      </c>
      <c r="I798" t="s">
        <v>4556</v>
      </c>
      <c r="J798" s="9" t="s">
        <v>5300</v>
      </c>
      <c r="K798" t="s">
        <v>4876</v>
      </c>
      <c r="L798" s="2">
        <v>1</v>
      </c>
      <c r="M798" s="24" t="s">
        <v>5971</v>
      </c>
      <c r="N798" s="2" t="s">
        <v>23</v>
      </c>
      <c r="O798" s="18" t="s">
        <v>669</v>
      </c>
      <c r="P798" s="18" t="s">
        <v>0</v>
      </c>
      <c r="Q798" s="6" t="s">
        <v>4475</v>
      </c>
      <c r="T798" s="23">
        <v>44133</v>
      </c>
      <c r="U798" s="23">
        <v>46688</v>
      </c>
      <c r="X798" s="20">
        <v>10500</v>
      </c>
      <c r="Z798" s="6" t="s">
        <v>5978</v>
      </c>
      <c r="AA798" s="15">
        <f>+(0.42/1000)</f>
        <v>4.1999999999999996E-4</v>
      </c>
      <c r="AB798">
        <v>1.2575345999999998</v>
      </c>
      <c r="AC798">
        <v>1.3078359839999998</v>
      </c>
    </row>
    <row r="799" spans="1:29" x14ac:dyDescent="0.3">
      <c r="A799">
        <v>133800</v>
      </c>
      <c r="B799" s="25" t="s">
        <v>5984</v>
      </c>
      <c r="C799" t="s">
        <v>20</v>
      </c>
      <c r="D799" t="s">
        <v>21</v>
      </c>
      <c r="E799">
        <v>2222222</v>
      </c>
      <c r="F799" s="8" t="s">
        <v>22</v>
      </c>
      <c r="G799" s="2">
        <v>98</v>
      </c>
      <c r="H799" t="s">
        <v>3939</v>
      </c>
      <c r="I799" t="s">
        <v>4331</v>
      </c>
      <c r="J799" s="9" t="s">
        <v>4988</v>
      </c>
      <c r="K799" t="s">
        <v>5064</v>
      </c>
      <c r="L799" s="2">
        <v>1</v>
      </c>
      <c r="M799" s="24" t="s">
        <v>5971</v>
      </c>
      <c r="N799" s="2" t="s">
        <v>23</v>
      </c>
      <c r="O799" s="18" t="s">
        <v>670</v>
      </c>
      <c r="P799" s="18" t="s">
        <v>0</v>
      </c>
      <c r="Q799" s="6" t="s">
        <v>4475</v>
      </c>
      <c r="T799" s="23">
        <v>45015</v>
      </c>
      <c r="U799" s="23">
        <v>47571</v>
      </c>
      <c r="X799" s="20">
        <v>28000</v>
      </c>
      <c r="Z799" s="6" t="s">
        <v>5978</v>
      </c>
      <c r="AA799" s="13">
        <f>+(0.56/1000)</f>
        <v>5.6000000000000006E-4</v>
      </c>
      <c r="AB799">
        <v>9.9523144000000023</v>
      </c>
      <c r="AC799">
        <v>10.350406976000002</v>
      </c>
    </row>
    <row r="800" spans="1:29" x14ac:dyDescent="0.3">
      <c r="A800">
        <v>141213</v>
      </c>
      <c r="B800" s="25" t="s">
        <v>5984</v>
      </c>
      <c r="C800" t="s">
        <v>20</v>
      </c>
      <c r="D800" t="s">
        <v>21</v>
      </c>
      <c r="E800">
        <v>2222222</v>
      </c>
      <c r="F800" s="8" t="s">
        <v>22</v>
      </c>
      <c r="G800" s="2">
        <v>98</v>
      </c>
      <c r="H800" t="s">
        <v>3939</v>
      </c>
      <c r="I800" t="s">
        <v>4105</v>
      </c>
      <c r="J800" s="9" t="s">
        <v>5093</v>
      </c>
      <c r="K800" t="s">
        <v>4893</v>
      </c>
      <c r="L800" s="2">
        <v>1</v>
      </c>
      <c r="M800" s="24" t="s">
        <v>5971</v>
      </c>
      <c r="N800" s="2" t="s">
        <v>23</v>
      </c>
      <c r="O800" s="18" t="s">
        <v>671</v>
      </c>
      <c r="P800" s="18" t="s">
        <v>3781</v>
      </c>
      <c r="Q800" s="6" t="s">
        <v>4475</v>
      </c>
      <c r="T800" s="23">
        <v>45442</v>
      </c>
      <c r="U800" s="23">
        <v>49185</v>
      </c>
      <c r="X800" s="20">
        <v>100000</v>
      </c>
      <c r="Z800" s="6" t="s">
        <v>5978</v>
      </c>
      <c r="AA800" s="14">
        <f t="shared" ref="AA800:AA804" si="108">+(0.6/1000)</f>
        <v>5.9999999999999995E-4</v>
      </c>
      <c r="AB800">
        <v>53.805593999999999</v>
      </c>
      <c r="AC800">
        <v>55.957817760000005</v>
      </c>
    </row>
    <row r="801" spans="1:29" x14ac:dyDescent="0.3">
      <c r="A801">
        <v>150083</v>
      </c>
      <c r="B801" s="25" t="s">
        <v>5984</v>
      </c>
      <c r="C801" t="s">
        <v>20</v>
      </c>
      <c r="D801" t="s">
        <v>21</v>
      </c>
      <c r="E801">
        <v>2222222</v>
      </c>
      <c r="F801" s="8" t="s">
        <v>22</v>
      </c>
      <c r="G801" s="2">
        <v>98</v>
      </c>
      <c r="H801" t="s">
        <v>3939</v>
      </c>
      <c r="I801" t="s">
        <v>4414</v>
      </c>
      <c r="J801" s="9" t="s">
        <v>4779</v>
      </c>
      <c r="K801" t="s">
        <v>5010</v>
      </c>
      <c r="L801" s="2">
        <v>1</v>
      </c>
      <c r="M801" s="24" t="s">
        <v>5971</v>
      </c>
      <c r="N801" s="2" t="s">
        <v>23</v>
      </c>
      <c r="O801" s="18" t="s">
        <v>672</v>
      </c>
      <c r="P801" s="18" t="s">
        <v>0</v>
      </c>
      <c r="Q801" s="6" t="s">
        <v>4475</v>
      </c>
      <c r="T801" s="23">
        <v>46071</v>
      </c>
      <c r="U801" s="23">
        <v>47534</v>
      </c>
      <c r="X801" s="20">
        <v>5000</v>
      </c>
      <c r="Z801" s="6" t="s">
        <v>5978</v>
      </c>
      <c r="AA801" s="14">
        <f t="shared" si="108"/>
        <v>5.9999999999999995E-4</v>
      </c>
      <c r="AB801">
        <v>2.7787860000000002</v>
      </c>
      <c r="AC801">
        <v>2.8899374400000002</v>
      </c>
    </row>
    <row r="802" spans="1:29" x14ac:dyDescent="0.3">
      <c r="A802">
        <v>150566</v>
      </c>
      <c r="B802" s="25" t="s">
        <v>5984</v>
      </c>
      <c r="C802" t="s">
        <v>20</v>
      </c>
      <c r="D802" t="s">
        <v>21</v>
      </c>
      <c r="E802">
        <v>2222222</v>
      </c>
      <c r="F802" s="8" t="s">
        <v>22</v>
      </c>
      <c r="G802" s="2">
        <v>98</v>
      </c>
      <c r="H802" t="s">
        <v>3939</v>
      </c>
      <c r="I802" t="s">
        <v>3939</v>
      </c>
      <c r="J802" s="9" t="s">
        <v>4815</v>
      </c>
      <c r="K802" t="s">
        <v>4852</v>
      </c>
      <c r="L802" s="2">
        <v>1</v>
      </c>
      <c r="M802" s="24" t="s">
        <v>5971</v>
      </c>
      <c r="N802" s="2" t="s">
        <v>23</v>
      </c>
      <c r="O802" s="18" t="s">
        <v>673</v>
      </c>
      <c r="P802" s="18" t="s">
        <v>0</v>
      </c>
      <c r="Q802" s="6" t="s">
        <v>4475</v>
      </c>
      <c r="T802" s="23">
        <v>46101</v>
      </c>
      <c r="U802" s="23">
        <v>46284</v>
      </c>
      <c r="X802" s="20">
        <v>1050</v>
      </c>
      <c r="Z802" s="6" t="s">
        <v>5978</v>
      </c>
      <c r="AA802" s="14">
        <f t="shared" si="108"/>
        <v>5.9999999999999995E-4</v>
      </c>
      <c r="AB802">
        <v>0.21584399999999998</v>
      </c>
      <c r="AC802">
        <v>0.22447776</v>
      </c>
    </row>
    <row r="803" spans="1:29" x14ac:dyDescent="0.3">
      <c r="A803">
        <v>151571</v>
      </c>
      <c r="B803" s="25" t="s">
        <v>5984</v>
      </c>
      <c r="C803" t="s">
        <v>20</v>
      </c>
      <c r="D803" t="s">
        <v>21</v>
      </c>
      <c r="E803">
        <v>2222222</v>
      </c>
      <c r="F803" s="8" t="s">
        <v>22</v>
      </c>
      <c r="G803" s="2">
        <v>98</v>
      </c>
      <c r="H803" t="s">
        <v>3940</v>
      </c>
      <c r="I803" t="s">
        <v>4371</v>
      </c>
      <c r="J803" s="9" t="s">
        <v>4859</v>
      </c>
      <c r="K803" t="s">
        <v>5301</v>
      </c>
      <c r="L803" s="2">
        <v>1</v>
      </c>
      <c r="M803" s="24" t="s">
        <v>5971</v>
      </c>
      <c r="N803" s="2" t="s">
        <v>23</v>
      </c>
      <c r="O803" s="18" t="s">
        <v>674</v>
      </c>
      <c r="P803" s="18" t="s">
        <v>3781</v>
      </c>
      <c r="Q803" s="6" t="s">
        <v>4475</v>
      </c>
      <c r="T803" s="23">
        <v>46173</v>
      </c>
      <c r="U803" s="23">
        <v>46263</v>
      </c>
      <c r="X803" s="20">
        <v>1390</v>
      </c>
      <c r="Z803" s="6" t="s">
        <v>5978</v>
      </c>
      <c r="AA803" s="14">
        <f t="shared" si="108"/>
        <v>5.9999999999999995E-4</v>
      </c>
      <c r="AB803">
        <v>0.83399999999999996</v>
      </c>
      <c r="AC803">
        <v>0.86736000000000002</v>
      </c>
    </row>
    <row r="804" spans="1:29" x14ac:dyDescent="0.3">
      <c r="A804">
        <v>152261</v>
      </c>
      <c r="B804" s="25" t="s">
        <v>5984</v>
      </c>
      <c r="C804" t="s">
        <v>20</v>
      </c>
      <c r="D804" t="s">
        <v>21</v>
      </c>
      <c r="E804">
        <v>2222222</v>
      </c>
      <c r="F804" s="8" t="s">
        <v>22</v>
      </c>
      <c r="G804" s="2">
        <v>98</v>
      </c>
      <c r="H804" t="s">
        <v>3940</v>
      </c>
      <c r="I804" t="s">
        <v>4371</v>
      </c>
      <c r="J804" s="9" t="s">
        <v>4859</v>
      </c>
      <c r="K804" t="s">
        <v>5301</v>
      </c>
      <c r="L804" s="2">
        <v>1</v>
      </c>
      <c r="M804" s="24" t="s">
        <v>5971</v>
      </c>
      <c r="N804" s="2" t="s">
        <v>23</v>
      </c>
      <c r="O804" s="18" t="s">
        <v>674</v>
      </c>
      <c r="P804" s="18" t="s">
        <v>3781</v>
      </c>
      <c r="Q804" s="6" t="s">
        <v>4475</v>
      </c>
      <c r="T804" s="23">
        <v>46224</v>
      </c>
      <c r="U804" s="23">
        <v>46314</v>
      </c>
      <c r="X804" s="20">
        <v>5000</v>
      </c>
      <c r="Z804" s="6" t="s">
        <v>5978</v>
      </c>
      <c r="AA804" s="14">
        <f t="shared" si="108"/>
        <v>5.9999999999999995E-4</v>
      </c>
      <c r="AB804">
        <v>2.9999999999999996</v>
      </c>
      <c r="AC804">
        <v>3.1199999999999997</v>
      </c>
    </row>
    <row r="805" spans="1:29" x14ac:dyDescent="0.3">
      <c r="A805">
        <v>129878</v>
      </c>
      <c r="B805" s="25" t="s">
        <v>5984</v>
      </c>
      <c r="C805" t="s">
        <v>20</v>
      </c>
      <c r="D805" t="s">
        <v>21</v>
      </c>
      <c r="E805">
        <v>2222222</v>
      </c>
      <c r="F805" s="8" t="s">
        <v>22</v>
      </c>
      <c r="G805" s="2">
        <v>98</v>
      </c>
      <c r="H805" t="s">
        <v>3941</v>
      </c>
      <c r="I805" t="s">
        <v>4664</v>
      </c>
      <c r="J805" s="9" t="s">
        <v>4516</v>
      </c>
      <c r="K805" t="s">
        <v>4956</v>
      </c>
      <c r="L805" s="2">
        <v>1</v>
      </c>
      <c r="M805" s="24" t="s">
        <v>5971</v>
      </c>
      <c r="N805" s="2" t="s">
        <v>23</v>
      </c>
      <c r="O805" s="18" t="s">
        <v>675</v>
      </c>
      <c r="P805" s="18" t="s">
        <v>3781</v>
      </c>
      <c r="Q805" s="6" t="s">
        <v>4475</v>
      </c>
      <c r="T805" s="23">
        <v>44804</v>
      </c>
      <c r="U805" s="23">
        <v>52291</v>
      </c>
      <c r="X805" s="20">
        <v>88854.02</v>
      </c>
      <c r="Z805" s="6" t="s">
        <v>5978</v>
      </c>
      <c r="AA805" s="13">
        <f>+(0.56/1000)</f>
        <v>5.6000000000000006E-4</v>
      </c>
      <c r="AB805">
        <v>46.944536800000002</v>
      </c>
      <c r="AC805">
        <v>48.822318272000004</v>
      </c>
    </row>
    <row r="806" spans="1:29" x14ac:dyDescent="0.3">
      <c r="A806">
        <v>148605</v>
      </c>
      <c r="B806" s="25" t="s">
        <v>5984</v>
      </c>
      <c r="C806" t="s">
        <v>20</v>
      </c>
      <c r="D806" t="s">
        <v>21</v>
      </c>
      <c r="E806">
        <v>2222222</v>
      </c>
      <c r="F806" s="8" t="s">
        <v>22</v>
      </c>
      <c r="G806" s="2">
        <v>98</v>
      </c>
      <c r="H806" t="s">
        <v>3941</v>
      </c>
      <c r="I806" t="s">
        <v>4664</v>
      </c>
      <c r="J806" s="9" t="s">
        <v>4516</v>
      </c>
      <c r="K806" t="s">
        <v>4956</v>
      </c>
      <c r="L806" s="2">
        <v>1</v>
      </c>
      <c r="M806" s="24" t="s">
        <v>5971</v>
      </c>
      <c r="N806" s="2" t="s">
        <v>23</v>
      </c>
      <c r="O806" s="18" t="s">
        <v>675</v>
      </c>
      <c r="P806" s="18" t="s">
        <v>3781</v>
      </c>
      <c r="Q806" s="6" t="s">
        <v>4475</v>
      </c>
      <c r="T806" s="23">
        <v>45968</v>
      </c>
      <c r="U806" s="23">
        <v>51447</v>
      </c>
      <c r="X806" s="20">
        <v>12700</v>
      </c>
      <c r="Z806" s="6" t="s">
        <v>5978</v>
      </c>
      <c r="AA806" s="14">
        <f t="shared" ref="AA806:AA807" si="109">+(0.6/1000)</f>
        <v>5.9999999999999995E-4</v>
      </c>
      <c r="AB806">
        <v>7.5092219999999994</v>
      </c>
      <c r="AC806">
        <v>7.80959088</v>
      </c>
    </row>
    <row r="807" spans="1:29" x14ac:dyDescent="0.3">
      <c r="A807">
        <v>148041</v>
      </c>
      <c r="B807" s="25" t="s">
        <v>5984</v>
      </c>
      <c r="C807" t="s">
        <v>20</v>
      </c>
      <c r="D807" t="s">
        <v>21</v>
      </c>
      <c r="E807">
        <v>2222222</v>
      </c>
      <c r="F807" s="8" t="s">
        <v>22</v>
      </c>
      <c r="G807" s="2">
        <v>98</v>
      </c>
      <c r="H807" t="s">
        <v>3942</v>
      </c>
      <c r="I807" t="s">
        <v>4818</v>
      </c>
      <c r="J807" s="9" t="s">
        <v>5273</v>
      </c>
      <c r="K807" t="s">
        <v>4904</v>
      </c>
      <c r="L807" s="2">
        <v>1</v>
      </c>
      <c r="M807" s="24" t="s">
        <v>5971</v>
      </c>
      <c r="N807" s="2" t="s">
        <v>23</v>
      </c>
      <c r="O807" s="18" t="s">
        <v>326</v>
      </c>
      <c r="P807" s="18" t="s">
        <v>3781</v>
      </c>
      <c r="Q807" s="6" t="s">
        <v>4475</v>
      </c>
      <c r="T807" s="23">
        <v>45931</v>
      </c>
      <c r="U807" s="23">
        <v>47027</v>
      </c>
      <c r="X807" s="20">
        <v>3400</v>
      </c>
      <c r="Z807" s="6" t="s">
        <v>5978</v>
      </c>
      <c r="AA807" s="14">
        <f t="shared" si="109"/>
        <v>5.9999999999999995E-4</v>
      </c>
      <c r="AB807">
        <v>1.8617699999999997</v>
      </c>
      <c r="AC807">
        <v>1.9362407999999998</v>
      </c>
    </row>
    <row r="808" spans="1:29" x14ac:dyDescent="0.3">
      <c r="A808">
        <v>117754</v>
      </c>
      <c r="B808" s="25" t="s">
        <v>5984</v>
      </c>
      <c r="C808" t="s">
        <v>20</v>
      </c>
      <c r="D808" t="s">
        <v>21</v>
      </c>
      <c r="E808">
        <v>2222222</v>
      </c>
      <c r="F808" s="8" t="s">
        <v>22</v>
      </c>
      <c r="G808" s="2">
        <v>98</v>
      </c>
      <c r="H808" t="s">
        <v>3943</v>
      </c>
      <c r="I808" t="s">
        <v>4325</v>
      </c>
      <c r="J808" s="9" t="s">
        <v>5041</v>
      </c>
      <c r="K808" t="s">
        <v>4919</v>
      </c>
      <c r="L808" s="2">
        <v>1</v>
      </c>
      <c r="M808" s="24" t="s">
        <v>5971</v>
      </c>
      <c r="N808" s="2" t="s">
        <v>23</v>
      </c>
      <c r="O808" s="18" t="s">
        <v>676</v>
      </c>
      <c r="P808" s="18" t="s">
        <v>0</v>
      </c>
      <c r="Q808" s="6" t="s">
        <v>4475</v>
      </c>
      <c r="T808" s="23">
        <v>44193</v>
      </c>
      <c r="U808" s="23">
        <v>45295</v>
      </c>
      <c r="X808" s="20">
        <v>3060</v>
      </c>
      <c r="Z808" s="6" t="s">
        <v>5978</v>
      </c>
      <c r="AA808" s="15">
        <f t="shared" ref="AA808:AA810" si="110">+(0.42/1000)</f>
        <v>4.1999999999999996E-4</v>
      </c>
      <c r="AB808">
        <v>1.2851999999999999</v>
      </c>
      <c r="AC808">
        <v>1.336608</v>
      </c>
    </row>
    <row r="809" spans="1:29" x14ac:dyDescent="0.3">
      <c r="A809">
        <v>123164</v>
      </c>
      <c r="B809" s="25" t="s">
        <v>5984</v>
      </c>
      <c r="C809" t="s">
        <v>20</v>
      </c>
      <c r="D809" t="s">
        <v>21</v>
      </c>
      <c r="E809">
        <v>2222222</v>
      </c>
      <c r="F809" s="8" t="s">
        <v>22</v>
      </c>
      <c r="G809" s="2">
        <v>98</v>
      </c>
      <c r="H809" t="s">
        <v>3944</v>
      </c>
      <c r="I809" t="s">
        <v>4229</v>
      </c>
      <c r="J809" s="9" t="s">
        <v>4871</v>
      </c>
      <c r="K809" t="s">
        <v>4961</v>
      </c>
      <c r="L809" s="2">
        <v>1</v>
      </c>
      <c r="M809" s="24" t="s">
        <v>5971</v>
      </c>
      <c r="N809" s="2" t="s">
        <v>23</v>
      </c>
      <c r="O809" s="18" t="s">
        <v>677</v>
      </c>
      <c r="P809" s="18" t="s">
        <v>0</v>
      </c>
      <c r="Q809" s="6" t="s">
        <v>4475</v>
      </c>
      <c r="T809" s="23">
        <v>44453</v>
      </c>
      <c r="U809" s="23">
        <v>45914</v>
      </c>
      <c r="X809" s="20">
        <v>4825</v>
      </c>
      <c r="Z809" s="6" t="s">
        <v>5978</v>
      </c>
      <c r="AA809" s="15">
        <f t="shared" si="110"/>
        <v>4.1999999999999996E-4</v>
      </c>
      <c r="AB809">
        <v>1.4485379999999999</v>
      </c>
      <c r="AC809">
        <v>1.5064795199999998</v>
      </c>
    </row>
    <row r="810" spans="1:29" x14ac:dyDescent="0.3">
      <c r="A810">
        <v>126269</v>
      </c>
      <c r="B810" s="25" t="s">
        <v>5984</v>
      </c>
      <c r="C810" t="s">
        <v>20</v>
      </c>
      <c r="D810" t="s">
        <v>21</v>
      </c>
      <c r="E810">
        <v>2222222</v>
      </c>
      <c r="F810" s="8" t="s">
        <v>22</v>
      </c>
      <c r="G810" s="2">
        <v>98</v>
      </c>
      <c r="H810" t="s">
        <v>3944</v>
      </c>
      <c r="I810" t="s">
        <v>4663</v>
      </c>
      <c r="J810" s="9" t="s">
        <v>5234</v>
      </c>
      <c r="K810" t="s">
        <v>5006</v>
      </c>
      <c r="L810" s="2">
        <v>1</v>
      </c>
      <c r="M810" s="24" t="s">
        <v>5971</v>
      </c>
      <c r="N810" s="2" t="s">
        <v>23</v>
      </c>
      <c r="O810" s="18" t="s">
        <v>678</v>
      </c>
      <c r="P810" s="18" t="s">
        <v>0</v>
      </c>
      <c r="Q810" s="6" t="s">
        <v>4475</v>
      </c>
      <c r="T810" s="23">
        <v>44613</v>
      </c>
      <c r="U810" s="23">
        <v>46441</v>
      </c>
      <c r="X810" s="20">
        <v>10000</v>
      </c>
      <c r="Z810" s="6" t="s">
        <v>5978</v>
      </c>
      <c r="AA810" s="15">
        <f t="shared" si="110"/>
        <v>4.1999999999999996E-4</v>
      </c>
      <c r="AB810">
        <v>0.66533039999999988</v>
      </c>
      <c r="AC810">
        <v>0.69194361599999987</v>
      </c>
    </row>
    <row r="811" spans="1:29" x14ac:dyDescent="0.3">
      <c r="A811">
        <v>132676</v>
      </c>
      <c r="B811" s="25" t="s">
        <v>5984</v>
      </c>
      <c r="C811" t="s">
        <v>20</v>
      </c>
      <c r="D811" t="s">
        <v>21</v>
      </c>
      <c r="E811">
        <v>2222222</v>
      </c>
      <c r="F811" s="8" t="s">
        <v>22</v>
      </c>
      <c r="G811" s="2">
        <v>98</v>
      </c>
      <c r="H811" t="s">
        <v>3944</v>
      </c>
      <c r="I811" t="s">
        <v>3905</v>
      </c>
      <c r="J811" s="9" t="s">
        <v>5142</v>
      </c>
      <c r="K811" t="s">
        <v>4893</v>
      </c>
      <c r="L811" s="2">
        <v>1</v>
      </c>
      <c r="M811" s="24" t="s">
        <v>5971</v>
      </c>
      <c r="N811" s="2" t="s">
        <v>23</v>
      </c>
      <c r="O811" s="18" t="s">
        <v>679</v>
      </c>
      <c r="P811" s="18" t="s">
        <v>3781</v>
      </c>
      <c r="Q811" s="6" t="s">
        <v>4475</v>
      </c>
      <c r="T811" s="23">
        <v>44952</v>
      </c>
      <c r="U811" s="23">
        <v>46777</v>
      </c>
      <c r="X811" s="20">
        <v>5748.75</v>
      </c>
      <c r="Z811" s="6" t="s">
        <v>5978</v>
      </c>
      <c r="AA811" s="13">
        <f t="shared" ref="AA811:AA813" si="111">+(0.56/1000)</f>
        <v>5.6000000000000006E-4</v>
      </c>
      <c r="AB811">
        <v>3.1365544000000001</v>
      </c>
      <c r="AC811">
        <v>3.2620165760000002</v>
      </c>
    </row>
    <row r="812" spans="1:29" x14ac:dyDescent="0.3">
      <c r="A812">
        <v>135062</v>
      </c>
      <c r="B812" s="25" t="s">
        <v>5984</v>
      </c>
      <c r="C812" t="s">
        <v>20</v>
      </c>
      <c r="D812" t="s">
        <v>21</v>
      </c>
      <c r="E812">
        <v>2222222</v>
      </c>
      <c r="F812" s="8" t="s">
        <v>22</v>
      </c>
      <c r="G812" s="2">
        <v>98</v>
      </c>
      <c r="H812" t="s">
        <v>3944</v>
      </c>
      <c r="I812" t="s">
        <v>4585</v>
      </c>
      <c r="J812" s="9" t="s">
        <v>5137</v>
      </c>
      <c r="K812" t="s">
        <v>5055</v>
      </c>
      <c r="L812" s="2">
        <v>1</v>
      </c>
      <c r="M812" s="24" t="s">
        <v>5971</v>
      </c>
      <c r="N812" s="2" t="s">
        <v>23</v>
      </c>
      <c r="O812" s="18" t="s">
        <v>680</v>
      </c>
      <c r="P812" s="18" t="s">
        <v>3781</v>
      </c>
      <c r="Q812" s="6" t="s">
        <v>4475</v>
      </c>
      <c r="T812" s="23">
        <v>45092</v>
      </c>
      <c r="U812" s="23">
        <v>46553</v>
      </c>
      <c r="X812" s="20">
        <v>5000</v>
      </c>
      <c r="Z812" s="6" t="s">
        <v>5978</v>
      </c>
      <c r="AA812" s="13">
        <f t="shared" si="111"/>
        <v>5.6000000000000006E-4</v>
      </c>
      <c r="AB812">
        <v>0.84437360000000006</v>
      </c>
      <c r="AC812">
        <v>0.87814854400000009</v>
      </c>
    </row>
    <row r="813" spans="1:29" x14ac:dyDescent="0.3">
      <c r="A813">
        <v>140340</v>
      </c>
      <c r="B813" s="25" t="s">
        <v>5984</v>
      </c>
      <c r="C813" t="s">
        <v>20</v>
      </c>
      <c r="D813" t="s">
        <v>21</v>
      </c>
      <c r="E813">
        <v>2222222</v>
      </c>
      <c r="F813" s="8" t="s">
        <v>22</v>
      </c>
      <c r="G813" s="2">
        <v>98</v>
      </c>
      <c r="H813" t="s">
        <v>3944</v>
      </c>
      <c r="I813" t="s">
        <v>4639</v>
      </c>
      <c r="J813" s="9" t="s">
        <v>5045</v>
      </c>
      <c r="K813" t="s">
        <v>5276</v>
      </c>
      <c r="L813" s="2">
        <v>1</v>
      </c>
      <c r="M813" s="24" t="s">
        <v>5971</v>
      </c>
      <c r="N813" s="2" t="s">
        <v>23</v>
      </c>
      <c r="O813" s="18" t="s">
        <v>681</v>
      </c>
      <c r="P813" s="18" t="s">
        <v>3781</v>
      </c>
      <c r="Q813" s="6" t="s">
        <v>4475</v>
      </c>
      <c r="T813" s="23">
        <v>45383</v>
      </c>
      <c r="U813" s="23">
        <v>46935</v>
      </c>
      <c r="X813" s="20">
        <v>5000</v>
      </c>
      <c r="Z813" s="6" t="s">
        <v>5978</v>
      </c>
      <c r="AA813" s="13">
        <f t="shared" si="111"/>
        <v>5.6000000000000006E-4</v>
      </c>
      <c r="AB813">
        <v>1.6648800000000001</v>
      </c>
      <c r="AC813">
        <v>1.7314752000000002</v>
      </c>
    </row>
    <row r="814" spans="1:29" x14ac:dyDescent="0.3">
      <c r="A814">
        <v>147342</v>
      </c>
      <c r="B814" s="25" t="s">
        <v>5984</v>
      </c>
      <c r="C814" t="s">
        <v>20</v>
      </c>
      <c r="D814" t="s">
        <v>21</v>
      </c>
      <c r="E814">
        <v>2222222</v>
      </c>
      <c r="F814" s="8" t="s">
        <v>22</v>
      </c>
      <c r="G814" s="2">
        <v>98</v>
      </c>
      <c r="H814" t="s">
        <v>3945</v>
      </c>
      <c r="I814" t="s">
        <v>4819</v>
      </c>
      <c r="J814" s="9" t="s">
        <v>5096</v>
      </c>
      <c r="K814" t="s">
        <v>5104</v>
      </c>
      <c r="L814" s="2">
        <v>1</v>
      </c>
      <c r="M814" s="24" t="s">
        <v>5971</v>
      </c>
      <c r="N814" s="2" t="s">
        <v>23</v>
      </c>
      <c r="O814" s="18" t="s">
        <v>682</v>
      </c>
      <c r="P814" s="18" t="s">
        <v>3781</v>
      </c>
      <c r="Q814" s="6" t="s">
        <v>4475</v>
      </c>
      <c r="T814" s="23">
        <v>45882</v>
      </c>
      <c r="U814" s="23">
        <v>46977</v>
      </c>
      <c r="X814" s="20">
        <v>3000</v>
      </c>
      <c r="Z814" s="6" t="s">
        <v>5978</v>
      </c>
      <c r="AA814" s="14">
        <f t="shared" ref="AA814:AA816" si="112">+(0.6/1000)</f>
        <v>5.9999999999999995E-4</v>
      </c>
      <c r="AB814">
        <v>1.3273079999999997</v>
      </c>
      <c r="AC814">
        <v>1.3804003199999997</v>
      </c>
    </row>
    <row r="815" spans="1:29" x14ac:dyDescent="0.3">
      <c r="A815">
        <v>151137</v>
      </c>
      <c r="B815" s="25" t="s">
        <v>5984</v>
      </c>
      <c r="C815" t="s">
        <v>20</v>
      </c>
      <c r="D815" t="s">
        <v>21</v>
      </c>
      <c r="E815">
        <v>2222222</v>
      </c>
      <c r="F815" s="8" t="s">
        <v>22</v>
      </c>
      <c r="G815" s="2">
        <v>98</v>
      </c>
      <c r="H815" t="s">
        <v>3945</v>
      </c>
      <c r="I815" t="s">
        <v>4819</v>
      </c>
      <c r="J815" s="9" t="s">
        <v>5096</v>
      </c>
      <c r="K815" t="s">
        <v>5104</v>
      </c>
      <c r="L815" s="2">
        <v>1</v>
      </c>
      <c r="M815" s="24" t="s">
        <v>5971</v>
      </c>
      <c r="N815" s="2" t="s">
        <v>23</v>
      </c>
      <c r="O815" s="18" t="s">
        <v>682</v>
      </c>
      <c r="P815" s="18" t="s">
        <v>3781</v>
      </c>
      <c r="Q815" s="6" t="s">
        <v>4475</v>
      </c>
      <c r="T815" s="23">
        <v>46140</v>
      </c>
      <c r="U815" s="23">
        <v>47966</v>
      </c>
      <c r="X815" s="20">
        <v>4420</v>
      </c>
      <c r="Z815" s="6" t="s">
        <v>5978</v>
      </c>
      <c r="AA815" s="14">
        <f t="shared" si="112"/>
        <v>5.9999999999999995E-4</v>
      </c>
      <c r="AB815">
        <v>2.5938779999999997</v>
      </c>
      <c r="AC815">
        <v>2.6976331199999999</v>
      </c>
    </row>
    <row r="816" spans="1:29" x14ac:dyDescent="0.3">
      <c r="A816">
        <v>148405</v>
      </c>
      <c r="B816" s="25" t="s">
        <v>5984</v>
      </c>
      <c r="C816" t="s">
        <v>20</v>
      </c>
      <c r="D816" t="s">
        <v>21</v>
      </c>
      <c r="E816">
        <v>2222222</v>
      </c>
      <c r="F816" s="8" t="s">
        <v>22</v>
      </c>
      <c r="G816" s="2">
        <v>98</v>
      </c>
      <c r="H816" t="s">
        <v>3946</v>
      </c>
      <c r="I816" t="s">
        <v>4798</v>
      </c>
      <c r="J816" s="9" t="s">
        <v>4836</v>
      </c>
      <c r="K816" t="s">
        <v>5031</v>
      </c>
      <c r="L816" s="2">
        <v>1</v>
      </c>
      <c r="M816" s="24" t="s">
        <v>5971</v>
      </c>
      <c r="N816" s="2" t="s">
        <v>23</v>
      </c>
      <c r="O816" s="18" t="s">
        <v>683</v>
      </c>
      <c r="P816" s="18" t="s">
        <v>3781</v>
      </c>
      <c r="Q816" s="6" t="s">
        <v>4475</v>
      </c>
      <c r="T816" s="23">
        <v>45961</v>
      </c>
      <c r="U816" s="23">
        <v>48151</v>
      </c>
      <c r="X816" s="20">
        <v>14000</v>
      </c>
      <c r="Z816" s="6" t="s">
        <v>5978</v>
      </c>
      <c r="AA816" s="14">
        <f t="shared" si="112"/>
        <v>5.9999999999999995E-4</v>
      </c>
      <c r="AB816">
        <v>7.8100199999999997</v>
      </c>
      <c r="AC816">
        <v>8.1224208000000004</v>
      </c>
    </row>
    <row r="817" spans="1:29" x14ac:dyDescent="0.3">
      <c r="A817">
        <v>127156</v>
      </c>
      <c r="B817" s="25" t="s">
        <v>5984</v>
      </c>
      <c r="C817" t="s">
        <v>20</v>
      </c>
      <c r="D817" t="s">
        <v>21</v>
      </c>
      <c r="E817">
        <v>2222222</v>
      </c>
      <c r="F817" s="8" t="s">
        <v>22</v>
      </c>
      <c r="G817" s="2">
        <v>98</v>
      </c>
      <c r="H817" t="s">
        <v>3947</v>
      </c>
      <c r="I817" t="s">
        <v>4583</v>
      </c>
      <c r="J817" s="9" t="s">
        <v>4903</v>
      </c>
      <c r="K817" t="s">
        <v>4836</v>
      </c>
      <c r="L817" s="2">
        <v>1</v>
      </c>
      <c r="M817" s="24" t="s">
        <v>5971</v>
      </c>
      <c r="N817" s="2" t="s">
        <v>23</v>
      </c>
      <c r="O817" s="18" t="s">
        <v>684</v>
      </c>
      <c r="P817" s="18" t="s">
        <v>3781</v>
      </c>
      <c r="Q817" s="6" t="s">
        <v>4475</v>
      </c>
      <c r="T817" s="23">
        <v>44700</v>
      </c>
      <c r="U817" s="23">
        <v>46892</v>
      </c>
      <c r="X817" s="20">
        <v>20200</v>
      </c>
      <c r="Z817" s="6" t="s">
        <v>5978</v>
      </c>
      <c r="AA817" s="15">
        <f>+(0.42/1000)</f>
        <v>4.1999999999999996E-4</v>
      </c>
      <c r="AB817">
        <v>3.3821087999999997</v>
      </c>
      <c r="AC817">
        <v>3.5173931519999999</v>
      </c>
    </row>
    <row r="818" spans="1:29" x14ac:dyDescent="0.3">
      <c r="A818">
        <v>132130</v>
      </c>
      <c r="B818" s="25" t="s">
        <v>5984</v>
      </c>
      <c r="C818" t="s">
        <v>20</v>
      </c>
      <c r="D818" t="s">
        <v>21</v>
      </c>
      <c r="E818">
        <v>2222222</v>
      </c>
      <c r="F818" s="8" t="s">
        <v>22</v>
      </c>
      <c r="G818" s="2">
        <v>98</v>
      </c>
      <c r="H818" t="s">
        <v>3947</v>
      </c>
      <c r="I818" t="s">
        <v>4820</v>
      </c>
      <c r="J818" s="9" t="s">
        <v>4826</v>
      </c>
      <c r="K818" t="s">
        <v>4031</v>
      </c>
      <c r="L818" s="2">
        <v>1</v>
      </c>
      <c r="M818" s="24" t="s">
        <v>5971</v>
      </c>
      <c r="N818" s="2" t="s">
        <v>23</v>
      </c>
      <c r="O818" s="18" t="s">
        <v>685</v>
      </c>
      <c r="P818" s="18" t="s">
        <v>0</v>
      </c>
      <c r="Q818" s="6" t="s">
        <v>4475</v>
      </c>
      <c r="T818" s="23">
        <v>44924</v>
      </c>
      <c r="U818" s="23">
        <v>46024</v>
      </c>
      <c r="X818" s="20">
        <v>7433.3</v>
      </c>
      <c r="Z818" s="6" t="s">
        <v>5978</v>
      </c>
      <c r="AA818" s="13">
        <f t="shared" ref="AA818:AA824" si="113">+(0.56/1000)</f>
        <v>5.6000000000000006E-4</v>
      </c>
      <c r="AB818">
        <v>0.12164320000000001</v>
      </c>
      <c r="AC818">
        <v>0.12650892800000002</v>
      </c>
    </row>
    <row r="819" spans="1:29" x14ac:dyDescent="0.3">
      <c r="A819">
        <v>134504</v>
      </c>
      <c r="B819" s="25" t="s">
        <v>5984</v>
      </c>
      <c r="C819" t="s">
        <v>20</v>
      </c>
      <c r="D819" t="s">
        <v>21</v>
      </c>
      <c r="E819">
        <v>2222222</v>
      </c>
      <c r="F819" s="8" t="s">
        <v>22</v>
      </c>
      <c r="G819" s="2">
        <v>98</v>
      </c>
      <c r="H819" t="s">
        <v>3947</v>
      </c>
      <c r="I819" t="s">
        <v>4611</v>
      </c>
      <c r="J819" s="9" t="s">
        <v>5098</v>
      </c>
      <c r="K819" t="s">
        <v>5230</v>
      </c>
      <c r="L819" s="2">
        <v>1</v>
      </c>
      <c r="M819" s="24" t="s">
        <v>5971</v>
      </c>
      <c r="N819" s="2" t="s">
        <v>23</v>
      </c>
      <c r="O819" s="18" t="s">
        <v>686</v>
      </c>
      <c r="P819" s="18" t="s">
        <v>3781</v>
      </c>
      <c r="Q819" s="6" t="s">
        <v>4475</v>
      </c>
      <c r="T819" s="23">
        <v>45066</v>
      </c>
      <c r="U819" s="23">
        <v>46892</v>
      </c>
      <c r="X819" s="20">
        <v>10000</v>
      </c>
      <c r="Z819" s="6" t="s">
        <v>5978</v>
      </c>
      <c r="AA819" s="13">
        <f t="shared" si="113"/>
        <v>5.6000000000000006E-4</v>
      </c>
      <c r="AB819">
        <v>2.5911032000000005</v>
      </c>
      <c r="AC819">
        <v>2.6947473280000005</v>
      </c>
    </row>
    <row r="820" spans="1:29" x14ac:dyDescent="0.3">
      <c r="A820">
        <v>137098</v>
      </c>
      <c r="B820" s="25" t="s">
        <v>5984</v>
      </c>
      <c r="C820" t="s">
        <v>20</v>
      </c>
      <c r="D820" t="s">
        <v>21</v>
      </c>
      <c r="E820">
        <v>2222222</v>
      </c>
      <c r="F820" s="8" t="s">
        <v>22</v>
      </c>
      <c r="G820" s="2">
        <v>98</v>
      </c>
      <c r="H820" t="s">
        <v>3947</v>
      </c>
      <c r="I820" t="s">
        <v>4486</v>
      </c>
      <c r="J820" s="9" t="s">
        <v>5302</v>
      </c>
      <c r="K820" t="s">
        <v>4961</v>
      </c>
      <c r="L820" s="2">
        <v>1</v>
      </c>
      <c r="M820" s="24" t="s">
        <v>5971</v>
      </c>
      <c r="N820" s="2" t="s">
        <v>23</v>
      </c>
      <c r="O820" s="18" t="s">
        <v>687</v>
      </c>
      <c r="P820" s="18" t="s">
        <v>0</v>
      </c>
      <c r="Q820" s="6" t="s">
        <v>4475</v>
      </c>
      <c r="T820" s="23">
        <v>45209</v>
      </c>
      <c r="U820" s="23">
        <v>47035</v>
      </c>
      <c r="X820" s="20">
        <v>15000</v>
      </c>
      <c r="Z820" s="6" t="s">
        <v>5978</v>
      </c>
      <c r="AA820" s="13">
        <f t="shared" si="113"/>
        <v>5.6000000000000006E-4</v>
      </c>
      <c r="AB820">
        <v>7.6195616000000008</v>
      </c>
      <c r="AC820">
        <v>7.9243440640000014</v>
      </c>
    </row>
    <row r="821" spans="1:29" x14ac:dyDescent="0.3">
      <c r="A821">
        <v>137661</v>
      </c>
      <c r="B821" s="25" t="s">
        <v>5984</v>
      </c>
      <c r="C821" t="s">
        <v>20</v>
      </c>
      <c r="D821" t="s">
        <v>21</v>
      </c>
      <c r="E821">
        <v>2222222</v>
      </c>
      <c r="F821" s="8" t="s">
        <v>22</v>
      </c>
      <c r="G821" s="2">
        <v>98</v>
      </c>
      <c r="H821" t="s">
        <v>3947</v>
      </c>
      <c r="I821" t="s">
        <v>4191</v>
      </c>
      <c r="J821" s="9" t="s">
        <v>5303</v>
      </c>
      <c r="K821" t="s">
        <v>5304</v>
      </c>
      <c r="L821" s="2">
        <v>1</v>
      </c>
      <c r="M821" s="24" t="s">
        <v>5971</v>
      </c>
      <c r="N821" s="2" t="s">
        <v>23</v>
      </c>
      <c r="O821" s="18" t="s">
        <v>688</v>
      </c>
      <c r="P821" s="18" t="s">
        <v>0</v>
      </c>
      <c r="Q821" s="6" t="s">
        <v>4475</v>
      </c>
      <c r="T821" s="23">
        <v>45237</v>
      </c>
      <c r="U821" s="23">
        <v>47459</v>
      </c>
      <c r="X821" s="20">
        <v>25320</v>
      </c>
      <c r="Z821" s="6" t="s">
        <v>5978</v>
      </c>
      <c r="AA821" s="13">
        <f t="shared" si="113"/>
        <v>5.6000000000000006E-4</v>
      </c>
      <c r="AB821">
        <v>9.4978352000000008</v>
      </c>
      <c r="AC821">
        <v>9.877748608000001</v>
      </c>
    </row>
    <row r="822" spans="1:29" x14ac:dyDescent="0.3">
      <c r="A822">
        <v>138784</v>
      </c>
      <c r="B822" s="25" t="s">
        <v>5984</v>
      </c>
      <c r="C822" t="s">
        <v>20</v>
      </c>
      <c r="D822" t="s">
        <v>21</v>
      </c>
      <c r="E822">
        <v>2222222</v>
      </c>
      <c r="F822" s="8" t="s">
        <v>22</v>
      </c>
      <c r="G822" s="2">
        <v>98</v>
      </c>
      <c r="H822" t="s">
        <v>3947</v>
      </c>
      <c r="I822" t="s">
        <v>4821</v>
      </c>
      <c r="J822" s="9" t="s">
        <v>5093</v>
      </c>
      <c r="K822" t="s">
        <v>5132</v>
      </c>
      <c r="L822" s="2">
        <v>1</v>
      </c>
      <c r="M822" s="24" t="s">
        <v>5971</v>
      </c>
      <c r="N822" s="2" t="s">
        <v>23</v>
      </c>
      <c r="O822" s="18" t="s">
        <v>689</v>
      </c>
      <c r="P822" s="18" t="s">
        <v>3781</v>
      </c>
      <c r="Q822" s="6" t="s">
        <v>4475</v>
      </c>
      <c r="T822" s="23">
        <v>45299</v>
      </c>
      <c r="U822" s="23">
        <v>46119</v>
      </c>
      <c r="X822" s="20">
        <v>5000</v>
      </c>
      <c r="Z822" s="6" t="s">
        <v>5978</v>
      </c>
      <c r="AA822" s="13">
        <f t="shared" si="113"/>
        <v>5.6000000000000006E-4</v>
      </c>
      <c r="AB822">
        <v>5.2147200000000005E-2</v>
      </c>
      <c r="AC822">
        <v>5.4233088000000006E-2</v>
      </c>
    </row>
    <row r="823" spans="1:29" x14ac:dyDescent="0.3">
      <c r="A823">
        <v>139814</v>
      </c>
      <c r="B823" s="25" t="s">
        <v>5984</v>
      </c>
      <c r="C823" t="s">
        <v>20</v>
      </c>
      <c r="D823" t="s">
        <v>21</v>
      </c>
      <c r="E823">
        <v>2222222</v>
      </c>
      <c r="F823" s="8" t="s">
        <v>22</v>
      </c>
      <c r="G823" s="2">
        <v>98</v>
      </c>
      <c r="H823" t="s">
        <v>3947</v>
      </c>
      <c r="I823" t="s">
        <v>4486</v>
      </c>
      <c r="J823" s="9" t="s">
        <v>5302</v>
      </c>
      <c r="K823" t="s">
        <v>4961</v>
      </c>
      <c r="L823" s="2">
        <v>1</v>
      </c>
      <c r="M823" s="24" t="s">
        <v>5971</v>
      </c>
      <c r="N823" s="2" t="s">
        <v>23</v>
      </c>
      <c r="O823" s="18" t="s">
        <v>687</v>
      </c>
      <c r="P823" s="18" t="s">
        <v>0</v>
      </c>
      <c r="Q823" s="6" t="s">
        <v>4475</v>
      </c>
      <c r="T823" s="23">
        <v>45351</v>
      </c>
      <c r="U823" s="23">
        <v>46446</v>
      </c>
      <c r="X823" s="20">
        <v>3000</v>
      </c>
      <c r="Z823" s="6" t="s">
        <v>5978</v>
      </c>
      <c r="AA823" s="13">
        <f t="shared" si="113"/>
        <v>5.6000000000000006E-4</v>
      </c>
      <c r="AB823">
        <v>1.5670592000000003</v>
      </c>
      <c r="AC823">
        <v>1.6297415680000005</v>
      </c>
    </row>
    <row r="824" spans="1:29" x14ac:dyDescent="0.3">
      <c r="A824">
        <v>139995</v>
      </c>
      <c r="B824" s="25" t="s">
        <v>5984</v>
      </c>
      <c r="C824" t="s">
        <v>20</v>
      </c>
      <c r="D824" t="s">
        <v>21</v>
      </c>
      <c r="E824">
        <v>2222222</v>
      </c>
      <c r="F824" s="8" t="s">
        <v>22</v>
      </c>
      <c r="G824" s="2">
        <v>98</v>
      </c>
      <c r="H824" t="s">
        <v>3947</v>
      </c>
      <c r="I824" t="s">
        <v>4649</v>
      </c>
      <c r="J824" s="9" t="s">
        <v>4852</v>
      </c>
      <c r="K824" t="s">
        <v>5089</v>
      </c>
      <c r="L824" s="2">
        <v>1</v>
      </c>
      <c r="M824" s="24" t="s">
        <v>5971</v>
      </c>
      <c r="N824" s="2" t="s">
        <v>23</v>
      </c>
      <c r="O824" s="18" t="s">
        <v>690</v>
      </c>
      <c r="P824" s="18" t="s">
        <v>0</v>
      </c>
      <c r="Q824" s="6" t="s">
        <v>4475</v>
      </c>
      <c r="T824" s="23">
        <v>45371</v>
      </c>
      <c r="U824" s="23">
        <v>47561</v>
      </c>
      <c r="X824" s="20">
        <v>12500</v>
      </c>
      <c r="Z824" s="6" t="s">
        <v>5978</v>
      </c>
      <c r="AA824" s="13">
        <f t="shared" si="113"/>
        <v>5.6000000000000006E-4</v>
      </c>
      <c r="AB824">
        <v>5.0377879999999999</v>
      </c>
      <c r="AC824">
        <v>5.2392995200000003</v>
      </c>
    </row>
    <row r="825" spans="1:29" x14ac:dyDescent="0.3">
      <c r="A825">
        <v>141558</v>
      </c>
      <c r="B825" s="25" t="s">
        <v>5984</v>
      </c>
      <c r="C825" t="s">
        <v>20</v>
      </c>
      <c r="D825" t="s">
        <v>21</v>
      </c>
      <c r="E825">
        <v>2222222</v>
      </c>
      <c r="F825" s="8" t="s">
        <v>22</v>
      </c>
      <c r="G825" s="2">
        <v>98</v>
      </c>
      <c r="H825" t="s">
        <v>3947</v>
      </c>
      <c r="I825" t="s">
        <v>4611</v>
      </c>
      <c r="J825" s="9" t="s">
        <v>5098</v>
      </c>
      <c r="K825" t="s">
        <v>5230</v>
      </c>
      <c r="L825" s="2">
        <v>1</v>
      </c>
      <c r="M825" s="24" t="s">
        <v>5971</v>
      </c>
      <c r="N825" s="2" t="s">
        <v>23</v>
      </c>
      <c r="O825" s="18" t="s">
        <v>686</v>
      </c>
      <c r="P825" s="18" t="s">
        <v>3781</v>
      </c>
      <c r="Q825" s="6" t="s">
        <v>4475</v>
      </c>
      <c r="T825" s="23">
        <v>45461</v>
      </c>
      <c r="U825" s="23">
        <v>47287</v>
      </c>
      <c r="X825" s="20">
        <v>8000</v>
      </c>
      <c r="Z825" s="6" t="s">
        <v>5978</v>
      </c>
      <c r="AA825" s="14">
        <f t="shared" ref="AA825:AA831" si="114">+(0.6/1000)</f>
        <v>5.9999999999999995E-4</v>
      </c>
      <c r="AB825">
        <v>3.2263979999999997</v>
      </c>
      <c r="AC825">
        <v>3.3554539199999995</v>
      </c>
    </row>
    <row r="826" spans="1:29" x14ac:dyDescent="0.3">
      <c r="A826">
        <v>141579</v>
      </c>
      <c r="B826" s="25" t="s">
        <v>5984</v>
      </c>
      <c r="C826" t="s">
        <v>20</v>
      </c>
      <c r="D826" t="s">
        <v>21</v>
      </c>
      <c r="E826">
        <v>2222222</v>
      </c>
      <c r="F826" s="8" t="s">
        <v>22</v>
      </c>
      <c r="G826" s="2">
        <v>98</v>
      </c>
      <c r="H826" t="s">
        <v>3947</v>
      </c>
      <c r="I826" t="s">
        <v>4110</v>
      </c>
      <c r="J826" s="9" t="s">
        <v>5011</v>
      </c>
      <c r="K826" t="s">
        <v>4851</v>
      </c>
      <c r="L826" s="2">
        <v>1</v>
      </c>
      <c r="M826" s="24" t="s">
        <v>5971</v>
      </c>
      <c r="N826" s="2" t="s">
        <v>23</v>
      </c>
      <c r="O826" s="18" t="s">
        <v>691</v>
      </c>
      <c r="P826" s="18" t="s">
        <v>3781</v>
      </c>
      <c r="Q826" s="6" t="s">
        <v>4475</v>
      </c>
      <c r="T826" s="23">
        <v>45464</v>
      </c>
      <c r="U826" s="23">
        <v>46377</v>
      </c>
      <c r="X826" s="20">
        <v>5000</v>
      </c>
      <c r="Z826" s="6" t="s">
        <v>5978</v>
      </c>
      <c r="AA826" s="14">
        <f t="shared" si="114"/>
        <v>5.9999999999999995E-4</v>
      </c>
      <c r="AB826">
        <v>0.60489599999999988</v>
      </c>
      <c r="AC826">
        <v>0.62909183999999985</v>
      </c>
    </row>
    <row r="827" spans="1:29" x14ac:dyDescent="0.3">
      <c r="A827">
        <v>141628</v>
      </c>
      <c r="B827" s="25" t="s">
        <v>5984</v>
      </c>
      <c r="C827" t="s">
        <v>20</v>
      </c>
      <c r="D827" t="s">
        <v>21</v>
      </c>
      <c r="E827">
        <v>2222222</v>
      </c>
      <c r="F827" s="8" t="s">
        <v>22</v>
      </c>
      <c r="G827" s="2">
        <v>98</v>
      </c>
      <c r="H827" t="s">
        <v>3947</v>
      </c>
      <c r="I827" t="s">
        <v>4486</v>
      </c>
      <c r="J827" s="9" t="s">
        <v>5302</v>
      </c>
      <c r="K827" t="s">
        <v>4961</v>
      </c>
      <c r="L827" s="2">
        <v>1</v>
      </c>
      <c r="M827" s="24" t="s">
        <v>5971</v>
      </c>
      <c r="N827" s="2" t="s">
        <v>23</v>
      </c>
      <c r="O827" s="18" t="s">
        <v>687</v>
      </c>
      <c r="P827" s="18" t="s">
        <v>0</v>
      </c>
      <c r="Q827" s="6" t="s">
        <v>4475</v>
      </c>
      <c r="T827" s="23">
        <v>45465</v>
      </c>
      <c r="U827" s="23">
        <v>45495</v>
      </c>
      <c r="X827" s="20">
        <v>5000</v>
      </c>
      <c r="Z827" s="6" t="s">
        <v>5978</v>
      </c>
      <c r="AA827" s="14">
        <f t="shared" si="114"/>
        <v>5.9999999999999995E-4</v>
      </c>
      <c r="AB827">
        <v>2.9999999999999996</v>
      </c>
      <c r="AC827">
        <v>3.1199999999999997</v>
      </c>
    </row>
    <row r="828" spans="1:29" x14ac:dyDescent="0.3">
      <c r="A828">
        <v>147544</v>
      </c>
      <c r="B828" s="25" t="s">
        <v>5984</v>
      </c>
      <c r="C828" t="s">
        <v>20</v>
      </c>
      <c r="D828" t="s">
        <v>21</v>
      </c>
      <c r="E828">
        <v>2222222</v>
      </c>
      <c r="F828" s="8" t="s">
        <v>22</v>
      </c>
      <c r="G828" s="2">
        <v>98</v>
      </c>
      <c r="H828" t="s">
        <v>3947</v>
      </c>
      <c r="I828" t="s">
        <v>4239</v>
      </c>
      <c r="J828" s="9" t="s">
        <v>4903</v>
      </c>
      <c r="K828" t="s">
        <v>5194</v>
      </c>
      <c r="L828" s="2">
        <v>1</v>
      </c>
      <c r="M828" s="24" t="s">
        <v>5971</v>
      </c>
      <c r="N828" s="2" t="s">
        <v>23</v>
      </c>
      <c r="O828" s="18" t="s">
        <v>692</v>
      </c>
      <c r="P828" s="18" t="s">
        <v>3781</v>
      </c>
      <c r="Q828" s="6" t="s">
        <v>4475</v>
      </c>
      <c r="T828" s="23">
        <v>45896</v>
      </c>
      <c r="U828" s="23">
        <v>47356</v>
      </c>
      <c r="X828" s="20">
        <v>2500</v>
      </c>
      <c r="Z828" s="6" t="s">
        <v>5978</v>
      </c>
      <c r="AA828" s="14">
        <f t="shared" si="114"/>
        <v>5.9999999999999995E-4</v>
      </c>
      <c r="AB828">
        <v>1.244154</v>
      </c>
      <c r="AC828">
        <v>1.2939201600000001</v>
      </c>
    </row>
    <row r="829" spans="1:29" x14ac:dyDescent="0.3">
      <c r="A829">
        <v>149994</v>
      </c>
      <c r="B829" s="25" t="s">
        <v>5984</v>
      </c>
      <c r="C829" t="s">
        <v>20</v>
      </c>
      <c r="D829" t="s">
        <v>21</v>
      </c>
      <c r="E829">
        <v>2222222</v>
      </c>
      <c r="F829" s="8" t="s">
        <v>22</v>
      </c>
      <c r="G829" s="2">
        <v>98</v>
      </c>
      <c r="H829" t="s">
        <v>3947</v>
      </c>
      <c r="I829" t="s">
        <v>4239</v>
      </c>
      <c r="J829" s="9" t="s">
        <v>4903</v>
      </c>
      <c r="K829" t="s">
        <v>5194</v>
      </c>
      <c r="L829" s="2">
        <v>1</v>
      </c>
      <c r="M829" s="24" t="s">
        <v>5971</v>
      </c>
      <c r="N829" s="2" t="s">
        <v>23</v>
      </c>
      <c r="O829" s="18" t="s">
        <v>692</v>
      </c>
      <c r="P829" s="18" t="s">
        <v>3781</v>
      </c>
      <c r="Q829" s="6" t="s">
        <v>4475</v>
      </c>
      <c r="T829" s="23">
        <v>46063</v>
      </c>
      <c r="U829" s="23">
        <v>46795</v>
      </c>
      <c r="X829" s="20">
        <v>1120</v>
      </c>
      <c r="Z829" s="6" t="s">
        <v>5978</v>
      </c>
      <c r="AA829" s="14">
        <f t="shared" si="114"/>
        <v>5.9999999999999995E-4</v>
      </c>
      <c r="AB829">
        <v>0.5502959999999999</v>
      </c>
      <c r="AC829">
        <v>0.5723078399999999</v>
      </c>
    </row>
    <row r="830" spans="1:29" x14ac:dyDescent="0.3">
      <c r="A830">
        <v>151224</v>
      </c>
      <c r="B830" s="25" t="s">
        <v>5984</v>
      </c>
      <c r="C830" t="s">
        <v>20</v>
      </c>
      <c r="D830" t="s">
        <v>21</v>
      </c>
      <c r="E830">
        <v>2222222</v>
      </c>
      <c r="F830" s="8" t="s">
        <v>22</v>
      </c>
      <c r="G830" s="2">
        <v>98</v>
      </c>
      <c r="H830" t="s">
        <v>3947</v>
      </c>
      <c r="I830" t="s">
        <v>4822</v>
      </c>
      <c r="J830" s="9" t="s">
        <v>5068</v>
      </c>
      <c r="K830" t="s">
        <v>4953</v>
      </c>
      <c r="L830" s="2">
        <v>1</v>
      </c>
      <c r="M830" s="24" t="s">
        <v>5971</v>
      </c>
      <c r="N830" s="2" t="s">
        <v>23</v>
      </c>
      <c r="O830" s="18" t="s">
        <v>693</v>
      </c>
      <c r="P830" s="18" t="s">
        <v>0</v>
      </c>
      <c r="Q830" s="6" t="s">
        <v>4475</v>
      </c>
      <c r="T830" s="23">
        <v>46154</v>
      </c>
      <c r="U830" s="23">
        <v>46244</v>
      </c>
      <c r="X830" s="20">
        <v>755</v>
      </c>
      <c r="Z830" s="6" t="s">
        <v>5978</v>
      </c>
      <c r="AA830" s="14">
        <f t="shared" si="114"/>
        <v>5.9999999999999995E-4</v>
      </c>
      <c r="AB830">
        <v>0.45299999999999996</v>
      </c>
      <c r="AC830">
        <v>0.47111999999999998</v>
      </c>
    </row>
    <row r="831" spans="1:29" x14ac:dyDescent="0.3">
      <c r="A831">
        <v>147276</v>
      </c>
      <c r="B831" s="25" t="s">
        <v>5984</v>
      </c>
      <c r="C831" t="s">
        <v>20</v>
      </c>
      <c r="D831" t="s">
        <v>21</v>
      </c>
      <c r="E831">
        <v>2222222</v>
      </c>
      <c r="F831" s="8" t="s">
        <v>22</v>
      </c>
      <c r="G831" s="2">
        <v>98</v>
      </c>
      <c r="H831" t="s">
        <v>3948</v>
      </c>
      <c r="I831" t="s">
        <v>4049</v>
      </c>
      <c r="J831" s="9" t="s">
        <v>5011</v>
      </c>
      <c r="K831" t="s">
        <v>5092</v>
      </c>
      <c r="L831" s="2">
        <v>1</v>
      </c>
      <c r="M831" s="24" t="s">
        <v>5971</v>
      </c>
      <c r="N831" s="2" t="s">
        <v>23</v>
      </c>
      <c r="O831" s="18" t="s">
        <v>694</v>
      </c>
      <c r="P831" s="18" t="s">
        <v>3781</v>
      </c>
      <c r="Q831" s="6" t="s">
        <v>4475</v>
      </c>
      <c r="T831" s="23">
        <v>45881</v>
      </c>
      <c r="U831" s="23">
        <v>46976</v>
      </c>
      <c r="X831" s="20">
        <v>5200</v>
      </c>
      <c r="Z831" s="6" t="s">
        <v>5978</v>
      </c>
      <c r="AA831" s="14">
        <f t="shared" si="114"/>
        <v>5.9999999999999995E-4</v>
      </c>
      <c r="AB831">
        <v>2.282238</v>
      </c>
      <c r="AC831">
        <v>2.3735275200000001</v>
      </c>
    </row>
    <row r="832" spans="1:29" x14ac:dyDescent="0.3">
      <c r="A832">
        <v>114374</v>
      </c>
      <c r="B832" s="25" t="s">
        <v>5984</v>
      </c>
      <c r="C832" t="s">
        <v>20</v>
      </c>
      <c r="D832" t="s">
        <v>21</v>
      </c>
      <c r="E832">
        <v>2222222</v>
      </c>
      <c r="F832" s="8" t="s">
        <v>22</v>
      </c>
      <c r="G832" s="2">
        <v>98</v>
      </c>
      <c r="H832" t="s">
        <v>3949</v>
      </c>
      <c r="I832" t="s">
        <v>4636</v>
      </c>
      <c r="J832" s="9" t="s">
        <v>4826</v>
      </c>
      <c r="K832" t="s">
        <v>4875</v>
      </c>
      <c r="L832" s="2">
        <v>1</v>
      </c>
      <c r="M832" s="24" t="s">
        <v>5971</v>
      </c>
      <c r="N832" s="2" t="s">
        <v>23</v>
      </c>
      <c r="O832" s="18" t="s">
        <v>695</v>
      </c>
      <c r="P832" s="18" t="s">
        <v>0</v>
      </c>
      <c r="Q832" s="6" t="s">
        <v>4475</v>
      </c>
      <c r="T832" s="23">
        <v>44061</v>
      </c>
      <c r="U832" s="23">
        <v>46251</v>
      </c>
      <c r="X832" s="20">
        <v>20000</v>
      </c>
      <c r="Z832" s="6" t="s">
        <v>5978</v>
      </c>
      <c r="AA832" s="15">
        <f t="shared" ref="AA832:AA839" si="115">+(0.42/1000)</f>
        <v>4.1999999999999996E-4</v>
      </c>
      <c r="AB832">
        <v>0.30203879999999994</v>
      </c>
      <c r="AC832">
        <v>0.31412035199999994</v>
      </c>
    </row>
    <row r="833" spans="1:29" x14ac:dyDescent="0.3">
      <c r="A833">
        <v>115701</v>
      </c>
      <c r="B833" s="25" t="s">
        <v>5984</v>
      </c>
      <c r="C833" t="s">
        <v>20</v>
      </c>
      <c r="D833" t="s">
        <v>21</v>
      </c>
      <c r="E833">
        <v>2222222</v>
      </c>
      <c r="F833" s="8" t="s">
        <v>22</v>
      </c>
      <c r="G833" s="2">
        <v>98</v>
      </c>
      <c r="H833" t="s">
        <v>3949</v>
      </c>
      <c r="I833" t="s">
        <v>3949</v>
      </c>
      <c r="J833" s="9" t="s">
        <v>5051</v>
      </c>
      <c r="K833" t="s">
        <v>5166</v>
      </c>
      <c r="L833" s="2">
        <v>1</v>
      </c>
      <c r="M833" s="24" t="s">
        <v>5971</v>
      </c>
      <c r="N833" s="2" t="s">
        <v>23</v>
      </c>
      <c r="O833" s="18" t="s">
        <v>696</v>
      </c>
      <c r="P833" s="18" t="s">
        <v>3781</v>
      </c>
      <c r="Q833" s="6" t="s">
        <v>4475</v>
      </c>
      <c r="T833" s="23">
        <v>44103</v>
      </c>
      <c r="U833" s="23">
        <v>46313</v>
      </c>
      <c r="X833" s="20">
        <v>4000</v>
      </c>
      <c r="Z833" s="6" t="s">
        <v>5978</v>
      </c>
      <c r="AA833" s="15">
        <f t="shared" si="115"/>
        <v>4.1999999999999996E-4</v>
      </c>
      <c r="AB833">
        <v>1.4495207999999997</v>
      </c>
      <c r="AC833">
        <v>1.5075016319999999</v>
      </c>
    </row>
    <row r="834" spans="1:29" x14ac:dyDescent="0.3">
      <c r="A834">
        <v>115786</v>
      </c>
      <c r="B834" s="25" t="s">
        <v>5984</v>
      </c>
      <c r="C834" t="s">
        <v>20</v>
      </c>
      <c r="D834" t="s">
        <v>21</v>
      </c>
      <c r="E834">
        <v>2222222</v>
      </c>
      <c r="F834" s="8" t="s">
        <v>22</v>
      </c>
      <c r="G834" s="2">
        <v>98</v>
      </c>
      <c r="H834" t="s">
        <v>3949</v>
      </c>
      <c r="I834" t="s">
        <v>3896</v>
      </c>
      <c r="J834" s="9" t="s">
        <v>4864</v>
      </c>
      <c r="K834" t="s">
        <v>5174</v>
      </c>
      <c r="L834" s="2">
        <v>1</v>
      </c>
      <c r="M834" s="24" t="s">
        <v>5971</v>
      </c>
      <c r="N834" s="2" t="s">
        <v>23</v>
      </c>
      <c r="O834" s="18" t="s">
        <v>697</v>
      </c>
      <c r="P834" s="18" t="s">
        <v>0</v>
      </c>
      <c r="Q834" s="6" t="s">
        <v>4475</v>
      </c>
      <c r="T834" s="23">
        <v>44105</v>
      </c>
      <c r="U834" s="23">
        <v>45209</v>
      </c>
      <c r="X834" s="20">
        <v>3310</v>
      </c>
      <c r="Z834" s="6" t="s">
        <v>5978</v>
      </c>
      <c r="AA834" s="15">
        <f t="shared" si="115"/>
        <v>4.1999999999999996E-4</v>
      </c>
      <c r="AB834">
        <v>1.3901999999999999</v>
      </c>
      <c r="AC834">
        <v>1.445808</v>
      </c>
    </row>
    <row r="835" spans="1:29" x14ac:dyDescent="0.3">
      <c r="A835">
        <v>124670</v>
      </c>
      <c r="B835" s="25" t="s">
        <v>5984</v>
      </c>
      <c r="C835" t="s">
        <v>20</v>
      </c>
      <c r="D835" t="s">
        <v>21</v>
      </c>
      <c r="E835">
        <v>2222222</v>
      </c>
      <c r="F835" s="8" t="s">
        <v>22</v>
      </c>
      <c r="G835" s="2">
        <v>98</v>
      </c>
      <c r="H835" t="s">
        <v>3949</v>
      </c>
      <c r="I835" t="s">
        <v>4639</v>
      </c>
      <c r="J835" s="9" t="s">
        <v>5305</v>
      </c>
      <c r="K835" t="s">
        <v>5159</v>
      </c>
      <c r="L835" s="2">
        <v>1</v>
      </c>
      <c r="M835" s="24" t="s">
        <v>5971</v>
      </c>
      <c r="N835" s="2" t="s">
        <v>23</v>
      </c>
      <c r="O835" s="18" t="s">
        <v>698</v>
      </c>
      <c r="P835" s="18" t="s">
        <v>0</v>
      </c>
      <c r="Q835" s="6" t="s">
        <v>4475</v>
      </c>
      <c r="T835" s="23">
        <v>44530</v>
      </c>
      <c r="U835" s="23">
        <v>46446</v>
      </c>
      <c r="X835" s="20">
        <v>37000</v>
      </c>
      <c r="Z835" s="6" t="s">
        <v>5978</v>
      </c>
      <c r="AA835" s="15">
        <f t="shared" si="115"/>
        <v>4.1999999999999996E-4</v>
      </c>
      <c r="AB835">
        <v>2.8412831999999999</v>
      </c>
      <c r="AC835">
        <v>2.9549345279999999</v>
      </c>
    </row>
    <row r="836" spans="1:29" x14ac:dyDescent="0.3">
      <c r="A836">
        <v>125897</v>
      </c>
      <c r="B836" s="25" t="s">
        <v>5984</v>
      </c>
      <c r="C836" t="s">
        <v>20</v>
      </c>
      <c r="D836" t="s">
        <v>21</v>
      </c>
      <c r="E836">
        <v>2222222</v>
      </c>
      <c r="F836" s="8" t="s">
        <v>22</v>
      </c>
      <c r="G836" s="2">
        <v>98</v>
      </c>
      <c r="H836" t="s">
        <v>3949</v>
      </c>
      <c r="I836" t="s">
        <v>3949</v>
      </c>
      <c r="J836" s="9" t="s">
        <v>4998</v>
      </c>
      <c r="K836" t="s">
        <v>5075</v>
      </c>
      <c r="L836" s="2">
        <v>1</v>
      </c>
      <c r="M836" s="24" t="s">
        <v>5971</v>
      </c>
      <c r="N836" s="2" t="s">
        <v>23</v>
      </c>
      <c r="O836" s="18" t="s">
        <v>699</v>
      </c>
      <c r="P836" s="18" t="s">
        <v>3781</v>
      </c>
      <c r="Q836" s="6" t="s">
        <v>4475</v>
      </c>
      <c r="T836" s="23">
        <v>44592</v>
      </c>
      <c r="U836" s="23">
        <v>44684</v>
      </c>
      <c r="X836" s="20">
        <v>3725</v>
      </c>
      <c r="Z836" s="6" t="s">
        <v>5978</v>
      </c>
      <c r="AA836" s="15">
        <f t="shared" si="115"/>
        <v>4.1999999999999996E-4</v>
      </c>
      <c r="AB836">
        <v>0.26311319999999999</v>
      </c>
      <c r="AC836">
        <v>0.27363772800000002</v>
      </c>
    </row>
    <row r="837" spans="1:29" x14ac:dyDescent="0.3">
      <c r="A837">
        <v>126164</v>
      </c>
      <c r="B837" s="25" t="s">
        <v>5984</v>
      </c>
      <c r="C837" t="s">
        <v>20</v>
      </c>
      <c r="D837" t="s">
        <v>21</v>
      </c>
      <c r="E837">
        <v>2222222</v>
      </c>
      <c r="F837" s="8" t="s">
        <v>22</v>
      </c>
      <c r="G837" s="2">
        <v>98</v>
      </c>
      <c r="H837" t="s">
        <v>3949</v>
      </c>
      <c r="I837" t="s">
        <v>3949</v>
      </c>
      <c r="J837" s="9" t="s">
        <v>5051</v>
      </c>
      <c r="K837" t="s">
        <v>5166</v>
      </c>
      <c r="L837" s="2">
        <v>1</v>
      </c>
      <c r="M837" s="24" t="s">
        <v>5971</v>
      </c>
      <c r="N837" s="2" t="s">
        <v>23</v>
      </c>
      <c r="O837" s="18" t="s">
        <v>696</v>
      </c>
      <c r="P837" s="18" t="s">
        <v>3781</v>
      </c>
      <c r="Q837" s="6" t="s">
        <v>4475</v>
      </c>
      <c r="T837" s="23">
        <v>44606</v>
      </c>
      <c r="U837" s="23">
        <v>44696</v>
      </c>
      <c r="X837" s="20">
        <v>5000</v>
      </c>
      <c r="Z837" s="6" t="s">
        <v>5978</v>
      </c>
      <c r="AA837" s="15">
        <f t="shared" si="115"/>
        <v>4.1999999999999996E-4</v>
      </c>
      <c r="AB837">
        <v>2.0999999999999996</v>
      </c>
      <c r="AC837">
        <v>2.1839999999999997</v>
      </c>
    </row>
    <row r="838" spans="1:29" x14ac:dyDescent="0.3">
      <c r="A838">
        <v>126165</v>
      </c>
      <c r="B838" s="25" t="s">
        <v>5984</v>
      </c>
      <c r="C838" t="s">
        <v>20</v>
      </c>
      <c r="D838" t="s">
        <v>21</v>
      </c>
      <c r="E838">
        <v>2222222</v>
      </c>
      <c r="F838" s="8" t="s">
        <v>22</v>
      </c>
      <c r="G838" s="2">
        <v>98</v>
      </c>
      <c r="H838" t="s">
        <v>3949</v>
      </c>
      <c r="I838" t="s">
        <v>3949</v>
      </c>
      <c r="J838" s="9" t="s">
        <v>5051</v>
      </c>
      <c r="K838" t="s">
        <v>5166</v>
      </c>
      <c r="L838" s="2">
        <v>1</v>
      </c>
      <c r="M838" s="24" t="s">
        <v>5971</v>
      </c>
      <c r="N838" s="2" t="s">
        <v>23</v>
      </c>
      <c r="O838" s="18" t="s">
        <v>696</v>
      </c>
      <c r="P838" s="18" t="s">
        <v>3781</v>
      </c>
      <c r="Q838" s="6" t="s">
        <v>4475</v>
      </c>
      <c r="T838" s="23">
        <v>44606</v>
      </c>
      <c r="U838" s="23">
        <v>44696</v>
      </c>
      <c r="X838" s="20">
        <v>1900</v>
      </c>
      <c r="Z838" s="6" t="s">
        <v>5978</v>
      </c>
      <c r="AA838" s="15">
        <f t="shared" si="115"/>
        <v>4.1999999999999996E-4</v>
      </c>
      <c r="AB838">
        <v>0.79799999999999993</v>
      </c>
      <c r="AC838">
        <v>0.82991999999999999</v>
      </c>
    </row>
    <row r="839" spans="1:29" x14ac:dyDescent="0.3">
      <c r="A839">
        <v>128593</v>
      </c>
      <c r="B839" s="25" t="s">
        <v>5984</v>
      </c>
      <c r="C839" t="s">
        <v>20</v>
      </c>
      <c r="D839" t="s">
        <v>21</v>
      </c>
      <c r="E839">
        <v>2222222</v>
      </c>
      <c r="F839" s="8" t="s">
        <v>22</v>
      </c>
      <c r="G839" s="2">
        <v>98</v>
      </c>
      <c r="H839" t="s">
        <v>3949</v>
      </c>
      <c r="I839" t="s">
        <v>3949</v>
      </c>
      <c r="J839" s="9" t="s">
        <v>5306</v>
      </c>
      <c r="K839" t="s">
        <v>4924</v>
      </c>
      <c r="L839" s="2">
        <v>1</v>
      </c>
      <c r="M839" s="24" t="s">
        <v>5971</v>
      </c>
      <c r="N839" s="2" t="s">
        <v>23</v>
      </c>
      <c r="O839" s="18" t="s">
        <v>700</v>
      </c>
      <c r="P839" s="18" t="s">
        <v>3781</v>
      </c>
      <c r="Q839" s="6" t="s">
        <v>4475</v>
      </c>
      <c r="T839" s="23">
        <v>44731</v>
      </c>
      <c r="U839" s="23">
        <v>46192</v>
      </c>
      <c r="X839" s="20">
        <v>5000</v>
      </c>
      <c r="Z839" s="6" t="s">
        <v>5978</v>
      </c>
      <c r="AA839" s="15">
        <f t="shared" si="115"/>
        <v>4.1999999999999996E-4</v>
      </c>
      <c r="AB839">
        <v>1.4152529999999999</v>
      </c>
      <c r="AC839">
        <v>1.4718631199999999</v>
      </c>
    </row>
    <row r="840" spans="1:29" x14ac:dyDescent="0.3">
      <c r="A840">
        <v>131045</v>
      </c>
      <c r="B840" s="25" t="s">
        <v>5984</v>
      </c>
      <c r="C840" t="s">
        <v>20</v>
      </c>
      <c r="D840" t="s">
        <v>21</v>
      </c>
      <c r="E840">
        <v>2222222</v>
      </c>
      <c r="F840" s="8" t="s">
        <v>22</v>
      </c>
      <c r="G840" s="2">
        <v>98</v>
      </c>
      <c r="H840" t="s">
        <v>3949</v>
      </c>
      <c r="I840" t="s">
        <v>3949</v>
      </c>
      <c r="J840" s="9" t="s">
        <v>5307</v>
      </c>
      <c r="K840" t="s">
        <v>5308</v>
      </c>
      <c r="L840" s="2">
        <v>1</v>
      </c>
      <c r="M840" s="24" t="s">
        <v>5971</v>
      </c>
      <c r="N840" s="2" t="s">
        <v>23</v>
      </c>
      <c r="O840" s="18" t="s">
        <v>701</v>
      </c>
      <c r="P840" s="18" t="s">
        <v>0</v>
      </c>
      <c r="Q840" s="6" t="s">
        <v>4475</v>
      </c>
      <c r="T840" s="23">
        <v>44872</v>
      </c>
      <c r="U840" s="23">
        <v>46333</v>
      </c>
      <c r="X840" s="20">
        <v>5000</v>
      </c>
      <c r="Z840" s="6" t="s">
        <v>5978</v>
      </c>
      <c r="AA840" s="13">
        <f t="shared" ref="AA840:AA867" si="116">+(0.56/1000)</f>
        <v>5.6000000000000006E-4</v>
      </c>
      <c r="AB840">
        <v>0.32306400000000002</v>
      </c>
      <c r="AC840">
        <v>0.33598656000000005</v>
      </c>
    </row>
    <row r="841" spans="1:29" x14ac:dyDescent="0.3">
      <c r="A841">
        <v>132072</v>
      </c>
      <c r="B841" s="25" t="s">
        <v>5984</v>
      </c>
      <c r="C841" t="s">
        <v>20</v>
      </c>
      <c r="D841" t="s">
        <v>21</v>
      </c>
      <c r="E841">
        <v>2222222</v>
      </c>
      <c r="F841" s="8" t="s">
        <v>22</v>
      </c>
      <c r="G841" s="2">
        <v>98</v>
      </c>
      <c r="H841" t="s">
        <v>3949</v>
      </c>
      <c r="I841" t="s">
        <v>4151</v>
      </c>
      <c r="J841" s="9" t="s">
        <v>5309</v>
      </c>
      <c r="K841" t="s">
        <v>5024</v>
      </c>
      <c r="L841" s="2">
        <v>1</v>
      </c>
      <c r="M841" s="24" t="s">
        <v>5971</v>
      </c>
      <c r="N841" s="2" t="s">
        <v>23</v>
      </c>
      <c r="O841" s="18" t="s">
        <v>702</v>
      </c>
      <c r="P841" s="18" t="s">
        <v>0</v>
      </c>
      <c r="Q841" s="6" t="s">
        <v>4475</v>
      </c>
      <c r="T841" s="23">
        <v>44922</v>
      </c>
      <c r="U841" s="23">
        <v>47484</v>
      </c>
      <c r="X841" s="20">
        <v>8810</v>
      </c>
      <c r="Z841" s="6" t="s">
        <v>5978</v>
      </c>
      <c r="AA841" s="13">
        <f t="shared" si="116"/>
        <v>5.6000000000000006E-4</v>
      </c>
      <c r="AB841">
        <v>3.1395896000000003</v>
      </c>
      <c r="AC841">
        <v>3.2651731840000005</v>
      </c>
    </row>
    <row r="842" spans="1:29" x14ac:dyDescent="0.3">
      <c r="A842">
        <v>132487</v>
      </c>
      <c r="B842" s="25" t="s">
        <v>5984</v>
      </c>
      <c r="C842" t="s">
        <v>20</v>
      </c>
      <c r="D842" t="s">
        <v>21</v>
      </c>
      <c r="E842">
        <v>2222222</v>
      </c>
      <c r="F842" s="8" t="s">
        <v>22</v>
      </c>
      <c r="G842" s="2">
        <v>98</v>
      </c>
      <c r="H842" t="s">
        <v>3949</v>
      </c>
      <c r="I842" t="s">
        <v>4536</v>
      </c>
      <c r="J842" s="9" t="s">
        <v>5147</v>
      </c>
      <c r="K842" t="s">
        <v>5075</v>
      </c>
      <c r="L842" s="2">
        <v>1</v>
      </c>
      <c r="M842" s="24" t="s">
        <v>5971</v>
      </c>
      <c r="N842" s="2" t="s">
        <v>23</v>
      </c>
      <c r="O842" s="18" t="s">
        <v>703</v>
      </c>
      <c r="P842" s="18" t="s">
        <v>3781</v>
      </c>
      <c r="Q842" s="6" t="s">
        <v>4475</v>
      </c>
      <c r="T842" s="23">
        <v>44943</v>
      </c>
      <c r="U842" s="23">
        <v>46038</v>
      </c>
      <c r="X842" s="20">
        <v>2500</v>
      </c>
      <c r="Z842" s="6" t="s">
        <v>5978</v>
      </c>
      <c r="AA842" s="13">
        <f t="shared" si="116"/>
        <v>5.6000000000000006E-4</v>
      </c>
      <c r="AB842">
        <v>1.0180240000000003</v>
      </c>
      <c r="AC842">
        <v>1.0587449600000003</v>
      </c>
    </row>
    <row r="843" spans="1:29" x14ac:dyDescent="0.3">
      <c r="A843">
        <v>132710</v>
      </c>
      <c r="B843" s="25" t="s">
        <v>5984</v>
      </c>
      <c r="C843" t="s">
        <v>20</v>
      </c>
      <c r="D843" t="s">
        <v>21</v>
      </c>
      <c r="E843">
        <v>2222222</v>
      </c>
      <c r="F843" s="8" t="s">
        <v>22</v>
      </c>
      <c r="G843" s="2">
        <v>98</v>
      </c>
      <c r="H843" t="s">
        <v>3949</v>
      </c>
      <c r="I843" t="s">
        <v>4532</v>
      </c>
      <c r="J843" s="9" t="s">
        <v>5191</v>
      </c>
      <c r="K843" t="s">
        <v>4846</v>
      </c>
      <c r="L843" s="2">
        <v>1</v>
      </c>
      <c r="M843" s="24" t="s">
        <v>5971</v>
      </c>
      <c r="N843" s="2" t="s">
        <v>23</v>
      </c>
      <c r="O843" s="18" t="s">
        <v>704</v>
      </c>
      <c r="P843" s="18" t="s">
        <v>0</v>
      </c>
      <c r="Q843" s="6" t="s">
        <v>4475</v>
      </c>
      <c r="T843" s="23">
        <v>44960</v>
      </c>
      <c r="U843" s="23">
        <v>46451</v>
      </c>
      <c r="X843" s="20">
        <v>23000</v>
      </c>
      <c r="Z843" s="6" t="s">
        <v>5978</v>
      </c>
      <c r="AA843" s="13">
        <f t="shared" si="116"/>
        <v>5.6000000000000006E-4</v>
      </c>
      <c r="AB843">
        <v>3.417624</v>
      </c>
      <c r="AC843">
        <v>3.5543289600000003</v>
      </c>
    </row>
    <row r="844" spans="1:29" x14ac:dyDescent="0.3">
      <c r="A844">
        <v>133933</v>
      </c>
      <c r="B844" s="25" t="s">
        <v>5984</v>
      </c>
      <c r="C844" t="s">
        <v>20</v>
      </c>
      <c r="D844" t="s">
        <v>21</v>
      </c>
      <c r="E844">
        <v>2222222</v>
      </c>
      <c r="F844" s="8" t="s">
        <v>22</v>
      </c>
      <c r="G844" s="2">
        <v>98</v>
      </c>
      <c r="H844" t="s">
        <v>3949</v>
      </c>
      <c r="I844" t="s">
        <v>4536</v>
      </c>
      <c r="J844" s="9" t="s">
        <v>5017</v>
      </c>
      <c r="K844" t="s">
        <v>5310</v>
      </c>
      <c r="L844" s="2">
        <v>1</v>
      </c>
      <c r="M844" s="24" t="s">
        <v>5971</v>
      </c>
      <c r="N844" s="2" t="s">
        <v>23</v>
      </c>
      <c r="O844" s="18" t="s">
        <v>705</v>
      </c>
      <c r="P844" s="18" t="s">
        <v>3781</v>
      </c>
      <c r="Q844" s="6" t="s">
        <v>4475</v>
      </c>
      <c r="T844" s="23">
        <v>45037</v>
      </c>
      <c r="U844" s="23">
        <v>46498</v>
      </c>
      <c r="X844" s="20">
        <v>6000</v>
      </c>
      <c r="Z844" s="6" t="s">
        <v>5978</v>
      </c>
      <c r="AA844" s="13">
        <f t="shared" si="116"/>
        <v>5.6000000000000006E-4</v>
      </c>
      <c r="AB844">
        <v>0.80754800000000004</v>
      </c>
      <c r="AC844">
        <v>0.83984992000000003</v>
      </c>
    </row>
    <row r="845" spans="1:29" x14ac:dyDescent="0.3">
      <c r="A845">
        <v>135100</v>
      </c>
      <c r="B845" s="25" t="s">
        <v>5984</v>
      </c>
      <c r="C845" t="s">
        <v>20</v>
      </c>
      <c r="D845" t="s">
        <v>21</v>
      </c>
      <c r="E845">
        <v>2222222</v>
      </c>
      <c r="F845" s="8" t="s">
        <v>22</v>
      </c>
      <c r="G845" s="2">
        <v>98</v>
      </c>
      <c r="H845" t="s">
        <v>3949</v>
      </c>
      <c r="I845" t="s">
        <v>4497</v>
      </c>
      <c r="J845" s="9" t="s">
        <v>4936</v>
      </c>
      <c r="K845" t="s">
        <v>4966</v>
      </c>
      <c r="L845" s="2">
        <v>1</v>
      </c>
      <c r="M845" s="24" t="s">
        <v>5971</v>
      </c>
      <c r="N845" s="2" t="s">
        <v>23</v>
      </c>
      <c r="O845" s="18" t="s">
        <v>706</v>
      </c>
      <c r="P845" s="18" t="s">
        <v>0</v>
      </c>
      <c r="Q845" s="6" t="s">
        <v>4475</v>
      </c>
      <c r="T845" s="23">
        <v>45092</v>
      </c>
      <c r="U845" s="23">
        <v>46553</v>
      </c>
      <c r="X845" s="20">
        <v>3005</v>
      </c>
      <c r="Z845" s="6" t="s">
        <v>5978</v>
      </c>
      <c r="AA845" s="13">
        <f t="shared" si="116"/>
        <v>5.6000000000000006E-4</v>
      </c>
      <c r="AB845">
        <v>0.51787680000000003</v>
      </c>
      <c r="AC845">
        <v>0.53859187200000003</v>
      </c>
    </row>
    <row r="846" spans="1:29" x14ac:dyDescent="0.3">
      <c r="A846">
        <v>135202</v>
      </c>
      <c r="B846" s="25" t="s">
        <v>5984</v>
      </c>
      <c r="C846" t="s">
        <v>20</v>
      </c>
      <c r="D846" t="s">
        <v>21</v>
      </c>
      <c r="E846">
        <v>2222222</v>
      </c>
      <c r="F846" s="8" t="s">
        <v>22</v>
      </c>
      <c r="G846" s="2">
        <v>98</v>
      </c>
      <c r="H846" t="s">
        <v>3949</v>
      </c>
      <c r="I846" t="s">
        <v>3949</v>
      </c>
      <c r="J846" s="9" t="s">
        <v>4877</v>
      </c>
      <c r="K846" t="s">
        <v>4961</v>
      </c>
      <c r="L846" s="2">
        <v>1</v>
      </c>
      <c r="M846" s="24" t="s">
        <v>5971</v>
      </c>
      <c r="N846" s="2" t="s">
        <v>23</v>
      </c>
      <c r="O846" s="18" t="s">
        <v>707</v>
      </c>
      <c r="P846" s="18" t="s">
        <v>0</v>
      </c>
      <c r="Q846" s="6" t="s">
        <v>4475</v>
      </c>
      <c r="T846" s="23">
        <v>45099</v>
      </c>
      <c r="U846" s="23">
        <v>46560</v>
      </c>
      <c r="X846" s="20">
        <v>5000</v>
      </c>
      <c r="Z846" s="6" t="s">
        <v>5978</v>
      </c>
      <c r="AA846" s="13">
        <f t="shared" si="116"/>
        <v>5.6000000000000006E-4</v>
      </c>
      <c r="AB846">
        <v>0.84437360000000006</v>
      </c>
      <c r="AC846">
        <v>0.87814854400000009</v>
      </c>
    </row>
    <row r="847" spans="1:29" x14ac:dyDescent="0.3">
      <c r="A847">
        <v>135251</v>
      </c>
      <c r="B847" s="25" t="s">
        <v>5984</v>
      </c>
      <c r="C847" t="s">
        <v>20</v>
      </c>
      <c r="D847" t="s">
        <v>21</v>
      </c>
      <c r="E847">
        <v>2222222</v>
      </c>
      <c r="F847" s="8" t="s">
        <v>22</v>
      </c>
      <c r="G847" s="2">
        <v>98</v>
      </c>
      <c r="H847" t="s">
        <v>3949</v>
      </c>
      <c r="I847" t="s">
        <v>4184</v>
      </c>
      <c r="J847" s="9" t="s">
        <v>4889</v>
      </c>
      <c r="K847" t="s">
        <v>5311</v>
      </c>
      <c r="L847" s="2">
        <v>1</v>
      </c>
      <c r="M847" s="24" t="s">
        <v>5971</v>
      </c>
      <c r="N847" s="2" t="s">
        <v>23</v>
      </c>
      <c r="O847" s="18" t="s">
        <v>708</v>
      </c>
      <c r="P847" s="18" t="s">
        <v>3781</v>
      </c>
      <c r="Q847" s="6" t="s">
        <v>4475</v>
      </c>
      <c r="T847" s="23">
        <v>45100</v>
      </c>
      <c r="U847" s="23">
        <v>48388</v>
      </c>
      <c r="X847" s="20">
        <v>20830</v>
      </c>
      <c r="Z847" s="6" t="s">
        <v>5978</v>
      </c>
      <c r="AA847" s="13">
        <f t="shared" si="116"/>
        <v>5.6000000000000006E-4</v>
      </c>
      <c r="AB847">
        <v>9.3718800000000009</v>
      </c>
      <c r="AC847">
        <v>9.7467552000000008</v>
      </c>
    </row>
    <row r="848" spans="1:29" x14ac:dyDescent="0.3">
      <c r="A848">
        <v>135580</v>
      </c>
      <c r="B848" s="25" t="s">
        <v>5984</v>
      </c>
      <c r="C848" t="s">
        <v>20</v>
      </c>
      <c r="D848" t="s">
        <v>21</v>
      </c>
      <c r="E848">
        <v>2222222</v>
      </c>
      <c r="F848" s="8" t="s">
        <v>22</v>
      </c>
      <c r="G848" s="2">
        <v>98</v>
      </c>
      <c r="H848" t="s">
        <v>3949</v>
      </c>
      <c r="I848" t="s">
        <v>4583</v>
      </c>
      <c r="J848" s="9" t="s">
        <v>5193</v>
      </c>
      <c r="K848" t="s">
        <v>4824</v>
      </c>
      <c r="L848" s="2">
        <v>1</v>
      </c>
      <c r="M848" s="24" t="s">
        <v>5971</v>
      </c>
      <c r="N848" s="2" t="s">
        <v>23</v>
      </c>
      <c r="O848" s="18" t="s">
        <v>709</v>
      </c>
      <c r="P848" s="18" t="s">
        <v>0</v>
      </c>
      <c r="Q848" s="6" t="s">
        <v>4475</v>
      </c>
      <c r="T848" s="23">
        <v>45120</v>
      </c>
      <c r="U848" s="23">
        <v>46307</v>
      </c>
      <c r="X848" s="20">
        <v>4000</v>
      </c>
      <c r="Z848" s="6" t="s">
        <v>5978</v>
      </c>
      <c r="AA848" s="13">
        <f t="shared" si="116"/>
        <v>5.6000000000000006E-4</v>
      </c>
      <c r="AB848">
        <v>0.38969840000000006</v>
      </c>
      <c r="AC848">
        <v>0.40528633600000008</v>
      </c>
    </row>
    <row r="849" spans="1:29" x14ac:dyDescent="0.3">
      <c r="A849">
        <v>137073</v>
      </c>
      <c r="B849" s="25" t="s">
        <v>5984</v>
      </c>
      <c r="C849" t="s">
        <v>20</v>
      </c>
      <c r="D849" t="s">
        <v>21</v>
      </c>
      <c r="E849">
        <v>2222222</v>
      </c>
      <c r="F849" s="8" t="s">
        <v>22</v>
      </c>
      <c r="G849" s="2">
        <v>98</v>
      </c>
      <c r="H849" t="s">
        <v>3949</v>
      </c>
      <c r="I849" t="s">
        <v>4071</v>
      </c>
      <c r="J849" s="9" t="s">
        <v>5312</v>
      </c>
      <c r="K849" t="s">
        <v>5047</v>
      </c>
      <c r="L849" s="2">
        <v>1</v>
      </c>
      <c r="M849" s="24" t="s">
        <v>5971</v>
      </c>
      <c r="N849" s="2" t="s">
        <v>23</v>
      </c>
      <c r="O849" s="18" t="s">
        <v>710</v>
      </c>
      <c r="P849" s="18" t="s">
        <v>3781</v>
      </c>
      <c r="Q849" s="6" t="s">
        <v>4475</v>
      </c>
      <c r="T849" s="23">
        <v>45203</v>
      </c>
      <c r="U849" s="23">
        <v>46663</v>
      </c>
      <c r="X849" s="20">
        <v>5000</v>
      </c>
      <c r="Z849" s="6" t="s">
        <v>5978</v>
      </c>
      <c r="AA849" s="13">
        <f t="shared" si="116"/>
        <v>5.6000000000000006E-4</v>
      </c>
      <c r="AB849">
        <v>1.1125352000000002</v>
      </c>
      <c r="AC849">
        <v>1.1570366080000003</v>
      </c>
    </row>
    <row r="850" spans="1:29" x14ac:dyDescent="0.3">
      <c r="A850">
        <v>137800</v>
      </c>
      <c r="B850" s="25" t="s">
        <v>5984</v>
      </c>
      <c r="C850" t="s">
        <v>20</v>
      </c>
      <c r="D850" t="s">
        <v>21</v>
      </c>
      <c r="E850">
        <v>2222222</v>
      </c>
      <c r="F850" s="8" t="s">
        <v>22</v>
      </c>
      <c r="G850" s="2">
        <v>98</v>
      </c>
      <c r="H850" t="s">
        <v>3949</v>
      </c>
      <c r="I850" t="s">
        <v>4570</v>
      </c>
      <c r="J850" s="9" t="s">
        <v>5313</v>
      </c>
      <c r="K850" t="s">
        <v>4872</v>
      </c>
      <c r="L850" s="2">
        <v>1</v>
      </c>
      <c r="M850" s="24" t="s">
        <v>5971</v>
      </c>
      <c r="N850" s="2" t="s">
        <v>23</v>
      </c>
      <c r="O850" s="18" t="s">
        <v>282</v>
      </c>
      <c r="P850" s="18" t="s">
        <v>3781</v>
      </c>
      <c r="Q850" s="6" t="s">
        <v>4475</v>
      </c>
      <c r="T850" s="23">
        <v>45243</v>
      </c>
      <c r="U850" s="23">
        <v>46704</v>
      </c>
      <c r="X850" s="20">
        <v>5000</v>
      </c>
      <c r="Z850" s="6" t="s">
        <v>5978</v>
      </c>
      <c r="AA850" s="13">
        <f t="shared" si="116"/>
        <v>5.6000000000000006E-4</v>
      </c>
      <c r="AB850">
        <v>0.70123200000000008</v>
      </c>
      <c r="AC850">
        <v>0.72928128000000014</v>
      </c>
    </row>
    <row r="851" spans="1:29" x14ac:dyDescent="0.3">
      <c r="A851">
        <v>137803</v>
      </c>
      <c r="B851" s="25" t="s">
        <v>5984</v>
      </c>
      <c r="C851" t="s">
        <v>20</v>
      </c>
      <c r="D851" t="s">
        <v>21</v>
      </c>
      <c r="E851">
        <v>2222222</v>
      </c>
      <c r="F851" s="8" t="s">
        <v>22</v>
      </c>
      <c r="G851" s="2">
        <v>98</v>
      </c>
      <c r="H851" t="s">
        <v>3949</v>
      </c>
      <c r="I851" t="s">
        <v>3949</v>
      </c>
      <c r="J851" s="9" t="s">
        <v>5306</v>
      </c>
      <c r="K851" t="s">
        <v>4924</v>
      </c>
      <c r="L851" s="2">
        <v>1</v>
      </c>
      <c r="M851" s="24" t="s">
        <v>5971</v>
      </c>
      <c r="N851" s="2" t="s">
        <v>23</v>
      </c>
      <c r="O851" s="18" t="s">
        <v>700</v>
      </c>
      <c r="P851" s="18" t="s">
        <v>3781</v>
      </c>
      <c r="Q851" s="6" t="s">
        <v>4475</v>
      </c>
      <c r="T851" s="23">
        <v>45243</v>
      </c>
      <c r="U851" s="23">
        <v>47070</v>
      </c>
      <c r="X851" s="20">
        <v>3330</v>
      </c>
      <c r="Z851" s="6" t="s">
        <v>5978</v>
      </c>
      <c r="AA851" s="13">
        <f t="shared" si="116"/>
        <v>5.6000000000000006E-4</v>
      </c>
      <c r="AB851">
        <v>1.8008872</v>
      </c>
      <c r="AC851">
        <v>1.8729226880000001</v>
      </c>
    </row>
    <row r="852" spans="1:29" x14ac:dyDescent="0.3">
      <c r="A852">
        <v>138429</v>
      </c>
      <c r="B852" s="25" t="s">
        <v>5984</v>
      </c>
      <c r="C852" t="s">
        <v>20</v>
      </c>
      <c r="D852" t="s">
        <v>21</v>
      </c>
      <c r="E852">
        <v>2222222</v>
      </c>
      <c r="F852" s="8" t="s">
        <v>22</v>
      </c>
      <c r="G852" s="2">
        <v>98</v>
      </c>
      <c r="H852" t="s">
        <v>3949</v>
      </c>
      <c r="I852" t="s">
        <v>3949</v>
      </c>
      <c r="J852" s="9" t="s">
        <v>5096</v>
      </c>
      <c r="K852" t="s">
        <v>5314</v>
      </c>
      <c r="L852" s="2">
        <v>1</v>
      </c>
      <c r="M852" s="24" t="s">
        <v>5971</v>
      </c>
      <c r="N852" s="2" t="s">
        <v>23</v>
      </c>
      <c r="O852" s="18" t="s">
        <v>711</v>
      </c>
      <c r="P852" s="18" t="s">
        <v>3781</v>
      </c>
      <c r="Q852" s="6" t="s">
        <v>4475</v>
      </c>
      <c r="T852" s="23">
        <v>45275</v>
      </c>
      <c r="U852" s="23">
        <v>46279</v>
      </c>
      <c r="X852" s="20">
        <v>5000</v>
      </c>
      <c r="Z852" s="6" t="s">
        <v>5978</v>
      </c>
      <c r="AA852" s="13">
        <f t="shared" si="116"/>
        <v>5.6000000000000006E-4</v>
      </c>
      <c r="AB852">
        <v>0.21390880000000004</v>
      </c>
      <c r="AC852">
        <v>0.22246515200000005</v>
      </c>
    </row>
    <row r="853" spans="1:29" x14ac:dyDescent="0.3">
      <c r="A853">
        <v>138523</v>
      </c>
      <c r="B853" s="25" t="s">
        <v>5984</v>
      </c>
      <c r="C853" t="s">
        <v>20</v>
      </c>
      <c r="D853" t="s">
        <v>21</v>
      </c>
      <c r="E853">
        <v>2222222</v>
      </c>
      <c r="F853" s="8" t="s">
        <v>22</v>
      </c>
      <c r="G853" s="2">
        <v>98</v>
      </c>
      <c r="H853" t="s">
        <v>3949</v>
      </c>
      <c r="I853" t="s">
        <v>4536</v>
      </c>
      <c r="J853" s="9" t="s">
        <v>5017</v>
      </c>
      <c r="K853" t="s">
        <v>5310</v>
      </c>
      <c r="L853" s="2">
        <v>1</v>
      </c>
      <c r="M853" s="24" t="s">
        <v>5971</v>
      </c>
      <c r="N853" s="2" t="s">
        <v>23</v>
      </c>
      <c r="O853" s="18" t="s">
        <v>705</v>
      </c>
      <c r="P853" s="18" t="s">
        <v>3781</v>
      </c>
      <c r="Q853" s="6" t="s">
        <v>4475</v>
      </c>
      <c r="T853" s="23">
        <v>45281</v>
      </c>
      <c r="U853" s="23">
        <v>46376</v>
      </c>
      <c r="X853" s="20">
        <v>4000</v>
      </c>
      <c r="Z853" s="6" t="s">
        <v>5978</v>
      </c>
      <c r="AA853" s="13">
        <f t="shared" si="116"/>
        <v>5.6000000000000006E-4</v>
      </c>
      <c r="AB853">
        <v>0.37220960000000003</v>
      </c>
      <c r="AC853">
        <v>0.38709798400000006</v>
      </c>
    </row>
    <row r="854" spans="1:29" x14ac:dyDescent="0.3">
      <c r="A854">
        <v>138620</v>
      </c>
      <c r="B854" s="25" t="s">
        <v>5984</v>
      </c>
      <c r="C854" t="s">
        <v>20</v>
      </c>
      <c r="D854" t="s">
        <v>21</v>
      </c>
      <c r="E854">
        <v>2222222</v>
      </c>
      <c r="F854" s="8" t="s">
        <v>22</v>
      </c>
      <c r="G854" s="2">
        <v>98</v>
      </c>
      <c r="H854" t="s">
        <v>3949</v>
      </c>
      <c r="I854" t="s">
        <v>3949</v>
      </c>
      <c r="J854" s="9" t="s">
        <v>4981</v>
      </c>
      <c r="K854" t="s">
        <v>4947</v>
      </c>
      <c r="L854" s="2">
        <v>1</v>
      </c>
      <c r="M854" s="24" t="s">
        <v>5971</v>
      </c>
      <c r="N854" s="2" t="s">
        <v>23</v>
      </c>
      <c r="O854" s="18" t="s">
        <v>712</v>
      </c>
      <c r="P854" s="18" t="s">
        <v>3781</v>
      </c>
      <c r="Q854" s="6" t="s">
        <v>4475</v>
      </c>
      <c r="T854" s="23">
        <v>45291</v>
      </c>
      <c r="U854" s="23">
        <v>46751</v>
      </c>
      <c r="X854" s="20">
        <v>5000</v>
      </c>
      <c r="Z854" s="6" t="s">
        <v>5978</v>
      </c>
      <c r="AA854" s="13">
        <f t="shared" si="116"/>
        <v>5.6000000000000006E-4</v>
      </c>
      <c r="AB854">
        <v>1.1818744000000001</v>
      </c>
      <c r="AC854">
        <v>1.2291493760000001</v>
      </c>
    </row>
    <row r="855" spans="1:29" x14ac:dyDescent="0.3">
      <c r="A855">
        <v>138668</v>
      </c>
      <c r="B855" s="25" t="s">
        <v>5984</v>
      </c>
      <c r="C855" t="s">
        <v>20</v>
      </c>
      <c r="D855" t="s">
        <v>21</v>
      </c>
      <c r="E855">
        <v>2222222</v>
      </c>
      <c r="F855" s="8" t="s">
        <v>22</v>
      </c>
      <c r="G855" s="2">
        <v>98</v>
      </c>
      <c r="H855" t="s">
        <v>3949</v>
      </c>
      <c r="I855" t="s">
        <v>4646</v>
      </c>
      <c r="J855" s="9" t="s">
        <v>4911</v>
      </c>
      <c r="K855" t="s">
        <v>5266</v>
      </c>
      <c r="L855" s="2">
        <v>1</v>
      </c>
      <c r="M855" s="24" t="s">
        <v>5971</v>
      </c>
      <c r="N855" s="2" t="s">
        <v>23</v>
      </c>
      <c r="O855" s="18" t="s">
        <v>713</v>
      </c>
      <c r="P855" s="18" t="s">
        <v>3781</v>
      </c>
      <c r="Q855" s="6" t="s">
        <v>4475</v>
      </c>
      <c r="T855" s="23">
        <v>45291</v>
      </c>
      <c r="U855" s="23">
        <v>47937</v>
      </c>
      <c r="X855" s="20">
        <v>19100</v>
      </c>
      <c r="Z855" s="6" t="s">
        <v>5978</v>
      </c>
      <c r="AA855" s="13">
        <f t="shared" si="116"/>
        <v>5.6000000000000006E-4</v>
      </c>
      <c r="AB855">
        <v>9.6677560000000007</v>
      </c>
      <c r="AC855">
        <v>10.054466240000002</v>
      </c>
    </row>
    <row r="856" spans="1:29" x14ac:dyDescent="0.3">
      <c r="A856">
        <v>138913</v>
      </c>
      <c r="B856" s="25" t="s">
        <v>5984</v>
      </c>
      <c r="C856" t="s">
        <v>20</v>
      </c>
      <c r="D856" t="s">
        <v>21</v>
      </c>
      <c r="E856">
        <v>2222222</v>
      </c>
      <c r="F856" s="8" t="s">
        <v>22</v>
      </c>
      <c r="G856" s="2">
        <v>98</v>
      </c>
      <c r="H856" t="s">
        <v>3949</v>
      </c>
      <c r="I856" t="s">
        <v>3949</v>
      </c>
      <c r="J856" s="9" t="s">
        <v>5280</v>
      </c>
      <c r="K856" t="s">
        <v>4924</v>
      </c>
      <c r="L856" s="2">
        <v>1</v>
      </c>
      <c r="M856" s="24" t="s">
        <v>5971</v>
      </c>
      <c r="N856" s="2" t="s">
        <v>23</v>
      </c>
      <c r="O856" s="18" t="s">
        <v>714</v>
      </c>
      <c r="P856" s="18" t="s">
        <v>3781</v>
      </c>
      <c r="Q856" s="6" t="s">
        <v>4475</v>
      </c>
      <c r="T856" s="23">
        <v>45306</v>
      </c>
      <c r="U856" s="23">
        <v>46766</v>
      </c>
      <c r="X856" s="20">
        <v>5000</v>
      </c>
      <c r="Z856" s="6" t="s">
        <v>5978</v>
      </c>
      <c r="AA856" s="13">
        <f t="shared" si="116"/>
        <v>5.6000000000000006E-4</v>
      </c>
      <c r="AB856">
        <v>1.3033048</v>
      </c>
      <c r="AC856">
        <v>1.355436992</v>
      </c>
    </row>
    <row r="857" spans="1:29" x14ac:dyDescent="0.3">
      <c r="A857">
        <v>139132</v>
      </c>
      <c r="B857" s="25" t="s">
        <v>5984</v>
      </c>
      <c r="C857" t="s">
        <v>20</v>
      </c>
      <c r="D857" t="s">
        <v>21</v>
      </c>
      <c r="E857">
        <v>2222222</v>
      </c>
      <c r="F857" s="8" t="s">
        <v>22</v>
      </c>
      <c r="G857" s="2">
        <v>98</v>
      </c>
      <c r="H857" t="s">
        <v>3949</v>
      </c>
      <c r="I857" t="s">
        <v>3949</v>
      </c>
      <c r="J857" s="9" t="s">
        <v>5306</v>
      </c>
      <c r="K857" t="s">
        <v>4924</v>
      </c>
      <c r="L857" s="2">
        <v>1</v>
      </c>
      <c r="M857" s="24" t="s">
        <v>5971</v>
      </c>
      <c r="N857" s="2" t="s">
        <v>23</v>
      </c>
      <c r="O857" s="18" t="s">
        <v>700</v>
      </c>
      <c r="P857" s="18" t="s">
        <v>3781</v>
      </c>
      <c r="Q857" s="6" t="s">
        <v>4475</v>
      </c>
      <c r="T857" s="23">
        <v>45316</v>
      </c>
      <c r="U857" s="23">
        <v>45406</v>
      </c>
      <c r="X857" s="20">
        <v>2080</v>
      </c>
      <c r="Z857" s="6" t="s">
        <v>5978</v>
      </c>
      <c r="AA857" s="13">
        <f t="shared" si="116"/>
        <v>5.6000000000000006E-4</v>
      </c>
      <c r="AB857">
        <v>1.1648000000000001</v>
      </c>
      <c r="AC857">
        <v>1.211392</v>
      </c>
    </row>
    <row r="858" spans="1:29" x14ac:dyDescent="0.3">
      <c r="A858">
        <v>139333</v>
      </c>
      <c r="B858" s="25" t="s">
        <v>5984</v>
      </c>
      <c r="C858" t="s">
        <v>20</v>
      </c>
      <c r="D858" t="s">
        <v>21</v>
      </c>
      <c r="E858">
        <v>2222222</v>
      </c>
      <c r="F858" s="8" t="s">
        <v>22</v>
      </c>
      <c r="G858" s="2">
        <v>98</v>
      </c>
      <c r="H858" t="s">
        <v>3949</v>
      </c>
      <c r="I858" t="s">
        <v>4606</v>
      </c>
      <c r="J858" s="9" t="s">
        <v>5088</v>
      </c>
      <c r="K858" t="s">
        <v>4884</v>
      </c>
      <c r="L858" s="2">
        <v>1</v>
      </c>
      <c r="M858" s="24" t="s">
        <v>5971</v>
      </c>
      <c r="N858" s="2" t="s">
        <v>23</v>
      </c>
      <c r="O858" s="18" t="s">
        <v>715</v>
      </c>
      <c r="P858" s="18" t="s">
        <v>3781</v>
      </c>
      <c r="Q858" s="6" t="s">
        <v>4475</v>
      </c>
      <c r="T858" s="23">
        <v>45365</v>
      </c>
      <c r="U858" s="23">
        <v>47190</v>
      </c>
      <c r="X858" s="20">
        <v>40000</v>
      </c>
      <c r="Z858" s="6" t="s">
        <v>5978</v>
      </c>
      <c r="AA858" s="13">
        <f t="shared" si="116"/>
        <v>5.6000000000000006E-4</v>
      </c>
      <c r="AB858">
        <v>13.673996000000001</v>
      </c>
      <c r="AC858">
        <v>14.220955840000002</v>
      </c>
    </row>
    <row r="859" spans="1:29" x14ac:dyDescent="0.3">
      <c r="A859">
        <v>139507</v>
      </c>
      <c r="B859" s="25" t="s">
        <v>5984</v>
      </c>
      <c r="C859" t="s">
        <v>20</v>
      </c>
      <c r="D859" t="s">
        <v>21</v>
      </c>
      <c r="E859">
        <v>2222222</v>
      </c>
      <c r="F859" s="8" t="s">
        <v>22</v>
      </c>
      <c r="G859" s="2">
        <v>98</v>
      </c>
      <c r="H859" t="s">
        <v>3949</v>
      </c>
      <c r="I859" t="s">
        <v>4067</v>
      </c>
      <c r="J859" s="9" t="s">
        <v>4852</v>
      </c>
      <c r="K859" t="s">
        <v>4847</v>
      </c>
      <c r="L859" s="2">
        <v>1</v>
      </c>
      <c r="M859" s="24" t="s">
        <v>5971</v>
      </c>
      <c r="N859" s="2" t="s">
        <v>23</v>
      </c>
      <c r="O859" s="18" t="s">
        <v>716</v>
      </c>
      <c r="P859" s="18" t="s">
        <v>0</v>
      </c>
      <c r="Q859" s="6" t="s">
        <v>4475</v>
      </c>
      <c r="T859" s="23">
        <v>45344</v>
      </c>
      <c r="U859" s="23">
        <v>46441</v>
      </c>
      <c r="X859" s="20">
        <v>5000</v>
      </c>
      <c r="Z859" s="6" t="s">
        <v>5978</v>
      </c>
      <c r="AA859" s="13">
        <f t="shared" si="116"/>
        <v>5.6000000000000006E-4</v>
      </c>
      <c r="AB859">
        <v>0.67782400000000009</v>
      </c>
      <c r="AC859">
        <v>0.70493696000000017</v>
      </c>
    </row>
    <row r="860" spans="1:29" x14ac:dyDescent="0.3">
      <c r="A860">
        <v>139734</v>
      </c>
      <c r="B860" s="25" t="s">
        <v>5984</v>
      </c>
      <c r="C860" t="s">
        <v>20</v>
      </c>
      <c r="D860" t="s">
        <v>21</v>
      </c>
      <c r="E860">
        <v>2222222</v>
      </c>
      <c r="F860" s="8" t="s">
        <v>22</v>
      </c>
      <c r="G860" s="2">
        <v>98</v>
      </c>
      <c r="H860" t="s">
        <v>3949</v>
      </c>
      <c r="I860" t="s">
        <v>4536</v>
      </c>
      <c r="J860" s="9" t="s">
        <v>4953</v>
      </c>
      <c r="K860" t="s">
        <v>5135</v>
      </c>
      <c r="L860" s="2">
        <v>1</v>
      </c>
      <c r="M860" s="24" t="s">
        <v>5971</v>
      </c>
      <c r="N860" s="2" t="s">
        <v>23</v>
      </c>
      <c r="O860" s="18" t="s">
        <v>717</v>
      </c>
      <c r="P860" s="18" t="s">
        <v>0</v>
      </c>
      <c r="Q860" s="6" t="s">
        <v>4475</v>
      </c>
      <c r="T860" s="23">
        <v>45349</v>
      </c>
      <c r="U860" s="23">
        <v>46446</v>
      </c>
      <c r="X860" s="20">
        <v>5000</v>
      </c>
      <c r="Z860" s="6" t="s">
        <v>5978</v>
      </c>
      <c r="AA860" s="13">
        <f t="shared" si="116"/>
        <v>5.6000000000000006E-4</v>
      </c>
      <c r="AB860">
        <v>0.67782400000000009</v>
      </c>
      <c r="AC860">
        <v>0.70493696000000017</v>
      </c>
    </row>
    <row r="861" spans="1:29" x14ac:dyDescent="0.3">
      <c r="A861">
        <v>139844</v>
      </c>
      <c r="B861" s="25" t="s">
        <v>5984</v>
      </c>
      <c r="C861" t="s">
        <v>20</v>
      </c>
      <c r="D861" t="s">
        <v>21</v>
      </c>
      <c r="E861">
        <v>2222222</v>
      </c>
      <c r="F861" s="8" t="s">
        <v>22</v>
      </c>
      <c r="G861" s="2">
        <v>98</v>
      </c>
      <c r="H861" t="s">
        <v>3949</v>
      </c>
      <c r="I861" t="s">
        <v>3923</v>
      </c>
      <c r="J861" s="9" t="s">
        <v>5168</v>
      </c>
      <c r="K861" t="s">
        <v>5144</v>
      </c>
      <c r="L861" s="2">
        <v>1</v>
      </c>
      <c r="M861" s="24" t="s">
        <v>5971</v>
      </c>
      <c r="N861" s="2" t="s">
        <v>23</v>
      </c>
      <c r="O861" s="18" t="s">
        <v>633</v>
      </c>
      <c r="P861" s="18" t="s">
        <v>0</v>
      </c>
      <c r="Q861" s="6" t="s">
        <v>4475</v>
      </c>
      <c r="T861" s="23">
        <v>45352</v>
      </c>
      <c r="U861" s="23">
        <v>46812</v>
      </c>
      <c r="X861" s="20">
        <v>5000</v>
      </c>
      <c r="Z861" s="6" t="s">
        <v>5978</v>
      </c>
      <c r="AA861" s="13">
        <f t="shared" si="116"/>
        <v>5.6000000000000006E-4</v>
      </c>
      <c r="AB861">
        <v>1.2723088000000002</v>
      </c>
      <c r="AC861">
        <v>1.3232011520000002</v>
      </c>
    </row>
    <row r="862" spans="1:29" x14ac:dyDescent="0.3">
      <c r="A862">
        <v>139970</v>
      </c>
      <c r="B862" s="25" t="s">
        <v>5984</v>
      </c>
      <c r="C862" t="s">
        <v>20</v>
      </c>
      <c r="D862" t="s">
        <v>21</v>
      </c>
      <c r="E862">
        <v>2222222</v>
      </c>
      <c r="F862" s="8" t="s">
        <v>22</v>
      </c>
      <c r="G862" s="2">
        <v>98</v>
      </c>
      <c r="H862" t="s">
        <v>3949</v>
      </c>
      <c r="I862" t="s">
        <v>3949</v>
      </c>
      <c r="J862" s="9" t="s">
        <v>5240</v>
      </c>
      <c r="K862" t="s">
        <v>5315</v>
      </c>
      <c r="L862" s="2">
        <v>1</v>
      </c>
      <c r="M862" s="24" t="s">
        <v>5971</v>
      </c>
      <c r="N862" s="2" t="s">
        <v>23</v>
      </c>
      <c r="O862" s="18" t="s">
        <v>718</v>
      </c>
      <c r="P862" s="18" t="s">
        <v>0</v>
      </c>
      <c r="Q862" s="6" t="s">
        <v>4475</v>
      </c>
      <c r="T862" s="23">
        <v>45362</v>
      </c>
      <c r="U862" s="23">
        <v>46548</v>
      </c>
      <c r="X862" s="20">
        <v>15500</v>
      </c>
      <c r="Z862" s="6" t="s">
        <v>5978</v>
      </c>
      <c r="AA862" s="13">
        <f t="shared" si="116"/>
        <v>5.6000000000000006E-4</v>
      </c>
      <c r="AB862">
        <v>2.9932952000000004</v>
      </c>
      <c r="AC862">
        <v>3.1130270080000004</v>
      </c>
    </row>
    <row r="863" spans="1:29" x14ac:dyDescent="0.3">
      <c r="A863">
        <v>140049</v>
      </c>
      <c r="B863" s="25" t="s">
        <v>5984</v>
      </c>
      <c r="C863" t="s">
        <v>20</v>
      </c>
      <c r="D863" t="s">
        <v>21</v>
      </c>
      <c r="E863">
        <v>2222222</v>
      </c>
      <c r="F863" s="8" t="s">
        <v>22</v>
      </c>
      <c r="G863" s="2">
        <v>98</v>
      </c>
      <c r="H863" t="s">
        <v>3949</v>
      </c>
      <c r="I863" t="s">
        <v>3949</v>
      </c>
      <c r="J863" s="9" t="s">
        <v>4182</v>
      </c>
      <c r="K863" t="s">
        <v>5316</v>
      </c>
      <c r="L863" s="2">
        <v>1</v>
      </c>
      <c r="M863" s="24" t="s">
        <v>5971</v>
      </c>
      <c r="N863" s="2" t="s">
        <v>23</v>
      </c>
      <c r="O863" s="18" t="s">
        <v>719</v>
      </c>
      <c r="P863" s="18" t="s">
        <v>0</v>
      </c>
      <c r="Q863" s="6" t="s">
        <v>4475</v>
      </c>
      <c r="T863" s="23">
        <v>45362</v>
      </c>
      <c r="U863" s="23">
        <v>47187</v>
      </c>
      <c r="X863" s="20">
        <v>3350</v>
      </c>
      <c r="Z863" s="6" t="s">
        <v>5978</v>
      </c>
      <c r="AA863" s="13">
        <f t="shared" si="116"/>
        <v>5.6000000000000006E-4</v>
      </c>
      <c r="AB863">
        <v>1.1731272000000001</v>
      </c>
      <c r="AC863">
        <v>1.2200522880000002</v>
      </c>
    </row>
    <row r="864" spans="1:29" x14ac:dyDescent="0.3">
      <c r="A864">
        <v>140070</v>
      </c>
      <c r="B864" s="25" t="s">
        <v>5984</v>
      </c>
      <c r="C864" t="s">
        <v>20</v>
      </c>
      <c r="D864" t="s">
        <v>21</v>
      </c>
      <c r="E864">
        <v>2222222</v>
      </c>
      <c r="F864" s="8" t="s">
        <v>22</v>
      </c>
      <c r="G864" s="2">
        <v>98</v>
      </c>
      <c r="H864" t="s">
        <v>3949</v>
      </c>
      <c r="I864" t="s">
        <v>3949</v>
      </c>
      <c r="J864" s="9" t="s">
        <v>4836</v>
      </c>
      <c r="K864" t="s">
        <v>4985</v>
      </c>
      <c r="L864" s="2">
        <v>1</v>
      </c>
      <c r="M864" s="24" t="s">
        <v>5971</v>
      </c>
      <c r="N864" s="2" t="s">
        <v>23</v>
      </c>
      <c r="O864" s="18" t="s">
        <v>720</v>
      </c>
      <c r="P864" s="18" t="s">
        <v>3781</v>
      </c>
      <c r="Q864" s="6" t="s">
        <v>4475</v>
      </c>
      <c r="T864" s="23">
        <v>45363</v>
      </c>
      <c r="U864" s="23">
        <v>46548</v>
      </c>
      <c r="X864" s="20">
        <v>2820</v>
      </c>
      <c r="Z864" s="6" t="s">
        <v>5978</v>
      </c>
      <c r="AA864" s="13">
        <f t="shared" si="116"/>
        <v>5.6000000000000006E-4</v>
      </c>
      <c r="AB864">
        <v>0.6456128000000001</v>
      </c>
      <c r="AC864">
        <v>0.67143731200000012</v>
      </c>
    </row>
    <row r="865" spans="1:29" x14ac:dyDescent="0.3">
      <c r="A865">
        <v>140332</v>
      </c>
      <c r="B865" s="25" t="s">
        <v>5984</v>
      </c>
      <c r="C865" t="s">
        <v>20</v>
      </c>
      <c r="D865" t="s">
        <v>21</v>
      </c>
      <c r="E865">
        <v>2222222</v>
      </c>
      <c r="F865" s="8" t="s">
        <v>22</v>
      </c>
      <c r="G865" s="2">
        <v>98</v>
      </c>
      <c r="H865" t="s">
        <v>3949</v>
      </c>
      <c r="I865" t="s">
        <v>3924</v>
      </c>
      <c r="J865" s="9" t="s">
        <v>5168</v>
      </c>
      <c r="K865" t="s">
        <v>4966</v>
      </c>
      <c r="L865" s="2">
        <v>1</v>
      </c>
      <c r="M865" s="24" t="s">
        <v>5971</v>
      </c>
      <c r="N865" s="2" t="s">
        <v>23</v>
      </c>
      <c r="O865" s="18" t="s">
        <v>721</v>
      </c>
      <c r="P865" s="18" t="s">
        <v>0</v>
      </c>
      <c r="Q865" s="6" t="s">
        <v>4475</v>
      </c>
      <c r="T865" s="23">
        <v>45383</v>
      </c>
      <c r="U865" s="23">
        <v>46844</v>
      </c>
      <c r="X865" s="20">
        <v>3095</v>
      </c>
      <c r="Z865" s="6" t="s">
        <v>5978</v>
      </c>
      <c r="AA865" s="13">
        <f t="shared" si="116"/>
        <v>5.6000000000000006E-4</v>
      </c>
      <c r="AB865">
        <v>0.86212000000000011</v>
      </c>
      <c r="AC865">
        <v>0.89660480000000009</v>
      </c>
    </row>
    <row r="866" spans="1:29" x14ac:dyDescent="0.3">
      <c r="A866">
        <v>140555</v>
      </c>
      <c r="B866" s="25" t="s">
        <v>5984</v>
      </c>
      <c r="C866" t="s">
        <v>20</v>
      </c>
      <c r="D866" t="s">
        <v>21</v>
      </c>
      <c r="E866">
        <v>2222222</v>
      </c>
      <c r="F866" s="8" t="s">
        <v>22</v>
      </c>
      <c r="G866" s="2">
        <v>98</v>
      </c>
      <c r="H866" t="s">
        <v>3949</v>
      </c>
      <c r="I866" t="s">
        <v>3949</v>
      </c>
      <c r="J866" s="9" t="s">
        <v>5139</v>
      </c>
      <c r="K866" t="s">
        <v>4891</v>
      </c>
      <c r="L866" s="2">
        <v>1</v>
      </c>
      <c r="M866" s="24" t="s">
        <v>5971</v>
      </c>
      <c r="N866" s="2" t="s">
        <v>23</v>
      </c>
      <c r="O866" s="18" t="s">
        <v>722</v>
      </c>
      <c r="P866" s="18" t="s">
        <v>3781</v>
      </c>
      <c r="Q866" s="6" t="s">
        <v>4475</v>
      </c>
      <c r="T866" s="23">
        <v>45394</v>
      </c>
      <c r="U866" s="23">
        <v>46489</v>
      </c>
      <c r="X866" s="20">
        <v>4000</v>
      </c>
      <c r="Z866" s="6" t="s">
        <v>5978</v>
      </c>
      <c r="AA866" s="13">
        <f t="shared" si="116"/>
        <v>5.6000000000000006E-4</v>
      </c>
      <c r="AB866">
        <v>0.67919039999999997</v>
      </c>
      <c r="AC866">
        <v>0.70635801600000003</v>
      </c>
    </row>
    <row r="867" spans="1:29" x14ac:dyDescent="0.3">
      <c r="A867">
        <v>140631</v>
      </c>
      <c r="B867" s="25" t="s">
        <v>5984</v>
      </c>
      <c r="C867" t="s">
        <v>20</v>
      </c>
      <c r="D867" t="s">
        <v>21</v>
      </c>
      <c r="E867">
        <v>2222222</v>
      </c>
      <c r="F867" s="8" t="s">
        <v>22</v>
      </c>
      <c r="G867" s="2">
        <v>98</v>
      </c>
      <c r="H867" t="s">
        <v>3949</v>
      </c>
      <c r="I867" t="s">
        <v>3949</v>
      </c>
      <c r="J867" s="9" t="s">
        <v>5160</v>
      </c>
      <c r="K867" t="s">
        <v>4964</v>
      </c>
      <c r="L867" s="2">
        <v>1</v>
      </c>
      <c r="M867" s="24" t="s">
        <v>5971</v>
      </c>
      <c r="N867" s="2" t="s">
        <v>23</v>
      </c>
      <c r="O867" s="18" t="s">
        <v>723</v>
      </c>
      <c r="P867" s="18" t="s">
        <v>0</v>
      </c>
      <c r="Q867" s="6" t="s">
        <v>4475</v>
      </c>
      <c r="T867" s="23">
        <v>45402</v>
      </c>
      <c r="U867" s="23">
        <v>47228</v>
      </c>
      <c r="X867" s="20">
        <v>7000</v>
      </c>
      <c r="Z867" s="6" t="s">
        <v>5978</v>
      </c>
      <c r="AA867" s="13">
        <f t="shared" si="116"/>
        <v>5.6000000000000006E-4</v>
      </c>
      <c r="AB867">
        <v>2.5025840000000001</v>
      </c>
      <c r="AC867">
        <v>2.6026873600000004</v>
      </c>
    </row>
    <row r="868" spans="1:29" x14ac:dyDescent="0.3">
      <c r="A868">
        <v>140904</v>
      </c>
      <c r="B868" s="25" t="s">
        <v>5984</v>
      </c>
      <c r="C868" t="s">
        <v>20</v>
      </c>
      <c r="D868" t="s">
        <v>21</v>
      </c>
      <c r="E868">
        <v>2222222</v>
      </c>
      <c r="F868" s="8" t="s">
        <v>22</v>
      </c>
      <c r="G868" s="2">
        <v>98</v>
      </c>
      <c r="H868" t="s">
        <v>3949</v>
      </c>
      <c r="I868" t="s">
        <v>4239</v>
      </c>
      <c r="J868" s="9" t="s">
        <v>4969</v>
      </c>
      <c r="K868" t="s">
        <v>4979</v>
      </c>
      <c r="L868" s="2">
        <v>1</v>
      </c>
      <c r="M868" s="24" t="s">
        <v>5971</v>
      </c>
      <c r="N868" s="2" t="s">
        <v>23</v>
      </c>
      <c r="O868" s="18" t="s">
        <v>724</v>
      </c>
      <c r="P868" s="18" t="s">
        <v>3781</v>
      </c>
      <c r="Q868" s="6" t="s">
        <v>4475</v>
      </c>
      <c r="T868" s="23">
        <v>45419</v>
      </c>
      <c r="U868" s="23">
        <v>46513</v>
      </c>
      <c r="X868" s="20">
        <v>1510</v>
      </c>
      <c r="Z868" s="6" t="s">
        <v>5978</v>
      </c>
      <c r="AA868" s="14">
        <f t="shared" ref="AA868:AA931" si="117">+(0.6/1000)</f>
        <v>5.9999999999999995E-4</v>
      </c>
      <c r="AB868">
        <v>0.30256199999999994</v>
      </c>
      <c r="AC868">
        <v>0.31466447999999997</v>
      </c>
    </row>
    <row r="869" spans="1:29" x14ac:dyDescent="0.3">
      <c r="A869">
        <v>141082</v>
      </c>
      <c r="B869" s="25" t="s">
        <v>5984</v>
      </c>
      <c r="C869" t="s">
        <v>20</v>
      </c>
      <c r="D869" t="s">
        <v>21</v>
      </c>
      <c r="E869">
        <v>2222222</v>
      </c>
      <c r="F869" s="8" t="s">
        <v>22</v>
      </c>
      <c r="G869" s="2">
        <v>98</v>
      </c>
      <c r="H869" t="s">
        <v>3949</v>
      </c>
      <c r="I869" t="s">
        <v>3949</v>
      </c>
      <c r="J869" s="9" t="s">
        <v>4836</v>
      </c>
      <c r="K869" t="s">
        <v>4985</v>
      </c>
      <c r="L869" s="2">
        <v>1</v>
      </c>
      <c r="M869" s="24" t="s">
        <v>5971</v>
      </c>
      <c r="N869" s="2" t="s">
        <v>23</v>
      </c>
      <c r="O869" s="18" t="s">
        <v>720</v>
      </c>
      <c r="P869" s="18" t="s">
        <v>3781</v>
      </c>
      <c r="Q869" s="6" t="s">
        <v>4475</v>
      </c>
      <c r="T869" s="23">
        <v>45429</v>
      </c>
      <c r="U869" s="23">
        <v>46981</v>
      </c>
      <c r="X869" s="20">
        <v>5000</v>
      </c>
      <c r="Z869" s="6" t="s">
        <v>5978</v>
      </c>
      <c r="AA869" s="14">
        <f t="shared" si="117"/>
        <v>5.9999999999999995E-4</v>
      </c>
      <c r="AB869">
        <v>1.7856779999999999</v>
      </c>
      <c r="AC869">
        <v>1.8571051199999999</v>
      </c>
    </row>
    <row r="870" spans="1:29" x14ac:dyDescent="0.3">
      <c r="A870">
        <v>141147</v>
      </c>
      <c r="B870" s="25" t="s">
        <v>5984</v>
      </c>
      <c r="C870" t="s">
        <v>20</v>
      </c>
      <c r="D870" t="s">
        <v>21</v>
      </c>
      <c r="E870">
        <v>2222222</v>
      </c>
      <c r="F870" s="8" t="s">
        <v>22</v>
      </c>
      <c r="G870" s="2">
        <v>98</v>
      </c>
      <c r="H870" t="s">
        <v>3949</v>
      </c>
      <c r="I870" t="s">
        <v>4500</v>
      </c>
      <c r="J870" s="9" t="s">
        <v>4921</v>
      </c>
      <c r="K870" t="s">
        <v>4924</v>
      </c>
      <c r="L870" s="2">
        <v>1</v>
      </c>
      <c r="M870" s="24" t="s">
        <v>5971</v>
      </c>
      <c r="N870" s="2" t="s">
        <v>23</v>
      </c>
      <c r="O870" s="18" t="s">
        <v>725</v>
      </c>
      <c r="P870" s="18" t="s">
        <v>3781</v>
      </c>
      <c r="Q870" s="6" t="s">
        <v>4475</v>
      </c>
      <c r="T870" s="23">
        <v>45442</v>
      </c>
      <c r="U870" s="23">
        <v>47025</v>
      </c>
      <c r="X870" s="20">
        <v>15000</v>
      </c>
      <c r="Z870" s="6" t="s">
        <v>5978</v>
      </c>
      <c r="AA870" s="14">
        <f t="shared" si="117"/>
        <v>5.9999999999999995E-4</v>
      </c>
      <c r="AB870">
        <v>5.0848799999999992</v>
      </c>
      <c r="AC870">
        <v>5.2882751999999993</v>
      </c>
    </row>
    <row r="871" spans="1:29" x14ac:dyDescent="0.3">
      <c r="A871">
        <v>141943</v>
      </c>
      <c r="B871" s="25" t="s">
        <v>5984</v>
      </c>
      <c r="C871" t="s">
        <v>20</v>
      </c>
      <c r="D871" t="s">
        <v>21</v>
      </c>
      <c r="E871">
        <v>2222222</v>
      </c>
      <c r="F871" s="8" t="s">
        <v>22</v>
      </c>
      <c r="G871" s="2">
        <v>98</v>
      </c>
      <c r="H871" t="s">
        <v>3949</v>
      </c>
      <c r="I871" t="s">
        <v>4570</v>
      </c>
      <c r="J871" s="9" t="s">
        <v>4878</v>
      </c>
      <c r="K871" t="s">
        <v>5317</v>
      </c>
      <c r="L871" s="2">
        <v>1</v>
      </c>
      <c r="M871" s="24" t="s">
        <v>5971</v>
      </c>
      <c r="N871" s="2" t="s">
        <v>23</v>
      </c>
      <c r="O871" s="18" t="s">
        <v>726</v>
      </c>
      <c r="P871" s="18" t="s">
        <v>0</v>
      </c>
      <c r="Q871" s="6" t="s">
        <v>4475</v>
      </c>
      <c r="T871" s="23">
        <v>45485</v>
      </c>
      <c r="U871" s="23">
        <v>46579</v>
      </c>
      <c r="X871" s="20">
        <v>2925</v>
      </c>
      <c r="Z871" s="6" t="s">
        <v>5978</v>
      </c>
      <c r="AA871" s="14">
        <f t="shared" si="117"/>
        <v>5.9999999999999995E-4</v>
      </c>
      <c r="AB871">
        <v>0.69901799999999992</v>
      </c>
      <c r="AC871">
        <v>0.72697871999999997</v>
      </c>
    </row>
    <row r="872" spans="1:29" x14ac:dyDescent="0.3">
      <c r="A872">
        <v>141996</v>
      </c>
      <c r="B872" s="25" t="s">
        <v>5984</v>
      </c>
      <c r="C872" t="s">
        <v>20</v>
      </c>
      <c r="D872" t="s">
        <v>21</v>
      </c>
      <c r="E872">
        <v>2222222</v>
      </c>
      <c r="F872" s="8" t="s">
        <v>22</v>
      </c>
      <c r="G872" s="2">
        <v>98</v>
      </c>
      <c r="H872" t="s">
        <v>3949</v>
      </c>
      <c r="I872" t="s">
        <v>3949</v>
      </c>
      <c r="J872" s="9" t="s">
        <v>4911</v>
      </c>
      <c r="K872" t="s">
        <v>5145</v>
      </c>
      <c r="L872" s="2">
        <v>1</v>
      </c>
      <c r="M872" s="24" t="s">
        <v>5971</v>
      </c>
      <c r="N872" s="2" t="s">
        <v>23</v>
      </c>
      <c r="O872" s="18" t="s">
        <v>727</v>
      </c>
      <c r="P872" s="18" t="s">
        <v>3781</v>
      </c>
      <c r="Q872" s="6" t="s">
        <v>4475</v>
      </c>
      <c r="T872" s="23">
        <v>45495</v>
      </c>
      <c r="U872" s="23">
        <v>46955</v>
      </c>
      <c r="X872" s="20">
        <v>5000</v>
      </c>
      <c r="Z872" s="6" t="s">
        <v>5978</v>
      </c>
      <c r="AA872" s="14">
        <f t="shared" si="117"/>
        <v>5.9999999999999995E-4</v>
      </c>
      <c r="AB872">
        <v>1.7240459999999997</v>
      </c>
      <c r="AC872">
        <v>1.7930078399999998</v>
      </c>
    </row>
    <row r="873" spans="1:29" x14ac:dyDescent="0.3">
      <c r="A873">
        <v>142283</v>
      </c>
      <c r="B873" s="25" t="s">
        <v>5984</v>
      </c>
      <c r="C873" t="s">
        <v>20</v>
      </c>
      <c r="D873" t="s">
        <v>21</v>
      </c>
      <c r="E873">
        <v>2222222</v>
      </c>
      <c r="F873" s="8" t="s">
        <v>22</v>
      </c>
      <c r="G873" s="2">
        <v>98</v>
      </c>
      <c r="H873" t="s">
        <v>3949</v>
      </c>
      <c r="I873" t="s">
        <v>3924</v>
      </c>
      <c r="J873" s="9" t="s">
        <v>5318</v>
      </c>
      <c r="K873" t="s">
        <v>5319</v>
      </c>
      <c r="L873" s="2">
        <v>1</v>
      </c>
      <c r="M873" s="24" t="s">
        <v>5971</v>
      </c>
      <c r="N873" s="2" t="s">
        <v>23</v>
      </c>
      <c r="O873" s="18" t="s">
        <v>728</v>
      </c>
      <c r="P873" s="18" t="s">
        <v>0</v>
      </c>
      <c r="Q873" s="6" t="s">
        <v>4475</v>
      </c>
      <c r="T873" s="23">
        <v>45516</v>
      </c>
      <c r="U873" s="23">
        <v>48071</v>
      </c>
      <c r="X873" s="20">
        <v>40000</v>
      </c>
      <c r="Z873" s="6" t="s">
        <v>5978</v>
      </c>
      <c r="AA873" s="14">
        <f t="shared" si="117"/>
        <v>5.9999999999999995E-4</v>
      </c>
      <c r="AB873">
        <v>19.561343999999998</v>
      </c>
      <c r="AC873">
        <v>20.343797759999998</v>
      </c>
    </row>
    <row r="874" spans="1:29" x14ac:dyDescent="0.3">
      <c r="A874">
        <v>142372</v>
      </c>
      <c r="B874" s="25" t="s">
        <v>5984</v>
      </c>
      <c r="C874" t="s">
        <v>20</v>
      </c>
      <c r="D874" t="s">
        <v>21</v>
      </c>
      <c r="E874">
        <v>2222222</v>
      </c>
      <c r="F874" s="8" t="s">
        <v>22</v>
      </c>
      <c r="G874" s="2">
        <v>98</v>
      </c>
      <c r="H874" t="s">
        <v>3949</v>
      </c>
      <c r="I874" t="s">
        <v>3924</v>
      </c>
      <c r="J874" s="9" t="s">
        <v>4911</v>
      </c>
      <c r="K874" t="s">
        <v>5320</v>
      </c>
      <c r="L874" s="2">
        <v>1</v>
      </c>
      <c r="M874" s="24" t="s">
        <v>5971</v>
      </c>
      <c r="N874" s="2" t="s">
        <v>23</v>
      </c>
      <c r="O874" s="18" t="s">
        <v>729</v>
      </c>
      <c r="P874" s="18" t="s">
        <v>3781</v>
      </c>
      <c r="Q874" s="6" t="s">
        <v>4475</v>
      </c>
      <c r="T874" s="23">
        <v>45516</v>
      </c>
      <c r="U874" s="23">
        <v>46976</v>
      </c>
      <c r="X874" s="20">
        <v>5000</v>
      </c>
      <c r="Z874" s="6" t="s">
        <v>5978</v>
      </c>
      <c r="AA874" s="14">
        <f t="shared" si="117"/>
        <v>5.9999999999999995E-4</v>
      </c>
      <c r="AB874">
        <v>1.8410879999999998</v>
      </c>
      <c r="AC874">
        <v>1.9147315199999999</v>
      </c>
    </row>
    <row r="875" spans="1:29" x14ac:dyDescent="0.3">
      <c r="A875">
        <v>142430</v>
      </c>
      <c r="B875" s="25" t="s">
        <v>5984</v>
      </c>
      <c r="C875" t="s">
        <v>20</v>
      </c>
      <c r="D875" t="s">
        <v>21</v>
      </c>
      <c r="E875">
        <v>2222222</v>
      </c>
      <c r="F875" s="8" t="s">
        <v>22</v>
      </c>
      <c r="G875" s="2">
        <v>98</v>
      </c>
      <c r="H875" t="s">
        <v>3949</v>
      </c>
      <c r="I875" t="s">
        <v>3905</v>
      </c>
      <c r="J875" s="9" t="s">
        <v>5321</v>
      </c>
      <c r="K875" t="s">
        <v>4900</v>
      </c>
      <c r="L875" s="2">
        <v>1</v>
      </c>
      <c r="M875" s="24" t="s">
        <v>5971</v>
      </c>
      <c r="N875" s="2" t="s">
        <v>23</v>
      </c>
      <c r="O875" s="18" t="s">
        <v>730</v>
      </c>
      <c r="P875" s="18" t="s">
        <v>0</v>
      </c>
      <c r="Q875" s="6" t="s">
        <v>4475</v>
      </c>
      <c r="T875" s="23">
        <v>45519</v>
      </c>
      <c r="U875" s="23">
        <v>46979</v>
      </c>
      <c r="X875" s="20">
        <v>4130</v>
      </c>
      <c r="Z875" s="6" t="s">
        <v>5978</v>
      </c>
      <c r="AA875" s="14">
        <f t="shared" si="117"/>
        <v>5.9999999999999995E-4</v>
      </c>
      <c r="AB875">
        <v>1.4737499999999999</v>
      </c>
      <c r="AC875">
        <v>1.5327</v>
      </c>
    </row>
    <row r="876" spans="1:29" x14ac:dyDescent="0.3">
      <c r="A876">
        <v>142645</v>
      </c>
      <c r="B876" s="25" t="s">
        <v>5984</v>
      </c>
      <c r="C876" t="s">
        <v>20</v>
      </c>
      <c r="D876" t="s">
        <v>21</v>
      </c>
      <c r="E876">
        <v>2222222</v>
      </c>
      <c r="F876" s="8" t="s">
        <v>22</v>
      </c>
      <c r="G876" s="2">
        <v>98</v>
      </c>
      <c r="H876" t="s">
        <v>3949</v>
      </c>
      <c r="I876" t="s">
        <v>4475</v>
      </c>
      <c r="J876" s="9" t="s">
        <v>4929</v>
      </c>
      <c r="K876" t="s">
        <v>4852</v>
      </c>
      <c r="L876" s="2">
        <v>1</v>
      </c>
      <c r="M876" s="24" t="s">
        <v>5971</v>
      </c>
      <c r="N876" s="2" t="s">
        <v>23</v>
      </c>
      <c r="O876" s="18" t="s">
        <v>332</v>
      </c>
      <c r="P876" s="18" t="s">
        <v>0</v>
      </c>
      <c r="Q876" s="6" t="s">
        <v>4475</v>
      </c>
      <c r="T876" s="23">
        <v>45534</v>
      </c>
      <c r="U876" s="23">
        <v>47088</v>
      </c>
      <c r="X876" s="20">
        <v>5000</v>
      </c>
      <c r="Z876" s="6" t="s">
        <v>5978</v>
      </c>
      <c r="AA876" s="14">
        <f t="shared" si="117"/>
        <v>5.9999999999999995E-4</v>
      </c>
      <c r="AB876">
        <v>2.8716899999999996</v>
      </c>
      <c r="AC876">
        <v>2.9865575999999998</v>
      </c>
    </row>
    <row r="877" spans="1:29" x14ac:dyDescent="0.3">
      <c r="A877">
        <v>142829</v>
      </c>
      <c r="B877" s="25" t="s">
        <v>5984</v>
      </c>
      <c r="C877" t="s">
        <v>20</v>
      </c>
      <c r="D877" t="s">
        <v>21</v>
      </c>
      <c r="E877">
        <v>2222222</v>
      </c>
      <c r="F877" s="8" t="s">
        <v>22</v>
      </c>
      <c r="G877" s="2">
        <v>98</v>
      </c>
      <c r="H877" t="s">
        <v>3949</v>
      </c>
      <c r="I877" t="s">
        <v>4377</v>
      </c>
      <c r="J877" s="9" t="s">
        <v>4844</v>
      </c>
      <c r="K877" t="s">
        <v>4841</v>
      </c>
      <c r="L877" s="2">
        <v>1</v>
      </c>
      <c r="M877" s="24" t="s">
        <v>5971</v>
      </c>
      <c r="N877" s="2" t="s">
        <v>23</v>
      </c>
      <c r="O877" s="18" t="s">
        <v>731</v>
      </c>
      <c r="P877" s="18" t="s">
        <v>0</v>
      </c>
      <c r="Q877" s="6" t="s">
        <v>4475</v>
      </c>
      <c r="T877" s="23">
        <v>45547</v>
      </c>
      <c r="U877" s="23">
        <v>47008</v>
      </c>
      <c r="X877" s="20">
        <v>5000</v>
      </c>
      <c r="Z877" s="6" t="s">
        <v>5978</v>
      </c>
      <c r="AA877" s="14">
        <f t="shared" si="117"/>
        <v>5.9999999999999995E-4</v>
      </c>
      <c r="AB877">
        <v>1.9015679999999999</v>
      </c>
      <c r="AC877">
        <v>1.9776307200000001</v>
      </c>
    </row>
    <row r="878" spans="1:29" x14ac:dyDescent="0.3">
      <c r="A878">
        <v>142849</v>
      </c>
      <c r="B878" s="25" t="s">
        <v>5984</v>
      </c>
      <c r="C878" t="s">
        <v>20</v>
      </c>
      <c r="D878" t="s">
        <v>21</v>
      </c>
      <c r="E878">
        <v>2222222</v>
      </c>
      <c r="F878" s="8" t="s">
        <v>22</v>
      </c>
      <c r="G878" s="2">
        <v>98</v>
      </c>
      <c r="H878" t="s">
        <v>3949</v>
      </c>
      <c r="I878" t="s">
        <v>4716</v>
      </c>
      <c r="J878" s="9" t="s">
        <v>5322</v>
      </c>
      <c r="K878" t="s">
        <v>4875</v>
      </c>
      <c r="L878" s="2">
        <v>1</v>
      </c>
      <c r="M878" s="24" t="s">
        <v>5971</v>
      </c>
      <c r="N878" s="2" t="s">
        <v>23</v>
      </c>
      <c r="O878" s="18" t="s">
        <v>732</v>
      </c>
      <c r="P878" s="18" t="s">
        <v>0</v>
      </c>
      <c r="Q878" s="6" t="s">
        <v>4475</v>
      </c>
      <c r="T878" s="23">
        <v>45548</v>
      </c>
      <c r="U878" s="23">
        <v>46459</v>
      </c>
      <c r="X878" s="20">
        <v>4500</v>
      </c>
      <c r="Z878" s="6" t="s">
        <v>5978</v>
      </c>
      <c r="AA878" s="14">
        <f t="shared" si="117"/>
        <v>5.9999999999999995E-4</v>
      </c>
      <c r="AB878">
        <v>0.84902399999999989</v>
      </c>
      <c r="AC878">
        <v>0.88298495999999993</v>
      </c>
    </row>
    <row r="879" spans="1:29" x14ac:dyDescent="0.3">
      <c r="A879">
        <v>142972</v>
      </c>
      <c r="B879" s="25" t="s">
        <v>5984</v>
      </c>
      <c r="C879" t="s">
        <v>20</v>
      </c>
      <c r="D879" t="s">
        <v>21</v>
      </c>
      <c r="E879">
        <v>2222222</v>
      </c>
      <c r="F879" s="8" t="s">
        <v>22</v>
      </c>
      <c r="G879" s="2">
        <v>98</v>
      </c>
      <c r="H879" t="s">
        <v>3949</v>
      </c>
      <c r="I879" t="s">
        <v>4639</v>
      </c>
      <c r="J879" s="9" t="s">
        <v>5323</v>
      </c>
      <c r="K879" t="s">
        <v>5211</v>
      </c>
      <c r="L879" s="2">
        <v>1</v>
      </c>
      <c r="M879" s="24" t="s">
        <v>5971</v>
      </c>
      <c r="N879" s="2" t="s">
        <v>23</v>
      </c>
      <c r="O879" s="18" t="s">
        <v>733</v>
      </c>
      <c r="P879" s="18" t="s">
        <v>0</v>
      </c>
      <c r="Q879" s="6" t="s">
        <v>4475</v>
      </c>
      <c r="T879" s="23">
        <v>45561</v>
      </c>
      <c r="U879" s="23">
        <v>47843</v>
      </c>
      <c r="X879" s="20">
        <v>10000</v>
      </c>
      <c r="Z879" s="6" t="s">
        <v>5978</v>
      </c>
      <c r="AA879" s="14">
        <f t="shared" si="117"/>
        <v>5.9999999999999995E-4</v>
      </c>
      <c r="AB879">
        <v>5.1058199999999996</v>
      </c>
      <c r="AC879">
        <v>5.3100527999999994</v>
      </c>
    </row>
    <row r="880" spans="1:29" x14ac:dyDescent="0.3">
      <c r="A880">
        <v>143086</v>
      </c>
      <c r="B880" s="25" t="s">
        <v>5984</v>
      </c>
      <c r="C880" t="s">
        <v>20</v>
      </c>
      <c r="D880" t="s">
        <v>21</v>
      </c>
      <c r="E880">
        <v>2222222</v>
      </c>
      <c r="F880" s="8" t="s">
        <v>22</v>
      </c>
      <c r="G880" s="2">
        <v>98</v>
      </c>
      <c r="H880" t="s">
        <v>3949</v>
      </c>
      <c r="I880" t="s">
        <v>3949</v>
      </c>
      <c r="J880" s="9" t="s">
        <v>5324</v>
      </c>
      <c r="K880" t="s">
        <v>4876</v>
      </c>
      <c r="L880" s="2">
        <v>1</v>
      </c>
      <c r="M880" s="24" t="s">
        <v>5971</v>
      </c>
      <c r="N880" s="2" t="s">
        <v>23</v>
      </c>
      <c r="O880" s="18" t="s">
        <v>734</v>
      </c>
      <c r="P880" s="18" t="s">
        <v>0</v>
      </c>
      <c r="Q880" s="6" t="s">
        <v>4475</v>
      </c>
      <c r="T880" s="23">
        <v>45565</v>
      </c>
      <c r="U880" s="23">
        <v>46751</v>
      </c>
      <c r="X880" s="20">
        <v>5000</v>
      </c>
      <c r="Z880" s="6" t="s">
        <v>5978</v>
      </c>
      <c r="AA880" s="14">
        <f t="shared" si="117"/>
        <v>5.9999999999999995E-4</v>
      </c>
      <c r="AB880">
        <v>1.4885279999999999</v>
      </c>
      <c r="AC880">
        <v>1.5480691199999999</v>
      </c>
    </row>
    <row r="881" spans="1:29" x14ac:dyDescent="0.3">
      <c r="A881">
        <v>143675</v>
      </c>
      <c r="B881" s="25" t="s">
        <v>5984</v>
      </c>
      <c r="C881" t="s">
        <v>20</v>
      </c>
      <c r="D881" t="s">
        <v>21</v>
      </c>
      <c r="E881">
        <v>2222222</v>
      </c>
      <c r="F881" s="8" t="s">
        <v>22</v>
      </c>
      <c r="G881" s="2">
        <v>98</v>
      </c>
      <c r="H881" t="s">
        <v>3949</v>
      </c>
      <c r="I881" t="s">
        <v>4606</v>
      </c>
      <c r="J881" s="9" t="s">
        <v>5173</v>
      </c>
      <c r="K881" t="s">
        <v>5174</v>
      </c>
      <c r="L881" s="2">
        <v>1</v>
      </c>
      <c r="M881" s="24" t="s">
        <v>5971</v>
      </c>
      <c r="N881" s="2" t="s">
        <v>23</v>
      </c>
      <c r="O881" s="18" t="s">
        <v>735</v>
      </c>
      <c r="P881" s="18" t="s">
        <v>0</v>
      </c>
      <c r="Q881" s="6" t="s">
        <v>4475</v>
      </c>
      <c r="T881" s="23">
        <v>45608</v>
      </c>
      <c r="U881" s="23">
        <v>46703</v>
      </c>
      <c r="X881" s="20">
        <v>4500</v>
      </c>
      <c r="Z881" s="6" t="s">
        <v>5978</v>
      </c>
      <c r="AA881" s="14">
        <f t="shared" si="117"/>
        <v>5.9999999999999995E-4</v>
      </c>
      <c r="AB881">
        <v>1.390104</v>
      </c>
      <c r="AC881">
        <v>1.4457081600000001</v>
      </c>
    </row>
    <row r="882" spans="1:29" x14ac:dyDescent="0.3">
      <c r="A882">
        <v>143717</v>
      </c>
      <c r="B882" s="25" t="s">
        <v>5984</v>
      </c>
      <c r="C882" t="s">
        <v>20</v>
      </c>
      <c r="D882" t="s">
        <v>21</v>
      </c>
      <c r="E882">
        <v>2222222</v>
      </c>
      <c r="F882" s="8" t="s">
        <v>22</v>
      </c>
      <c r="G882" s="2">
        <v>98</v>
      </c>
      <c r="H882" t="s">
        <v>3949</v>
      </c>
      <c r="I882" t="s">
        <v>4184</v>
      </c>
      <c r="J882" s="9" t="s">
        <v>4836</v>
      </c>
      <c r="K882" t="s">
        <v>5325</v>
      </c>
      <c r="L882" s="2">
        <v>1</v>
      </c>
      <c r="M882" s="24" t="s">
        <v>5971</v>
      </c>
      <c r="N882" s="2" t="s">
        <v>23</v>
      </c>
      <c r="O882" s="18" t="s">
        <v>736</v>
      </c>
      <c r="P882" s="18" t="s">
        <v>3781</v>
      </c>
      <c r="Q882" s="6" t="s">
        <v>4475</v>
      </c>
      <c r="T882" s="23">
        <v>45611</v>
      </c>
      <c r="U882" s="23">
        <v>46706</v>
      </c>
      <c r="X882" s="20">
        <v>4000</v>
      </c>
      <c r="Z882" s="6" t="s">
        <v>5978</v>
      </c>
      <c r="AA882" s="14">
        <f t="shared" si="117"/>
        <v>5.9999999999999995E-4</v>
      </c>
      <c r="AB882">
        <v>1.2355799999999999</v>
      </c>
      <c r="AC882">
        <v>1.2850032</v>
      </c>
    </row>
    <row r="883" spans="1:29" x14ac:dyDescent="0.3">
      <c r="A883">
        <v>143907</v>
      </c>
      <c r="B883" s="25" t="s">
        <v>5984</v>
      </c>
      <c r="C883" t="s">
        <v>20</v>
      </c>
      <c r="D883" t="s">
        <v>21</v>
      </c>
      <c r="E883">
        <v>2222222</v>
      </c>
      <c r="F883" s="8" t="s">
        <v>22</v>
      </c>
      <c r="G883" s="2">
        <v>98</v>
      </c>
      <c r="H883" t="s">
        <v>3949</v>
      </c>
      <c r="I883" t="s">
        <v>3949</v>
      </c>
      <c r="J883" s="9" t="s">
        <v>4929</v>
      </c>
      <c r="K883" t="s">
        <v>4852</v>
      </c>
      <c r="L883" s="2">
        <v>1</v>
      </c>
      <c r="M883" s="24" t="s">
        <v>5971</v>
      </c>
      <c r="N883" s="2" t="s">
        <v>23</v>
      </c>
      <c r="O883" s="18" t="s">
        <v>737</v>
      </c>
      <c r="P883" s="18" t="s">
        <v>0</v>
      </c>
      <c r="Q883" s="6" t="s">
        <v>4475</v>
      </c>
      <c r="T883" s="23">
        <v>45625</v>
      </c>
      <c r="U883" s="23">
        <v>46720</v>
      </c>
      <c r="X883" s="20">
        <v>5000</v>
      </c>
      <c r="Z883" s="6" t="s">
        <v>5978</v>
      </c>
      <c r="AA883" s="14">
        <f t="shared" si="117"/>
        <v>5.9999999999999995E-4</v>
      </c>
      <c r="AB883">
        <v>1.6179839999999999</v>
      </c>
      <c r="AC883">
        <v>1.6827033599999999</v>
      </c>
    </row>
    <row r="884" spans="1:29" x14ac:dyDescent="0.3">
      <c r="A884">
        <v>143985</v>
      </c>
      <c r="B884" s="25" t="s">
        <v>5984</v>
      </c>
      <c r="C884" t="s">
        <v>20</v>
      </c>
      <c r="D884" t="s">
        <v>21</v>
      </c>
      <c r="E884">
        <v>2222222</v>
      </c>
      <c r="F884" s="8" t="s">
        <v>22</v>
      </c>
      <c r="G884" s="2">
        <v>98</v>
      </c>
      <c r="H884" t="s">
        <v>3949</v>
      </c>
      <c r="I884" t="s">
        <v>4636</v>
      </c>
      <c r="J884" s="9" t="s">
        <v>4929</v>
      </c>
      <c r="K884" t="s">
        <v>5272</v>
      </c>
      <c r="L884" s="2">
        <v>1</v>
      </c>
      <c r="M884" s="24" t="s">
        <v>5971</v>
      </c>
      <c r="N884" s="2" t="s">
        <v>23</v>
      </c>
      <c r="O884" s="18" t="s">
        <v>738</v>
      </c>
      <c r="P884" s="18" t="s">
        <v>0</v>
      </c>
      <c r="Q884" s="6" t="s">
        <v>4475</v>
      </c>
      <c r="T884" s="23">
        <v>45630</v>
      </c>
      <c r="U884" s="23">
        <v>47090</v>
      </c>
      <c r="X884" s="20">
        <v>5000</v>
      </c>
      <c r="Z884" s="6" t="s">
        <v>5978</v>
      </c>
      <c r="AA884" s="14">
        <f t="shared" si="117"/>
        <v>5.9999999999999995E-4</v>
      </c>
      <c r="AB884">
        <v>2.0600999999999998</v>
      </c>
      <c r="AC884">
        <v>2.1425039999999997</v>
      </c>
    </row>
    <row r="885" spans="1:29" x14ac:dyDescent="0.3">
      <c r="A885">
        <v>144021</v>
      </c>
      <c r="B885" s="25" t="s">
        <v>5984</v>
      </c>
      <c r="C885" t="s">
        <v>20</v>
      </c>
      <c r="D885" t="s">
        <v>21</v>
      </c>
      <c r="E885">
        <v>2222222</v>
      </c>
      <c r="F885" s="8" t="s">
        <v>22</v>
      </c>
      <c r="G885" s="2">
        <v>98</v>
      </c>
      <c r="H885" t="s">
        <v>3949</v>
      </c>
      <c r="I885" t="s">
        <v>3949</v>
      </c>
      <c r="J885" s="9" t="s">
        <v>5326</v>
      </c>
      <c r="K885" t="s">
        <v>4863</v>
      </c>
      <c r="L885" s="2">
        <v>1</v>
      </c>
      <c r="M885" s="24" t="s">
        <v>5971</v>
      </c>
      <c r="N885" s="2" t="s">
        <v>23</v>
      </c>
      <c r="O885" s="18" t="s">
        <v>739</v>
      </c>
      <c r="P885" s="18" t="s">
        <v>3781</v>
      </c>
      <c r="Q885" s="6" t="s">
        <v>4475</v>
      </c>
      <c r="T885" s="23">
        <v>45632</v>
      </c>
      <c r="U885" s="23">
        <v>46270</v>
      </c>
      <c r="X885" s="20">
        <v>3100</v>
      </c>
      <c r="Z885" s="6" t="s">
        <v>5978</v>
      </c>
      <c r="AA885" s="14">
        <f t="shared" si="117"/>
        <v>5.9999999999999995E-4</v>
      </c>
      <c r="AB885">
        <v>0.22969799999999996</v>
      </c>
      <c r="AC885">
        <v>0.23888591999999997</v>
      </c>
    </row>
    <row r="886" spans="1:29" x14ac:dyDescent="0.3">
      <c r="A886">
        <v>144165</v>
      </c>
      <c r="B886" s="25" t="s">
        <v>5984</v>
      </c>
      <c r="C886" t="s">
        <v>20</v>
      </c>
      <c r="D886" t="s">
        <v>21</v>
      </c>
      <c r="E886">
        <v>2222222</v>
      </c>
      <c r="F886" s="8" t="s">
        <v>22</v>
      </c>
      <c r="G886" s="2">
        <v>98</v>
      </c>
      <c r="H886" t="s">
        <v>3949</v>
      </c>
      <c r="I886" t="s">
        <v>4497</v>
      </c>
      <c r="J886" s="9" t="s">
        <v>4901</v>
      </c>
      <c r="K886" t="s">
        <v>5040</v>
      </c>
      <c r="L886" s="2">
        <v>1</v>
      </c>
      <c r="M886" s="24" t="s">
        <v>5971</v>
      </c>
      <c r="N886" s="2" t="s">
        <v>23</v>
      </c>
      <c r="O886" s="18" t="s">
        <v>740</v>
      </c>
      <c r="P886" s="18" t="s">
        <v>0</v>
      </c>
      <c r="Q886" s="6" t="s">
        <v>4475</v>
      </c>
      <c r="T886" s="23">
        <v>45652</v>
      </c>
      <c r="U886" s="23">
        <v>46381</v>
      </c>
      <c r="X886" s="20">
        <v>6200</v>
      </c>
      <c r="Z886" s="6" t="s">
        <v>5978</v>
      </c>
      <c r="AA886" s="14">
        <f t="shared" si="117"/>
        <v>5.9999999999999995E-4</v>
      </c>
      <c r="AB886">
        <v>0.84887399999999991</v>
      </c>
      <c r="AC886">
        <v>0.88282895999999988</v>
      </c>
    </row>
    <row r="887" spans="1:29" x14ac:dyDescent="0.3">
      <c r="A887">
        <v>144195</v>
      </c>
      <c r="B887" s="25" t="s">
        <v>5984</v>
      </c>
      <c r="C887" t="s">
        <v>20</v>
      </c>
      <c r="D887" t="s">
        <v>21</v>
      </c>
      <c r="E887">
        <v>2222222</v>
      </c>
      <c r="F887" s="8" t="s">
        <v>22</v>
      </c>
      <c r="G887" s="2">
        <v>98</v>
      </c>
      <c r="H887" t="s">
        <v>3949</v>
      </c>
      <c r="I887" t="s">
        <v>4239</v>
      </c>
      <c r="J887" s="9" t="s">
        <v>4988</v>
      </c>
      <c r="K887" t="s">
        <v>5298</v>
      </c>
      <c r="L887" s="2">
        <v>1</v>
      </c>
      <c r="M887" s="24" t="s">
        <v>5971</v>
      </c>
      <c r="N887" s="2" t="s">
        <v>23</v>
      </c>
      <c r="O887" s="18" t="s">
        <v>741</v>
      </c>
      <c r="P887" s="18" t="s">
        <v>0</v>
      </c>
      <c r="Q887" s="6" t="s">
        <v>4475</v>
      </c>
      <c r="T887" s="23">
        <v>45695</v>
      </c>
      <c r="U887" s="23">
        <v>47158</v>
      </c>
      <c r="X887" s="20">
        <v>3140</v>
      </c>
      <c r="Z887" s="6" t="s">
        <v>5978</v>
      </c>
      <c r="AA887" s="14">
        <f t="shared" si="117"/>
        <v>5.9999999999999995E-4</v>
      </c>
      <c r="AB887">
        <v>1.366026</v>
      </c>
      <c r="AC887">
        <v>1.4206670400000001</v>
      </c>
    </row>
    <row r="888" spans="1:29" x14ac:dyDescent="0.3">
      <c r="A888">
        <v>144430</v>
      </c>
      <c r="B888" s="25" t="s">
        <v>5984</v>
      </c>
      <c r="C888" t="s">
        <v>20</v>
      </c>
      <c r="D888" t="s">
        <v>21</v>
      </c>
      <c r="E888">
        <v>2222222</v>
      </c>
      <c r="F888" s="8" t="s">
        <v>22</v>
      </c>
      <c r="G888" s="2">
        <v>98</v>
      </c>
      <c r="H888" t="s">
        <v>3949</v>
      </c>
      <c r="I888" t="s">
        <v>4552</v>
      </c>
      <c r="J888" s="9" t="s">
        <v>5327</v>
      </c>
      <c r="K888" t="s">
        <v>4815</v>
      </c>
      <c r="L888" s="2">
        <v>1</v>
      </c>
      <c r="M888" s="24" t="s">
        <v>5971</v>
      </c>
      <c r="N888" s="2" t="s">
        <v>23</v>
      </c>
      <c r="O888" s="18" t="s">
        <v>742</v>
      </c>
      <c r="P888" s="18" t="s">
        <v>0</v>
      </c>
      <c r="Q888" s="6" t="s">
        <v>4475</v>
      </c>
      <c r="T888" s="23">
        <v>45663</v>
      </c>
      <c r="U888" s="23">
        <v>47488</v>
      </c>
      <c r="X888" s="20">
        <v>5000</v>
      </c>
      <c r="Z888" s="6" t="s">
        <v>5978</v>
      </c>
      <c r="AA888" s="14">
        <f t="shared" si="117"/>
        <v>5.9999999999999995E-4</v>
      </c>
      <c r="AB888">
        <v>2.3907180000000001</v>
      </c>
      <c r="AC888">
        <v>2.4863467200000002</v>
      </c>
    </row>
    <row r="889" spans="1:29" x14ac:dyDescent="0.3">
      <c r="A889">
        <v>144546</v>
      </c>
      <c r="B889" s="25" t="s">
        <v>5984</v>
      </c>
      <c r="C889" t="s">
        <v>20</v>
      </c>
      <c r="D889" t="s">
        <v>21</v>
      </c>
      <c r="E889">
        <v>2222222</v>
      </c>
      <c r="F889" s="8" t="s">
        <v>22</v>
      </c>
      <c r="G889" s="2">
        <v>98</v>
      </c>
      <c r="H889" t="s">
        <v>3949</v>
      </c>
      <c r="I889" t="s">
        <v>4184</v>
      </c>
      <c r="J889" s="9" t="s">
        <v>4967</v>
      </c>
      <c r="K889" t="s">
        <v>5328</v>
      </c>
      <c r="L889" s="2">
        <v>1</v>
      </c>
      <c r="M889" s="24" t="s">
        <v>5971</v>
      </c>
      <c r="N889" s="2" t="s">
        <v>23</v>
      </c>
      <c r="O889" s="18" t="s">
        <v>743</v>
      </c>
      <c r="P889" s="18" t="s">
        <v>3781</v>
      </c>
      <c r="Q889" s="6" t="s">
        <v>4475</v>
      </c>
      <c r="T889" s="23">
        <v>45671</v>
      </c>
      <c r="U889" s="23">
        <v>47586</v>
      </c>
      <c r="X889" s="20">
        <v>4760</v>
      </c>
      <c r="Z889" s="6" t="s">
        <v>5978</v>
      </c>
      <c r="AA889" s="14">
        <f t="shared" si="117"/>
        <v>5.9999999999999995E-4</v>
      </c>
      <c r="AB889">
        <v>2.3156939999999997</v>
      </c>
      <c r="AC889">
        <v>2.4083217599999998</v>
      </c>
    </row>
    <row r="890" spans="1:29" x14ac:dyDescent="0.3">
      <c r="A890">
        <v>144935</v>
      </c>
      <c r="B890" s="25" t="s">
        <v>5984</v>
      </c>
      <c r="C890" t="s">
        <v>20</v>
      </c>
      <c r="D890" t="s">
        <v>21</v>
      </c>
      <c r="E890">
        <v>2222222</v>
      </c>
      <c r="F890" s="8" t="s">
        <v>22</v>
      </c>
      <c r="G890" s="2">
        <v>98</v>
      </c>
      <c r="H890" t="s">
        <v>3949</v>
      </c>
      <c r="I890" t="s">
        <v>4184</v>
      </c>
      <c r="J890" s="9" t="s">
        <v>4911</v>
      </c>
      <c r="K890" t="s">
        <v>5232</v>
      </c>
      <c r="L890" s="2">
        <v>1</v>
      </c>
      <c r="M890" s="24" t="s">
        <v>5971</v>
      </c>
      <c r="N890" s="2" t="s">
        <v>23</v>
      </c>
      <c r="O890" s="18" t="s">
        <v>744</v>
      </c>
      <c r="P890" s="18" t="s">
        <v>3781</v>
      </c>
      <c r="Q890" s="6" t="s">
        <v>4475</v>
      </c>
      <c r="T890" s="23">
        <v>45709</v>
      </c>
      <c r="U890" s="23">
        <v>47902</v>
      </c>
      <c r="X890" s="20">
        <v>12000</v>
      </c>
      <c r="Z890" s="6" t="s">
        <v>5978</v>
      </c>
      <c r="AA890" s="14">
        <f t="shared" si="117"/>
        <v>5.9999999999999995E-4</v>
      </c>
      <c r="AB890">
        <v>6.287177999999999</v>
      </c>
      <c r="AC890">
        <v>6.5386651199999992</v>
      </c>
    </row>
    <row r="891" spans="1:29" x14ac:dyDescent="0.3">
      <c r="A891">
        <v>145105</v>
      </c>
      <c r="B891" s="25" t="s">
        <v>5984</v>
      </c>
      <c r="C891" t="s">
        <v>20</v>
      </c>
      <c r="D891" t="s">
        <v>21</v>
      </c>
      <c r="E891">
        <v>2222222</v>
      </c>
      <c r="F891" s="8" t="s">
        <v>22</v>
      </c>
      <c r="G891" s="2">
        <v>98</v>
      </c>
      <c r="H891" t="s">
        <v>3949</v>
      </c>
      <c r="I891" t="s">
        <v>4583</v>
      </c>
      <c r="J891" s="9" t="s">
        <v>4889</v>
      </c>
      <c r="K891" t="s">
        <v>5075</v>
      </c>
      <c r="L891" s="2">
        <v>1</v>
      </c>
      <c r="M891" s="24" t="s">
        <v>5971</v>
      </c>
      <c r="N891" s="2" t="s">
        <v>23</v>
      </c>
      <c r="O891" s="18" t="s">
        <v>745</v>
      </c>
      <c r="P891" s="18" t="s">
        <v>3781</v>
      </c>
      <c r="Q891" s="6" t="s">
        <v>4475</v>
      </c>
      <c r="T891" s="23">
        <v>45712</v>
      </c>
      <c r="U891" s="23">
        <v>46444</v>
      </c>
      <c r="X891" s="20">
        <v>1000</v>
      </c>
      <c r="Z891" s="6" t="s">
        <v>5978</v>
      </c>
      <c r="AA891" s="14">
        <f t="shared" si="117"/>
        <v>5.9999999999999995E-4</v>
      </c>
      <c r="AB891">
        <v>0.11482199999999999</v>
      </c>
      <c r="AC891">
        <v>0.11941488</v>
      </c>
    </row>
    <row r="892" spans="1:29" x14ac:dyDescent="0.3">
      <c r="A892">
        <v>145136</v>
      </c>
      <c r="B892" s="25" t="s">
        <v>5984</v>
      </c>
      <c r="C892" t="s">
        <v>20</v>
      </c>
      <c r="D892" t="s">
        <v>21</v>
      </c>
      <c r="E892">
        <v>2222222</v>
      </c>
      <c r="F892" s="8" t="s">
        <v>22</v>
      </c>
      <c r="G892" s="2">
        <v>98</v>
      </c>
      <c r="H892" t="s">
        <v>3949</v>
      </c>
      <c r="I892" t="s">
        <v>4184</v>
      </c>
      <c r="J892" s="9" t="s">
        <v>4836</v>
      </c>
      <c r="K892" t="s">
        <v>5329</v>
      </c>
      <c r="L892" s="2">
        <v>1</v>
      </c>
      <c r="M892" s="24" t="s">
        <v>5971</v>
      </c>
      <c r="N892" s="2" t="s">
        <v>23</v>
      </c>
      <c r="O892" s="18" t="s">
        <v>746</v>
      </c>
      <c r="P892" s="18" t="s">
        <v>3781</v>
      </c>
      <c r="Q892" s="6" t="s">
        <v>4475</v>
      </c>
      <c r="T892" s="23">
        <v>45714</v>
      </c>
      <c r="U892" s="23">
        <v>47179</v>
      </c>
      <c r="X892" s="20">
        <v>5000</v>
      </c>
      <c r="Z892" s="6" t="s">
        <v>5978</v>
      </c>
      <c r="AA892" s="14">
        <f t="shared" si="117"/>
        <v>5.9999999999999995E-4</v>
      </c>
      <c r="AB892">
        <v>2.2287719999999998</v>
      </c>
      <c r="AC892">
        <v>2.3179228799999998</v>
      </c>
    </row>
    <row r="893" spans="1:29" x14ac:dyDescent="0.3">
      <c r="A893">
        <v>145703</v>
      </c>
      <c r="B893" s="25" t="s">
        <v>5984</v>
      </c>
      <c r="C893" t="s">
        <v>20</v>
      </c>
      <c r="D893" t="s">
        <v>21</v>
      </c>
      <c r="E893">
        <v>2222222</v>
      </c>
      <c r="F893" s="8" t="s">
        <v>22</v>
      </c>
      <c r="G893" s="2">
        <v>98</v>
      </c>
      <c r="H893" t="s">
        <v>3949</v>
      </c>
      <c r="I893" t="s">
        <v>4731</v>
      </c>
      <c r="J893" s="9" t="s">
        <v>5152</v>
      </c>
      <c r="K893" t="s">
        <v>5165</v>
      </c>
      <c r="L893" s="2">
        <v>1</v>
      </c>
      <c r="M893" s="24" t="s">
        <v>5971</v>
      </c>
      <c r="N893" s="2" t="s">
        <v>23</v>
      </c>
      <c r="O893" s="18" t="s">
        <v>747</v>
      </c>
      <c r="P893" s="18" t="s">
        <v>3781</v>
      </c>
      <c r="Q893" s="6" t="s">
        <v>4475</v>
      </c>
      <c r="T893" s="23">
        <v>45758</v>
      </c>
      <c r="U893" s="23">
        <v>46488</v>
      </c>
      <c r="X893" s="20">
        <v>5000</v>
      </c>
      <c r="Z893" s="6" t="s">
        <v>5978</v>
      </c>
      <c r="AA893" s="14">
        <f t="shared" si="117"/>
        <v>5.9999999999999995E-4</v>
      </c>
      <c r="AB893">
        <v>1.2542519999999999</v>
      </c>
      <c r="AC893">
        <v>1.3044220799999999</v>
      </c>
    </row>
    <row r="894" spans="1:29" x14ac:dyDescent="0.3">
      <c r="A894">
        <v>145774</v>
      </c>
      <c r="B894" s="25" t="s">
        <v>5984</v>
      </c>
      <c r="C894" t="s">
        <v>20</v>
      </c>
      <c r="D894" t="s">
        <v>21</v>
      </c>
      <c r="E894">
        <v>2222222</v>
      </c>
      <c r="F894" s="8" t="s">
        <v>22</v>
      </c>
      <c r="G894" s="2">
        <v>98</v>
      </c>
      <c r="H894" t="s">
        <v>3949</v>
      </c>
      <c r="I894" t="s">
        <v>3949</v>
      </c>
      <c r="J894" s="9" t="s">
        <v>4852</v>
      </c>
      <c r="K894" t="s">
        <v>5224</v>
      </c>
      <c r="L894" s="2">
        <v>1</v>
      </c>
      <c r="M894" s="24" t="s">
        <v>5971</v>
      </c>
      <c r="N894" s="2" t="s">
        <v>23</v>
      </c>
      <c r="O894" s="18" t="s">
        <v>748</v>
      </c>
      <c r="P894" s="18" t="s">
        <v>0</v>
      </c>
      <c r="Q894" s="6" t="s">
        <v>4475</v>
      </c>
      <c r="T894" s="23">
        <v>45763</v>
      </c>
      <c r="U894" s="23">
        <v>46493</v>
      </c>
      <c r="X894" s="20">
        <v>800</v>
      </c>
      <c r="Z894" s="6" t="s">
        <v>5978</v>
      </c>
      <c r="AA894" s="14">
        <f t="shared" si="117"/>
        <v>5.9999999999999995E-4</v>
      </c>
      <c r="AB894">
        <v>0.19957199999999997</v>
      </c>
      <c r="AC894">
        <v>0.20755487999999997</v>
      </c>
    </row>
    <row r="895" spans="1:29" x14ac:dyDescent="0.3">
      <c r="A895">
        <v>145997</v>
      </c>
      <c r="B895" s="25" t="s">
        <v>5984</v>
      </c>
      <c r="C895" t="s">
        <v>20</v>
      </c>
      <c r="D895" t="s">
        <v>21</v>
      </c>
      <c r="E895">
        <v>2222222</v>
      </c>
      <c r="F895" s="8" t="s">
        <v>22</v>
      </c>
      <c r="G895" s="2">
        <v>98</v>
      </c>
      <c r="H895" t="s">
        <v>3949</v>
      </c>
      <c r="I895" t="s">
        <v>3949</v>
      </c>
      <c r="J895" s="9" t="s">
        <v>5032</v>
      </c>
      <c r="K895" t="s">
        <v>5165</v>
      </c>
      <c r="L895" s="2">
        <v>1</v>
      </c>
      <c r="M895" s="24" t="s">
        <v>5971</v>
      </c>
      <c r="N895" s="2" t="s">
        <v>23</v>
      </c>
      <c r="O895" s="18" t="s">
        <v>749</v>
      </c>
      <c r="P895" s="18" t="s">
        <v>3781</v>
      </c>
      <c r="Q895" s="6" t="s">
        <v>4475</v>
      </c>
      <c r="T895" s="23">
        <v>45782</v>
      </c>
      <c r="U895" s="23">
        <v>47242</v>
      </c>
      <c r="X895" s="20">
        <v>4180</v>
      </c>
      <c r="Z895" s="6" t="s">
        <v>5978</v>
      </c>
      <c r="AA895" s="14">
        <f t="shared" si="117"/>
        <v>5.9999999999999995E-4</v>
      </c>
      <c r="AB895">
        <v>1.9523459999999997</v>
      </c>
      <c r="AC895">
        <v>2.0304398399999997</v>
      </c>
    </row>
    <row r="896" spans="1:29" x14ac:dyDescent="0.3">
      <c r="A896">
        <v>146114</v>
      </c>
      <c r="B896" s="25" t="s">
        <v>5984</v>
      </c>
      <c r="C896" t="s">
        <v>20</v>
      </c>
      <c r="D896" t="s">
        <v>21</v>
      </c>
      <c r="E896">
        <v>2222222</v>
      </c>
      <c r="F896" s="8" t="s">
        <v>22</v>
      </c>
      <c r="G896" s="2">
        <v>98</v>
      </c>
      <c r="H896" t="s">
        <v>3949</v>
      </c>
      <c r="I896" t="s">
        <v>4532</v>
      </c>
      <c r="J896" s="9" t="s">
        <v>4970</v>
      </c>
      <c r="K896" t="s">
        <v>5330</v>
      </c>
      <c r="L896" s="2">
        <v>1</v>
      </c>
      <c r="M896" s="24" t="s">
        <v>5971</v>
      </c>
      <c r="N896" s="2" t="s">
        <v>23</v>
      </c>
      <c r="O896" s="18" t="s">
        <v>750</v>
      </c>
      <c r="P896" s="18" t="s">
        <v>3781</v>
      </c>
      <c r="Q896" s="6" t="s">
        <v>4475</v>
      </c>
      <c r="T896" s="23">
        <v>45791</v>
      </c>
      <c r="U896" s="23">
        <v>46886</v>
      </c>
      <c r="X896" s="20">
        <v>1850</v>
      </c>
      <c r="Z896" s="6" t="s">
        <v>5978</v>
      </c>
      <c r="AA896" s="14">
        <f t="shared" si="117"/>
        <v>5.9999999999999995E-4</v>
      </c>
      <c r="AB896">
        <v>0.74402999999999986</v>
      </c>
      <c r="AC896">
        <v>0.7737911999999999</v>
      </c>
    </row>
    <row r="897" spans="1:29" x14ac:dyDescent="0.3">
      <c r="A897">
        <v>146206</v>
      </c>
      <c r="B897" s="25" t="s">
        <v>5984</v>
      </c>
      <c r="C897" t="s">
        <v>20</v>
      </c>
      <c r="D897" t="s">
        <v>21</v>
      </c>
      <c r="E897">
        <v>2222222</v>
      </c>
      <c r="F897" s="8" t="s">
        <v>22</v>
      </c>
      <c r="G897" s="2">
        <v>98</v>
      </c>
      <c r="H897" t="s">
        <v>3949</v>
      </c>
      <c r="I897" t="s">
        <v>3923</v>
      </c>
      <c r="J897" s="9" t="s">
        <v>5053</v>
      </c>
      <c r="K897" t="s">
        <v>4966</v>
      </c>
      <c r="L897" s="2">
        <v>1</v>
      </c>
      <c r="M897" s="24" t="s">
        <v>5971</v>
      </c>
      <c r="N897" s="2" t="s">
        <v>23</v>
      </c>
      <c r="O897" s="18" t="s">
        <v>751</v>
      </c>
      <c r="P897" s="18" t="s">
        <v>0</v>
      </c>
      <c r="Q897" s="6" t="s">
        <v>4475</v>
      </c>
      <c r="T897" s="23">
        <v>45798</v>
      </c>
      <c r="U897" s="23">
        <v>46346</v>
      </c>
      <c r="X897" s="20">
        <v>2500</v>
      </c>
      <c r="Z897" s="6" t="s">
        <v>5978</v>
      </c>
      <c r="AA897" s="14">
        <f t="shared" si="117"/>
        <v>5.9999999999999995E-4</v>
      </c>
      <c r="AB897">
        <v>0.36706199999999994</v>
      </c>
      <c r="AC897">
        <v>0.38174447999999994</v>
      </c>
    </row>
    <row r="898" spans="1:29" x14ac:dyDescent="0.3">
      <c r="A898">
        <v>146257</v>
      </c>
      <c r="B898" s="25" t="s">
        <v>5984</v>
      </c>
      <c r="C898" t="s">
        <v>20</v>
      </c>
      <c r="D898" t="s">
        <v>21</v>
      </c>
      <c r="E898">
        <v>2222222</v>
      </c>
      <c r="F898" s="8" t="s">
        <v>22</v>
      </c>
      <c r="G898" s="2">
        <v>98</v>
      </c>
      <c r="H898" t="s">
        <v>3949</v>
      </c>
      <c r="I898" t="s">
        <v>4636</v>
      </c>
      <c r="J898" s="9" t="s">
        <v>4929</v>
      </c>
      <c r="K898" t="s">
        <v>5272</v>
      </c>
      <c r="L898" s="2">
        <v>1</v>
      </c>
      <c r="M898" s="24" t="s">
        <v>5971</v>
      </c>
      <c r="N898" s="2" t="s">
        <v>23</v>
      </c>
      <c r="O898" s="18" t="s">
        <v>738</v>
      </c>
      <c r="P898" s="18" t="s">
        <v>0</v>
      </c>
      <c r="Q898" s="6" t="s">
        <v>4475</v>
      </c>
      <c r="T898" s="23">
        <v>45815</v>
      </c>
      <c r="U898" s="23">
        <v>49467</v>
      </c>
      <c r="X898" s="20">
        <v>40000</v>
      </c>
      <c r="Z898" s="6" t="s">
        <v>5978</v>
      </c>
      <c r="AA898" s="14">
        <f t="shared" si="117"/>
        <v>5.9999999999999995E-4</v>
      </c>
      <c r="AB898">
        <v>22.788072</v>
      </c>
      <c r="AC898">
        <v>23.699594879999999</v>
      </c>
    </row>
    <row r="899" spans="1:29" x14ac:dyDescent="0.3">
      <c r="A899">
        <v>146396</v>
      </c>
      <c r="B899" s="25" t="s">
        <v>5984</v>
      </c>
      <c r="C899" t="s">
        <v>20</v>
      </c>
      <c r="D899" t="s">
        <v>21</v>
      </c>
      <c r="E899">
        <v>2222222</v>
      </c>
      <c r="F899" s="8" t="s">
        <v>22</v>
      </c>
      <c r="G899" s="2">
        <v>98</v>
      </c>
      <c r="H899" t="s">
        <v>3949</v>
      </c>
      <c r="I899" t="s">
        <v>3949</v>
      </c>
      <c r="J899" s="9" t="s">
        <v>5045</v>
      </c>
      <c r="K899" t="s">
        <v>5314</v>
      </c>
      <c r="L899" s="2">
        <v>1</v>
      </c>
      <c r="M899" s="24" t="s">
        <v>5971</v>
      </c>
      <c r="N899" s="2" t="s">
        <v>23</v>
      </c>
      <c r="O899" s="18" t="s">
        <v>752</v>
      </c>
      <c r="P899" s="18" t="s">
        <v>3781</v>
      </c>
      <c r="Q899" s="6" t="s">
        <v>4475</v>
      </c>
      <c r="T899" s="23">
        <v>45814</v>
      </c>
      <c r="U899" s="23">
        <v>46544</v>
      </c>
      <c r="X899" s="20">
        <v>4150</v>
      </c>
      <c r="Z899" s="6" t="s">
        <v>5978</v>
      </c>
      <c r="AA899" s="14">
        <f t="shared" si="117"/>
        <v>5.9999999999999995E-4</v>
      </c>
      <c r="AB899">
        <v>0.42466199999999993</v>
      </c>
      <c r="AC899">
        <v>0.44164847999999995</v>
      </c>
    </row>
    <row r="900" spans="1:29" x14ac:dyDescent="0.3">
      <c r="A900">
        <v>146495</v>
      </c>
      <c r="B900" s="25" t="s">
        <v>5984</v>
      </c>
      <c r="C900" t="s">
        <v>20</v>
      </c>
      <c r="D900" t="s">
        <v>21</v>
      </c>
      <c r="E900">
        <v>2222222</v>
      </c>
      <c r="F900" s="8" t="s">
        <v>22</v>
      </c>
      <c r="G900" s="2">
        <v>98</v>
      </c>
      <c r="H900" t="s">
        <v>3949</v>
      </c>
      <c r="I900" t="s">
        <v>4536</v>
      </c>
      <c r="J900" s="9" t="s">
        <v>5237</v>
      </c>
      <c r="K900" t="s">
        <v>5331</v>
      </c>
      <c r="L900" s="2">
        <v>1</v>
      </c>
      <c r="M900" s="24" t="s">
        <v>5971</v>
      </c>
      <c r="N900" s="2" t="s">
        <v>23</v>
      </c>
      <c r="O900" s="18" t="s">
        <v>753</v>
      </c>
      <c r="P900" s="18" t="s">
        <v>3781</v>
      </c>
      <c r="Q900" s="6" t="s">
        <v>4475</v>
      </c>
      <c r="T900" s="23">
        <v>45820</v>
      </c>
      <c r="U900" s="23">
        <v>46550</v>
      </c>
      <c r="X900" s="20">
        <v>2000</v>
      </c>
      <c r="Z900" s="6" t="s">
        <v>5978</v>
      </c>
      <c r="AA900" s="14">
        <f t="shared" si="117"/>
        <v>5.9999999999999995E-4</v>
      </c>
      <c r="AB900">
        <v>0.6010859999999999</v>
      </c>
      <c r="AC900">
        <v>0.62512943999999993</v>
      </c>
    </row>
    <row r="901" spans="1:29" x14ac:dyDescent="0.3">
      <c r="A901">
        <v>146508</v>
      </c>
      <c r="B901" s="25" t="s">
        <v>5984</v>
      </c>
      <c r="C901" t="s">
        <v>20</v>
      </c>
      <c r="D901" t="s">
        <v>21</v>
      </c>
      <c r="E901">
        <v>2222222</v>
      </c>
      <c r="F901" s="8" t="s">
        <v>22</v>
      </c>
      <c r="G901" s="2">
        <v>98</v>
      </c>
      <c r="H901" t="s">
        <v>3949</v>
      </c>
      <c r="I901" t="s">
        <v>4331</v>
      </c>
      <c r="J901" s="9" t="s">
        <v>4826</v>
      </c>
      <c r="K901" t="s">
        <v>4937</v>
      </c>
      <c r="L901" s="2">
        <v>1</v>
      </c>
      <c r="M901" s="24" t="s">
        <v>5971</v>
      </c>
      <c r="N901" s="2" t="s">
        <v>23</v>
      </c>
      <c r="O901" s="18" t="s">
        <v>754</v>
      </c>
      <c r="P901" s="18" t="s">
        <v>0</v>
      </c>
      <c r="Q901" s="6" t="s">
        <v>4475</v>
      </c>
      <c r="T901" s="23">
        <v>45828</v>
      </c>
      <c r="U901" s="23">
        <v>46924</v>
      </c>
      <c r="X901" s="20">
        <v>7500</v>
      </c>
      <c r="Z901" s="6" t="s">
        <v>5978</v>
      </c>
      <c r="AA901" s="14">
        <f t="shared" si="117"/>
        <v>5.9999999999999995E-4</v>
      </c>
      <c r="AB901">
        <v>3.0894239999999997</v>
      </c>
      <c r="AC901">
        <v>3.21300096</v>
      </c>
    </row>
    <row r="902" spans="1:29" x14ac:dyDescent="0.3">
      <c r="A902">
        <v>146554</v>
      </c>
      <c r="B902" s="25" t="s">
        <v>5984</v>
      </c>
      <c r="C902" t="s">
        <v>20</v>
      </c>
      <c r="D902" t="s">
        <v>21</v>
      </c>
      <c r="E902">
        <v>2222222</v>
      </c>
      <c r="F902" s="8" t="s">
        <v>22</v>
      </c>
      <c r="G902" s="2">
        <v>98</v>
      </c>
      <c r="H902" t="s">
        <v>3949</v>
      </c>
      <c r="I902" t="s">
        <v>3949</v>
      </c>
      <c r="J902" s="9" t="s">
        <v>5240</v>
      </c>
      <c r="K902" t="s">
        <v>5315</v>
      </c>
      <c r="L902" s="2">
        <v>1</v>
      </c>
      <c r="M902" s="24" t="s">
        <v>5971</v>
      </c>
      <c r="N902" s="2" t="s">
        <v>23</v>
      </c>
      <c r="O902" s="18" t="s">
        <v>718</v>
      </c>
      <c r="P902" s="18" t="s">
        <v>0</v>
      </c>
      <c r="Q902" s="6" t="s">
        <v>4475</v>
      </c>
      <c r="T902" s="23">
        <v>45825</v>
      </c>
      <c r="U902" s="23">
        <v>46921</v>
      </c>
      <c r="X902" s="20">
        <v>4500</v>
      </c>
      <c r="Z902" s="6" t="s">
        <v>5978</v>
      </c>
      <c r="AA902" s="14">
        <f t="shared" si="117"/>
        <v>5.9999999999999995E-4</v>
      </c>
      <c r="AB902">
        <v>1.8358019999999999</v>
      </c>
      <c r="AC902">
        <v>1.9092340800000001</v>
      </c>
    </row>
    <row r="903" spans="1:29" x14ac:dyDescent="0.3">
      <c r="A903">
        <v>146701</v>
      </c>
      <c r="B903" s="25" t="s">
        <v>5984</v>
      </c>
      <c r="C903" t="s">
        <v>20</v>
      </c>
      <c r="D903" t="s">
        <v>21</v>
      </c>
      <c r="E903">
        <v>2222222</v>
      </c>
      <c r="F903" s="8" t="s">
        <v>22</v>
      </c>
      <c r="G903" s="2">
        <v>98</v>
      </c>
      <c r="H903" t="s">
        <v>3949</v>
      </c>
      <c r="I903" t="s">
        <v>4731</v>
      </c>
      <c r="J903" s="9" t="s">
        <v>5137</v>
      </c>
      <c r="K903" t="s">
        <v>5033</v>
      </c>
      <c r="L903" s="2">
        <v>1</v>
      </c>
      <c r="M903" s="24" t="s">
        <v>5971</v>
      </c>
      <c r="N903" s="2" t="s">
        <v>23</v>
      </c>
      <c r="O903" s="18" t="s">
        <v>755</v>
      </c>
      <c r="P903" s="18" t="s">
        <v>3781</v>
      </c>
      <c r="Q903" s="6" t="s">
        <v>4475</v>
      </c>
      <c r="T903" s="23">
        <v>45838</v>
      </c>
      <c r="U903" s="23">
        <v>47056</v>
      </c>
      <c r="X903" s="20">
        <v>4250</v>
      </c>
      <c r="Z903" s="6" t="s">
        <v>5978</v>
      </c>
      <c r="AA903" s="14">
        <f t="shared" si="117"/>
        <v>5.9999999999999995E-4</v>
      </c>
      <c r="AB903">
        <v>1.8484079999999998</v>
      </c>
      <c r="AC903">
        <v>1.9223443199999999</v>
      </c>
    </row>
    <row r="904" spans="1:29" x14ac:dyDescent="0.3">
      <c r="A904">
        <v>146846</v>
      </c>
      <c r="B904" s="25" t="s">
        <v>5984</v>
      </c>
      <c r="C904" t="s">
        <v>20</v>
      </c>
      <c r="D904" t="s">
        <v>21</v>
      </c>
      <c r="E904">
        <v>2222222</v>
      </c>
      <c r="F904" s="8" t="s">
        <v>22</v>
      </c>
      <c r="G904" s="2">
        <v>98</v>
      </c>
      <c r="H904" t="s">
        <v>3949</v>
      </c>
      <c r="I904" t="s">
        <v>3949</v>
      </c>
      <c r="J904" s="9" t="s">
        <v>4891</v>
      </c>
      <c r="K904" t="s">
        <v>4890</v>
      </c>
      <c r="L904" s="2">
        <v>1</v>
      </c>
      <c r="M904" s="24" t="s">
        <v>5971</v>
      </c>
      <c r="N904" s="2" t="s">
        <v>23</v>
      </c>
      <c r="O904" s="18" t="s">
        <v>756</v>
      </c>
      <c r="P904" s="18" t="s">
        <v>3781</v>
      </c>
      <c r="Q904" s="6" t="s">
        <v>4475</v>
      </c>
      <c r="T904" s="23">
        <v>45847</v>
      </c>
      <c r="U904" s="23">
        <v>47307</v>
      </c>
      <c r="X904" s="20">
        <v>5000</v>
      </c>
      <c r="Z904" s="6" t="s">
        <v>5978</v>
      </c>
      <c r="AA904" s="14">
        <f t="shared" si="117"/>
        <v>5.9999999999999995E-4</v>
      </c>
      <c r="AB904">
        <v>2.4386099999999997</v>
      </c>
      <c r="AC904">
        <v>2.5361543999999996</v>
      </c>
    </row>
    <row r="905" spans="1:29" x14ac:dyDescent="0.3">
      <c r="A905">
        <v>147105</v>
      </c>
      <c r="B905" s="25" t="s">
        <v>5984</v>
      </c>
      <c r="C905" t="s">
        <v>20</v>
      </c>
      <c r="D905" t="s">
        <v>21</v>
      </c>
      <c r="E905">
        <v>2222222</v>
      </c>
      <c r="F905" s="8" t="s">
        <v>22</v>
      </c>
      <c r="G905" s="2">
        <v>98</v>
      </c>
      <c r="H905" t="s">
        <v>3949</v>
      </c>
      <c r="I905" t="s">
        <v>4500</v>
      </c>
      <c r="J905" s="9" t="s">
        <v>4921</v>
      </c>
      <c r="K905" t="s">
        <v>4924</v>
      </c>
      <c r="L905" s="2">
        <v>1</v>
      </c>
      <c r="M905" s="24" t="s">
        <v>5971</v>
      </c>
      <c r="N905" s="2" t="s">
        <v>23</v>
      </c>
      <c r="O905" s="18" t="s">
        <v>725</v>
      </c>
      <c r="P905" s="18" t="s">
        <v>3781</v>
      </c>
      <c r="Q905" s="6" t="s">
        <v>4475</v>
      </c>
      <c r="T905" s="23">
        <v>45868</v>
      </c>
      <c r="U905" s="23">
        <v>46597</v>
      </c>
      <c r="X905" s="20">
        <v>3000</v>
      </c>
      <c r="Z905" s="6" t="s">
        <v>5978</v>
      </c>
      <c r="AA905" s="14">
        <f t="shared" si="117"/>
        <v>5.9999999999999995E-4</v>
      </c>
      <c r="AB905">
        <v>0.95398799999999995</v>
      </c>
      <c r="AC905">
        <v>0.99214751999999995</v>
      </c>
    </row>
    <row r="906" spans="1:29" x14ac:dyDescent="0.3">
      <c r="A906">
        <v>147232</v>
      </c>
      <c r="B906" s="25" t="s">
        <v>5984</v>
      </c>
      <c r="C906" t="s">
        <v>20</v>
      </c>
      <c r="D906" t="s">
        <v>21</v>
      </c>
      <c r="E906">
        <v>2222222</v>
      </c>
      <c r="F906" s="8" t="s">
        <v>22</v>
      </c>
      <c r="G906" s="2">
        <v>98</v>
      </c>
      <c r="H906" t="s">
        <v>3949</v>
      </c>
      <c r="I906" t="s">
        <v>3924</v>
      </c>
      <c r="J906" s="9" t="s">
        <v>4929</v>
      </c>
      <c r="K906" t="s">
        <v>5197</v>
      </c>
      <c r="L906" s="2">
        <v>1</v>
      </c>
      <c r="M906" s="24" t="s">
        <v>5971</v>
      </c>
      <c r="N906" s="2" t="s">
        <v>23</v>
      </c>
      <c r="O906" s="18" t="s">
        <v>757</v>
      </c>
      <c r="P906" s="18" t="s">
        <v>0</v>
      </c>
      <c r="Q906" s="6" t="s">
        <v>4475</v>
      </c>
      <c r="T906" s="23">
        <v>45877</v>
      </c>
      <c r="U906" s="23">
        <v>47702</v>
      </c>
      <c r="X906" s="20">
        <v>40000</v>
      </c>
      <c r="Z906" s="6" t="s">
        <v>5978</v>
      </c>
      <c r="AA906" s="14">
        <f t="shared" si="117"/>
        <v>5.9999999999999995E-4</v>
      </c>
      <c r="AB906">
        <v>12.683736</v>
      </c>
      <c r="AC906">
        <v>13.19108544</v>
      </c>
    </row>
    <row r="907" spans="1:29" x14ac:dyDescent="0.3">
      <c r="A907">
        <v>147350</v>
      </c>
      <c r="B907" s="25" t="s">
        <v>5984</v>
      </c>
      <c r="C907" t="s">
        <v>20</v>
      </c>
      <c r="D907" t="s">
        <v>21</v>
      </c>
      <c r="E907">
        <v>2222222</v>
      </c>
      <c r="F907" s="8" t="s">
        <v>22</v>
      </c>
      <c r="G907" s="2">
        <v>98</v>
      </c>
      <c r="H907" t="s">
        <v>3949</v>
      </c>
      <c r="I907" t="s">
        <v>4731</v>
      </c>
      <c r="J907" s="9" t="s">
        <v>5036</v>
      </c>
      <c r="K907" t="s">
        <v>4961</v>
      </c>
      <c r="L907" s="2">
        <v>1</v>
      </c>
      <c r="M907" s="24" t="s">
        <v>5971</v>
      </c>
      <c r="N907" s="2" t="s">
        <v>23</v>
      </c>
      <c r="O907" s="18" t="s">
        <v>758</v>
      </c>
      <c r="P907" s="18" t="s">
        <v>0</v>
      </c>
      <c r="Q907" s="6" t="s">
        <v>4475</v>
      </c>
      <c r="T907" s="23">
        <v>45888</v>
      </c>
      <c r="U907" s="23">
        <v>46983</v>
      </c>
      <c r="X907" s="20">
        <v>4000</v>
      </c>
      <c r="Z907" s="6" t="s">
        <v>5978</v>
      </c>
      <c r="AA907" s="14">
        <f t="shared" si="117"/>
        <v>5.9999999999999995E-4</v>
      </c>
      <c r="AB907">
        <v>1.7907659999999999</v>
      </c>
      <c r="AC907">
        <v>1.8623966399999998</v>
      </c>
    </row>
    <row r="908" spans="1:29" x14ac:dyDescent="0.3">
      <c r="A908">
        <v>147387</v>
      </c>
      <c r="B908" s="25" t="s">
        <v>5984</v>
      </c>
      <c r="C908" t="s">
        <v>20</v>
      </c>
      <c r="D908" t="s">
        <v>21</v>
      </c>
      <c r="E908">
        <v>2222222</v>
      </c>
      <c r="F908" s="8" t="s">
        <v>22</v>
      </c>
      <c r="G908" s="2">
        <v>98</v>
      </c>
      <c r="H908" t="s">
        <v>3949</v>
      </c>
      <c r="I908" t="s">
        <v>4606</v>
      </c>
      <c r="J908" s="9" t="s">
        <v>5143</v>
      </c>
      <c r="K908" t="s">
        <v>5165</v>
      </c>
      <c r="L908" s="2">
        <v>1</v>
      </c>
      <c r="M908" s="24" t="s">
        <v>5971</v>
      </c>
      <c r="N908" s="2" t="s">
        <v>23</v>
      </c>
      <c r="O908" s="18" t="s">
        <v>759</v>
      </c>
      <c r="P908" s="18" t="s">
        <v>3781</v>
      </c>
      <c r="Q908" s="6" t="s">
        <v>4475</v>
      </c>
      <c r="T908" s="23">
        <v>45884</v>
      </c>
      <c r="U908" s="23">
        <v>46979</v>
      </c>
      <c r="X908" s="20">
        <v>4000</v>
      </c>
      <c r="Z908" s="6" t="s">
        <v>5978</v>
      </c>
      <c r="AA908" s="14">
        <f t="shared" si="117"/>
        <v>5.9999999999999995E-4</v>
      </c>
      <c r="AB908">
        <v>1.7907659999999999</v>
      </c>
      <c r="AC908">
        <v>1.8623966399999998</v>
      </c>
    </row>
    <row r="909" spans="1:29" x14ac:dyDescent="0.3">
      <c r="A909">
        <v>147678</v>
      </c>
      <c r="B909" s="25" t="s">
        <v>5984</v>
      </c>
      <c r="C909" t="s">
        <v>20</v>
      </c>
      <c r="D909" t="s">
        <v>21</v>
      </c>
      <c r="E909">
        <v>2222222</v>
      </c>
      <c r="F909" s="8" t="s">
        <v>22</v>
      </c>
      <c r="G909" s="2">
        <v>98</v>
      </c>
      <c r="H909" t="s">
        <v>3949</v>
      </c>
      <c r="J909" s="9" t="s">
        <v>5143</v>
      </c>
      <c r="K909" t="s">
        <v>5025</v>
      </c>
      <c r="L909" s="2">
        <v>1</v>
      </c>
      <c r="M909" s="24" t="s">
        <v>5971</v>
      </c>
      <c r="N909" s="2" t="s">
        <v>23</v>
      </c>
      <c r="O909" s="18" t="s">
        <v>760</v>
      </c>
      <c r="P909" s="18" t="s">
        <v>3781</v>
      </c>
      <c r="Q909" s="6" t="s">
        <v>4475</v>
      </c>
      <c r="T909" s="23">
        <v>45904</v>
      </c>
      <c r="U909" s="23">
        <v>46816</v>
      </c>
      <c r="X909" s="20">
        <v>3300</v>
      </c>
      <c r="Z909" s="6" t="s">
        <v>5978</v>
      </c>
      <c r="AA909" s="14">
        <f t="shared" si="117"/>
        <v>5.9999999999999995E-4</v>
      </c>
      <c r="AB909">
        <v>1.3846859999999999</v>
      </c>
      <c r="AC909">
        <v>1.4400734399999999</v>
      </c>
    </row>
    <row r="910" spans="1:29" x14ac:dyDescent="0.3">
      <c r="A910">
        <v>147761</v>
      </c>
      <c r="B910" s="25" t="s">
        <v>5984</v>
      </c>
      <c r="C910" t="s">
        <v>20</v>
      </c>
      <c r="D910" t="s">
        <v>21</v>
      </c>
      <c r="E910">
        <v>2222222</v>
      </c>
      <c r="F910" s="8" t="s">
        <v>22</v>
      </c>
      <c r="G910" s="2">
        <v>98</v>
      </c>
      <c r="H910" t="s">
        <v>3949</v>
      </c>
      <c r="J910" s="9" t="s">
        <v>4852</v>
      </c>
      <c r="K910" t="s">
        <v>4847</v>
      </c>
      <c r="L910" s="2">
        <v>1</v>
      </c>
      <c r="M910" s="24" t="s">
        <v>5971</v>
      </c>
      <c r="N910" s="2" t="s">
        <v>23</v>
      </c>
      <c r="O910" s="18" t="s">
        <v>716</v>
      </c>
      <c r="P910" s="18" t="s">
        <v>0</v>
      </c>
      <c r="Q910" s="6" t="s">
        <v>4475</v>
      </c>
      <c r="T910" s="23">
        <v>45910</v>
      </c>
      <c r="U910" s="23">
        <v>47006</v>
      </c>
      <c r="X910" s="20">
        <v>5000</v>
      </c>
      <c r="Z910" s="6" t="s">
        <v>5978</v>
      </c>
      <c r="AA910" s="14">
        <f t="shared" si="117"/>
        <v>5.9999999999999995E-4</v>
      </c>
      <c r="AB910">
        <v>2.2884899999999999</v>
      </c>
      <c r="AC910">
        <v>2.3800295999999999</v>
      </c>
    </row>
    <row r="911" spans="1:29" x14ac:dyDescent="0.3">
      <c r="A911">
        <v>147873</v>
      </c>
      <c r="B911" s="25" t="s">
        <v>5984</v>
      </c>
      <c r="C911" t="s">
        <v>20</v>
      </c>
      <c r="D911" t="s">
        <v>21</v>
      </c>
      <c r="E911">
        <v>2222222</v>
      </c>
      <c r="F911" s="8" t="s">
        <v>22</v>
      </c>
      <c r="G911" s="2">
        <v>98</v>
      </c>
      <c r="H911" t="s">
        <v>3949</v>
      </c>
      <c r="J911" s="9" t="s">
        <v>4896</v>
      </c>
      <c r="K911" t="s">
        <v>4884</v>
      </c>
      <c r="L911" s="2">
        <v>1</v>
      </c>
      <c r="M911" s="24" t="s">
        <v>5971</v>
      </c>
      <c r="N911" s="2" t="s">
        <v>23</v>
      </c>
      <c r="O911" s="18" t="s">
        <v>761</v>
      </c>
      <c r="P911" s="18" t="s">
        <v>3781</v>
      </c>
      <c r="Q911" s="6" t="s">
        <v>4475</v>
      </c>
      <c r="T911" s="23">
        <v>45918</v>
      </c>
      <c r="U911" s="23">
        <v>47379</v>
      </c>
      <c r="X911" s="20">
        <v>5000</v>
      </c>
      <c r="Z911" s="6" t="s">
        <v>5978</v>
      </c>
      <c r="AA911" s="14">
        <f t="shared" si="117"/>
        <v>5.9999999999999995E-4</v>
      </c>
      <c r="AB911">
        <v>2.5388099999999998</v>
      </c>
      <c r="AC911">
        <v>2.6403623999999999</v>
      </c>
    </row>
    <row r="912" spans="1:29" x14ac:dyDescent="0.3">
      <c r="A912">
        <v>148035</v>
      </c>
      <c r="B912" s="25" t="s">
        <v>5984</v>
      </c>
      <c r="C912" t="s">
        <v>20</v>
      </c>
      <c r="D912" t="s">
        <v>21</v>
      </c>
      <c r="E912">
        <v>2222222</v>
      </c>
      <c r="F912" s="8" t="s">
        <v>22</v>
      </c>
      <c r="G912" s="2">
        <v>98</v>
      </c>
      <c r="H912" t="s">
        <v>3949</v>
      </c>
      <c r="J912" s="9" t="s">
        <v>5098</v>
      </c>
      <c r="K912" t="s">
        <v>4932</v>
      </c>
      <c r="L912" s="2">
        <v>1</v>
      </c>
      <c r="M912" s="24" t="s">
        <v>5971</v>
      </c>
      <c r="N912" s="2" t="s">
        <v>23</v>
      </c>
      <c r="O912" s="18" t="s">
        <v>762</v>
      </c>
      <c r="P912" s="18" t="s">
        <v>3781</v>
      </c>
      <c r="Q912" s="6" t="s">
        <v>4475</v>
      </c>
      <c r="T912" s="23">
        <v>45930</v>
      </c>
      <c r="U912" s="23">
        <v>47392</v>
      </c>
      <c r="X912" s="20">
        <v>4000</v>
      </c>
      <c r="Z912" s="6" t="s">
        <v>5978</v>
      </c>
      <c r="AA912" s="14">
        <f t="shared" si="117"/>
        <v>5.9999999999999995E-4</v>
      </c>
      <c r="AB912">
        <v>2.0450879999999998</v>
      </c>
      <c r="AC912">
        <v>2.12689152</v>
      </c>
    </row>
    <row r="913" spans="1:29" x14ac:dyDescent="0.3">
      <c r="A913">
        <v>148096</v>
      </c>
      <c r="B913" s="25" t="s">
        <v>5984</v>
      </c>
      <c r="C913" t="s">
        <v>20</v>
      </c>
      <c r="D913" t="s">
        <v>21</v>
      </c>
      <c r="E913">
        <v>2222222</v>
      </c>
      <c r="F913" s="8" t="s">
        <v>22</v>
      </c>
      <c r="G913" s="2">
        <v>98</v>
      </c>
      <c r="H913" t="s">
        <v>3949</v>
      </c>
      <c r="J913" s="9" t="s">
        <v>5332</v>
      </c>
      <c r="K913" t="s">
        <v>4887</v>
      </c>
      <c r="L913" s="2">
        <v>1</v>
      </c>
      <c r="M913" s="24" t="s">
        <v>5971</v>
      </c>
      <c r="N913" s="2" t="s">
        <v>23</v>
      </c>
      <c r="O913" s="18" t="s">
        <v>763</v>
      </c>
      <c r="P913" s="18" t="s">
        <v>3781</v>
      </c>
      <c r="Q913" s="6" t="s">
        <v>4475</v>
      </c>
      <c r="T913" s="23">
        <v>45944</v>
      </c>
      <c r="U913" s="23">
        <v>46673</v>
      </c>
      <c r="X913" s="20">
        <v>20000</v>
      </c>
      <c r="Z913" s="6" t="s">
        <v>5978</v>
      </c>
      <c r="AA913" s="14">
        <f t="shared" si="117"/>
        <v>5.9999999999999995E-4</v>
      </c>
      <c r="AB913">
        <v>7.9374839999999987</v>
      </c>
      <c r="AC913">
        <v>8.2549833599999989</v>
      </c>
    </row>
    <row r="914" spans="1:29" x14ac:dyDescent="0.3">
      <c r="A914">
        <v>148206</v>
      </c>
      <c r="B914" s="25" t="s">
        <v>5984</v>
      </c>
      <c r="C914" t="s">
        <v>20</v>
      </c>
      <c r="D914" t="s">
        <v>21</v>
      </c>
      <c r="E914">
        <v>2222222</v>
      </c>
      <c r="F914" s="8" t="s">
        <v>22</v>
      </c>
      <c r="G914" s="2">
        <v>98</v>
      </c>
      <c r="H914" t="s">
        <v>3949</v>
      </c>
      <c r="J914" s="9" t="s">
        <v>4844</v>
      </c>
      <c r="K914" t="s">
        <v>4841</v>
      </c>
      <c r="L914" s="2">
        <v>1</v>
      </c>
      <c r="M914" s="24" t="s">
        <v>5971</v>
      </c>
      <c r="N914" s="2" t="s">
        <v>23</v>
      </c>
      <c r="O914" s="18" t="s">
        <v>731</v>
      </c>
      <c r="P914" s="18" t="s">
        <v>0</v>
      </c>
      <c r="Q914" s="6" t="s">
        <v>4475</v>
      </c>
      <c r="T914" s="23">
        <v>45945</v>
      </c>
      <c r="U914" s="23">
        <v>47040</v>
      </c>
      <c r="X914" s="20">
        <v>3150</v>
      </c>
      <c r="Z914" s="6" t="s">
        <v>5978</v>
      </c>
      <c r="AA914" s="14">
        <f t="shared" si="117"/>
        <v>5.9999999999999995E-4</v>
      </c>
      <c r="AB914">
        <v>1.5026699999999997</v>
      </c>
      <c r="AC914">
        <v>1.5627767999999997</v>
      </c>
    </row>
    <row r="915" spans="1:29" x14ac:dyDescent="0.3">
      <c r="A915">
        <v>148225</v>
      </c>
      <c r="B915" s="25" t="s">
        <v>5984</v>
      </c>
      <c r="C915" t="s">
        <v>20</v>
      </c>
      <c r="D915" t="s">
        <v>21</v>
      </c>
      <c r="E915">
        <v>2222222</v>
      </c>
      <c r="F915" s="8" t="s">
        <v>22</v>
      </c>
      <c r="G915" s="2">
        <v>98</v>
      </c>
      <c r="H915" t="s">
        <v>3949</v>
      </c>
      <c r="J915" s="9" t="s">
        <v>4967</v>
      </c>
      <c r="K915" t="s">
        <v>4899</v>
      </c>
      <c r="L915" s="2">
        <v>1</v>
      </c>
      <c r="M915" s="24" t="s">
        <v>5971</v>
      </c>
      <c r="N915" s="2" t="s">
        <v>23</v>
      </c>
      <c r="O915" s="18" t="s">
        <v>764</v>
      </c>
      <c r="P915" s="18" t="s">
        <v>3781</v>
      </c>
      <c r="Q915" s="6" t="s">
        <v>4475</v>
      </c>
      <c r="T915" s="23">
        <v>45950</v>
      </c>
      <c r="U915" s="23">
        <v>47046</v>
      </c>
      <c r="X915" s="20">
        <v>5000</v>
      </c>
      <c r="Z915" s="6" t="s">
        <v>5978</v>
      </c>
      <c r="AA915" s="14">
        <f t="shared" si="117"/>
        <v>5.9999999999999995E-4</v>
      </c>
      <c r="AB915">
        <v>2.3926439999999998</v>
      </c>
      <c r="AC915">
        <v>2.4883497599999997</v>
      </c>
    </row>
    <row r="916" spans="1:29" x14ac:dyDescent="0.3">
      <c r="A916">
        <v>148493</v>
      </c>
      <c r="B916" s="25" t="s">
        <v>5984</v>
      </c>
      <c r="C916" t="s">
        <v>20</v>
      </c>
      <c r="D916" t="s">
        <v>21</v>
      </c>
      <c r="E916">
        <v>2222222</v>
      </c>
      <c r="F916" s="8" t="s">
        <v>22</v>
      </c>
      <c r="G916" s="2">
        <v>98</v>
      </c>
      <c r="H916" t="s">
        <v>3949</v>
      </c>
      <c r="J916" s="9" t="s">
        <v>5055</v>
      </c>
      <c r="K916" t="s">
        <v>4863</v>
      </c>
      <c r="L916" s="2">
        <v>1</v>
      </c>
      <c r="M916" s="24" t="s">
        <v>5971</v>
      </c>
      <c r="N916" s="2" t="s">
        <v>23</v>
      </c>
      <c r="O916" s="18" t="s">
        <v>765</v>
      </c>
      <c r="P916" s="18" t="s">
        <v>3781</v>
      </c>
      <c r="Q916" s="6" t="s">
        <v>4475</v>
      </c>
      <c r="T916" s="23">
        <v>45825</v>
      </c>
      <c r="U916" s="23">
        <v>46548</v>
      </c>
      <c r="X916" s="20">
        <v>1485</v>
      </c>
      <c r="Z916" s="6" t="s">
        <v>5978</v>
      </c>
      <c r="AA916" s="14">
        <f t="shared" si="117"/>
        <v>5.9999999999999995E-4</v>
      </c>
      <c r="AB916">
        <v>0.44087399999999993</v>
      </c>
      <c r="AC916">
        <v>0.45850895999999997</v>
      </c>
    </row>
    <row r="917" spans="1:29" x14ac:dyDescent="0.3">
      <c r="A917">
        <v>148553</v>
      </c>
      <c r="B917" s="25" t="s">
        <v>5984</v>
      </c>
      <c r="C917" t="s">
        <v>20</v>
      </c>
      <c r="D917" t="s">
        <v>21</v>
      </c>
      <c r="E917">
        <v>2222222</v>
      </c>
      <c r="F917" s="8" t="s">
        <v>22</v>
      </c>
      <c r="G917" s="2">
        <v>98</v>
      </c>
      <c r="H917" t="s">
        <v>3949</v>
      </c>
      <c r="J917" s="9" t="s">
        <v>5112</v>
      </c>
      <c r="K917" t="s">
        <v>4950</v>
      </c>
      <c r="L917" s="2">
        <v>1</v>
      </c>
      <c r="M917" s="24" t="s">
        <v>5971</v>
      </c>
      <c r="N917" s="2" t="s">
        <v>23</v>
      </c>
      <c r="O917" s="18" t="s">
        <v>766</v>
      </c>
      <c r="P917" s="18" t="s">
        <v>0</v>
      </c>
      <c r="Q917" s="6" t="s">
        <v>4475</v>
      </c>
      <c r="T917" s="23">
        <v>45621</v>
      </c>
      <c r="U917" s="23">
        <v>46696</v>
      </c>
      <c r="X917" s="20">
        <v>21000</v>
      </c>
      <c r="Z917" s="6" t="s">
        <v>5978</v>
      </c>
      <c r="AA917" s="14">
        <f t="shared" si="117"/>
        <v>5.9999999999999995E-4</v>
      </c>
      <c r="AB917">
        <v>6.2128799999999993</v>
      </c>
      <c r="AC917">
        <v>6.4613951999999992</v>
      </c>
    </row>
    <row r="918" spans="1:29" x14ac:dyDescent="0.3">
      <c r="A918">
        <v>148634</v>
      </c>
      <c r="B918" s="25" t="s">
        <v>5984</v>
      </c>
      <c r="C918" t="s">
        <v>20</v>
      </c>
      <c r="D918" t="s">
        <v>21</v>
      </c>
      <c r="E918">
        <v>2222222</v>
      </c>
      <c r="F918" s="8" t="s">
        <v>22</v>
      </c>
      <c r="G918" s="2">
        <v>98</v>
      </c>
      <c r="H918" t="s">
        <v>3949</v>
      </c>
      <c r="J918" s="9" t="s">
        <v>5333</v>
      </c>
      <c r="K918" t="s">
        <v>5166</v>
      </c>
      <c r="L918" s="2">
        <v>1</v>
      </c>
      <c r="M918" s="24" t="s">
        <v>5971</v>
      </c>
      <c r="N918" s="2" t="s">
        <v>23</v>
      </c>
      <c r="O918" s="18" t="s">
        <v>636</v>
      </c>
      <c r="P918" s="18" t="s">
        <v>3781</v>
      </c>
      <c r="Q918" s="6" t="s">
        <v>4475</v>
      </c>
      <c r="T918" s="23">
        <v>45968</v>
      </c>
      <c r="U918" s="23">
        <v>46241</v>
      </c>
      <c r="X918" s="20">
        <v>400</v>
      </c>
      <c r="Z918" s="6" t="s">
        <v>5978</v>
      </c>
      <c r="AA918" s="14">
        <f t="shared" si="117"/>
        <v>5.9999999999999995E-4</v>
      </c>
      <c r="AB918">
        <v>2.8097999999999998E-2</v>
      </c>
      <c r="AC918">
        <v>2.9221919999999998E-2</v>
      </c>
    </row>
    <row r="919" spans="1:29" x14ac:dyDescent="0.3">
      <c r="A919">
        <v>148670</v>
      </c>
      <c r="B919" s="25" t="s">
        <v>5984</v>
      </c>
      <c r="C919" t="s">
        <v>20</v>
      </c>
      <c r="D919" t="s">
        <v>21</v>
      </c>
      <c r="E919">
        <v>2222222</v>
      </c>
      <c r="F919" s="8" t="s">
        <v>22</v>
      </c>
      <c r="G919" s="2">
        <v>98</v>
      </c>
      <c r="H919" t="s">
        <v>3949</v>
      </c>
      <c r="J919" s="9" t="s">
        <v>4878</v>
      </c>
      <c r="K919" t="s">
        <v>5317</v>
      </c>
      <c r="L919" s="2">
        <v>1</v>
      </c>
      <c r="M919" s="24" t="s">
        <v>5971</v>
      </c>
      <c r="N919" s="2" t="s">
        <v>23</v>
      </c>
      <c r="O919" s="18" t="s">
        <v>726</v>
      </c>
      <c r="P919" s="18" t="s">
        <v>0</v>
      </c>
      <c r="Q919" s="6" t="s">
        <v>4475</v>
      </c>
      <c r="T919" s="23">
        <v>45971</v>
      </c>
      <c r="U919" s="23">
        <v>47067</v>
      </c>
      <c r="X919" s="20">
        <v>5000</v>
      </c>
      <c r="Z919" s="6" t="s">
        <v>5978</v>
      </c>
      <c r="AA919" s="14">
        <f t="shared" si="117"/>
        <v>5.9999999999999995E-4</v>
      </c>
      <c r="AB919">
        <v>2.4646319999999999</v>
      </c>
      <c r="AC919">
        <v>2.5632172799999999</v>
      </c>
    </row>
    <row r="920" spans="1:29" x14ac:dyDescent="0.3">
      <c r="A920">
        <v>148701</v>
      </c>
      <c r="B920" s="25" t="s">
        <v>5984</v>
      </c>
      <c r="C920" t="s">
        <v>20</v>
      </c>
      <c r="D920" t="s">
        <v>21</v>
      </c>
      <c r="E920">
        <v>2222222</v>
      </c>
      <c r="F920" s="8" t="s">
        <v>22</v>
      </c>
      <c r="G920" s="2">
        <v>98</v>
      </c>
      <c r="H920" t="s">
        <v>3949</v>
      </c>
      <c r="J920" s="9" t="s">
        <v>5096</v>
      </c>
      <c r="K920" t="s">
        <v>5208</v>
      </c>
      <c r="L920" s="2">
        <v>1</v>
      </c>
      <c r="M920" s="24" t="s">
        <v>5971</v>
      </c>
      <c r="N920" s="2" t="s">
        <v>23</v>
      </c>
      <c r="O920" s="18" t="s">
        <v>767</v>
      </c>
      <c r="P920" s="18" t="s">
        <v>3781</v>
      </c>
      <c r="Q920" s="6" t="s">
        <v>4475</v>
      </c>
      <c r="T920" s="23">
        <v>45973</v>
      </c>
      <c r="U920" s="23">
        <v>46307</v>
      </c>
      <c r="X920" s="20">
        <v>1500</v>
      </c>
      <c r="Z920" s="6" t="s">
        <v>5978</v>
      </c>
      <c r="AA920" s="14">
        <f t="shared" si="117"/>
        <v>5.9999999999999995E-4</v>
      </c>
      <c r="AB920">
        <v>0.25922999999999996</v>
      </c>
      <c r="AC920">
        <v>0.26959919999999998</v>
      </c>
    </row>
    <row r="921" spans="1:29" x14ac:dyDescent="0.3">
      <c r="A921">
        <v>149046</v>
      </c>
      <c r="B921" s="25" t="s">
        <v>5984</v>
      </c>
      <c r="C921" t="s">
        <v>20</v>
      </c>
      <c r="D921" t="s">
        <v>21</v>
      </c>
      <c r="E921">
        <v>2222222</v>
      </c>
      <c r="F921" s="8" t="s">
        <v>22</v>
      </c>
      <c r="G921" s="2">
        <v>98</v>
      </c>
      <c r="H921" t="s">
        <v>3949</v>
      </c>
      <c r="J921" s="9" t="s">
        <v>5017</v>
      </c>
      <c r="K921" t="s">
        <v>5310</v>
      </c>
      <c r="L921" s="2">
        <v>1</v>
      </c>
      <c r="M921" s="24" t="s">
        <v>5971</v>
      </c>
      <c r="N921" s="2" t="s">
        <v>23</v>
      </c>
      <c r="O921" s="18" t="s">
        <v>705</v>
      </c>
      <c r="P921" s="18" t="s">
        <v>3781</v>
      </c>
      <c r="Q921" s="6" t="s">
        <v>4475</v>
      </c>
      <c r="T921" s="23">
        <v>45994</v>
      </c>
      <c r="U921" s="23">
        <v>46359</v>
      </c>
      <c r="X921" s="20">
        <v>2730</v>
      </c>
      <c r="Z921" s="6" t="s">
        <v>5978</v>
      </c>
      <c r="AA921" s="14">
        <f t="shared" si="117"/>
        <v>5.9999999999999995E-4</v>
      </c>
      <c r="AB921">
        <v>0.71729399999999999</v>
      </c>
      <c r="AC921">
        <v>0.74598576000000005</v>
      </c>
    </row>
    <row r="922" spans="1:29" x14ac:dyDescent="0.3">
      <c r="A922">
        <v>149063</v>
      </c>
      <c r="B922" s="25" t="s">
        <v>5984</v>
      </c>
      <c r="C922" t="s">
        <v>20</v>
      </c>
      <c r="D922" t="s">
        <v>21</v>
      </c>
      <c r="E922">
        <v>2222222</v>
      </c>
      <c r="F922" s="8" t="s">
        <v>22</v>
      </c>
      <c r="G922" s="2">
        <v>98</v>
      </c>
      <c r="H922" t="s">
        <v>3949</v>
      </c>
      <c r="J922" s="9" t="s">
        <v>4898</v>
      </c>
      <c r="K922" t="s">
        <v>4872</v>
      </c>
      <c r="L922" s="2">
        <v>1</v>
      </c>
      <c r="M922" s="24" t="s">
        <v>5971</v>
      </c>
      <c r="N922" s="2" t="s">
        <v>23</v>
      </c>
      <c r="O922" s="18" t="s">
        <v>768</v>
      </c>
      <c r="P922" s="18" t="s">
        <v>3781</v>
      </c>
      <c r="Q922" s="6" t="s">
        <v>4475</v>
      </c>
      <c r="T922" s="23">
        <v>45995</v>
      </c>
      <c r="U922" s="23">
        <v>46724</v>
      </c>
      <c r="X922" s="20">
        <v>3350</v>
      </c>
      <c r="Z922" s="6" t="s">
        <v>5978</v>
      </c>
      <c r="AA922" s="14">
        <f t="shared" si="117"/>
        <v>5.9999999999999995E-4</v>
      </c>
      <c r="AB922">
        <v>1.491204</v>
      </c>
      <c r="AC922">
        <v>1.55085216</v>
      </c>
    </row>
    <row r="923" spans="1:29" x14ac:dyDescent="0.3">
      <c r="A923">
        <v>149420</v>
      </c>
      <c r="B923" s="25" t="s">
        <v>5984</v>
      </c>
      <c r="C923" t="s">
        <v>20</v>
      </c>
      <c r="D923" t="s">
        <v>21</v>
      </c>
      <c r="E923">
        <v>2222222</v>
      </c>
      <c r="F923" s="8" t="s">
        <v>22</v>
      </c>
      <c r="G923" s="2">
        <v>98</v>
      </c>
      <c r="H923" t="s">
        <v>3949</v>
      </c>
      <c r="J923" s="9" t="s">
        <v>4836</v>
      </c>
      <c r="K923" t="s">
        <v>5325</v>
      </c>
      <c r="L923" s="2">
        <v>1</v>
      </c>
      <c r="M923" s="24" t="s">
        <v>5971</v>
      </c>
      <c r="N923" s="2" t="s">
        <v>23</v>
      </c>
      <c r="O923" s="18" t="s">
        <v>736</v>
      </c>
      <c r="P923" s="18" t="s">
        <v>3781</v>
      </c>
      <c r="Q923" s="6" t="s">
        <v>4475</v>
      </c>
      <c r="T923" s="23">
        <v>46021</v>
      </c>
      <c r="U923" s="23">
        <v>47116</v>
      </c>
      <c r="X923" s="20">
        <v>4000</v>
      </c>
      <c r="Z923" s="6" t="s">
        <v>5978</v>
      </c>
      <c r="AA923" s="14">
        <f t="shared" si="117"/>
        <v>5.9999999999999995E-4</v>
      </c>
      <c r="AB923">
        <v>2.0829</v>
      </c>
      <c r="AC923">
        <v>2.1662159999999999</v>
      </c>
    </row>
    <row r="924" spans="1:29" x14ac:dyDescent="0.3">
      <c r="A924">
        <v>149451</v>
      </c>
      <c r="B924" s="25" t="s">
        <v>5984</v>
      </c>
      <c r="C924" t="s">
        <v>20</v>
      </c>
      <c r="D924" t="s">
        <v>21</v>
      </c>
      <c r="E924">
        <v>2222222</v>
      </c>
      <c r="F924" s="8" t="s">
        <v>22</v>
      </c>
      <c r="G924" s="2">
        <v>98</v>
      </c>
      <c r="H924" t="s">
        <v>3949</v>
      </c>
      <c r="J924" s="9" t="s">
        <v>5124</v>
      </c>
      <c r="K924" t="s">
        <v>4878</v>
      </c>
      <c r="L924" s="2">
        <v>1</v>
      </c>
      <c r="M924" s="24" t="s">
        <v>5971</v>
      </c>
      <c r="N924" s="2" t="s">
        <v>23</v>
      </c>
      <c r="O924" s="18" t="s">
        <v>769</v>
      </c>
      <c r="P924" s="18" t="s">
        <v>0</v>
      </c>
      <c r="Q924" s="6" t="s">
        <v>4475</v>
      </c>
      <c r="T924" s="23">
        <v>46027</v>
      </c>
      <c r="U924" s="23">
        <v>46392</v>
      </c>
      <c r="X924" s="20">
        <v>1500</v>
      </c>
      <c r="Z924" s="6" t="s">
        <v>5978</v>
      </c>
      <c r="AA924" s="14">
        <f t="shared" si="117"/>
        <v>5.9999999999999995E-4</v>
      </c>
      <c r="AB924">
        <v>0.46817399999999992</v>
      </c>
      <c r="AC924">
        <v>0.48690095999999994</v>
      </c>
    </row>
    <row r="925" spans="1:29" x14ac:dyDescent="0.3">
      <c r="A925">
        <v>149467</v>
      </c>
      <c r="B925" s="25" t="s">
        <v>5984</v>
      </c>
      <c r="C925" t="s">
        <v>20</v>
      </c>
      <c r="D925" t="s">
        <v>21</v>
      </c>
      <c r="E925">
        <v>2222222</v>
      </c>
      <c r="F925" s="8" t="s">
        <v>22</v>
      </c>
      <c r="G925" s="2">
        <v>98</v>
      </c>
      <c r="H925" t="s">
        <v>3949</v>
      </c>
      <c r="J925" s="9" t="s">
        <v>4892</v>
      </c>
      <c r="K925" t="s">
        <v>5033</v>
      </c>
      <c r="L925" s="2">
        <v>1</v>
      </c>
      <c r="M925" s="24" t="s">
        <v>5971</v>
      </c>
      <c r="N925" s="2" t="s">
        <v>23</v>
      </c>
      <c r="O925" s="18" t="s">
        <v>770</v>
      </c>
      <c r="P925" s="18" t="s">
        <v>3781</v>
      </c>
      <c r="Q925" s="6" t="s">
        <v>4475</v>
      </c>
      <c r="T925" s="23">
        <v>46028</v>
      </c>
      <c r="U925" s="23">
        <v>46573</v>
      </c>
      <c r="X925" s="20">
        <v>2500</v>
      </c>
      <c r="Z925" s="6" t="s">
        <v>5978</v>
      </c>
      <c r="AA925" s="14">
        <f t="shared" si="117"/>
        <v>5.9999999999999995E-4</v>
      </c>
      <c r="AB925">
        <v>1.0403159999999998</v>
      </c>
      <c r="AC925">
        <v>1.0819286399999999</v>
      </c>
    </row>
    <row r="926" spans="1:29" x14ac:dyDescent="0.3">
      <c r="A926">
        <v>149494</v>
      </c>
      <c r="B926" s="25" t="s">
        <v>5984</v>
      </c>
      <c r="C926" t="s">
        <v>20</v>
      </c>
      <c r="D926" t="s">
        <v>21</v>
      </c>
      <c r="E926">
        <v>2222222</v>
      </c>
      <c r="F926" s="8" t="s">
        <v>22</v>
      </c>
      <c r="G926" s="2">
        <v>98</v>
      </c>
      <c r="H926" t="s">
        <v>3949</v>
      </c>
      <c r="J926" s="9" t="s">
        <v>4779</v>
      </c>
      <c r="K926" t="s">
        <v>5174</v>
      </c>
      <c r="L926" s="2">
        <v>1</v>
      </c>
      <c r="M926" s="24" t="s">
        <v>5971</v>
      </c>
      <c r="N926" s="2" t="s">
        <v>23</v>
      </c>
      <c r="O926" s="18" t="s">
        <v>771</v>
      </c>
      <c r="P926" s="18" t="s">
        <v>0</v>
      </c>
      <c r="Q926" s="6" t="s">
        <v>4475</v>
      </c>
      <c r="T926" s="23">
        <v>46029</v>
      </c>
      <c r="U926" s="23">
        <v>46758</v>
      </c>
      <c r="X926" s="20">
        <v>5000</v>
      </c>
      <c r="Z926" s="6" t="s">
        <v>5978</v>
      </c>
      <c r="AA926" s="14">
        <f t="shared" si="117"/>
        <v>5.9999999999999995E-4</v>
      </c>
      <c r="AB926">
        <v>2.3447639999999996</v>
      </c>
      <c r="AC926">
        <v>2.4385545599999996</v>
      </c>
    </row>
    <row r="927" spans="1:29" x14ac:dyDescent="0.3">
      <c r="A927">
        <v>149517</v>
      </c>
      <c r="B927" s="25" t="s">
        <v>5984</v>
      </c>
      <c r="C927" t="s">
        <v>20</v>
      </c>
      <c r="D927" t="s">
        <v>21</v>
      </c>
      <c r="E927">
        <v>2222222</v>
      </c>
      <c r="F927" s="8" t="s">
        <v>22</v>
      </c>
      <c r="G927" s="2">
        <v>98</v>
      </c>
      <c r="H927" t="s">
        <v>3949</v>
      </c>
      <c r="J927" s="9" t="s">
        <v>5164</v>
      </c>
      <c r="K927" t="s">
        <v>5075</v>
      </c>
      <c r="L927" s="2">
        <v>1</v>
      </c>
      <c r="M927" s="24" t="s">
        <v>5971</v>
      </c>
      <c r="N927" s="2" t="s">
        <v>23</v>
      </c>
      <c r="O927" s="18" t="s">
        <v>772</v>
      </c>
      <c r="P927" s="18" t="s">
        <v>3781</v>
      </c>
      <c r="Q927" s="6" t="s">
        <v>4475</v>
      </c>
      <c r="T927" s="23">
        <v>46031</v>
      </c>
      <c r="U927" s="23">
        <v>46760</v>
      </c>
      <c r="X927" s="20">
        <v>5000</v>
      </c>
      <c r="Z927" s="6" t="s">
        <v>5978</v>
      </c>
      <c r="AA927" s="14">
        <f t="shared" si="117"/>
        <v>5.9999999999999995E-4</v>
      </c>
      <c r="AB927">
        <v>2.3447639999999996</v>
      </c>
      <c r="AC927">
        <v>2.4385545599999996</v>
      </c>
    </row>
    <row r="928" spans="1:29" x14ac:dyDescent="0.3">
      <c r="A928">
        <v>149594</v>
      </c>
      <c r="B928" s="25" t="s">
        <v>5984</v>
      </c>
      <c r="C928" t="s">
        <v>20</v>
      </c>
      <c r="D928" t="s">
        <v>21</v>
      </c>
      <c r="E928">
        <v>2222222</v>
      </c>
      <c r="F928" s="8" t="s">
        <v>22</v>
      </c>
      <c r="G928" s="2">
        <v>98</v>
      </c>
      <c r="H928" t="s">
        <v>3949</v>
      </c>
      <c r="J928" s="9" t="s">
        <v>4830</v>
      </c>
      <c r="K928" t="s">
        <v>4887</v>
      </c>
      <c r="L928" s="2">
        <v>1</v>
      </c>
      <c r="M928" s="24" t="s">
        <v>5971</v>
      </c>
      <c r="N928" s="2" t="s">
        <v>23</v>
      </c>
      <c r="O928" s="18" t="s">
        <v>773</v>
      </c>
      <c r="P928" s="18" t="s">
        <v>3781</v>
      </c>
      <c r="Q928" s="6" t="s">
        <v>4475</v>
      </c>
      <c r="T928" s="23">
        <v>46035</v>
      </c>
      <c r="U928" s="23">
        <v>46400</v>
      </c>
      <c r="X928" s="20">
        <v>4000</v>
      </c>
      <c r="Z928" s="6" t="s">
        <v>5978</v>
      </c>
      <c r="AA928" s="14">
        <f t="shared" si="117"/>
        <v>5.9999999999999995E-4</v>
      </c>
      <c r="AB928">
        <v>1.2485099999999998</v>
      </c>
      <c r="AC928">
        <v>1.2984503999999999</v>
      </c>
    </row>
    <row r="929" spans="1:29" x14ac:dyDescent="0.3">
      <c r="A929">
        <v>149647</v>
      </c>
      <c r="B929" s="25" t="s">
        <v>5984</v>
      </c>
      <c r="C929" t="s">
        <v>20</v>
      </c>
      <c r="D929" t="s">
        <v>21</v>
      </c>
      <c r="E929">
        <v>2222222</v>
      </c>
      <c r="F929" s="8" t="s">
        <v>22</v>
      </c>
      <c r="G929" s="2">
        <v>98</v>
      </c>
      <c r="H929" t="s">
        <v>3949</v>
      </c>
      <c r="J929" s="9" t="s">
        <v>4981</v>
      </c>
      <c r="K929" t="s">
        <v>4947</v>
      </c>
      <c r="L929" s="2">
        <v>1</v>
      </c>
      <c r="M929" s="24" t="s">
        <v>5971</v>
      </c>
      <c r="N929" s="2" t="s">
        <v>23</v>
      </c>
      <c r="O929" s="18" t="s">
        <v>712</v>
      </c>
      <c r="P929" s="18" t="s">
        <v>3781</v>
      </c>
      <c r="Q929" s="6" t="s">
        <v>4475</v>
      </c>
      <c r="T929" s="23">
        <v>46041</v>
      </c>
      <c r="U929" s="23">
        <v>46770</v>
      </c>
      <c r="X929" s="20">
        <v>5000</v>
      </c>
      <c r="Z929" s="6" t="s">
        <v>5978</v>
      </c>
      <c r="AA929" s="14">
        <f t="shared" si="117"/>
        <v>5.9999999999999995E-4</v>
      </c>
      <c r="AB929">
        <v>2.264256</v>
      </c>
      <c r="AC929">
        <v>2.35482624</v>
      </c>
    </row>
    <row r="930" spans="1:29" x14ac:dyDescent="0.3">
      <c r="A930">
        <v>149663</v>
      </c>
      <c r="B930" s="25" t="s">
        <v>5984</v>
      </c>
      <c r="C930" t="s">
        <v>20</v>
      </c>
      <c r="D930" t="s">
        <v>21</v>
      </c>
      <c r="E930">
        <v>2222222</v>
      </c>
      <c r="F930" s="8" t="s">
        <v>22</v>
      </c>
      <c r="G930" s="2">
        <v>98</v>
      </c>
      <c r="H930" t="s">
        <v>3949</v>
      </c>
      <c r="J930" s="9" t="s">
        <v>4901</v>
      </c>
      <c r="K930" t="s">
        <v>5040</v>
      </c>
      <c r="L930" s="2">
        <v>1</v>
      </c>
      <c r="M930" s="24" t="s">
        <v>5971</v>
      </c>
      <c r="N930" s="2" t="s">
        <v>23</v>
      </c>
      <c r="O930" s="18" t="s">
        <v>740</v>
      </c>
      <c r="P930" s="18" t="s">
        <v>0</v>
      </c>
      <c r="Q930" s="6" t="s">
        <v>4475</v>
      </c>
      <c r="T930" s="23">
        <v>46043</v>
      </c>
      <c r="U930" s="23">
        <v>47899</v>
      </c>
      <c r="X930" s="20">
        <v>7000</v>
      </c>
      <c r="Z930" s="6" t="s">
        <v>5978</v>
      </c>
      <c r="AA930" s="14">
        <f t="shared" si="117"/>
        <v>5.9999999999999995E-4</v>
      </c>
      <c r="AB930">
        <v>1.1473979999999999</v>
      </c>
      <c r="AC930">
        <v>1.1932939199999999</v>
      </c>
    </row>
    <row r="931" spans="1:29" x14ac:dyDescent="0.3">
      <c r="A931">
        <v>149859</v>
      </c>
      <c r="B931" s="25" t="s">
        <v>5984</v>
      </c>
      <c r="C931" t="s">
        <v>20</v>
      </c>
      <c r="D931" t="s">
        <v>21</v>
      </c>
      <c r="E931">
        <v>2222222</v>
      </c>
      <c r="F931" s="8" t="s">
        <v>22</v>
      </c>
      <c r="G931" s="2">
        <v>98</v>
      </c>
      <c r="H931" t="s">
        <v>3949</v>
      </c>
      <c r="J931" s="9" t="s">
        <v>5334</v>
      </c>
      <c r="K931" t="s">
        <v>4965</v>
      </c>
      <c r="L931" s="2">
        <v>1</v>
      </c>
      <c r="M931" s="24" t="s">
        <v>5971</v>
      </c>
      <c r="N931" s="2" t="s">
        <v>23</v>
      </c>
      <c r="O931" s="18" t="s">
        <v>774</v>
      </c>
      <c r="P931" s="18" t="s">
        <v>0</v>
      </c>
      <c r="Q931" s="6" t="s">
        <v>4475</v>
      </c>
      <c r="T931" s="23">
        <v>46052</v>
      </c>
      <c r="U931" s="23">
        <v>46784</v>
      </c>
      <c r="X931" s="20">
        <v>3000</v>
      </c>
      <c r="Z931" s="6" t="s">
        <v>5978</v>
      </c>
      <c r="AA931" s="14">
        <f t="shared" si="117"/>
        <v>5.9999999999999995E-4</v>
      </c>
      <c r="AB931">
        <v>1.54365</v>
      </c>
      <c r="AC931">
        <v>1.605396</v>
      </c>
    </row>
    <row r="932" spans="1:29" x14ac:dyDescent="0.3">
      <c r="A932">
        <v>149878</v>
      </c>
      <c r="B932" s="25" t="s">
        <v>5984</v>
      </c>
      <c r="C932" t="s">
        <v>20</v>
      </c>
      <c r="D932" t="s">
        <v>21</v>
      </c>
      <c r="E932">
        <v>2222222</v>
      </c>
      <c r="F932" s="8" t="s">
        <v>22</v>
      </c>
      <c r="G932" s="2">
        <v>98</v>
      </c>
      <c r="H932" t="s">
        <v>3949</v>
      </c>
      <c r="J932" s="9" t="s">
        <v>4896</v>
      </c>
      <c r="K932" t="s">
        <v>4884</v>
      </c>
      <c r="L932" s="2">
        <v>1</v>
      </c>
      <c r="M932" s="24" t="s">
        <v>5971</v>
      </c>
      <c r="N932" s="2" t="s">
        <v>23</v>
      </c>
      <c r="O932" s="18" t="s">
        <v>775</v>
      </c>
      <c r="P932" s="18" t="s">
        <v>3781</v>
      </c>
      <c r="Q932" s="6" t="s">
        <v>4475</v>
      </c>
      <c r="T932" s="23">
        <v>46055</v>
      </c>
      <c r="U932" s="23">
        <v>46969</v>
      </c>
      <c r="X932" s="20">
        <v>5000</v>
      </c>
      <c r="Z932" s="6" t="s">
        <v>5978</v>
      </c>
      <c r="AA932" s="14">
        <f t="shared" ref="AA932:AA988" si="118">+(0.6/1000)</f>
        <v>5.9999999999999995E-4</v>
      </c>
      <c r="AB932">
        <v>2.5704120000000001</v>
      </c>
      <c r="AC932">
        <v>2.6732284800000001</v>
      </c>
    </row>
    <row r="933" spans="1:29" x14ac:dyDescent="0.3">
      <c r="A933">
        <v>149890</v>
      </c>
      <c r="B933" s="25" t="s">
        <v>5984</v>
      </c>
      <c r="C933" t="s">
        <v>20</v>
      </c>
      <c r="D933" t="s">
        <v>21</v>
      </c>
      <c r="E933">
        <v>2222222</v>
      </c>
      <c r="F933" s="8" t="s">
        <v>22</v>
      </c>
      <c r="G933" s="2">
        <v>98</v>
      </c>
      <c r="H933" t="s">
        <v>3949</v>
      </c>
      <c r="J933" s="9" t="s">
        <v>5335</v>
      </c>
      <c r="K933" t="s">
        <v>5010</v>
      </c>
      <c r="L933" s="2">
        <v>1</v>
      </c>
      <c r="M933" s="24" t="s">
        <v>5971</v>
      </c>
      <c r="N933" s="2" t="s">
        <v>23</v>
      </c>
      <c r="O933" s="18" t="s">
        <v>776</v>
      </c>
      <c r="P933" s="18" t="s">
        <v>0</v>
      </c>
      <c r="Q933" s="6" t="s">
        <v>4475</v>
      </c>
      <c r="T933" s="23">
        <v>46056</v>
      </c>
      <c r="U933" s="23">
        <v>46788</v>
      </c>
      <c r="X933" s="20">
        <v>4080</v>
      </c>
      <c r="Z933" s="6" t="s">
        <v>5978</v>
      </c>
      <c r="AA933" s="14">
        <f t="shared" si="118"/>
        <v>5.9999999999999995E-4</v>
      </c>
      <c r="AB933">
        <v>2.1853319999999998</v>
      </c>
      <c r="AC933">
        <v>2.2727452800000001</v>
      </c>
    </row>
    <row r="934" spans="1:29" x14ac:dyDescent="0.3">
      <c r="A934">
        <v>149946</v>
      </c>
      <c r="B934" s="25" t="s">
        <v>5984</v>
      </c>
      <c r="C934" t="s">
        <v>20</v>
      </c>
      <c r="D934" t="s">
        <v>21</v>
      </c>
      <c r="E934">
        <v>2222222</v>
      </c>
      <c r="F934" s="8" t="s">
        <v>22</v>
      </c>
      <c r="G934" s="2">
        <v>98</v>
      </c>
      <c r="H934" t="s">
        <v>3949</v>
      </c>
      <c r="J934" s="9" t="s">
        <v>5130</v>
      </c>
      <c r="K934" t="s">
        <v>5035</v>
      </c>
      <c r="L934" s="2">
        <v>1</v>
      </c>
      <c r="M934" s="24" t="s">
        <v>5971</v>
      </c>
      <c r="N934" s="2" t="s">
        <v>23</v>
      </c>
      <c r="O934" s="18" t="s">
        <v>777</v>
      </c>
      <c r="P934" s="18" t="s">
        <v>0</v>
      </c>
      <c r="Q934" s="6" t="s">
        <v>4475</v>
      </c>
      <c r="T934" s="23">
        <v>46063</v>
      </c>
      <c r="U934" s="23">
        <v>47526</v>
      </c>
      <c r="X934" s="20">
        <v>18000</v>
      </c>
      <c r="Z934" s="6" t="s">
        <v>5978</v>
      </c>
      <c r="AA934" s="14">
        <f t="shared" si="118"/>
        <v>5.9999999999999995E-4</v>
      </c>
      <c r="AB934">
        <v>10.143024</v>
      </c>
      <c r="AC934">
        <v>10.548744960000001</v>
      </c>
    </row>
    <row r="935" spans="1:29" x14ac:dyDescent="0.3">
      <c r="A935">
        <v>150144</v>
      </c>
      <c r="B935" s="25" t="s">
        <v>5984</v>
      </c>
      <c r="C935" t="s">
        <v>20</v>
      </c>
      <c r="D935" t="s">
        <v>21</v>
      </c>
      <c r="E935">
        <v>2222222</v>
      </c>
      <c r="F935" s="8" t="s">
        <v>22</v>
      </c>
      <c r="G935" s="2">
        <v>98</v>
      </c>
      <c r="H935" t="s">
        <v>3949</v>
      </c>
      <c r="J935" s="9" t="s">
        <v>5256</v>
      </c>
      <c r="K935" t="s">
        <v>4966</v>
      </c>
      <c r="L935" s="2">
        <v>1</v>
      </c>
      <c r="M935" s="24" t="s">
        <v>5971</v>
      </c>
      <c r="N935" s="2" t="s">
        <v>23</v>
      </c>
      <c r="O935" s="18" t="s">
        <v>778</v>
      </c>
      <c r="P935" s="18" t="s">
        <v>0</v>
      </c>
      <c r="Q935" s="6" t="s">
        <v>4475</v>
      </c>
      <c r="T935" s="23">
        <v>46076</v>
      </c>
      <c r="U935" s="23">
        <v>47539</v>
      </c>
      <c r="X935" s="20">
        <v>5000</v>
      </c>
      <c r="Z935" s="6" t="s">
        <v>5978</v>
      </c>
      <c r="AA935" s="14">
        <f t="shared" si="118"/>
        <v>5.9999999999999995E-4</v>
      </c>
      <c r="AB935">
        <v>2.7787860000000002</v>
      </c>
      <c r="AC935">
        <v>2.8899374400000002</v>
      </c>
    </row>
    <row r="936" spans="1:29" x14ac:dyDescent="0.3">
      <c r="A936">
        <v>150211</v>
      </c>
      <c r="B936" s="25" t="s">
        <v>5984</v>
      </c>
      <c r="C936" t="s">
        <v>20</v>
      </c>
      <c r="D936" t="s">
        <v>21</v>
      </c>
      <c r="E936">
        <v>2222222</v>
      </c>
      <c r="F936" s="8" t="s">
        <v>22</v>
      </c>
      <c r="G936" s="2">
        <v>98</v>
      </c>
      <c r="H936" t="s">
        <v>3949</v>
      </c>
      <c r="J936" s="9" t="s">
        <v>5336</v>
      </c>
      <c r="K936" t="s">
        <v>5337</v>
      </c>
      <c r="L936" s="2">
        <v>1</v>
      </c>
      <c r="M936" s="24" t="s">
        <v>5971</v>
      </c>
      <c r="N936" s="2" t="s">
        <v>23</v>
      </c>
      <c r="O936" s="18" t="s">
        <v>779</v>
      </c>
      <c r="P936" s="18" t="s">
        <v>0</v>
      </c>
      <c r="Q936" s="6" t="s">
        <v>4475</v>
      </c>
      <c r="T936" s="23">
        <v>46079</v>
      </c>
      <c r="U936" s="23">
        <v>46811</v>
      </c>
      <c r="X936" s="20">
        <v>3000</v>
      </c>
      <c r="Z936" s="6" t="s">
        <v>5978</v>
      </c>
      <c r="AA936" s="14">
        <f t="shared" si="118"/>
        <v>5.9999999999999995E-4</v>
      </c>
      <c r="AB936">
        <v>1.4739599999999997</v>
      </c>
      <c r="AC936">
        <v>1.5329183999999998</v>
      </c>
    </row>
    <row r="937" spans="1:29" x14ac:dyDescent="0.3">
      <c r="A937">
        <v>150224</v>
      </c>
      <c r="B937" s="25" t="s">
        <v>5984</v>
      </c>
      <c r="C937" t="s">
        <v>20</v>
      </c>
      <c r="D937" t="s">
        <v>21</v>
      </c>
      <c r="E937">
        <v>2222222</v>
      </c>
      <c r="F937" s="8" t="s">
        <v>22</v>
      </c>
      <c r="G937" s="2">
        <v>98</v>
      </c>
      <c r="H937" t="s">
        <v>3949</v>
      </c>
      <c r="J937" s="9" t="s">
        <v>4981</v>
      </c>
      <c r="K937" t="s">
        <v>4947</v>
      </c>
      <c r="L937" s="2">
        <v>1</v>
      </c>
      <c r="M937" s="24" t="s">
        <v>5971</v>
      </c>
      <c r="N937" s="2" t="s">
        <v>23</v>
      </c>
      <c r="O937" s="18" t="s">
        <v>712</v>
      </c>
      <c r="P937" s="18" t="s">
        <v>3781</v>
      </c>
      <c r="Q937" s="6" t="s">
        <v>4475</v>
      </c>
      <c r="T937" s="23">
        <v>46080</v>
      </c>
      <c r="U937" s="23">
        <v>47542</v>
      </c>
      <c r="X937" s="20">
        <v>10000</v>
      </c>
      <c r="Z937" s="6" t="s">
        <v>5978</v>
      </c>
      <c r="AA937" s="14">
        <f t="shared" si="118"/>
        <v>5.9999999999999995E-4</v>
      </c>
      <c r="AB937">
        <v>5.4817799999999988</v>
      </c>
      <c r="AC937">
        <v>5.7010511999999993</v>
      </c>
    </row>
    <row r="938" spans="1:29" x14ac:dyDescent="0.3">
      <c r="A938">
        <v>150267</v>
      </c>
      <c r="B938" s="25" t="s">
        <v>5984</v>
      </c>
      <c r="C938" t="s">
        <v>20</v>
      </c>
      <c r="D938" t="s">
        <v>21</v>
      </c>
      <c r="E938">
        <v>2222222</v>
      </c>
      <c r="F938" s="8" t="s">
        <v>22</v>
      </c>
      <c r="G938" s="2">
        <v>98</v>
      </c>
      <c r="H938" t="s">
        <v>3949</v>
      </c>
      <c r="J938" s="9" t="s">
        <v>5324</v>
      </c>
      <c r="K938" t="s">
        <v>4876</v>
      </c>
      <c r="L938" s="2">
        <v>1</v>
      </c>
      <c r="M938" s="24" t="s">
        <v>5971</v>
      </c>
      <c r="N938" s="2" t="s">
        <v>23</v>
      </c>
      <c r="O938" s="18" t="s">
        <v>734</v>
      </c>
      <c r="P938" s="18" t="s">
        <v>0</v>
      </c>
      <c r="Q938" s="6" t="s">
        <v>4475</v>
      </c>
      <c r="T938" s="23">
        <v>46083</v>
      </c>
      <c r="U938" s="23">
        <v>46447</v>
      </c>
      <c r="X938" s="20">
        <v>500</v>
      </c>
      <c r="Z938" s="6" t="s">
        <v>5978</v>
      </c>
      <c r="AA938" s="14">
        <f t="shared" si="118"/>
        <v>5.9999999999999995E-4</v>
      </c>
      <c r="AB938">
        <v>0.18106199999999997</v>
      </c>
      <c r="AC938">
        <v>0.18830447999999997</v>
      </c>
    </row>
    <row r="939" spans="1:29" x14ac:dyDescent="0.3">
      <c r="A939">
        <v>150287</v>
      </c>
      <c r="B939" s="25" t="s">
        <v>5984</v>
      </c>
      <c r="C939" t="s">
        <v>20</v>
      </c>
      <c r="D939" t="s">
        <v>21</v>
      </c>
      <c r="E939">
        <v>2222222</v>
      </c>
      <c r="F939" s="8" t="s">
        <v>22</v>
      </c>
      <c r="G939" s="2">
        <v>98</v>
      </c>
      <c r="H939" t="s">
        <v>3949</v>
      </c>
      <c r="J939" s="9" t="s">
        <v>4911</v>
      </c>
      <c r="K939" t="s">
        <v>5075</v>
      </c>
      <c r="L939" s="2">
        <v>1</v>
      </c>
      <c r="M939" s="24" t="s">
        <v>5971</v>
      </c>
      <c r="N939" s="2" t="s">
        <v>23</v>
      </c>
      <c r="O939" s="18" t="s">
        <v>780</v>
      </c>
      <c r="P939" s="18" t="s">
        <v>3781</v>
      </c>
      <c r="Q939" s="6" t="s">
        <v>4475</v>
      </c>
      <c r="T939" s="23">
        <v>46084</v>
      </c>
      <c r="U939" s="23">
        <v>46449</v>
      </c>
      <c r="X939" s="20">
        <v>5000</v>
      </c>
      <c r="Z939" s="6" t="s">
        <v>5978</v>
      </c>
      <c r="AA939" s="14">
        <f t="shared" si="118"/>
        <v>5.9999999999999995E-4</v>
      </c>
      <c r="AB939">
        <v>1.7460959999999999</v>
      </c>
      <c r="AC939">
        <v>1.81593984</v>
      </c>
    </row>
    <row r="940" spans="1:29" x14ac:dyDescent="0.3">
      <c r="A940">
        <v>150356</v>
      </c>
      <c r="B940" s="25" t="s">
        <v>5984</v>
      </c>
      <c r="C940" t="s">
        <v>20</v>
      </c>
      <c r="D940" t="s">
        <v>21</v>
      </c>
      <c r="E940">
        <v>2222222</v>
      </c>
      <c r="F940" s="8" t="s">
        <v>22</v>
      </c>
      <c r="G940" s="2">
        <v>98</v>
      </c>
      <c r="H940" t="s">
        <v>3949</v>
      </c>
      <c r="J940" s="9" t="s">
        <v>5195</v>
      </c>
      <c r="K940" t="s">
        <v>4980</v>
      </c>
      <c r="L940" s="2">
        <v>1</v>
      </c>
      <c r="M940" s="24" t="s">
        <v>5971</v>
      </c>
      <c r="N940" s="2" t="s">
        <v>23</v>
      </c>
      <c r="O940" s="18" t="s">
        <v>781</v>
      </c>
      <c r="P940" s="18" t="s">
        <v>3781</v>
      </c>
      <c r="Q940" s="6" t="s">
        <v>4475</v>
      </c>
      <c r="T940" s="23">
        <v>46087</v>
      </c>
      <c r="U940" s="23">
        <v>46451</v>
      </c>
      <c r="X940" s="20">
        <v>4700</v>
      </c>
      <c r="Z940" s="6" t="s">
        <v>5978</v>
      </c>
      <c r="AA940" s="14">
        <f t="shared" si="118"/>
        <v>5.9999999999999995E-4</v>
      </c>
      <c r="AB940">
        <v>1.9352219999999998</v>
      </c>
      <c r="AC940">
        <v>2.0126308799999997</v>
      </c>
    </row>
    <row r="941" spans="1:29" x14ac:dyDescent="0.3">
      <c r="A941">
        <v>150467</v>
      </c>
      <c r="B941" s="25" t="s">
        <v>5984</v>
      </c>
      <c r="C941" t="s">
        <v>20</v>
      </c>
      <c r="D941" t="s">
        <v>21</v>
      </c>
      <c r="E941">
        <v>2222222</v>
      </c>
      <c r="F941" s="8" t="s">
        <v>22</v>
      </c>
      <c r="G941" s="2">
        <v>98</v>
      </c>
      <c r="H941" t="s">
        <v>3949</v>
      </c>
      <c r="J941" s="9" t="s">
        <v>4911</v>
      </c>
      <c r="K941" t="s">
        <v>5075</v>
      </c>
      <c r="L941" s="2">
        <v>1</v>
      </c>
      <c r="M941" s="24" t="s">
        <v>5971</v>
      </c>
      <c r="N941" s="2" t="s">
        <v>23</v>
      </c>
      <c r="O941" s="18" t="s">
        <v>782</v>
      </c>
      <c r="P941" s="18" t="s">
        <v>3781</v>
      </c>
      <c r="Q941" s="6" t="s">
        <v>4475</v>
      </c>
      <c r="T941" s="23">
        <v>46097</v>
      </c>
      <c r="U941" s="23">
        <v>47193</v>
      </c>
      <c r="X941" s="20">
        <v>3000</v>
      </c>
      <c r="Z941" s="6" t="s">
        <v>5978</v>
      </c>
      <c r="AA941" s="14">
        <f t="shared" si="118"/>
        <v>5.9999999999999995E-4</v>
      </c>
      <c r="AB941">
        <v>1.6419479999999997</v>
      </c>
      <c r="AC941">
        <v>1.7076259199999997</v>
      </c>
    </row>
    <row r="942" spans="1:29" x14ac:dyDescent="0.3">
      <c r="A942">
        <v>150483</v>
      </c>
      <c r="B942" s="25" t="s">
        <v>5984</v>
      </c>
      <c r="C942" t="s">
        <v>20</v>
      </c>
      <c r="D942" t="s">
        <v>21</v>
      </c>
      <c r="E942">
        <v>2222222</v>
      </c>
      <c r="F942" s="8" t="s">
        <v>22</v>
      </c>
      <c r="G942" s="2">
        <v>98</v>
      </c>
      <c r="H942" t="s">
        <v>3949</v>
      </c>
      <c r="J942" s="9" t="s">
        <v>4901</v>
      </c>
      <c r="K942" t="s">
        <v>4935</v>
      </c>
      <c r="L942" s="2">
        <v>1</v>
      </c>
      <c r="M942" s="24" t="s">
        <v>5971</v>
      </c>
      <c r="N942" s="2" t="s">
        <v>23</v>
      </c>
      <c r="O942" s="18" t="s">
        <v>783</v>
      </c>
      <c r="P942" s="18" t="s">
        <v>0</v>
      </c>
      <c r="Q942" s="6" t="s">
        <v>4475</v>
      </c>
      <c r="T942" s="23">
        <v>46106</v>
      </c>
      <c r="U942" s="23">
        <v>47020</v>
      </c>
      <c r="X942" s="20">
        <v>35000</v>
      </c>
      <c r="Z942" s="6" t="s">
        <v>5978</v>
      </c>
      <c r="AA942" s="14">
        <f t="shared" si="118"/>
        <v>5.9999999999999995E-4</v>
      </c>
      <c r="AB942">
        <v>18.630797999999999</v>
      </c>
      <c r="AC942">
        <v>19.376029920000001</v>
      </c>
    </row>
    <row r="943" spans="1:29" x14ac:dyDescent="0.3">
      <c r="A943">
        <v>150655</v>
      </c>
      <c r="B943" s="25" t="s">
        <v>5984</v>
      </c>
      <c r="C943" t="s">
        <v>20</v>
      </c>
      <c r="D943" t="s">
        <v>21</v>
      </c>
      <c r="E943">
        <v>2222222</v>
      </c>
      <c r="F943" s="8" t="s">
        <v>22</v>
      </c>
      <c r="G943" s="2">
        <v>98</v>
      </c>
      <c r="H943" t="s">
        <v>3949</v>
      </c>
      <c r="J943" s="9" t="s">
        <v>5191</v>
      </c>
      <c r="K943" t="s">
        <v>4878</v>
      </c>
      <c r="L943" s="2">
        <v>1</v>
      </c>
      <c r="M943" s="24" t="s">
        <v>5971</v>
      </c>
      <c r="N943" s="2" t="s">
        <v>23</v>
      </c>
      <c r="O943" s="18" t="s">
        <v>784</v>
      </c>
      <c r="P943" s="18" t="s">
        <v>0</v>
      </c>
      <c r="Q943" s="6" t="s">
        <v>4475</v>
      </c>
      <c r="T943" s="23">
        <v>46106</v>
      </c>
      <c r="U943" s="23">
        <v>46470</v>
      </c>
      <c r="X943" s="20">
        <v>1200</v>
      </c>
      <c r="Z943" s="6" t="s">
        <v>5978</v>
      </c>
      <c r="AA943" s="14">
        <f t="shared" si="118"/>
        <v>5.9999999999999995E-4</v>
      </c>
      <c r="AB943">
        <v>0.55127399999999993</v>
      </c>
      <c r="AC943">
        <v>0.57332495999999999</v>
      </c>
    </row>
    <row r="944" spans="1:29" x14ac:dyDescent="0.3">
      <c r="A944">
        <v>150664</v>
      </c>
      <c r="B944" s="25" t="s">
        <v>5984</v>
      </c>
      <c r="C944" t="s">
        <v>20</v>
      </c>
      <c r="D944" t="s">
        <v>21</v>
      </c>
      <c r="E944">
        <v>2222222</v>
      </c>
      <c r="F944" s="8" t="s">
        <v>22</v>
      </c>
      <c r="G944" s="2">
        <v>98</v>
      </c>
      <c r="H944" t="s">
        <v>3949</v>
      </c>
      <c r="J944" s="9" t="s">
        <v>5098</v>
      </c>
      <c r="K944" t="s">
        <v>4932</v>
      </c>
      <c r="L944" s="2">
        <v>1</v>
      </c>
      <c r="M944" s="24" t="s">
        <v>5971</v>
      </c>
      <c r="N944" s="2" t="s">
        <v>23</v>
      </c>
      <c r="O944" s="18" t="s">
        <v>762</v>
      </c>
      <c r="P944" s="18" t="s">
        <v>3781</v>
      </c>
      <c r="Q944" s="6" t="s">
        <v>4475</v>
      </c>
      <c r="T944" s="23">
        <v>46107</v>
      </c>
      <c r="U944" s="23">
        <v>46351</v>
      </c>
      <c r="X944" s="20">
        <v>510</v>
      </c>
      <c r="Z944" s="6" t="s">
        <v>5978</v>
      </c>
      <c r="AA944" s="14">
        <f t="shared" si="118"/>
        <v>5.9999999999999995E-4</v>
      </c>
      <c r="AB944">
        <v>0.157272</v>
      </c>
      <c r="AC944">
        <v>0.16356287999999999</v>
      </c>
    </row>
    <row r="945" spans="1:29" x14ac:dyDescent="0.3">
      <c r="A945">
        <v>150687</v>
      </c>
      <c r="B945" s="25" t="s">
        <v>5984</v>
      </c>
      <c r="C945" t="s">
        <v>20</v>
      </c>
      <c r="D945" t="s">
        <v>21</v>
      </c>
      <c r="E945">
        <v>2222222</v>
      </c>
      <c r="F945" s="8" t="s">
        <v>22</v>
      </c>
      <c r="G945" s="2">
        <v>98</v>
      </c>
      <c r="H945" t="s">
        <v>3949</v>
      </c>
      <c r="J945" s="9" t="s">
        <v>5140</v>
      </c>
      <c r="K945" t="s">
        <v>5246</v>
      </c>
      <c r="L945" s="2">
        <v>1</v>
      </c>
      <c r="M945" s="24" t="s">
        <v>5971</v>
      </c>
      <c r="N945" s="2" t="s">
        <v>23</v>
      </c>
      <c r="O945" s="18" t="s">
        <v>785</v>
      </c>
      <c r="P945" s="18" t="s">
        <v>3781</v>
      </c>
      <c r="Q945" s="6" t="s">
        <v>4475</v>
      </c>
      <c r="T945" s="23">
        <v>46108</v>
      </c>
      <c r="U945" s="23">
        <v>46198</v>
      </c>
      <c r="X945" s="20">
        <v>230</v>
      </c>
      <c r="Z945" s="6" t="s">
        <v>5978</v>
      </c>
      <c r="AA945" s="14">
        <f t="shared" si="118"/>
        <v>5.9999999999999995E-4</v>
      </c>
      <c r="AB945">
        <v>8.8655999999999985E-2</v>
      </c>
      <c r="AC945">
        <v>9.2202239999999991E-2</v>
      </c>
    </row>
    <row r="946" spans="1:29" x14ac:dyDescent="0.3">
      <c r="A946">
        <v>150733</v>
      </c>
      <c r="B946" s="25" t="s">
        <v>5984</v>
      </c>
      <c r="C946" t="s">
        <v>20</v>
      </c>
      <c r="D946" t="s">
        <v>21</v>
      </c>
      <c r="E946">
        <v>2222222</v>
      </c>
      <c r="F946" s="8" t="s">
        <v>22</v>
      </c>
      <c r="G946" s="2">
        <v>98</v>
      </c>
      <c r="H946" t="s">
        <v>3949</v>
      </c>
      <c r="J946" s="9" t="s">
        <v>4891</v>
      </c>
      <c r="K946" t="s">
        <v>5338</v>
      </c>
      <c r="L946" s="2">
        <v>1</v>
      </c>
      <c r="M946" s="24" t="s">
        <v>5971</v>
      </c>
      <c r="N946" s="2" t="s">
        <v>23</v>
      </c>
      <c r="O946" s="18" t="s">
        <v>786</v>
      </c>
      <c r="P946" s="18" t="s">
        <v>3781</v>
      </c>
      <c r="Q946" s="6" t="s">
        <v>4475</v>
      </c>
      <c r="T946" s="23">
        <v>46113</v>
      </c>
      <c r="U946" s="23">
        <v>46844</v>
      </c>
      <c r="X946" s="20">
        <v>3000</v>
      </c>
      <c r="Z946" s="6" t="s">
        <v>5978</v>
      </c>
      <c r="AA946" s="14">
        <f t="shared" si="118"/>
        <v>5.9999999999999995E-4</v>
      </c>
      <c r="AB946">
        <v>1.6070039999999999</v>
      </c>
      <c r="AC946">
        <v>1.6712841599999999</v>
      </c>
    </row>
    <row r="947" spans="1:29" x14ac:dyDescent="0.3">
      <c r="A947">
        <v>150833</v>
      </c>
      <c r="B947" s="25" t="s">
        <v>5984</v>
      </c>
      <c r="C947" t="s">
        <v>20</v>
      </c>
      <c r="D947" t="s">
        <v>21</v>
      </c>
      <c r="E947">
        <v>2222222</v>
      </c>
      <c r="F947" s="8" t="s">
        <v>22</v>
      </c>
      <c r="G947" s="2">
        <v>98</v>
      </c>
      <c r="H947" t="s">
        <v>3949</v>
      </c>
      <c r="J947" s="9" t="s">
        <v>5329</v>
      </c>
      <c r="K947" t="s">
        <v>5339</v>
      </c>
      <c r="L947" s="2">
        <v>1</v>
      </c>
      <c r="M947" s="24" t="s">
        <v>5971</v>
      </c>
      <c r="N947" s="2" t="s">
        <v>23</v>
      </c>
      <c r="O947" s="18" t="s">
        <v>787</v>
      </c>
      <c r="P947" s="18" t="s">
        <v>3781</v>
      </c>
      <c r="Q947" s="6" t="s">
        <v>4475</v>
      </c>
      <c r="T947" s="23">
        <v>46120</v>
      </c>
      <c r="U947" s="23">
        <v>46334</v>
      </c>
      <c r="X947" s="20">
        <v>320</v>
      </c>
      <c r="Z947" s="6" t="s">
        <v>5978</v>
      </c>
      <c r="AA947" s="14">
        <f t="shared" si="118"/>
        <v>5.9999999999999995E-4</v>
      </c>
      <c r="AB947">
        <v>0.11216399999999999</v>
      </c>
      <c r="AC947">
        <v>0.11665055999999999</v>
      </c>
    </row>
    <row r="948" spans="1:29" x14ac:dyDescent="0.3">
      <c r="A948">
        <v>150904</v>
      </c>
      <c r="B948" s="25" t="s">
        <v>5984</v>
      </c>
      <c r="C948" t="s">
        <v>20</v>
      </c>
      <c r="D948" t="s">
        <v>21</v>
      </c>
      <c r="E948">
        <v>2222222</v>
      </c>
      <c r="F948" s="8" t="s">
        <v>22</v>
      </c>
      <c r="G948" s="2">
        <v>98</v>
      </c>
      <c r="H948" t="s">
        <v>3949</v>
      </c>
      <c r="J948" s="9" t="s">
        <v>5032</v>
      </c>
      <c r="K948" t="s">
        <v>5340</v>
      </c>
      <c r="L948" s="2">
        <v>1</v>
      </c>
      <c r="M948" s="24" t="s">
        <v>5971</v>
      </c>
      <c r="N948" s="2" t="s">
        <v>23</v>
      </c>
      <c r="O948" s="18" t="s">
        <v>788</v>
      </c>
      <c r="P948" s="18" t="s">
        <v>3781</v>
      </c>
      <c r="Q948" s="6" t="s">
        <v>4475</v>
      </c>
      <c r="T948" s="23">
        <v>46126</v>
      </c>
      <c r="U948" s="23">
        <v>46491</v>
      </c>
      <c r="X948" s="20">
        <v>2000</v>
      </c>
      <c r="Z948" s="6" t="s">
        <v>5978</v>
      </c>
      <c r="AA948" s="14">
        <f t="shared" si="118"/>
        <v>5.9999999999999995E-4</v>
      </c>
      <c r="AB948">
        <v>0.91883999999999999</v>
      </c>
      <c r="AC948">
        <v>0.95559360000000004</v>
      </c>
    </row>
    <row r="949" spans="1:29" x14ac:dyDescent="0.3">
      <c r="A949">
        <v>150973</v>
      </c>
      <c r="B949" s="25" t="s">
        <v>5984</v>
      </c>
      <c r="C949" t="s">
        <v>20</v>
      </c>
      <c r="D949" t="s">
        <v>21</v>
      </c>
      <c r="E949">
        <v>2222222</v>
      </c>
      <c r="F949" s="8" t="s">
        <v>22</v>
      </c>
      <c r="G949" s="2">
        <v>98</v>
      </c>
      <c r="H949" t="s">
        <v>3949</v>
      </c>
      <c r="J949" s="9" t="s">
        <v>4908</v>
      </c>
      <c r="K949" t="s">
        <v>4870</v>
      </c>
      <c r="L949" s="2">
        <v>1</v>
      </c>
      <c r="M949" s="24" t="s">
        <v>5971</v>
      </c>
      <c r="N949" s="2" t="s">
        <v>23</v>
      </c>
      <c r="O949" s="18" t="s">
        <v>789</v>
      </c>
      <c r="P949" s="18" t="s">
        <v>0</v>
      </c>
      <c r="Q949" s="6" t="s">
        <v>4475</v>
      </c>
      <c r="T949" s="23">
        <v>46131</v>
      </c>
      <c r="U949" s="23">
        <v>47227</v>
      </c>
      <c r="X949" s="20">
        <v>4000</v>
      </c>
      <c r="Z949" s="6" t="s">
        <v>5978</v>
      </c>
      <c r="AA949" s="14">
        <f t="shared" si="118"/>
        <v>5.9999999999999995E-4</v>
      </c>
      <c r="AB949">
        <v>2.2433699999999996</v>
      </c>
      <c r="AC949">
        <v>2.3331047999999996</v>
      </c>
    </row>
    <row r="950" spans="1:29" x14ac:dyDescent="0.3">
      <c r="A950">
        <v>150984</v>
      </c>
      <c r="B950" s="25" t="s">
        <v>5984</v>
      </c>
      <c r="C950" t="s">
        <v>20</v>
      </c>
      <c r="D950" t="s">
        <v>21</v>
      </c>
      <c r="E950">
        <v>2222222</v>
      </c>
      <c r="F950" s="8" t="s">
        <v>22</v>
      </c>
      <c r="G950" s="2">
        <v>98</v>
      </c>
      <c r="H950" t="s">
        <v>3949</v>
      </c>
      <c r="J950" s="9" t="s">
        <v>5096</v>
      </c>
      <c r="K950" t="s">
        <v>5208</v>
      </c>
      <c r="L950" s="2">
        <v>1</v>
      </c>
      <c r="M950" s="24" t="s">
        <v>5971</v>
      </c>
      <c r="N950" s="2" t="s">
        <v>23</v>
      </c>
      <c r="O950" s="18" t="s">
        <v>767</v>
      </c>
      <c r="P950" s="18" t="s">
        <v>3781</v>
      </c>
      <c r="Q950" s="6" t="s">
        <v>4475</v>
      </c>
      <c r="T950" s="23">
        <v>46131</v>
      </c>
      <c r="U950" s="23">
        <v>46679</v>
      </c>
      <c r="X950" s="20">
        <v>5000</v>
      </c>
      <c r="Z950" s="6" t="s">
        <v>5978</v>
      </c>
      <c r="AA950" s="14">
        <f t="shared" si="118"/>
        <v>5.9999999999999995E-4</v>
      </c>
      <c r="AB950">
        <v>2.5544759999999997</v>
      </c>
      <c r="AC950">
        <v>2.65665504</v>
      </c>
    </row>
    <row r="951" spans="1:29" x14ac:dyDescent="0.3">
      <c r="A951">
        <v>151029</v>
      </c>
      <c r="B951" s="25" t="s">
        <v>5984</v>
      </c>
      <c r="C951" t="s">
        <v>20</v>
      </c>
      <c r="D951" t="s">
        <v>21</v>
      </c>
      <c r="E951">
        <v>2222222</v>
      </c>
      <c r="F951" s="8" t="s">
        <v>22</v>
      </c>
      <c r="G951" s="2">
        <v>98</v>
      </c>
      <c r="H951" t="s">
        <v>3949</v>
      </c>
      <c r="J951" s="9" t="s">
        <v>5141</v>
      </c>
      <c r="K951" t="s">
        <v>5341</v>
      </c>
      <c r="L951" s="2">
        <v>1</v>
      </c>
      <c r="M951" s="24" t="s">
        <v>5971</v>
      </c>
      <c r="N951" s="2" t="s">
        <v>23</v>
      </c>
      <c r="O951" s="18" t="s">
        <v>790</v>
      </c>
      <c r="P951" s="18" t="s">
        <v>3781</v>
      </c>
      <c r="Q951" s="6" t="s">
        <v>4475</v>
      </c>
      <c r="T951" s="23">
        <v>46160</v>
      </c>
      <c r="U951" s="23">
        <v>53464</v>
      </c>
      <c r="X951" s="20">
        <v>180000</v>
      </c>
      <c r="Z951" s="6" t="s">
        <v>5978</v>
      </c>
      <c r="AA951" s="14">
        <f t="shared" si="118"/>
        <v>5.9999999999999995E-4</v>
      </c>
      <c r="AB951">
        <v>107.70115799999999</v>
      </c>
      <c r="AC951">
        <v>112.00920431999999</v>
      </c>
    </row>
    <row r="952" spans="1:29" x14ac:dyDescent="0.3">
      <c r="A952">
        <v>151118</v>
      </c>
      <c r="B952" s="25" t="s">
        <v>5984</v>
      </c>
      <c r="C952" t="s">
        <v>20</v>
      </c>
      <c r="D952" t="s">
        <v>21</v>
      </c>
      <c r="E952">
        <v>2222222</v>
      </c>
      <c r="F952" s="8" t="s">
        <v>22</v>
      </c>
      <c r="G952" s="2">
        <v>98</v>
      </c>
      <c r="H952" t="s">
        <v>3949</v>
      </c>
      <c r="J952" s="9" t="s">
        <v>5342</v>
      </c>
      <c r="K952" t="s">
        <v>5208</v>
      </c>
      <c r="L952" s="2">
        <v>1</v>
      </c>
      <c r="M952" s="24" t="s">
        <v>5971</v>
      </c>
      <c r="N952" s="2" t="s">
        <v>23</v>
      </c>
      <c r="O952" s="18" t="s">
        <v>791</v>
      </c>
      <c r="P952" s="18" t="s">
        <v>3781</v>
      </c>
      <c r="Q952" s="6" t="s">
        <v>4475</v>
      </c>
      <c r="T952" s="23">
        <v>46140</v>
      </c>
      <c r="U952" s="23">
        <v>46688</v>
      </c>
      <c r="X952" s="20">
        <v>1500</v>
      </c>
      <c r="Z952" s="6" t="s">
        <v>5978</v>
      </c>
      <c r="AA952" s="14">
        <f t="shared" si="118"/>
        <v>5.9999999999999995E-4</v>
      </c>
      <c r="AB952">
        <v>0.76547999999999994</v>
      </c>
      <c r="AC952">
        <v>0.79609920000000001</v>
      </c>
    </row>
    <row r="953" spans="1:29" x14ac:dyDescent="0.3">
      <c r="A953">
        <v>151150</v>
      </c>
      <c r="B953" s="25" t="s">
        <v>5984</v>
      </c>
      <c r="C953" t="s">
        <v>20</v>
      </c>
      <c r="D953" t="s">
        <v>21</v>
      </c>
      <c r="E953">
        <v>2222222</v>
      </c>
      <c r="F953" s="8" t="s">
        <v>22</v>
      </c>
      <c r="G953" s="2">
        <v>98</v>
      </c>
      <c r="H953" t="s">
        <v>3949</v>
      </c>
      <c r="J953" s="9" t="s">
        <v>4988</v>
      </c>
      <c r="K953" t="s">
        <v>5089</v>
      </c>
      <c r="L953" s="2">
        <v>1</v>
      </c>
      <c r="M953" s="24" t="s">
        <v>5971</v>
      </c>
      <c r="N953" s="2" t="s">
        <v>23</v>
      </c>
      <c r="O953" s="18" t="s">
        <v>792</v>
      </c>
      <c r="P953" s="18" t="s">
        <v>0</v>
      </c>
      <c r="Q953" s="6" t="s">
        <v>4475</v>
      </c>
      <c r="T953" s="23">
        <v>46141</v>
      </c>
      <c r="U953" s="23">
        <v>46231</v>
      </c>
      <c r="X953" s="20">
        <v>3990</v>
      </c>
      <c r="Z953" s="6" t="s">
        <v>5978</v>
      </c>
      <c r="AA953" s="14">
        <f t="shared" si="118"/>
        <v>5.9999999999999995E-4</v>
      </c>
      <c r="AB953">
        <v>2.3939999999999997</v>
      </c>
      <c r="AC953">
        <v>2.48976</v>
      </c>
    </row>
    <row r="954" spans="1:29" x14ac:dyDescent="0.3">
      <c r="A954">
        <v>151180</v>
      </c>
      <c r="B954" s="25" t="s">
        <v>5984</v>
      </c>
      <c r="C954" t="s">
        <v>20</v>
      </c>
      <c r="D954" t="s">
        <v>21</v>
      </c>
      <c r="E954">
        <v>2222222</v>
      </c>
      <c r="F954" s="8" t="s">
        <v>22</v>
      </c>
      <c r="G954" s="2">
        <v>98</v>
      </c>
      <c r="H954" t="s">
        <v>3949</v>
      </c>
      <c r="J954" s="9" t="s">
        <v>5343</v>
      </c>
      <c r="K954" t="s">
        <v>5196</v>
      </c>
      <c r="L954" s="2">
        <v>1</v>
      </c>
      <c r="M954" s="24" t="s">
        <v>5971</v>
      </c>
      <c r="N954" s="2" t="s">
        <v>23</v>
      </c>
      <c r="O954" s="18" t="s">
        <v>793</v>
      </c>
      <c r="P954" s="18" t="s">
        <v>3781</v>
      </c>
      <c r="Q954" s="6" t="s">
        <v>4475</v>
      </c>
      <c r="T954" s="23">
        <v>46144</v>
      </c>
      <c r="U954" s="23">
        <v>46236</v>
      </c>
      <c r="X954" s="20">
        <v>5000</v>
      </c>
      <c r="Z954" s="6" t="s">
        <v>5978</v>
      </c>
      <c r="AA954" s="14">
        <f t="shared" si="118"/>
        <v>5.9999999999999995E-4</v>
      </c>
      <c r="AB954">
        <v>2.9999999999999996</v>
      </c>
      <c r="AC954">
        <v>3.1199999999999997</v>
      </c>
    </row>
    <row r="955" spans="1:29" x14ac:dyDescent="0.3">
      <c r="A955">
        <v>151309</v>
      </c>
      <c r="B955" s="25" t="s">
        <v>5984</v>
      </c>
      <c r="C955" t="s">
        <v>20</v>
      </c>
      <c r="D955" t="s">
        <v>21</v>
      </c>
      <c r="E955">
        <v>2222222</v>
      </c>
      <c r="F955" s="8" t="s">
        <v>22</v>
      </c>
      <c r="G955" s="2">
        <v>98</v>
      </c>
      <c r="H955" t="s">
        <v>3949</v>
      </c>
      <c r="J955" s="9" t="s">
        <v>5165</v>
      </c>
      <c r="K955" t="s">
        <v>4932</v>
      </c>
      <c r="L955" s="2">
        <v>1</v>
      </c>
      <c r="M955" s="24" t="s">
        <v>5971</v>
      </c>
      <c r="N955" s="2" t="s">
        <v>23</v>
      </c>
      <c r="O955" s="18" t="s">
        <v>794</v>
      </c>
      <c r="P955" s="18" t="s">
        <v>3781</v>
      </c>
      <c r="Q955" s="6" t="s">
        <v>4475</v>
      </c>
      <c r="T955" s="23">
        <v>46155</v>
      </c>
      <c r="U955" s="23">
        <v>46245</v>
      </c>
      <c r="X955" s="20">
        <v>1000</v>
      </c>
      <c r="Z955" s="6" t="s">
        <v>5978</v>
      </c>
      <c r="AA955" s="14">
        <f t="shared" si="118"/>
        <v>5.9999999999999995E-4</v>
      </c>
      <c r="AB955">
        <v>0.6</v>
      </c>
      <c r="AC955">
        <v>0.624</v>
      </c>
    </row>
    <row r="956" spans="1:29" x14ac:dyDescent="0.3">
      <c r="A956">
        <v>151370</v>
      </c>
      <c r="B956" s="25" t="s">
        <v>5984</v>
      </c>
      <c r="C956" t="s">
        <v>20</v>
      </c>
      <c r="D956" t="s">
        <v>21</v>
      </c>
      <c r="E956">
        <v>2222222</v>
      </c>
      <c r="F956" s="8" t="s">
        <v>22</v>
      </c>
      <c r="G956" s="2">
        <v>98</v>
      </c>
      <c r="H956" t="s">
        <v>3949</v>
      </c>
      <c r="J956" s="9" t="s">
        <v>5168</v>
      </c>
      <c r="K956" t="s">
        <v>4966</v>
      </c>
      <c r="L956" s="2">
        <v>1</v>
      </c>
      <c r="M956" s="24" t="s">
        <v>5971</v>
      </c>
      <c r="N956" s="2" t="s">
        <v>23</v>
      </c>
      <c r="O956" s="18" t="s">
        <v>721</v>
      </c>
      <c r="P956" s="18" t="s">
        <v>0</v>
      </c>
      <c r="Q956" s="6" t="s">
        <v>4475</v>
      </c>
      <c r="T956" s="23">
        <v>46160</v>
      </c>
      <c r="U956" s="23">
        <v>46250</v>
      </c>
      <c r="X956" s="20">
        <v>200</v>
      </c>
      <c r="Z956" s="6" t="s">
        <v>5978</v>
      </c>
      <c r="AA956" s="14">
        <f t="shared" si="118"/>
        <v>5.9999999999999995E-4</v>
      </c>
      <c r="AB956">
        <v>0.12</v>
      </c>
      <c r="AC956">
        <v>0.12479999999999999</v>
      </c>
    </row>
    <row r="957" spans="1:29" x14ac:dyDescent="0.3">
      <c r="A957">
        <v>151394</v>
      </c>
      <c r="B957" s="25" t="s">
        <v>5984</v>
      </c>
      <c r="C957" t="s">
        <v>20</v>
      </c>
      <c r="D957" t="s">
        <v>21</v>
      </c>
      <c r="E957">
        <v>2222222</v>
      </c>
      <c r="F957" s="8" t="s">
        <v>22</v>
      </c>
      <c r="G957" s="2">
        <v>98</v>
      </c>
      <c r="H957" t="s">
        <v>3949</v>
      </c>
      <c r="J957" s="9" t="s">
        <v>4898</v>
      </c>
      <c r="K957" t="s">
        <v>4872</v>
      </c>
      <c r="L957" s="2">
        <v>1</v>
      </c>
      <c r="M957" s="24" t="s">
        <v>5971</v>
      </c>
      <c r="N957" s="2" t="s">
        <v>23</v>
      </c>
      <c r="O957" s="18" t="s">
        <v>768</v>
      </c>
      <c r="P957" s="18" t="s">
        <v>3781</v>
      </c>
      <c r="Q957" s="6" t="s">
        <v>4475</v>
      </c>
      <c r="T957" s="23">
        <v>46161</v>
      </c>
      <c r="U957" s="23">
        <v>47621</v>
      </c>
      <c r="X957" s="20">
        <v>3600</v>
      </c>
      <c r="Z957" s="6" t="s">
        <v>5978</v>
      </c>
      <c r="AA957" s="14">
        <f t="shared" si="118"/>
        <v>5.9999999999999995E-4</v>
      </c>
      <c r="AB957">
        <v>2.0968679999999997</v>
      </c>
      <c r="AC957">
        <v>2.1807427199999996</v>
      </c>
    </row>
    <row r="958" spans="1:29" x14ac:dyDescent="0.3">
      <c r="A958">
        <v>151407</v>
      </c>
      <c r="B958" s="25" t="s">
        <v>5984</v>
      </c>
      <c r="C958" t="s">
        <v>20</v>
      </c>
      <c r="D958" t="s">
        <v>21</v>
      </c>
      <c r="E958">
        <v>2222222</v>
      </c>
      <c r="F958" s="8" t="s">
        <v>22</v>
      </c>
      <c r="G958" s="2">
        <v>98</v>
      </c>
      <c r="H958" t="s">
        <v>3949</v>
      </c>
      <c r="J958" s="9" t="s">
        <v>5049</v>
      </c>
      <c r="K958" t="s">
        <v>4876</v>
      </c>
      <c r="L958" s="2">
        <v>1</v>
      </c>
      <c r="M958" s="24" t="s">
        <v>5971</v>
      </c>
      <c r="N958" s="2" t="s">
        <v>23</v>
      </c>
      <c r="O958" s="18" t="s">
        <v>795</v>
      </c>
      <c r="P958" s="18" t="s">
        <v>0</v>
      </c>
      <c r="Q958" s="6" t="s">
        <v>4475</v>
      </c>
      <c r="T958" s="23">
        <v>46163</v>
      </c>
      <c r="U958" s="23">
        <v>46528</v>
      </c>
      <c r="X958" s="20">
        <v>1000</v>
      </c>
      <c r="Z958" s="6" t="s">
        <v>5978</v>
      </c>
      <c r="AA958" s="14">
        <f t="shared" si="118"/>
        <v>5.9999999999999995E-4</v>
      </c>
      <c r="AB958">
        <v>0.50675999999999999</v>
      </c>
      <c r="AC958">
        <v>0.52703040000000001</v>
      </c>
    </row>
    <row r="959" spans="1:29" x14ac:dyDescent="0.3">
      <c r="A959">
        <v>151411</v>
      </c>
      <c r="B959" s="25" t="s">
        <v>5984</v>
      </c>
      <c r="C959" t="s">
        <v>20</v>
      </c>
      <c r="D959" t="s">
        <v>21</v>
      </c>
      <c r="E959">
        <v>2222222</v>
      </c>
      <c r="F959" s="8" t="s">
        <v>22</v>
      </c>
      <c r="G959" s="2">
        <v>98</v>
      </c>
      <c r="H959" t="s">
        <v>3949</v>
      </c>
      <c r="J959" s="9" t="s">
        <v>4900</v>
      </c>
      <c r="K959" t="s">
        <v>4901</v>
      </c>
      <c r="L959" s="2">
        <v>1</v>
      </c>
      <c r="M959" s="24" t="s">
        <v>5971</v>
      </c>
      <c r="N959" s="2" t="s">
        <v>23</v>
      </c>
      <c r="O959" s="18" t="s">
        <v>796</v>
      </c>
      <c r="P959" s="18" t="s">
        <v>0</v>
      </c>
      <c r="Q959" s="6" t="s">
        <v>4475</v>
      </c>
      <c r="T959" s="23">
        <v>46162</v>
      </c>
      <c r="U959" s="23">
        <v>46527</v>
      </c>
      <c r="X959" s="20">
        <v>590</v>
      </c>
      <c r="Z959" s="6" t="s">
        <v>5978</v>
      </c>
      <c r="AA959" s="14">
        <f t="shared" si="118"/>
        <v>5.9999999999999995E-4</v>
      </c>
      <c r="AB959">
        <v>0.29898599999999997</v>
      </c>
      <c r="AC959">
        <v>0.31094543999999996</v>
      </c>
    </row>
    <row r="960" spans="1:29" x14ac:dyDescent="0.3">
      <c r="A960">
        <v>151463</v>
      </c>
      <c r="B960" s="25" t="s">
        <v>5984</v>
      </c>
      <c r="C960" t="s">
        <v>20</v>
      </c>
      <c r="D960" t="s">
        <v>21</v>
      </c>
      <c r="E960">
        <v>2222222</v>
      </c>
      <c r="F960" s="8" t="s">
        <v>22</v>
      </c>
      <c r="G960" s="2">
        <v>98</v>
      </c>
      <c r="H960" t="s">
        <v>3949</v>
      </c>
      <c r="J960" s="9" t="s">
        <v>5327</v>
      </c>
      <c r="K960" t="s">
        <v>4815</v>
      </c>
      <c r="L960" s="2">
        <v>1</v>
      </c>
      <c r="M960" s="24" t="s">
        <v>5971</v>
      </c>
      <c r="N960" s="2" t="s">
        <v>23</v>
      </c>
      <c r="O960" s="18" t="s">
        <v>742</v>
      </c>
      <c r="P960" s="18" t="s">
        <v>0</v>
      </c>
      <c r="Q960" s="6" t="s">
        <v>4475</v>
      </c>
      <c r="T960" s="23">
        <v>46166</v>
      </c>
      <c r="U960" s="23">
        <v>46256</v>
      </c>
      <c r="X960" s="20">
        <v>770</v>
      </c>
      <c r="Z960" s="6" t="s">
        <v>5978</v>
      </c>
      <c r="AA960" s="14">
        <f t="shared" si="118"/>
        <v>5.9999999999999995E-4</v>
      </c>
      <c r="AB960">
        <v>0.46199999999999997</v>
      </c>
      <c r="AC960">
        <v>0.48047999999999996</v>
      </c>
    </row>
    <row r="961" spans="1:29" x14ac:dyDescent="0.3">
      <c r="A961">
        <v>151550</v>
      </c>
      <c r="B961" s="25" t="s">
        <v>5984</v>
      </c>
      <c r="C961" t="s">
        <v>20</v>
      </c>
      <c r="D961" t="s">
        <v>21</v>
      </c>
      <c r="E961">
        <v>2222222</v>
      </c>
      <c r="F961" s="8" t="s">
        <v>22</v>
      </c>
      <c r="G961" s="2">
        <v>98</v>
      </c>
      <c r="H961" t="s">
        <v>3949</v>
      </c>
      <c r="J961" s="9" t="s">
        <v>4836</v>
      </c>
      <c r="K961" t="s">
        <v>5196</v>
      </c>
      <c r="L961" s="2">
        <v>1</v>
      </c>
      <c r="M961" s="24" t="s">
        <v>5971</v>
      </c>
      <c r="N961" s="2" t="s">
        <v>23</v>
      </c>
      <c r="O961" s="18" t="s">
        <v>797</v>
      </c>
      <c r="P961" s="18" t="s">
        <v>3781</v>
      </c>
      <c r="Q961" s="6" t="s">
        <v>4475</v>
      </c>
      <c r="T961" s="23">
        <v>46171</v>
      </c>
      <c r="U961" s="23">
        <v>46261</v>
      </c>
      <c r="X961" s="20">
        <v>600</v>
      </c>
      <c r="Z961" s="6" t="s">
        <v>5978</v>
      </c>
      <c r="AA961" s="14">
        <f t="shared" si="118"/>
        <v>5.9999999999999995E-4</v>
      </c>
      <c r="AB961">
        <v>0.36</v>
      </c>
      <c r="AC961">
        <v>0.37440000000000001</v>
      </c>
    </row>
    <row r="962" spans="1:29" x14ac:dyDescent="0.3">
      <c r="A962">
        <v>151556</v>
      </c>
      <c r="B962" s="25" t="s">
        <v>5984</v>
      </c>
      <c r="C962" t="s">
        <v>20</v>
      </c>
      <c r="D962" t="s">
        <v>21</v>
      </c>
      <c r="E962">
        <v>2222222</v>
      </c>
      <c r="F962" s="8" t="s">
        <v>22</v>
      </c>
      <c r="G962" s="2">
        <v>98</v>
      </c>
      <c r="H962" t="s">
        <v>3949</v>
      </c>
      <c r="J962" s="9" t="s">
        <v>5083</v>
      </c>
      <c r="K962" t="s">
        <v>4999</v>
      </c>
      <c r="L962" s="2">
        <v>1</v>
      </c>
      <c r="M962" s="24" t="s">
        <v>5971</v>
      </c>
      <c r="N962" s="2" t="s">
        <v>23</v>
      </c>
      <c r="O962" s="18" t="s">
        <v>798</v>
      </c>
      <c r="P962" s="18" t="s">
        <v>3781</v>
      </c>
      <c r="Q962" s="6" t="s">
        <v>4475</v>
      </c>
      <c r="T962" s="23">
        <v>46196</v>
      </c>
      <c r="U962" s="23">
        <v>51675</v>
      </c>
      <c r="X962" s="20">
        <v>139000</v>
      </c>
      <c r="Z962" s="6" t="s">
        <v>5978</v>
      </c>
      <c r="AA962" s="14">
        <f t="shared" si="118"/>
        <v>5.9999999999999995E-4</v>
      </c>
      <c r="AB962">
        <v>83.184533999999999</v>
      </c>
      <c r="AC962">
        <v>86.511915360000003</v>
      </c>
    </row>
    <row r="963" spans="1:29" x14ac:dyDescent="0.3">
      <c r="A963">
        <v>151574</v>
      </c>
      <c r="B963" s="25" t="s">
        <v>5984</v>
      </c>
      <c r="C963" t="s">
        <v>20</v>
      </c>
      <c r="D963" t="s">
        <v>21</v>
      </c>
      <c r="E963">
        <v>2222222</v>
      </c>
      <c r="F963" s="8" t="s">
        <v>22</v>
      </c>
      <c r="G963" s="2">
        <v>98</v>
      </c>
      <c r="H963" t="s">
        <v>3949</v>
      </c>
      <c r="J963" s="9" t="s">
        <v>5053</v>
      </c>
      <c r="K963" t="s">
        <v>4966</v>
      </c>
      <c r="L963" s="2">
        <v>1</v>
      </c>
      <c r="M963" s="24" t="s">
        <v>5971</v>
      </c>
      <c r="N963" s="2" t="s">
        <v>23</v>
      </c>
      <c r="O963" s="18" t="s">
        <v>751</v>
      </c>
      <c r="P963" s="18" t="s">
        <v>0</v>
      </c>
      <c r="Q963" s="6" t="s">
        <v>4475</v>
      </c>
      <c r="T963" s="23">
        <v>46174</v>
      </c>
      <c r="U963" s="23">
        <v>46264</v>
      </c>
      <c r="X963" s="20">
        <v>300</v>
      </c>
      <c r="Z963" s="6" t="s">
        <v>5978</v>
      </c>
      <c r="AA963" s="14">
        <f t="shared" si="118"/>
        <v>5.9999999999999995E-4</v>
      </c>
      <c r="AB963">
        <v>0.18</v>
      </c>
      <c r="AC963">
        <v>0.18720000000000001</v>
      </c>
    </row>
    <row r="964" spans="1:29" x14ac:dyDescent="0.3">
      <c r="A964">
        <v>151600</v>
      </c>
      <c r="B964" s="25" t="s">
        <v>5984</v>
      </c>
      <c r="C964" t="s">
        <v>20</v>
      </c>
      <c r="D964" t="s">
        <v>21</v>
      </c>
      <c r="E964">
        <v>2222222</v>
      </c>
      <c r="F964" s="8" t="s">
        <v>22</v>
      </c>
      <c r="G964" s="2">
        <v>98</v>
      </c>
      <c r="H964" t="s">
        <v>3949</v>
      </c>
      <c r="J964" s="9" t="s">
        <v>5120</v>
      </c>
      <c r="K964" t="s">
        <v>4853</v>
      </c>
      <c r="L964" s="2">
        <v>1</v>
      </c>
      <c r="M964" s="24" t="s">
        <v>5971</v>
      </c>
      <c r="N964" s="2" t="s">
        <v>23</v>
      </c>
      <c r="O964" s="18" t="s">
        <v>799</v>
      </c>
      <c r="P964" s="18" t="s">
        <v>0</v>
      </c>
      <c r="Q964" s="6" t="s">
        <v>4475</v>
      </c>
      <c r="T964" s="23">
        <v>46175</v>
      </c>
      <c r="U964" s="23">
        <v>46540</v>
      </c>
      <c r="X964" s="20">
        <v>800</v>
      </c>
      <c r="Z964" s="6" t="s">
        <v>5978</v>
      </c>
      <c r="AA964" s="14">
        <f t="shared" si="118"/>
        <v>5.9999999999999995E-4</v>
      </c>
      <c r="AB964">
        <v>0.44296799999999992</v>
      </c>
      <c r="AC964">
        <v>0.46068671999999994</v>
      </c>
    </row>
    <row r="965" spans="1:29" x14ac:dyDescent="0.3">
      <c r="A965">
        <v>151651</v>
      </c>
      <c r="B965" s="25" t="s">
        <v>5984</v>
      </c>
      <c r="C965" t="s">
        <v>20</v>
      </c>
      <c r="D965" t="s">
        <v>21</v>
      </c>
      <c r="E965">
        <v>2222222</v>
      </c>
      <c r="F965" s="8" t="s">
        <v>22</v>
      </c>
      <c r="G965" s="2">
        <v>98</v>
      </c>
      <c r="H965" t="s">
        <v>3949</v>
      </c>
      <c r="J965" s="9" t="s">
        <v>4951</v>
      </c>
      <c r="K965" t="s">
        <v>5197</v>
      </c>
      <c r="L965" s="2">
        <v>1</v>
      </c>
      <c r="M965" s="24" t="s">
        <v>5971</v>
      </c>
      <c r="N965" s="2" t="s">
        <v>23</v>
      </c>
      <c r="O965" s="18" t="s">
        <v>800</v>
      </c>
      <c r="P965" s="18" t="s">
        <v>0</v>
      </c>
      <c r="Q965" s="6" t="s">
        <v>4475</v>
      </c>
      <c r="T965" s="23">
        <v>46177</v>
      </c>
      <c r="U965" s="23">
        <v>46299</v>
      </c>
      <c r="X965" s="20">
        <v>400</v>
      </c>
      <c r="Z965" s="6" t="s">
        <v>5978</v>
      </c>
      <c r="AA965" s="14">
        <f t="shared" si="118"/>
        <v>5.9999999999999995E-4</v>
      </c>
      <c r="AB965">
        <v>0.18123</v>
      </c>
      <c r="AC965">
        <v>0.18847920000000001</v>
      </c>
    </row>
    <row r="966" spans="1:29" x14ac:dyDescent="0.3">
      <c r="A966">
        <v>151679</v>
      </c>
      <c r="B966" s="25" t="s">
        <v>5984</v>
      </c>
      <c r="C966" t="s">
        <v>20</v>
      </c>
      <c r="D966" t="s">
        <v>21</v>
      </c>
      <c r="E966">
        <v>2222222</v>
      </c>
      <c r="F966" s="8" t="s">
        <v>22</v>
      </c>
      <c r="G966" s="2">
        <v>98</v>
      </c>
      <c r="H966" t="s">
        <v>3949</v>
      </c>
      <c r="J966" s="9" t="s">
        <v>4969</v>
      </c>
      <c r="K966" t="s">
        <v>5344</v>
      </c>
      <c r="L966" s="2">
        <v>1</v>
      </c>
      <c r="M966" s="24" t="s">
        <v>5971</v>
      </c>
      <c r="N966" s="2" t="s">
        <v>23</v>
      </c>
      <c r="O966" s="18" t="s">
        <v>801</v>
      </c>
      <c r="P966" s="18" t="s">
        <v>3781</v>
      </c>
      <c r="Q966" s="6" t="s">
        <v>4475</v>
      </c>
      <c r="T966" s="23">
        <v>46181</v>
      </c>
      <c r="U966" s="23">
        <v>47095</v>
      </c>
      <c r="X966" s="20">
        <v>1500</v>
      </c>
      <c r="Z966" s="6" t="s">
        <v>5978</v>
      </c>
      <c r="AA966" s="14">
        <f t="shared" si="118"/>
        <v>5.9999999999999995E-4</v>
      </c>
      <c r="AB966">
        <v>0.87560999999999989</v>
      </c>
      <c r="AC966">
        <v>0.91063439999999995</v>
      </c>
    </row>
    <row r="967" spans="1:29" x14ac:dyDescent="0.3">
      <c r="A967">
        <v>151697</v>
      </c>
      <c r="B967" s="25" t="s">
        <v>5984</v>
      </c>
      <c r="C967" t="s">
        <v>20</v>
      </c>
      <c r="D967" t="s">
        <v>21</v>
      </c>
      <c r="E967">
        <v>2222222</v>
      </c>
      <c r="F967" s="8" t="s">
        <v>22</v>
      </c>
      <c r="G967" s="2">
        <v>98</v>
      </c>
      <c r="H967" t="s">
        <v>3949</v>
      </c>
      <c r="J967" s="9" t="s">
        <v>5334</v>
      </c>
      <c r="K967" t="s">
        <v>4965</v>
      </c>
      <c r="L967" s="2">
        <v>1</v>
      </c>
      <c r="M967" s="24" t="s">
        <v>5971</v>
      </c>
      <c r="N967" s="2" t="s">
        <v>23</v>
      </c>
      <c r="O967" s="18" t="s">
        <v>774</v>
      </c>
      <c r="P967" s="18" t="s">
        <v>0</v>
      </c>
      <c r="Q967" s="6" t="s">
        <v>4475</v>
      </c>
      <c r="T967" s="23">
        <v>46182</v>
      </c>
      <c r="U967" s="23">
        <v>47278</v>
      </c>
      <c r="X967" s="20">
        <v>3145</v>
      </c>
      <c r="Z967" s="6" t="s">
        <v>5978</v>
      </c>
      <c r="AA967" s="14">
        <f t="shared" si="118"/>
        <v>5.9999999999999995E-4</v>
      </c>
      <c r="AB967">
        <v>1.84623</v>
      </c>
      <c r="AC967">
        <v>1.9200792000000002</v>
      </c>
    </row>
    <row r="968" spans="1:29" x14ac:dyDescent="0.3">
      <c r="A968">
        <v>151729</v>
      </c>
      <c r="B968" s="25" t="s">
        <v>5984</v>
      </c>
      <c r="C968" t="s">
        <v>20</v>
      </c>
      <c r="D968" t="s">
        <v>21</v>
      </c>
      <c r="E968">
        <v>2222222</v>
      </c>
      <c r="F968" s="8" t="s">
        <v>22</v>
      </c>
      <c r="G968" s="2">
        <v>98</v>
      </c>
      <c r="H968" t="s">
        <v>3949</v>
      </c>
      <c r="J968" s="9" t="s">
        <v>4999</v>
      </c>
      <c r="K968" t="s">
        <v>4924</v>
      </c>
      <c r="L968" s="2">
        <v>1</v>
      </c>
      <c r="M968" s="24" t="s">
        <v>5971</v>
      </c>
      <c r="N968" s="2" t="s">
        <v>23</v>
      </c>
      <c r="O968" s="18" t="s">
        <v>802</v>
      </c>
      <c r="P968" s="18" t="s">
        <v>3781</v>
      </c>
      <c r="Q968" s="6" t="s">
        <v>4475</v>
      </c>
      <c r="T968" s="23">
        <v>46183</v>
      </c>
      <c r="U968" s="23">
        <v>46273</v>
      </c>
      <c r="X968" s="20">
        <v>2930</v>
      </c>
      <c r="Z968" s="6" t="s">
        <v>5978</v>
      </c>
      <c r="AA968" s="14">
        <f t="shared" si="118"/>
        <v>5.9999999999999995E-4</v>
      </c>
      <c r="AB968">
        <v>1.7579999999999998</v>
      </c>
      <c r="AC968">
        <v>1.8283199999999999</v>
      </c>
    </row>
    <row r="969" spans="1:29" x14ac:dyDescent="0.3">
      <c r="A969">
        <v>151739</v>
      </c>
      <c r="B969" s="25" t="s">
        <v>5984</v>
      </c>
      <c r="C969" t="s">
        <v>20</v>
      </c>
      <c r="D969" t="s">
        <v>21</v>
      </c>
      <c r="E969">
        <v>2222222</v>
      </c>
      <c r="F969" s="8" t="s">
        <v>22</v>
      </c>
      <c r="G969" s="2">
        <v>98</v>
      </c>
      <c r="H969" t="s">
        <v>3949</v>
      </c>
      <c r="J969" s="9" t="s">
        <v>5313</v>
      </c>
      <c r="K969" t="s">
        <v>4872</v>
      </c>
      <c r="L969" s="2">
        <v>1</v>
      </c>
      <c r="M969" s="24" t="s">
        <v>5971</v>
      </c>
      <c r="N969" s="2" t="s">
        <v>23</v>
      </c>
      <c r="O969" s="18" t="s">
        <v>282</v>
      </c>
      <c r="P969" s="18" t="s">
        <v>3781</v>
      </c>
      <c r="Q969" s="6" t="s">
        <v>4475</v>
      </c>
      <c r="T969" s="23">
        <v>46184</v>
      </c>
      <c r="U969" s="23">
        <v>46274</v>
      </c>
      <c r="X969" s="20">
        <v>570</v>
      </c>
      <c r="Z969" s="6" t="s">
        <v>5978</v>
      </c>
      <c r="AA969" s="14">
        <f t="shared" si="118"/>
        <v>5.9999999999999995E-4</v>
      </c>
      <c r="AB969">
        <v>0.34199999999999997</v>
      </c>
      <c r="AC969">
        <v>0.35568</v>
      </c>
    </row>
    <row r="970" spans="1:29" x14ac:dyDescent="0.3">
      <c r="A970">
        <v>151763</v>
      </c>
      <c r="B970" s="25" t="s">
        <v>5984</v>
      </c>
      <c r="C970" t="s">
        <v>20</v>
      </c>
      <c r="D970" t="s">
        <v>21</v>
      </c>
      <c r="E970">
        <v>2222222</v>
      </c>
      <c r="F970" s="8" t="s">
        <v>22</v>
      </c>
      <c r="G970" s="2">
        <v>98</v>
      </c>
      <c r="H970" t="s">
        <v>3949</v>
      </c>
      <c r="J970" s="9" t="s">
        <v>4917</v>
      </c>
      <c r="K970" t="s">
        <v>5033</v>
      </c>
      <c r="L970" s="2">
        <v>1</v>
      </c>
      <c r="M970" s="24" t="s">
        <v>5971</v>
      </c>
      <c r="N970" s="2" t="s">
        <v>23</v>
      </c>
      <c r="O970" s="18" t="s">
        <v>803</v>
      </c>
      <c r="P970" s="18" t="s">
        <v>3781</v>
      </c>
      <c r="Q970" s="6" t="s">
        <v>4475</v>
      </c>
      <c r="T970" s="23">
        <v>46185</v>
      </c>
      <c r="U970" s="23">
        <v>46246</v>
      </c>
      <c r="X970" s="20">
        <v>200</v>
      </c>
      <c r="Z970" s="6" t="s">
        <v>5978</v>
      </c>
      <c r="AA970" s="14">
        <f t="shared" si="118"/>
        <v>5.9999999999999995E-4</v>
      </c>
      <c r="AB970">
        <v>6.0401999999999997E-2</v>
      </c>
      <c r="AC970">
        <v>6.2818079999999998E-2</v>
      </c>
    </row>
    <row r="971" spans="1:29" x14ac:dyDescent="0.3">
      <c r="A971">
        <v>151778</v>
      </c>
      <c r="B971" s="25" t="s">
        <v>5984</v>
      </c>
      <c r="C971" t="s">
        <v>20</v>
      </c>
      <c r="D971" t="s">
        <v>21</v>
      </c>
      <c r="E971">
        <v>2222222</v>
      </c>
      <c r="F971" s="8" t="s">
        <v>22</v>
      </c>
      <c r="G971" s="2">
        <v>98</v>
      </c>
      <c r="H971" t="s">
        <v>3949</v>
      </c>
      <c r="J971" s="9" t="s">
        <v>5045</v>
      </c>
      <c r="K971" t="s">
        <v>4972</v>
      </c>
      <c r="L971" s="2">
        <v>1</v>
      </c>
      <c r="M971" s="24" t="s">
        <v>5971</v>
      </c>
      <c r="N971" s="2" t="s">
        <v>23</v>
      </c>
      <c r="O971" s="18" t="s">
        <v>804</v>
      </c>
      <c r="P971" s="18" t="s">
        <v>3781</v>
      </c>
      <c r="Q971" s="6" t="s">
        <v>4475</v>
      </c>
      <c r="T971" s="23">
        <v>46187</v>
      </c>
      <c r="U971" s="23">
        <v>46284</v>
      </c>
      <c r="X971" s="20">
        <v>800</v>
      </c>
      <c r="Z971" s="6" t="s">
        <v>5978</v>
      </c>
      <c r="AA971" s="14">
        <f t="shared" si="118"/>
        <v>5.9999999999999995E-4</v>
      </c>
      <c r="AB971">
        <v>0.32218199999999997</v>
      </c>
      <c r="AC971">
        <v>0.33506927999999997</v>
      </c>
    </row>
    <row r="972" spans="1:29" x14ac:dyDescent="0.3">
      <c r="A972">
        <v>151791</v>
      </c>
      <c r="B972" s="25" t="s">
        <v>5984</v>
      </c>
      <c r="C972" t="s">
        <v>20</v>
      </c>
      <c r="D972" t="s">
        <v>21</v>
      </c>
      <c r="E972">
        <v>2222222</v>
      </c>
      <c r="F972" s="8" t="s">
        <v>22</v>
      </c>
      <c r="G972" s="2">
        <v>98</v>
      </c>
      <c r="H972" t="s">
        <v>3949</v>
      </c>
      <c r="J972" s="9" t="s">
        <v>5096</v>
      </c>
      <c r="K972" t="s">
        <v>5266</v>
      </c>
      <c r="L972" s="2">
        <v>1</v>
      </c>
      <c r="M972" s="24" t="s">
        <v>5971</v>
      </c>
      <c r="N972" s="2" t="s">
        <v>23</v>
      </c>
      <c r="O972" s="18" t="s">
        <v>279</v>
      </c>
      <c r="P972" s="18" t="s">
        <v>3781</v>
      </c>
      <c r="Q972" s="6" t="s">
        <v>4475</v>
      </c>
      <c r="T972" s="23">
        <v>46189</v>
      </c>
      <c r="U972" s="23">
        <v>47285</v>
      </c>
      <c r="X972" s="20">
        <v>4300</v>
      </c>
      <c r="Z972" s="6" t="s">
        <v>5978</v>
      </c>
      <c r="AA972" s="14">
        <f t="shared" si="118"/>
        <v>5.9999999999999995E-4</v>
      </c>
      <c r="AB972">
        <v>2.5250999999999997</v>
      </c>
      <c r="AC972">
        <v>2.6261039999999998</v>
      </c>
    </row>
    <row r="973" spans="1:29" x14ac:dyDescent="0.3">
      <c r="A973">
        <v>151854</v>
      </c>
      <c r="B973" s="25" t="s">
        <v>5984</v>
      </c>
      <c r="C973" t="s">
        <v>20</v>
      </c>
      <c r="D973" t="s">
        <v>21</v>
      </c>
      <c r="E973">
        <v>2222222</v>
      </c>
      <c r="F973" s="8" t="s">
        <v>22</v>
      </c>
      <c r="G973" s="2">
        <v>98</v>
      </c>
      <c r="H973" t="s">
        <v>3949</v>
      </c>
      <c r="J973" s="9" t="s">
        <v>4884</v>
      </c>
      <c r="K973" t="s">
        <v>5153</v>
      </c>
      <c r="L973" s="2">
        <v>1</v>
      </c>
      <c r="M973" s="24" t="s">
        <v>5971</v>
      </c>
      <c r="N973" s="2" t="s">
        <v>23</v>
      </c>
      <c r="O973" s="18" t="s">
        <v>417</v>
      </c>
      <c r="P973" s="18" t="s">
        <v>3781</v>
      </c>
      <c r="Q973" s="6" t="s">
        <v>4475</v>
      </c>
      <c r="T973" s="23">
        <v>46191</v>
      </c>
      <c r="U973" s="23">
        <v>46281</v>
      </c>
      <c r="X973" s="20">
        <v>4985</v>
      </c>
      <c r="Z973" s="6" t="s">
        <v>5978</v>
      </c>
      <c r="AA973" s="14">
        <f t="shared" si="118"/>
        <v>5.9999999999999995E-4</v>
      </c>
      <c r="AB973">
        <v>2.9909999999999997</v>
      </c>
      <c r="AC973">
        <v>3.1106399999999996</v>
      </c>
    </row>
    <row r="974" spans="1:29" x14ac:dyDescent="0.3">
      <c r="A974">
        <v>151860</v>
      </c>
      <c r="B974" s="25" t="s">
        <v>5984</v>
      </c>
      <c r="C974" t="s">
        <v>20</v>
      </c>
      <c r="D974" t="s">
        <v>21</v>
      </c>
      <c r="E974">
        <v>2222222</v>
      </c>
      <c r="F974" s="8" t="s">
        <v>22</v>
      </c>
      <c r="G974" s="2">
        <v>98</v>
      </c>
      <c r="H974" t="s">
        <v>3949</v>
      </c>
      <c r="J974" s="9" t="s">
        <v>5140</v>
      </c>
      <c r="K974" t="s">
        <v>5276</v>
      </c>
      <c r="L974" s="2">
        <v>1</v>
      </c>
      <c r="M974" s="24" t="s">
        <v>5971</v>
      </c>
      <c r="N974" s="2" t="s">
        <v>23</v>
      </c>
      <c r="O974" s="18" t="s">
        <v>805</v>
      </c>
      <c r="P974" s="18" t="s">
        <v>3781</v>
      </c>
      <c r="Q974" s="6" t="s">
        <v>4475</v>
      </c>
      <c r="T974" s="23">
        <v>46192</v>
      </c>
      <c r="U974" s="23">
        <v>46437</v>
      </c>
      <c r="X974" s="20">
        <v>370</v>
      </c>
      <c r="Z974" s="6" t="s">
        <v>5978</v>
      </c>
      <c r="AA974" s="14">
        <f t="shared" si="118"/>
        <v>5.9999999999999995E-4</v>
      </c>
      <c r="AB974">
        <v>0.19556999999999997</v>
      </c>
      <c r="AC974">
        <v>0.20339279999999998</v>
      </c>
    </row>
    <row r="975" spans="1:29" x14ac:dyDescent="0.3">
      <c r="A975">
        <v>151873</v>
      </c>
      <c r="B975" s="25" t="s">
        <v>5984</v>
      </c>
      <c r="C975" t="s">
        <v>20</v>
      </c>
      <c r="D975" t="s">
        <v>21</v>
      </c>
      <c r="E975">
        <v>2222222</v>
      </c>
      <c r="F975" s="8" t="s">
        <v>22</v>
      </c>
      <c r="G975" s="2">
        <v>98</v>
      </c>
      <c r="H975" t="s">
        <v>3949</v>
      </c>
      <c r="J975" s="9" t="s">
        <v>4901</v>
      </c>
      <c r="K975" t="s">
        <v>4935</v>
      </c>
      <c r="L975" s="2">
        <v>1</v>
      </c>
      <c r="M975" s="24" t="s">
        <v>5971</v>
      </c>
      <c r="N975" s="2" t="s">
        <v>23</v>
      </c>
      <c r="O975" s="18" t="s">
        <v>806</v>
      </c>
      <c r="P975" s="18" t="s">
        <v>0</v>
      </c>
      <c r="Q975" s="6" t="s">
        <v>4475</v>
      </c>
      <c r="T975" s="23">
        <v>46192</v>
      </c>
      <c r="U975" s="23">
        <v>46526</v>
      </c>
      <c r="X975" s="20">
        <v>4000</v>
      </c>
      <c r="Z975" s="6" t="s">
        <v>5978</v>
      </c>
      <c r="AA975" s="14">
        <f t="shared" si="118"/>
        <v>5.9999999999999995E-4</v>
      </c>
      <c r="AB975">
        <v>2.1965699999999999</v>
      </c>
      <c r="AC975">
        <v>2.2844327999999998</v>
      </c>
    </row>
    <row r="976" spans="1:29" x14ac:dyDescent="0.3">
      <c r="A976">
        <v>151936</v>
      </c>
      <c r="B976" s="25" t="s">
        <v>5984</v>
      </c>
      <c r="C976" t="s">
        <v>20</v>
      </c>
      <c r="D976" t="s">
        <v>21</v>
      </c>
      <c r="E976">
        <v>2222222</v>
      </c>
      <c r="F976" s="8" t="s">
        <v>22</v>
      </c>
      <c r="G976" s="2">
        <v>98</v>
      </c>
      <c r="H976" t="s">
        <v>3949</v>
      </c>
      <c r="J976" s="9" t="s">
        <v>5058</v>
      </c>
      <c r="K976" t="s">
        <v>5197</v>
      </c>
      <c r="L976" s="2">
        <v>1</v>
      </c>
      <c r="M976" s="24" t="s">
        <v>5971</v>
      </c>
      <c r="N976" s="2" t="s">
        <v>23</v>
      </c>
      <c r="O976" s="18" t="s">
        <v>807</v>
      </c>
      <c r="P976" s="18" t="s">
        <v>0</v>
      </c>
      <c r="Q976" s="6" t="s">
        <v>4475</v>
      </c>
      <c r="T976" s="23">
        <v>46201</v>
      </c>
      <c r="U976" s="23">
        <v>46291</v>
      </c>
      <c r="X976" s="20">
        <v>5000</v>
      </c>
      <c r="Z976" s="6" t="s">
        <v>5978</v>
      </c>
      <c r="AA976" s="14">
        <f t="shared" si="118"/>
        <v>5.9999999999999995E-4</v>
      </c>
      <c r="AB976">
        <v>2.9999999999999996</v>
      </c>
      <c r="AC976">
        <v>3.1199999999999997</v>
      </c>
    </row>
    <row r="977" spans="1:29" x14ac:dyDescent="0.3">
      <c r="A977">
        <v>151954</v>
      </c>
      <c r="B977" s="25" t="s">
        <v>5984</v>
      </c>
      <c r="C977" t="s">
        <v>20</v>
      </c>
      <c r="D977" t="s">
        <v>21</v>
      </c>
      <c r="E977">
        <v>2222222</v>
      </c>
      <c r="F977" s="8" t="s">
        <v>22</v>
      </c>
      <c r="G977" s="2">
        <v>98</v>
      </c>
      <c r="H977" t="s">
        <v>3949</v>
      </c>
      <c r="J977" s="9" t="s">
        <v>4929</v>
      </c>
      <c r="K977" t="s">
        <v>5281</v>
      </c>
      <c r="L977" s="2">
        <v>1</v>
      </c>
      <c r="M977" s="24" t="s">
        <v>5971</v>
      </c>
      <c r="N977" s="2" t="s">
        <v>23</v>
      </c>
      <c r="O977" s="18" t="s">
        <v>808</v>
      </c>
      <c r="P977" s="18" t="s">
        <v>0</v>
      </c>
      <c r="Q977" s="6" t="s">
        <v>4475</v>
      </c>
      <c r="T977" s="23">
        <v>46201</v>
      </c>
      <c r="U977" s="23">
        <v>47480</v>
      </c>
      <c r="X977" s="20">
        <v>4500</v>
      </c>
      <c r="Z977" s="6" t="s">
        <v>5978</v>
      </c>
      <c r="AA977" s="14">
        <f t="shared" si="118"/>
        <v>5.9999999999999995E-4</v>
      </c>
      <c r="AB977">
        <v>2.6530379999999996</v>
      </c>
      <c r="AC977">
        <v>2.7591595199999994</v>
      </c>
    </row>
    <row r="978" spans="1:29" x14ac:dyDescent="0.3">
      <c r="A978">
        <v>151972</v>
      </c>
      <c r="B978" s="25" t="s">
        <v>5984</v>
      </c>
      <c r="C978" t="s">
        <v>20</v>
      </c>
      <c r="D978" t="s">
        <v>21</v>
      </c>
      <c r="E978">
        <v>2222222</v>
      </c>
      <c r="F978" s="8" t="s">
        <v>22</v>
      </c>
      <c r="G978" s="2">
        <v>98</v>
      </c>
      <c r="H978" t="s">
        <v>3949</v>
      </c>
      <c r="J978" s="9" t="s">
        <v>4917</v>
      </c>
      <c r="K978" t="s">
        <v>4956</v>
      </c>
      <c r="L978" s="2">
        <v>1</v>
      </c>
      <c r="M978" s="24" t="s">
        <v>5971</v>
      </c>
      <c r="N978" s="2" t="s">
        <v>23</v>
      </c>
      <c r="O978" s="18" t="s">
        <v>809</v>
      </c>
      <c r="P978" s="18" t="s">
        <v>3781</v>
      </c>
      <c r="Q978" s="6" t="s">
        <v>4475</v>
      </c>
      <c r="T978" s="23">
        <v>46202</v>
      </c>
      <c r="U978" s="23">
        <v>46933</v>
      </c>
      <c r="X978" s="20">
        <v>2000</v>
      </c>
      <c r="Z978" s="6" t="s">
        <v>5978</v>
      </c>
      <c r="AA978" s="14">
        <f t="shared" si="118"/>
        <v>5.9999999999999995E-4</v>
      </c>
      <c r="AB978">
        <v>1.157532</v>
      </c>
      <c r="AC978">
        <v>1.20383328</v>
      </c>
    </row>
    <row r="979" spans="1:29" x14ac:dyDescent="0.3">
      <c r="A979">
        <v>152024</v>
      </c>
      <c r="B979" s="25" t="s">
        <v>5984</v>
      </c>
      <c r="C979" t="s">
        <v>20</v>
      </c>
      <c r="D979" t="s">
        <v>21</v>
      </c>
      <c r="E979">
        <v>2222222</v>
      </c>
      <c r="F979" s="8" t="s">
        <v>22</v>
      </c>
      <c r="G979" s="2">
        <v>98</v>
      </c>
      <c r="H979" t="s">
        <v>3949</v>
      </c>
      <c r="J979" s="9" t="s">
        <v>4901</v>
      </c>
      <c r="K979" t="s">
        <v>4908</v>
      </c>
      <c r="L979" s="2">
        <v>1</v>
      </c>
      <c r="M979" s="24" t="s">
        <v>5971</v>
      </c>
      <c r="N979" s="2" t="s">
        <v>23</v>
      </c>
      <c r="O979" s="18" t="s">
        <v>810</v>
      </c>
      <c r="P979" s="18" t="s">
        <v>0</v>
      </c>
      <c r="Q979" s="6" t="s">
        <v>4475</v>
      </c>
      <c r="T979" s="23">
        <v>46223</v>
      </c>
      <c r="U979" s="23">
        <v>51701</v>
      </c>
      <c r="X979" s="20">
        <v>70000</v>
      </c>
      <c r="Z979" s="6" t="s">
        <v>5978</v>
      </c>
      <c r="AA979" s="14">
        <f t="shared" si="118"/>
        <v>5.9999999999999995E-4</v>
      </c>
      <c r="AB979">
        <v>41.999999999999993</v>
      </c>
      <c r="AC979">
        <v>43.679999999999993</v>
      </c>
    </row>
    <row r="980" spans="1:29" x14ac:dyDescent="0.3">
      <c r="A980">
        <v>152035</v>
      </c>
      <c r="B980" s="25" t="s">
        <v>5984</v>
      </c>
      <c r="C980" t="s">
        <v>20</v>
      </c>
      <c r="D980" t="s">
        <v>21</v>
      </c>
      <c r="E980">
        <v>2222222</v>
      </c>
      <c r="F980" s="8" t="s">
        <v>22</v>
      </c>
      <c r="G980" s="2">
        <v>98</v>
      </c>
      <c r="H980" t="s">
        <v>3949</v>
      </c>
      <c r="J980" s="9" t="s">
        <v>5241</v>
      </c>
      <c r="K980" t="s">
        <v>5024</v>
      </c>
      <c r="L980" s="2">
        <v>1</v>
      </c>
      <c r="M980" s="24" t="s">
        <v>5971</v>
      </c>
      <c r="N980" s="2" t="s">
        <v>23</v>
      </c>
      <c r="O980" s="18" t="s">
        <v>811</v>
      </c>
      <c r="P980" s="18" t="s">
        <v>0</v>
      </c>
      <c r="Q980" s="6" t="s">
        <v>4475</v>
      </c>
      <c r="T980" s="23">
        <v>46206</v>
      </c>
      <c r="U980" s="23">
        <v>46570</v>
      </c>
      <c r="X980" s="20">
        <v>1000</v>
      </c>
      <c r="Z980" s="6" t="s">
        <v>5978</v>
      </c>
      <c r="AA980" s="14">
        <f t="shared" si="118"/>
        <v>5.9999999999999995E-4</v>
      </c>
      <c r="AB980">
        <v>0.6</v>
      </c>
      <c r="AC980">
        <v>0.624</v>
      </c>
    </row>
    <row r="981" spans="1:29" x14ac:dyDescent="0.3">
      <c r="A981">
        <v>152076</v>
      </c>
      <c r="B981" s="25" t="s">
        <v>5984</v>
      </c>
      <c r="C981" t="s">
        <v>20</v>
      </c>
      <c r="D981" t="s">
        <v>21</v>
      </c>
      <c r="E981">
        <v>2222222</v>
      </c>
      <c r="F981" s="8" t="s">
        <v>22</v>
      </c>
      <c r="G981" s="2">
        <v>98</v>
      </c>
      <c r="H981" t="s">
        <v>3949</v>
      </c>
      <c r="J981" s="9" t="s">
        <v>4999</v>
      </c>
      <c r="K981" t="s">
        <v>4924</v>
      </c>
      <c r="L981" s="2">
        <v>1</v>
      </c>
      <c r="M981" s="24" t="s">
        <v>5971</v>
      </c>
      <c r="N981" s="2" t="s">
        <v>23</v>
      </c>
      <c r="O981" s="18" t="s">
        <v>802</v>
      </c>
      <c r="P981" s="18" t="s">
        <v>3781</v>
      </c>
      <c r="Q981" s="6" t="s">
        <v>4475</v>
      </c>
      <c r="T981" s="23">
        <v>46210</v>
      </c>
      <c r="U981" s="23">
        <v>47305</v>
      </c>
      <c r="X981" s="20">
        <v>4000</v>
      </c>
      <c r="Z981" s="6" t="s">
        <v>5978</v>
      </c>
      <c r="AA981" s="14">
        <f t="shared" si="118"/>
        <v>5.9999999999999995E-4</v>
      </c>
      <c r="AB981">
        <v>2.4</v>
      </c>
      <c r="AC981">
        <v>2.496</v>
      </c>
    </row>
    <row r="982" spans="1:29" x14ac:dyDescent="0.3">
      <c r="A982">
        <v>152114</v>
      </c>
      <c r="B982" s="25" t="s">
        <v>5984</v>
      </c>
      <c r="C982" t="s">
        <v>20</v>
      </c>
      <c r="D982" t="s">
        <v>21</v>
      </c>
      <c r="E982">
        <v>2222222</v>
      </c>
      <c r="F982" s="8" t="s">
        <v>22</v>
      </c>
      <c r="G982" s="2">
        <v>98</v>
      </c>
      <c r="H982" t="s">
        <v>3949</v>
      </c>
      <c r="J982" s="9" t="s">
        <v>5345</v>
      </c>
      <c r="K982" t="s">
        <v>5217</v>
      </c>
      <c r="L982" s="2">
        <v>1</v>
      </c>
      <c r="M982" s="24" t="s">
        <v>5971</v>
      </c>
      <c r="N982" s="2" t="s">
        <v>23</v>
      </c>
      <c r="O982" s="18" t="s">
        <v>812</v>
      </c>
      <c r="P982" s="18" t="s">
        <v>3781</v>
      </c>
      <c r="Q982" s="6" t="s">
        <v>4475</v>
      </c>
      <c r="T982" s="23">
        <v>46212</v>
      </c>
      <c r="U982" s="23">
        <v>46334</v>
      </c>
      <c r="X982" s="20">
        <v>100</v>
      </c>
      <c r="Z982" s="6" t="s">
        <v>5978</v>
      </c>
      <c r="AA982" s="14">
        <f t="shared" si="118"/>
        <v>5.9999999999999995E-4</v>
      </c>
      <c r="AB982">
        <v>0.06</v>
      </c>
      <c r="AC982">
        <v>6.2399999999999997E-2</v>
      </c>
    </row>
    <row r="983" spans="1:29" x14ac:dyDescent="0.3">
      <c r="A983">
        <v>152186</v>
      </c>
      <c r="B983" s="25" t="s">
        <v>5984</v>
      </c>
      <c r="C983" t="s">
        <v>20</v>
      </c>
      <c r="D983" t="s">
        <v>21</v>
      </c>
      <c r="E983">
        <v>2222222</v>
      </c>
      <c r="F983" s="8" t="s">
        <v>22</v>
      </c>
      <c r="G983" s="2">
        <v>98</v>
      </c>
      <c r="H983" t="s">
        <v>3949</v>
      </c>
      <c r="J983" s="9" t="s">
        <v>5343</v>
      </c>
      <c r="K983" t="s">
        <v>5196</v>
      </c>
      <c r="L983" s="2">
        <v>1</v>
      </c>
      <c r="M983" s="24" t="s">
        <v>5971</v>
      </c>
      <c r="N983" s="2" t="s">
        <v>23</v>
      </c>
      <c r="O983" s="18" t="s">
        <v>793</v>
      </c>
      <c r="P983" s="18" t="s">
        <v>3781</v>
      </c>
      <c r="Q983" s="6" t="s">
        <v>4475</v>
      </c>
      <c r="T983" s="23">
        <v>46218</v>
      </c>
      <c r="U983" s="23">
        <v>46308</v>
      </c>
      <c r="X983" s="20">
        <v>2830</v>
      </c>
      <c r="Z983" s="6" t="s">
        <v>5978</v>
      </c>
      <c r="AA983" s="14">
        <f t="shared" si="118"/>
        <v>5.9999999999999995E-4</v>
      </c>
      <c r="AB983">
        <v>1.698</v>
      </c>
      <c r="AC983">
        <v>1.7659199999999999</v>
      </c>
    </row>
    <row r="984" spans="1:29" x14ac:dyDescent="0.3">
      <c r="A984">
        <v>152187</v>
      </c>
      <c r="B984" s="25" t="s">
        <v>5984</v>
      </c>
      <c r="C984" t="s">
        <v>20</v>
      </c>
      <c r="D984" t="s">
        <v>21</v>
      </c>
      <c r="E984">
        <v>2222222</v>
      </c>
      <c r="F984" s="8" t="s">
        <v>22</v>
      </c>
      <c r="G984" s="2">
        <v>98</v>
      </c>
      <c r="H984" t="s">
        <v>3949</v>
      </c>
      <c r="J984" s="9" t="s">
        <v>4903</v>
      </c>
      <c r="K984" t="s">
        <v>5346</v>
      </c>
      <c r="L984" s="2">
        <v>1</v>
      </c>
      <c r="M984" s="24" t="s">
        <v>5971</v>
      </c>
      <c r="N984" s="2" t="s">
        <v>23</v>
      </c>
      <c r="O984" s="18" t="s">
        <v>813</v>
      </c>
      <c r="P984" s="18" t="s">
        <v>3781</v>
      </c>
      <c r="Q984" s="6" t="s">
        <v>4475</v>
      </c>
      <c r="T984" s="23">
        <v>46218</v>
      </c>
      <c r="U984" s="23">
        <v>46308</v>
      </c>
      <c r="X984" s="20">
        <v>5000</v>
      </c>
      <c r="Z984" s="6" t="s">
        <v>5978</v>
      </c>
      <c r="AA984" s="14">
        <f t="shared" si="118"/>
        <v>5.9999999999999995E-4</v>
      </c>
      <c r="AB984">
        <v>2.9999999999999996</v>
      </c>
      <c r="AC984">
        <v>3.1199999999999997</v>
      </c>
    </row>
    <row r="985" spans="1:29" x14ac:dyDescent="0.3">
      <c r="A985">
        <v>152202</v>
      </c>
      <c r="B985" s="25" t="s">
        <v>5984</v>
      </c>
      <c r="C985" t="s">
        <v>20</v>
      </c>
      <c r="D985" t="s">
        <v>21</v>
      </c>
      <c r="E985">
        <v>2222222</v>
      </c>
      <c r="F985" s="8" t="s">
        <v>22</v>
      </c>
      <c r="G985" s="2">
        <v>98</v>
      </c>
      <c r="H985" t="s">
        <v>3949</v>
      </c>
      <c r="J985" s="9" t="s">
        <v>5347</v>
      </c>
      <c r="K985" t="s">
        <v>5348</v>
      </c>
      <c r="L985" s="2">
        <v>1</v>
      </c>
      <c r="M985" s="24" t="s">
        <v>5971</v>
      </c>
      <c r="N985" s="2" t="s">
        <v>23</v>
      </c>
      <c r="O985" s="18" t="s">
        <v>814</v>
      </c>
      <c r="P985" s="18" t="s">
        <v>3781</v>
      </c>
      <c r="Q985" s="6" t="s">
        <v>4475</v>
      </c>
      <c r="T985" s="23">
        <v>46219</v>
      </c>
      <c r="U985" s="23">
        <v>46249</v>
      </c>
      <c r="X985" s="20">
        <v>215</v>
      </c>
      <c r="Z985" s="6" t="s">
        <v>5978</v>
      </c>
      <c r="AA985" s="14">
        <f t="shared" si="118"/>
        <v>5.9999999999999995E-4</v>
      </c>
      <c r="AB985">
        <v>0.12899999999999998</v>
      </c>
      <c r="AC985">
        <v>0.13415999999999997</v>
      </c>
    </row>
    <row r="986" spans="1:29" x14ac:dyDescent="0.3">
      <c r="A986">
        <v>152210</v>
      </c>
      <c r="B986" s="25" t="s">
        <v>5984</v>
      </c>
      <c r="C986" t="s">
        <v>20</v>
      </c>
      <c r="D986" t="s">
        <v>21</v>
      </c>
      <c r="E986">
        <v>2222222</v>
      </c>
      <c r="F986" s="8" t="s">
        <v>22</v>
      </c>
      <c r="G986" s="2">
        <v>98</v>
      </c>
      <c r="H986" t="s">
        <v>3949</v>
      </c>
      <c r="J986" s="9" t="s">
        <v>5032</v>
      </c>
      <c r="K986" t="s">
        <v>5165</v>
      </c>
      <c r="L986" s="2">
        <v>1</v>
      </c>
      <c r="M986" s="24" t="s">
        <v>5971</v>
      </c>
      <c r="N986" s="2" t="s">
        <v>23</v>
      </c>
      <c r="O986" s="18" t="s">
        <v>749</v>
      </c>
      <c r="P986" s="18" t="s">
        <v>3781</v>
      </c>
      <c r="Q986" s="6" t="s">
        <v>4475</v>
      </c>
      <c r="T986" s="23">
        <v>46219</v>
      </c>
      <c r="U986" s="23">
        <v>46309</v>
      </c>
      <c r="X986" s="20">
        <v>3500</v>
      </c>
      <c r="Z986" s="6" t="s">
        <v>5978</v>
      </c>
      <c r="AA986" s="14">
        <f t="shared" si="118"/>
        <v>5.9999999999999995E-4</v>
      </c>
      <c r="AB986">
        <v>2.0999999999999996</v>
      </c>
      <c r="AC986">
        <v>2.1839999999999997</v>
      </c>
    </row>
    <row r="987" spans="1:29" x14ac:dyDescent="0.3">
      <c r="A987">
        <v>152236</v>
      </c>
      <c r="B987" s="25" t="s">
        <v>5984</v>
      </c>
      <c r="C987" t="s">
        <v>20</v>
      </c>
      <c r="D987" t="s">
        <v>21</v>
      </c>
      <c r="E987">
        <v>2222222</v>
      </c>
      <c r="F987" s="8" t="s">
        <v>22</v>
      </c>
      <c r="G987" s="2">
        <v>98</v>
      </c>
      <c r="H987" t="s">
        <v>3949</v>
      </c>
      <c r="J987" s="9" t="s">
        <v>4861</v>
      </c>
      <c r="K987" t="s">
        <v>5349</v>
      </c>
      <c r="L987" s="2">
        <v>1</v>
      </c>
      <c r="M987" s="24" t="s">
        <v>5971</v>
      </c>
      <c r="N987" s="2" t="s">
        <v>23</v>
      </c>
      <c r="O987" s="18" t="s">
        <v>367</v>
      </c>
      <c r="P987" s="18" t="s">
        <v>3781</v>
      </c>
      <c r="Q987" s="6" t="s">
        <v>4475</v>
      </c>
      <c r="T987" s="23">
        <v>46221</v>
      </c>
      <c r="U987" s="23">
        <v>47681</v>
      </c>
      <c r="X987" s="20">
        <v>3040</v>
      </c>
      <c r="Z987" s="6" t="s">
        <v>5978</v>
      </c>
      <c r="AA987" s="14">
        <f t="shared" si="118"/>
        <v>5.9999999999999995E-4</v>
      </c>
      <c r="AB987">
        <v>1.8239999999999998</v>
      </c>
      <c r="AC987">
        <v>1.89696</v>
      </c>
    </row>
    <row r="988" spans="1:29" x14ac:dyDescent="0.3">
      <c r="A988">
        <v>152279</v>
      </c>
      <c r="B988" s="25" t="s">
        <v>5984</v>
      </c>
      <c r="C988" t="s">
        <v>20</v>
      </c>
      <c r="D988" t="s">
        <v>21</v>
      </c>
      <c r="E988">
        <v>2222222</v>
      </c>
      <c r="F988" s="8" t="s">
        <v>22</v>
      </c>
      <c r="G988" s="2">
        <v>98</v>
      </c>
      <c r="H988" t="s">
        <v>3949</v>
      </c>
      <c r="J988" s="9" t="s">
        <v>5049</v>
      </c>
      <c r="K988" t="s">
        <v>4876</v>
      </c>
      <c r="L988" s="2">
        <v>1</v>
      </c>
      <c r="M988" s="24" t="s">
        <v>5971</v>
      </c>
      <c r="N988" s="2" t="s">
        <v>23</v>
      </c>
      <c r="O988" s="18" t="s">
        <v>795</v>
      </c>
      <c r="P988" s="18" t="s">
        <v>0</v>
      </c>
      <c r="Q988" s="6" t="s">
        <v>4475</v>
      </c>
      <c r="T988" s="23">
        <v>46224</v>
      </c>
      <c r="U988" s="23">
        <v>46314</v>
      </c>
      <c r="X988" s="20">
        <v>3000</v>
      </c>
      <c r="Z988" s="6" t="s">
        <v>5978</v>
      </c>
      <c r="AA988" s="14">
        <f t="shared" si="118"/>
        <v>5.9999999999999995E-4</v>
      </c>
      <c r="AB988">
        <v>1.7999999999999998</v>
      </c>
      <c r="AC988">
        <v>1.8719999999999999</v>
      </c>
    </row>
    <row r="989" spans="1:29" x14ac:dyDescent="0.3">
      <c r="A989">
        <v>128200</v>
      </c>
      <c r="B989" s="25" t="s">
        <v>5984</v>
      </c>
      <c r="C989" t="s">
        <v>20</v>
      </c>
      <c r="D989" t="s">
        <v>21</v>
      </c>
      <c r="E989">
        <v>2222222</v>
      </c>
      <c r="F989" s="8" t="s">
        <v>22</v>
      </c>
      <c r="G989" s="2">
        <v>98</v>
      </c>
      <c r="H989" t="s">
        <v>3950</v>
      </c>
      <c r="J989" s="9" t="s">
        <v>5045</v>
      </c>
      <c r="K989" t="s">
        <v>5181</v>
      </c>
      <c r="L989" s="2">
        <v>1</v>
      </c>
      <c r="M989" s="24" t="s">
        <v>5971</v>
      </c>
      <c r="N989" s="2" t="s">
        <v>23</v>
      </c>
      <c r="O989" s="18" t="s">
        <v>815</v>
      </c>
      <c r="P989" s="18" t="s">
        <v>3781</v>
      </c>
      <c r="Q989" s="6" t="s">
        <v>4475</v>
      </c>
      <c r="T989" s="23">
        <v>44717</v>
      </c>
      <c r="U989" s="23">
        <v>47001</v>
      </c>
      <c r="X989" s="20">
        <v>12645</v>
      </c>
      <c r="Z989" s="6" t="s">
        <v>5978</v>
      </c>
      <c r="AA989" s="15">
        <f>+(0.42/1000)</f>
        <v>4.1999999999999996E-4</v>
      </c>
      <c r="AB989">
        <v>2.6062428</v>
      </c>
      <c r="AC989">
        <v>2.7104925120000001</v>
      </c>
    </row>
    <row r="990" spans="1:29" x14ac:dyDescent="0.3">
      <c r="A990">
        <v>137273</v>
      </c>
      <c r="B990" s="25" t="s">
        <v>5984</v>
      </c>
      <c r="C990" t="s">
        <v>20</v>
      </c>
      <c r="D990" t="s">
        <v>21</v>
      </c>
      <c r="E990">
        <v>2222222</v>
      </c>
      <c r="F990" s="8" t="s">
        <v>22</v>
      </c>
      <c r="G990" s="2">
        <v>98</v>
      </c>
      <c r="H990" t="s">
        <v>3950</v>
      </c>
      <c r="J990" s="9" t="s">
        <v>5068</v>
      </c>
      <c r="K990" t="s">
        <v>4853</v>
      </c>
      <c r="L990" s="2">
        <v>1</v>
      </c>
      <c r="M990" s="24" t="s">
        <v>5971</v>
      </c>
      <c r="N990" s="2" t="s">
        <v>23</v>
      </c>
      <c r="O990" s="18" t="s">
        <v>816</v>
      </c>
      <c r="P990" s="18" t="s">
        <v>0</v>
      </c>
      <c r="Q990" s="6" t="s">
        <v>4475</v>
      </c>
      <c r="T990" s="23">
        <v>45215</v>
      </c>
      <c r="U990" s="23">
        <v>46310</v>
      </c>
      <c r="X990" s="20">
        <v>4000</v>
      </c>
      <c r="Z990" s="6" t="s">
        <v>5978</v>
      </c>
      <c r="AA990" s="13">
        <f>+(0.56/1000)</f>
        <v>5.6000000000000006E-4</v>
      </c>
      <c r="AB990">
        <v>0.23480800000000004</v>
      </c>
      <c r="AC990">
        <v>0.24420032000000005</v>
      </c>
    </row>
    <row r="991" spans="1:29" x14ac:dyDescent="0.3">
      <c r="A991">
        <v>141450</v>
      </c>
      <c r="B991" s="25" t="s">
        <v>5984</v>
      </c>
      <c r="C991" t="s">
        <v>20</v>
      </c>
      <c r="D991" t="s">
        <v>21</v>
      </c>
      <c r="E991">
        <v>2222222</v>
      </c>
      <c r="F991" s="8" t="s">
        <v>22</v>
      </c>
      <c r="G991" s="2">
        <v>98</v>
      </c>
      <c r="H991" t="s">
        <v>3950</v>
      </c>
      <c r="J991" s="9" t="s">
        <v>5204</v>
      </c>
      <c r="K991" t="s">
        <v>5350</v>
      </c>
      <c r="L991" s="2">
        <v>1</v>
      </c>
      <c r="M991" s="24" t="s">
        <v>5971</v>
      </c>
      <c r="N991" s="2" t="s">
        <v>23</v>
      </c>
      <c r="O991" s="18" t="s">
        <v>817</v>
      </c>
      <c r="P991" s="18" t="s">
        <v>0</v>
      </c>
      <c r="Q991" s="6" t="s">
        <v>4475</v>
      </c>
      <c r="T991" s="23">
        <v>45453</v>
      </c>
      <c r="U991" s="23">
        <v>46548</v>
      </c>
      <c r="X991" s="20">
        <v>5000</v>
      </c>
      <c r="Z991" s="6" t="s">
        <v>5978</v>
      </c>
      <c r="AA991" s="14">
        <f t="shared" ref="AA991:AA1004" si="119">+(0.6/1000)</f>
        <v>5.9999999999999995E-4</v>
      </c>
      <c r="AB991">
        <v>0.96887999999999985</v>
      </c>
      <c r="AC991">
        <v>1.0076352</v>
      </c>
    </row>
    <row r="992" spans="1:29" x14ac:dyDescent="0.3">
      <c r="A992">
        <v>146056</v>
      </c>
      <c r="B992" s="25" t="s">
        <v>5984</v>
      </c>
      <c r="C992" t="s">
        <v>20</v>
      </c>
      <c r="D992" t="s">
        <v>21</v>
      </c>
      <c r="E992">
        <v>2222222</v>
      </c>
      <c r="F992" s="8" t="s">
        <v>22</v>
      </c>
      <c r="G992" s="2">
        <v>98</v>
      </c>
      <c r="H992" t="s">
        <v>3950</v>
      </c>
      <c r="J992" s="9" t="s">
        <v>4950</v>
      </c>
      <c r="K992" t="s">
        <v>5108</v>
      </c>
      <c r="L992" s="2">
        <v>1</v>
      </c>
      <c r="M992" s="24" t="s">
        <v>5971</v>
      </c>
      <c r="N992" s="2" t="s">
        <v>23</v>
      </c>
      <c r="O992" s="18" t="s">
        <v>818</v>
      </c>
      <c r="P992" s="18" t="s">
        <v>0</v>
      </c>
      <c r="Q992" s="6" t="s">
        <v>4475</v>
      </c>
      <c r="T992" s="23">
        <v>45786</v>
      </c>
      <c r="U992" s="23">
        <v>46273</v>
      </c>
      <c r="X992" s="20">
        <v>5000</v>
      </c>
      <c r="Z992" s="6" t="s">
        <v>5978</v>
      </c>
      <c r="AA992" s="14">
        <f t="shared" si="119"/>
        <v>5.9999999999999995E-4</v>
      </c>
      <c r="AB992">
        <v>0.41531999999999997</v>
      </c>
      <c r="AC992">
        <v>0.43193280000000001</v>
      </c>
    </row>
    <row r="993" spans="1:29" x14ac:dyDescent="0.3">
      <c r="A993">
        <v>146884</v>
      </c>
      <c r="B993" s="25" t="s">
        <v>5984</v>
      </c>
      <c r="C993" t="s">
        <v>20</v>
      </c>
      <c r="D993" t="s">
        <v>21</v>
      </c>
      <c r="E993">
        <v>2222222</v>
      </c>
      <c r="F993" s="8" t="s">
        <v>22</v>
      </c>
      <c r="G993" s="2">
        <v>98</v>
      </c>
      <c r="H993" t="s">
        <v>3950</v>
      </c>
      <c r="J993" s="9" t="s">
        <v>5161</v>
      </c>
      <c r="K993" t="s">
        <v>5019</v>
      </c>
      <c r="L993" s="2">
        <v>1</v>
      </c>
      <c r="M993" s="24" t="s">
        <v>5971</v>
      </c>
      <c r="N993" s="2" t="s">
        <v>23</v>
      </c>
      <c r="O993" s="18" t="s">
        <v>819</v>
      </c>
      <c r="P993" s="18" t="s">
        <v>3781</v>
      </c>
      <c r="Q993" s="6" t="s">
        <v>4475</v>
      </c>
      <c r="T993" s="23">
        <v>45849</v>
      </c>
      <c r="U993" s="23">
        <v>46456</v>
      </c>
      <c r="X993" s="20">
        <v>5000</v>
      </c>
      <c r="Z993" s="6" t="s">
        <v>5978</v>
      </c>
      <c r="AA993" s="14">
        <f t="shared" si="119"/>
        <v>5.9999999999999995E-4</v>
      </c>
      <c r="AB993">
        <v>1.3085819999999997</v>
      </c>
      <c r="AC993">
        <v>1.3609252799999998</v>
      </c>
    </row>
    <row r="994" spans="1:29" x14ac:dyDescent="0.3">
      <c r="A994">
        <v>149121</v>
      </c>
      <c r="B994" s="25" t="s">
        <v>5984</v>
      </c>
      <c r="C994" t="s">
        <v>20</v>
      </c>
      <c r="D994" t="s">
        <v>21</v>
      </c>
      <c r="E994">
        <v>2222222</v>
      </c>
      <c r="F994" s="8" t="s">
        <v>22</v>
      </c>
      <c r="G994" s="2">
        <v>98</v>
      </c>
      <c r="H994" t="s">
        <v>3950</v>
      </c>
      <c r="J994" s="9" t="s">
        <v>4864</v>
      </c>
      <c r="K994" t="s">
        <v>4964</v>
      </c>
      <c r="L994" s="2">
        <v>1</v>
      </c>
      <c r="M994" s="24" t="s">
        <v>5971</v>
      </c>
      <c r="N994" s="2" t="s">
        <v>23</v>
      </c>
      <c r="O994" s="18" t="s">
        <v>820</v>
      </c>
      <c r="P994" s="18" t="s">
        <v>0</v>
      </c>
      <c r="Q994" s="6" t="s">
        <v>4475</v>
      </c>
      <c r="T994" s="23">
        <v>46000</v>
      </c>
      <c r="U994" s="23">
        <v>46912</v>
      </c>
      <c r="X994" s="20">
        <v>5000</v>
      </c>
      <c r="Z994" s="6" t="s">
        <v>5978</v>
      </c>
      <c r="AA994" s="14">
        <f t="shared" si="119"/>
        <v>5.9999999999999995E-4</v>
      </c>
      <c r="AB994">
        <v>2.4133800000000001</v>
      </c>
      <c r="AC994">
        <v>2.5099152</v>
      </c>
    </row>
    <row r="995" spans="1:29" x14ac:dyDescent="0.3">
      <c r="A995">
        <v>149770</v>
      </c>
      <c r="B995" s="25" t="s">
        <v>5984</v>
      </c>
      <c r="C995" t="s">
        <v>20</v>
      </c>
      <c r="D995" t="s">
        <v>21</v>
      </c>
      <c r="E995">
        <v>2222222</v>
      </c>
      <c r="F995" s="8" t="s">
        <v>22</v>
      </c>
      <c r="G995" s="2">
        <v>98</v>
      </c>
      <c r="H995" t="s">
        <v>3950</v>
      </c>
      <c r="J995" s="9" t="s">
        <v>5351</v>
      </c>
      <c r="K995" t="s">
        <v>5282</v>
      </c>
      <c r="L995" s="2">
        <v>1</v>
      </c>
      <c r="M995" s="24" t="s">
        <v>5971</v>
      </c>
      <c r="N995" s="2" t="s">
        <v>23</v>
      </c>
      <c r="O995" s="18" t="s">
        <v>821</v>
      </c>
      <c r="P995" s="18" t="s">
        <v>0</v>
      </c>
      <c r="Q995" s="6" t="s">
        <v>4475</v>
      </c>
      <c r="T995" s="23">
        <v>46048</v>
      </c>
      <c r="U995" s="23">
        <v>47143</v>
      </c>
      <c r="X995" s="20">
        <v>1470</v>
      </c>
      <c r="Z995" s="6" t="s">
        <v>5978</v>
      </c>
      <c r="AA995" s="14">
        <f t="shared" si="119"/>
        <v>5.9999999999999995E-4</v>
      </c>
      <c r="AB995">
        <v>0.77990399999999993</v>
      </c>
      <c r="AC995">
        <v>0.81110015999999996</v>
      </c>
    </row>
    <row r="996" spans="1:29" x14ac:dyDescent="0.3">
      <c r="A996">
        <v>150129</v>
      </c>
      <c r="B996" s="25" t="s">
        <v>5984</v>
      </c>
      <c r="C996" t="s">
        <v>20</v>
      </c>
      <c r="D996" t="s">
        <v>21</v>
      </c>
      <c r="E996">
        <v>2222222</v>
      </c>
      <c r="F996" s="8" t="s">
        <v>22</v>
      </c>
      <c r="G996" s="2">
        <v>98</v>
      </c>
      <c r="H996" t="s">
        <v>3950</v>
      </c>
      <c r="J996" s="9" t="s">
        <v>4950</v>
      </c>
      <c r="K996" t="s">
        <v>5108</v>
      </c>
      <c r="L996" s="2">
        <v>1</v>
      </c>
      <c r="M996" s="24" t="s">
        <v>5971</v>
      </c>
      <c r="N996" s="2" t="s">
        <v>23</v>
      </c>
      <c r="O996" s="18" t="s">
        <v>818</v>
      </c>
      <c r="P996" s="18" t="s">
        <v>0</v>
      </c>
      <c r="Q996" s="6" t="s">
        <v>4475</v>
      </c>
      <c r="T996" s="23">
        <v>46083</v>
      </c>
      <c r="U996" s="23">
        <v>47543</v>
      </c>
      <c r="X996" s="20">
        <v>32000</v>
      </c>
      <c r="Z996" s="6" t="s">
        <v>5978</v>
      </c>
      <c r="AA996" s="14">
        <f t="shared" si="119"/>
        <v>5.9999999999999995E-4</v>
      </c>
      <c r="AB996">
        <v>17.926499999999997</v>
      </c>
      <c r="AC996">
        <v>18.643559999999997</v>
      </c>
    </row>
    <row r="997" spans="1:29" x14ac:dyDescent="0.3">
      <c r="A997">
        <v>150520</v>
      </c>
      <c r="B997" s="25" t="s">
        <v>5984</v>
      </c>
      <c r="C997" t="s">
        <v>20</v>
      </c>
      <c r="D997" t="s">
        <v>21</v>
      </c>
      <c r="E997">
        <v>2222222</v>
      </c>
      <c r="F997" s="8" t="s">
        <v>22</v>
      </c>
      <c r="G997" s="2">
        <v>98</v>
      </c>
      <c r="H997" t="s">
        <v>3950</v>
      </c>
      <c r="J997" s="9" t="s">
        <v>5352</v>
      </c>
      <c r="K997" t="s">
        <v>5091</v>
      </c>
      <c r="L997" s="2">
        <v>1</v>
      </c>
      <c r="M997" s="24" t="s">
        <v>5971</v>
      </c>
      <c r="N997" s="2" t="s">
        <v>23</v>
      </c>
      <c r="O997" s="18" t="s">
        <v>822</v>
      </c>
      <c r="P997" s="18" t="s">
        <v>3781</v>
      </c>
      <c r="Q997" s="6" t="s">
        <v>4475</v>
      </c>
      <c r="T997" s="23">
        <v>46099</v>
      </c>
      <c r="U997" s="23">
        <v>46829</v>
      </c>
      <c r="X997" s="20">
        <v>4000</v>
      </c>
      <c r="Z997" s="6" t="s">
        <v>5978</v>
      </c>
      <c r="AA997" s="14">
        <f t="shared" si="119"/>
        <v>5.9999999999999995E-4</v>
      </c>
      <c r="AB997">
        <v>2.054052</v>
      </c>
      <c r="AC997">
        <v>2.1362140800000002</v>
      </c>
    </row>
    <row r="998" spans="1:29" x14ac:dyDescent="0.3">
      <c r="A998">
        <v>151210</v>
      </c>
      <c r="B998" s="25" t="s">
        <v>5984</v>
      </c>
      <c r="C998" t="s">
        <v>20</v>
      </c>
      <c r="D998" t="s">
        <v>21</v>
      </c>
      <c r="E998">
        <v>2222222</v>
      </c>
      <c r="F998" s="8" t="s">
        <v>22</v>
      </c>
      <c r="G998" s="2">
        <v>98</v>
      </c>
      <c r="H998" t="s">
        <v>3950</v>
      </c>
      <c r="J998" s="9" t="s">
        <v>4864</v>
      </c>
      <c r="K998" t="s">
        <v>4964</v>
      </c>
      <c r="L998" s="2">
        <v>1</v>
      </c>
      <c r="M998" s="24" t="s">
        <v>5971</v>
      </c>
      <c r="N998" s="2" t="s">
        <v>23</v>
      </c>
      <c r="O998" s="18" t="s">
        <v>820</v>
      </c>
      <c r="P998" s="18" t="s">
        <v>0</v>
      </c>
      <c r="Q998" s="6" t="s">
        <v>4475</v>
      </c>
      <c r="T998" s="23">
        <v>46147</v>
      </c>
      <c r="U998" s="23">
        <v>46511</v>
      </c>
      <c r="X998" s="20">
        <v>1040</v>
      </c>
      <c r="Z998" s="6" t="s">
        <v>5978</v>
      </c>
      <c r="AA998" s="14">
        <f t="shared" si="119"/>
        <v>5.9999999999999995E-4</v>
      </c>
      <c r="AB998">
        <v>0.52703399999999989</v>
      </c>
      <c r="AC998">
        <v>0.54811535999999994</v>
      </c>
    </row>
    <row r="999" spans="1:29" x14ac:dyDescent="0.3">
      <c r="A999">
        <v>151324</v>
      </c>
      <c r="B999" s="25" t="s">
        <v>5984</v>
      </c>
      <c r="C999" t="s">
        <v>20</v>
      </c>
      <c r="D999" t="s">
        <v>21</v>
      </c>
      <c r="E999">
        <v>2222222</v>
      </c>
      <c r="F999" s="8" t="s">
        <v>22</v>
      </c>
      <c r="G999" s="2">
        <v>98</v>
      </c>
      <c r="H999" t="s">
        <v>3950</v>
      </c>
      <c r="J999" s="9" t="s">
        <v>5045</v>
      </c>
      <c r="K999" t="s">
        <v>5345</v>
      </c>
      <c r="L999" s="2">
        <v>1</v>
      </c>
      <c r="M999" s="24" t="s">
        <v>5971</v>
      </c>
      <c r="N999" s="2" t="s">
        <v>23</v>
      </c>
      <c r="O999" s="18" t="s">
        <v>823</v>
      </c>
      <c r="P999" s="18" t="s">
        <v>3781</v>
      </c>
      <c r="Q999" s="6" t="s">
        <v>4475</v>
      </c>
      <c r="T999" s="23">
        <v>46156</v>
      </c>
      <c r="U999" s="23">
        <v>46886</v>
      </c>
      <c r="X999" s="20">
        <v>4000</v>
      </c>
      <c r="Z999" s="6" t="s">
        <v>5978</v>
      </c>
      <c r="AA999" s="14">
        <f t="shared" si="119"/>
        <v>5.9999999999999995E-4</v>
      </c>
      <c r="AB999">
        <v>2.2289339999999997</v>
      </c>
      <c r="AC999">
        <v>2.3180913599999999</v>
      </c>
    </row>
    <row r="1000" spans="1:29" x14ac:dyDescent="0.3">
      <c r="A1000">
        <v>151425</v>
      </c>
      <c r="B1000" s="25" t="s">
        <v>5984</v>
      </c>
      <c r="C1000" t="s">
        <v>20</v>
      </c>
      <c r="D1000" t="s">
        <v>21</v>
      </c>
      <c r="E1000">
        <v>2222222</v>
      </c>
      <c r="F1000" s="8" t="s">
        <v>22</v>
      </c>
      <c r="G1000" s="2">
        <v>98</v>
      </c>
      <c r="H1000" t="s">
        <v>3950</v>
      </c>
      <c r="J1000" s="9" t="s">
        <v>5204</v>
      </c>
      <c r="K1000" t="s">
        <v>5350</v>
      </c>
      <c r="L1000" s="2">
        <v>1</v>
      </c>
      <c r="M1000" s="24" t="s">
        <v>5971</v>
      </c>
      <c r="N1000" s="2" t="s">
        <v>23</v>
      </c>
      <c r="O1000" s="18" t="s">
        <v>817</v>
      </c>
      <c r="P1000" s="18" t="s">
        <v>0</v>
      </c>
      <c r="Q1000" s="6" t="s">
        <v>4475</v>
      </c>
      <c r="T1000" s="23">
        <v>46164</v>
      </c>
      <c r="U1000" s="23">
        <v>48355</v>
      </c>
      <c r="X1000" s="20">
        <v>12000</v>
      </c>
      <c r="Z1000" s="6" t="s">
        <v>5978</v>
      </c>
      <c r="AA1000" s="14">
        <f t="shared" si="119"/>
        <v>5.9999999999999995E-4</v>
      </c>
      <c r="AB1000">
        <v>7.0770599999999995</v>
      </c>
      <c r="AC1000">
        <v>7.3601424</v>
      </c>
    </row>
    <row r="1001" spans="1:29" x14ac:dyDescent="0.3">
      <c r="A1001">
        <v>151999</v>
      </c>
      <c r="B1001" s="25" t="s">
        <v>5984</v>
      </c>
      <c r="C1001" t="s">
        <v>20</v>
      </c>
      <c r="D1001" t="s">
        <v>21</v>
      </c>
      <c r="E1001">
        <v>2222222</v>
      </c>
      <c r="F1001" s="8" t="s">
        <v>22</v>
      </c>
      <c r="G1001" s="2">
        <v>98</v>
      </c>
      <c r="H1001" t="s">
        <v>3950</v>
      </c>
      <c r="J1001" s="9" t="s">
        <v>5045</v>
      </c>
      <c r="K1001" t="s">
        <v>5345</v>
      </c>
      <c r="L1001" s="2">
        <v>1</v>
      </c>
      <c r="M1001" s="24" t="s">
        <v>5971</v>
      </c>
      <c r="N1001" s="2" t="s">
        <v>23</v>
      </c>
      <c r="O1001" s="18" t="s">
        <v>823</v>
      </c>
      <c r="P1001" s="18" t="s">
        <v>3781</v>
      </c>
      <c r="Q1001" s="6" t="s">
        <v>4475</v>
      </c>
      <c r="T1001" s="23">
        <v>46204</v>
      </c>
      <c r="U1001" s="23">
        <v>46294</v>
      </c>
      <c r="X1001" s="20">
        <v>4450</v>
      </c>
      <c r="Z1001" s="6" t="s">
        <v>5978</v>
      </c>
      <c r="AA1001" s="14">
        <f t="shared" si="119"/>
        <v>5.9999999999999995E-4</v>
      </c>
      <c r="AB1001">
        <v>2.67</v>
      </c>
      <c r="AC1001">
        <v>2.7768000000000002</v>
      </c>
    </row>
    <row r="1002" spans="1:29" x14ac:dyDescent="0.3">
      <c r="A1002">
        <v>152354</v>
      </c>
      <c r="B1002" s="25" t="s">
        <v>5984</v>
      </c>
      <c r="C1002" t="s">
        <v>20</v>
      </c>
      <c r="D1002" t="s">
        <v>21</v>
      </c>
      <c r="E1002">
        <v>2222222</v>
      </c>
      <c r="F1002" s="8" t="s">
        <v>22</v>
      </c>
      <c r="G1002" s="2">
        <v>98</v>
      </c>
      <c r="H1002" t="s">
        <v>3950</v>
      </c>
      <c r="J1002" s="9" t="s">
        <v>5141</v>
      </c>
      <c r="K1002" t="s">
        <v>5012</v>
      </c>
      <c r="L1002" s="2">
        <v>1</v>
      </c>
      <c r="M1002" s="24" t="s">
        <v>5971</v>
      </c>
      <c r="N1002" s="2" t="s">
        <v>23</v>
      </c>
      <c r="O1002" s="18" t="s">
        <v>824</v>
      </c>
      <c r="P1002" s="18" t="s">
        <v>3781</v>
      </c>
      <c r="Q1002" s="6" t="s">
        <v>4475</v>
      </c>
      <c r="T1002" s="23">
        <v>46231</v>
      </c>
      <c r="U1002" s="23">
        <v>46321</v>
      </c>
      <c r="X1002" s="20">
        <v>4980</v>
      </c>
      <c r="Z1002" s="6" t="s">
        <v>5978</v>
      </c>
      <c r="AA1002" s="14">
        <f t="shared" si="119"/>
        <v>5.9999999999999995E-4</v>
      </c>
      <c r="AB1002">
        <v>2.9879999999999995</v>
      </c>
      <c r="AC1002">
        <v>3.1075199999999996</v>
      </c>
    </row>
    <row r="1003" spans="1:29" x14ac:dyDescent="0.3">
      <c r="A1003">
        <v>148992</v>
      </c>
      <c r="B1003" s="25" t="s">
        <v>5984</v>
      </c>
      <c r="C1003" t="s">
        <v>20</v>
      </c>
      <c r="D1003" t="s">
        <v>21</v>
      </c>
      <c r="E1003">
        <v>2222222</v>
      </c>
      <c r="F1003" s="8" t="s">
        <v>22</v>
      </c>
      <c r="G1003" s="2">
        <v>98</v>
      </c>
      <c r="H1003" t="s">
        <v>3951</v>
      </c>
      <c r="J1003" s="9" t="s">
        <v>4182</v>
      </c>
      <c r="K1003" t="s">
        <v>5010</v>
      </c>
      <c r="L1003" s="2">
        <v>1</v>
      </c>
      <c r="M1003" s="24" t="s">
        <v>5971</v>
      </c>
      <c r="N1003" s="2" t="s">
        <v>23</v>
      </c>
      <c r="O1003" s="18" t="s">
        <v>825</v>
      </c>
      <c r="P1003" s="18" t="s">
        <v>0</v>
      </c>
      <c r="Q1003" s="6" t="s">
        <v>4475</v>
      </c>
      <c r="T1003" s="23">
        <v>45991</v>
      </c>
      <c r="U1003" s="23">
        <v>47087</v>
      </c>
      <c r="X1003" s="20">
        <v>1840</v>
      </c>
      <c r="Z1003" s="6" t="s">
        <v>5978</v>
      </c>
      <c r="AA1003" s="14">
        <f t="shared" si="119"/>
        <v>5.9999999999999995E-4</v>
      </c>
      <c r="AB1003">
        <v>0.90442199999999984</v>
      </c>
      <c r="AC1003">
        <v>0.94059887999999992</v>
      </c>
    </row>
    <row r="1004" spans="1:29" x14ac:dyDescent="0.3">
      <c r="A1004">
        <v>144624</v>
      </c>
      <c r="B1004" s="25" t="s">
        <v>5984</v>
      </c>
      <c r="C1004" t="s">
        <v>20</v>
      </c>
      <c r="D1004" t="s">
        <v>21</v>
      </c>
      <c r="E1004">
        <v>2222222</v>
      </c>
      <c r="F1004" s="8" t="s">
        <v>22</v>
      </c>
      <c r="G1004" s="2">
        <v>98</v>
      </c>
      <c r="H1004" t="s">
        <v>3952</v>
      </c>
      <c r="J1004" s="9" t="s">
        <v>4867</v>
      </c>
      <c r="K1004" t="s">
        <v>5030</v>
      </c>
      <c r="L1004" s="2">
        <v>1</v>
      </c>
      <c r="M1004" s="24" t="s">
        <v>5971</v>
      </c>
      <c r="N1004" s="2" t="s">
        <v>23</v>
      </c>
      <c r="O1004" s="18" t="s">
        <v>826</v>
      </c>
      <c r="P1004" s="18" t="s">
        <v>3781</v>
      </c>
      <c r="Q1004" s="6" t="s">
        <v>4475</v>
      </c>
      <c r="T1004" s="23">
        <v>45682</v>
      </c>
      <c r="U1004" s="23">
        <v>47507</v>
      </c>
      <c r="X1004" s="20">
        <v>13000</v>
      </c>
      <c r="Z1004" s="6" t="s">
        <v>5978</v>
      </c>
      <c r="AA1004" s="14">
        <f t="shared" si="119"/>
        <v>5.9999999999999995E-4</v>
      </c>
      <c r="AB1004">
        <v>6.0677819999999993</v>
      </c>
      <c r="AC1004">
        <v>6.3104932799999993</v>
      </c>
    </row>
    <row r="1005" spans="1:29" x14ac:dyDescent="0.3">
      <c r="A1005">
        <v>136835</v>
      </c>
      <c r="B1005" s="25" t="s">
        <v>5984</v>
      </c>
      <c r="C1005" t="s">
        <v>20</v>
      </c>
      <c r="D1005" t="s">
        <v>21</v>
      </c>
      <c r="E1005">
        <v>2222222</v>
      </c>
      <c r="F1005" s="8" t="s">
        <v>22</v>
      </c>
      <c r="G1005" s="2">
        <v>98</v>
      </c>
      <c r="H1005" t="s">
        <v>3953</v>
      </c>
      <c r="J1005" s="9" t="s">
        <v>4852</v>
      </c>
      <c r="K1005" t="s">
        <v>5089</v>
      </c>
      <c r="L1005" s="2">
        <v>1</v>
      </c>
      <c r="M1005" s="24" t="s">
        <v>5971</v>
      </c>
      <c r="N1005" s="2" t="s">
        <v>23</v>
      </c>
      <c r="O1005" s="18" t="s">
        <v>827</v>
      </c>
      <c r="P1005" s="18" t="s">
        <v>0</v>
      </c>
      <c r="Q1005" s="6" t="s">
        <v>4475</v>
      </c>
      <c r="T1005" s="23">
        <v>45202</v>
      </c>
      <c r="U1005" s="23">
        <v>46389</v>
      </c>
      <c r="X1005" s="20">
        <v>12000</v>
      </c>
      <c r="Z1005" s="6" t="s">
        <v>5978</v>
      </c>
      <c r="AA1005" s="13">
        <f t="shared" ref="AA1005:AA1006" si="120">+(0.56/1000)</f>
        <v>5.6000000000000006E-4</v>
      </c>
      <c r="AB1005">
        <v>4.3087184000000009</v>
      </c>
      <c r="AC1005">
        <v>4.4810671360000009</v>
      </c>
    </row>
    <row r="1006" spans="1:29" x14ac:dyDescent="0.3">
      <c r="A1006">
        <v>137603</v>
      </c>
      <c r="B1006" s="25" t="s">
        <v>5984</v>
      </c>
      <c r="C1006" t="s">
        <v>20</v>
      </c>
      <c r="D1006" t="s">
        <v>21</v>
      </c>
      <c r="E1006">
        <v>2222222</v>
      </c>
      <c r="F1006" s="8" t="s">
        <v>22</v>
      </c>
      <c r="G1006" s="2">
        <v>98</v>
      </c>
      <c r="H1006" t="s">
        <v>3953</v>
      </c>
      <c r="J1006" s="9" t="s">
        <v>4951</v>
      </c>
      <c r="K1006" t="s">
        <v>5064</v>
      </c>
      <c r="L1006" s="2">
        <v>1</v>
      </c>
      <c r="M1006" s="24" t="s">
        <v>5971</v>
      </c>
      <c r="N1006" s="2" t="s">
        <v>23</v>
      </c>
      <c r="O1006" s="18" t="s">
        <v>828</v>
      </c>
      <c r="P1006" s="18" t="s">
        <v>0</v>
      </c>
      <c r="Q1006" s="6" t="s">
        <v>4475</v>
      </c>
      <c r="T1006" s="23">
        <v>45230</v>
      </c>
      <c r="U1006" s="23">
        <v>48882</v>
      </c>
      <c r="X1006" s="20">
        <v>26450</v>
      </c>
      <c r="Z1006" s="6" t="s">
        <v>5978</v>
      </c>
      <c r="AA1006" s="13">
        <f t="shared" si="120"/>
        <v>5.6000000000000006E-4</v>
      </c>
      <c r="AB1006">
        <v>14.744340800000002</v>
      </c>
      <c r="AC1006">
        <v>15.334114432000002</v>
      </c>
    </row>
    <row r="1007" spans="1:29" x14ac:dyDescent="0.3">
      <c r="A1007">
        <v>142844</v>
      </c>
      <c r="B1007" s="25" t="s">
        <v>5984</v>
      </c>
      <c r="C1007" t="s">
        <v>20</v>
      </c>
      <c r="D1007" t="s">
        <v>21</v>
      </c>
      <c r="E1007">
        <v>2222222</v>
      </c>
      <c r="F1007" s="8" t="s">
        <v>22</v>
      </c>
      <c r="G1007" s="2">
        <v>98</v>
      </c>
      <c r="H1007" t="s">
        <v>3953</v>
      </c>
      <c r="J1007" s="9" t="s">
        <v>5303</v>
      </c>
      <c r="K1007" t="s">
        <v>4853</v>
      </c>
      <c r="L1007" s="2">
        <v>1</v>
      </c>
      <c r="M1007" s="24" t="s">
        <v>5971</v>
      </c>
      <c r="N1007" s="2" t="s">
        <v>23</v>
      </c>
      <c r="O1007" s="18" t="s">
        <v>829</v>
      </c>
      <c r="P1007" s="18" t="s">
        <v>0</v>
      </c>
      <c r="Q1007" s="6" t="s">
        <v>4475</v>
      </c>
      <c r="T1007" s="23">
        <v>45548</v>
      </c>
      <c r="U1007" s="23">
        <v>46278</v>
      </c>
      <c r="X1007" s="20">
        <v>1415</v>
      </c>
      <c r="Z1007" s="6" t="s">
        <v>5978</v>
      </c>
      <c r="AA1007" s="14">
        <f t="shared" ref="AA1007:AA1022" si="121">+(0.6/1000)</f>
        <v>5.9999999999999995E-4</v>
      </c>
      <c r="AB1007">
        <v>8.0694000000000002E-2</v>
      </c>
      <c r="AC1007">
        <v>8.3921759999999998E-2</v>
      </c>
    </row>
    <row r="1008" spans="1:29" x14ac:dyDescent="0.3">
      <c r="A1008">
        <v>148194</v>
      </c>
      <c r="B1008" s="25" t="s">
        <v>5984</v>
      </c>
      <c r="C1008" t="s">
        <v>20</v>
      </c>
      <c r="D1008" t="s">
        <v>21</v>
      </c>
      <c r="E1008">
        <v>2222222</v>
      </c>
      <c r="F1008" s="8" t="s">
        <v>22</v>
      </c>
      <c r="G1008" s="2">
        <v>98</v>
      </c>
      <c r="H1008" t="s">
        <v>3953</v>
      </c>
      <c r="J1008" s="9" t="s">
        <v>5007</v>
      </c>
      <c r="K1008" t="s">
        <v>5190</v>
      </c>
      <c r="L1008" s="2">
        <v>1</v>
      </c>
      <c r="M1008" s="24" t="s">
        <v>5971</v>
      </c>
      <c r="N1008" s="2" t="s">
        <v>23</v>
      </c>
      <c r="O1008" s="18" t="s">
        <v>830</v>
      </c>
      <c r="P1008" s="18" t="s">
        <v>0</v>
      </c>
      <c r="Q1008" s="6" t="s">
        <v>4475</v>
      </c>
      <c r="T1008" s="23">
        <v>45944</v>
      </c>
      <c r="U1008" s="23">
        <v>47404</v>
      </c>
      <c r="X1008" s="20">
        <v>5000</v>
      </c>
      <c r="Z1008" s="6" t="s">
        <v>5978</v>
      </c>
      <c r="AA1008" s="14">
        <f t="shared" si="121"/>
        <v>5.9999999999999995E-4</v>
      </c>
      <c r="AB1008">
        <v>2.5869419999999996</v>
      </c>
      <c r="AC1008">
        <v>2.6904196799999998</v>
      </c>
    </row>
    <row r="1009" spans="1:29" x14ac:dyDescent="0.3">
      <c r="A1009">
        <v>150699</v>
      </c>
      <c r="B1009" s="25" t="s">
        <v>5984</v>
      </c>
      <c r="C1009" t="s">
        <v>20</v>
      </c>
      <c r="D1009" t="s">
        <v>21</v>
      </c>
      <c r="E1009">
        <v>2222222</v>
      </c>
      <c r="F1009" s="8" t="s">
        <v>22</v>
      </c>
      <c r="G1009" s="2">
        <v>98</v>
      </c>
      <c r="H1009" t="s">
        <v>3953</v>
      </c>
      <c r="J1009" s="9" t="s">
        <v>5353</v>
      </c>
      <c r="K1009" t="s">
        <v>5190</v>
      </c>
      <c r="L1009" s="2">
        <v>1</v>
      </c>
      <c r="M1009" s="24" t="s">
        <v>5971</v>
      </c>
      <c r="N1009" s="2" t="s">
        <v>23</v>
      </c>
      <c r="O1009" s="18" t="s">
        <v>831</v>
      </c>
      <c r="P1009" s="18" t="s">
        <v>0</v>
      </c>
      <c r="Q1009" s="6" t="s">
        <v>4475</v>
      </c>
      <c r="T1009" s="23">
        <v>46109</v>
      </c>
      <c r="U1009" s="23">
        <v>46839</v>
      </c>
      <c r="X1009" s="20">
        <v>1840</v>
      </c>
      <c r="Z1009" s="6" t="s">
        <v>5978</v>
      </c>
      <c r="AA1009" s="14">
        <f t="shared" si="121"/>
        <v>5.9999999999999995E-4</v>
      </c>
      <c r="AB1009">
        <v>0.98230799999999996</v>
      </c>
      <c r="AC1009">
        <v>1.0216003199999999</v>
      </c>
    </row>
    <row r="1010" spans="1:29" x14ac:dyDescent="0.3">
      <c r="A1010">
        <v>146367</v>
      </c>
      <c r="B1010" s="25" t="s">
        <v>5984</v>
      </c>
      <c r="C1010" t="s">
        <v>20</v>
      </c>
      <c r="D1010" t="s">
        <v>21</v>
      </c>
      <c r="E1010">
        <v>2222222</v>
      </c>
      <c r="F1010" s="8" t="s">
        <v>22</v>
      </c>
      <c r="G1010" s="2">
        <v>98</v>
      </c>
      <c r="H1010" t="s">
        <v>3954</v>
      </c>
      <c r="J1010" s="9" t="s">
        <v>4948</v>
      </c>
      <c r="K1010" t="s">
        <v>5270</v>
      </c>
      <c r="L1010" s="2">
        <v>1</v>
      </c>
      <c r="M1010" s="24" t="s">
        <v>5971</v>
      </c>
      <c r="N1010" s="2" t="s">
        <v>23</v>
      </c>
      <c r="O1010" s="18" t="s">
        <v>832</v>
      </c>
      <c r="P1010" s="18" t="s">
        <v>0</v>
      </c>
      <c r="Q1010" s="6" t="s">
        <v>4475</v>
      </c>
      <c r="T1010" s="23">
        <v>45812</v>
      </c>
      <c r="U1010" s="23">
        <v>45902</v>
      </c>
      <c r="X1010" s="20">
        <v>4260</v>
      </c>
      <c r="Z1010" s="6" t="s">
        <v>5978</v>
      </c>
      <c r="AA1010" s="14">
        <f t="shared" si="121"/>
        <v>5.9999999999999995E-4</v>
      </c>
      <c r="AB1010">
        <v>2.5559999999999996</v>
      </c>
      <c r="AC1010">
        <v>2.6582399999999997</v>
      </c>
    </row>
    <row r="1011" spans="1:29" x14ac:dyDescent="0.3">
      <c r="A1011">
        <v>152123</v>
      </c>
      <c r="B1011" s="25" t="s">
        <v>5984</v>
      </c>
      <c r="C1011" t="s">
        <v>20</v>
      </c>
      <c r="D1011" t="s">
        <v>21</v>
      </c>
      <c r="E1011">
        <v>2222222</v>
      </c>
      <c r="F1011" s="8" t="s">
        <v>22</v>
      </c>
      <c r="G1011" s="2">
        <v>98</v>
      </c>
      <c r="H1011" t="s">
        <v>3954</v>
      </c>
      <c r="J1011" s="9" t="s">
        <v>5354</v>
      </c>
      <c r="K1011" t="s">
        <v>5355</v>
      </c>
      <c r="L1011" s="2">
        <v>1</v>
      </c>
      <c r="M1011" s="24" t="s">
        <v>5971</v>
      </c>
      <c r="N1011" s="2" t="s">
        <v>23</v>
      </c>
      <c r="O1011" s="18" t="s">
        <v>833</v>
      </c>
      <c r="P1011" s="18" t="s">
        <v>3781</v>
      </c>
      <c r="Q1011" s="6" t="s">
        <v>4475</v>
      </c>
      <c r="T1011" s="23">
        <v>46213</v>
      </c>
      <c r="U1011" s="23">
        <v>47309</v>
      </c>
      <c r="X1011" s="20">
        <v>2090</v>
      </c>
      <c r="Z1011" s="6" t="s">
        <v>5978</v>
      </c>
      <c r="AA1011" s="14">
        <f t="shared" si="121"/>
        <v>5.9999999999999995E-4</v>
      </c>
      <c r="AB1011">
        <v>1.2539999999999998</v>
      </c>
      <c r="AC1011">
        <v>1.3041599999999998</v>
      </c>
    </row>
    <row r="1012" spans="1:29" x14ac:dyDescent="0.3">
      <c r="A1012">
        <v>147953</v>
      </c>
      <c r="B1012" s="25" t="s">
        <v>5984</v>
      </c>
      <c r="C1012" t="s">
        <v>20</v>
      </c>
      <c r="D1012" t="s">
        <v>21</v>
      </c>
      <c r="E1012">
        <v>2222222</v>
      </c>
      <c r="F1012" s="8" t="s">
        <v>22</v>
      </c>
      <c r="G1012" s="2">
        <v>98</v>
      </c>
      <c r="H1012" t="s">
        <v>3955</v>
      </c>
      <c r="J1012" s="9" t="s">
        <v>4913</v>
      </c>
      <c r="K1012" t="s">
        <v>4848</v>
      </c>
      <c r="L1012" s="2">
        <v>1</v>
      </c>
      <c r="M1012" s="24" t="s">
        <v>5971</v>
      </c>
      <c r="N1012" s="2" t="s">
        <v>23</v>
      </c>
      <c r="O1012" s="18" t="s">
        <v>834</v>
      </c>
      <c r="P1012" s="18" t="s">
        <v>0</v>
      </c>
      <c r="Q1012" s="6" t="s">
        <v>4475</v>
      </c>
      <c r="T1012" s="23">
        <v>45927</v>
      </c>
      <c r="U1012" s="23">
        <v>46657</v>
      </c>
      <c r="X1012" s="20">
        <v>3500</v>
      </c>
      <c r="Z1012" s="6" t="s">
        <v>5978</v>
      </c>
      <c r="AA1012" s="14">
        <f t="shared" si="121"/>
        <v>5.9999999999999995E-4</v>
      </c>
      <c r="AB1012">
        <v>1.310316</v>
      </c>
      <c r="AC1012">
        <v>1.36272864</v>
      </c>
    </row>
    <row r="1013" spans="1:29" x14ac:dyDescent="0.3">
      <c r="A1013">
        <v>148965</v>
      </c>
      <c r="B1013" s="25" t="s">
        <v>5984</v>
      </c>
      <c r="C1013" t="s">
        <v>20</v>
      </c>
      <c r="D1013" t="s">
        <v>21</v>
      </c>
      <c r="E1013">
        <v>2222222</v>
      </c>
      <c r="F1013" s="8" t="s">
        <v>22</v>
      </c>
      <c r="G1013" s="2">
        <v>98</v>
      </c>
      <c r="H1013" t="s">
        <v>3955</v>
      </c>
      <c r="J1013" s="9" t="s">
        <v>5153</v>
      </c>
      <c r="K1013" t="s">
        <v>4761</v>
      </c>
      <c r="L1013" s="2">
        <v>1</v>
      </c>
      <c r="M1013" s="24" t="s">
        <v>5971</v>
      </c>
      <c r="N1013" s="2" t="s">
        <v>23</v>
      </c>
      <c r="O1013" s="18" t="s">
        <v>835</v>
      </c>
      <c r="P1013" s="18" t="s">
        <v>3781</v>
      </c>
      <c r="Q1013" s="6" t="s">
        <v>4475</v>
      </c>
      <c r="T1013" s="23">
        <v>45990</v>
      </c>
      <c r="U1013" s="23">
        <v>47090</v>
      </c>
      <c r="X1013" s="20">
        <v>3000</v>
      </c>
      <c r="Z1013" s="6" t="s">
        <v>5978</v>
      </c>
      <c r="AA1013" s="14">
        <f t="shared" si="121"/>
        <v>5.9999999999999995E-4</v>
      </c>
      <c r="AB1013">
        <v>1.5167219999999999</v>
      </c>
      <c r="AC1013">
        <v>1.5773908800000001</v>
      </c>
    </row>
    <row r="1014" spans="1:29" x14ac:dyDescent="0.3">
      <c r="A1014">
        <v>143358</v>
      </c>
      <c r="B1014" s="25" t="s">
        <v>5984</v>
      </c>
      <c r="C1014" t="s">
        <v>20</v>
      </c>
      <c r="D1014" t="s">
        <v>21</v>
      </c>
      <c r="E1014">
        <v>2222222</v>
      </c>
      <c r="F1014" s="8" t="s">
        <v>22</v>
      </c>
      <c r="G1014" s="2">
        <v>98</v>
      </c>
      <c r="H1014" t="s">
        <v>3956</v>
      </c>
      <c r="J1014" s="9" t="s">
        <v>5323</v>
      </c>
      <c r="K1014" t="s">
        <v>4968</v>
      </c>
      <c r="L1014" s="2">
        <v>1</v>
      </c>
      <c r="M1014" s="24" t="s">
        <v>5971</v>
      </c>
      <c r="N1014" s="2" t="s">
        <v>23</v>
      </c>
      <c r="O1014" s="18" t="s">
        <v>836</v>
      </c>
      <c r="P1014" s="18" t="s">
        <v>0</v>
      </c>
      <c r="Q1014" s="6" t="s">
        <v>4475</v>
      </c>
      <c r="T1014" s="23">
        <v>45586</v>
      </c>
      <c r="U1014" s="23">
        <v>47776</v>
      </c>
      <c r="X1014" s="20">
        <v>5450</v>
      </c>
      <c r="Z1014" s="6" t="s">
        <v>5978</v>
      </c>
      <c r="AA1014" s="14">
        <f t="shared" si="121"/>
        <v>5.9999999999999995E-4</v>
      </c>
      <c r="AB1014">
        <v>2.6298899999999996</v>
      </c>
      <c r="AC1014">
        <v>2.7350855999999997</v>
      </c>
    </row>
    <row r="1015" spans="1:29" x14ac:dyDescent="0.3">
      <c r="A1015">
        <v>142367</v>
      </c>
      <c r="B1015" s="25" t="s">
        <v>5984</v>
      </c>
      <c r="C1015" t="s">
        <v>20</v>
      </c>
      <c r="D1015" t="s">
        <v>21</v>
      </c>
      <c r="E1015">
        <v>2222222</v>
      </c>
      <c r="F1015" s="8" t="s">
        <v>22</v>
      </c>
      <c r="G1015" s="2">
        <v>98</v>
      </c>
      <c r="H1015" t="s">
        <v>3957</v>
      </c>
      <c r="J1015" s="9" t="s">
        <v>4848</v>
      </c>
      <c r="K1015" t="s">
        <v>5130</v>
      </c>
      <c r="L1015" s="2">
        <v>1</v>
      </c>
      <c r="M1015" s="24" t="s">
        <v>5971</v>
      </c>
      <c r="N1015" s="2" t="s">
        <v>23</v>
      </c>
      <c r="O1015" s="18" t="s">
        <v>837</v>
      </c>
      <c r="P1015" s="18" t="s">
        <v>0</v>
      </c>
      <c r="Q1015" s="6" t="s">
        <v>4475</v>
      </c>
      <c r="T1015" s="23">
        <v>45515</v>
      </c>
      <c r="U1015" s="23">
        <v>47067</v>
      </c>
      <c r="X1015" s="20">
        <v>4900</v>
      </c>
      <c r="Z1015" s="6" t="s">
        <v>5978</v>
      </c>
      <c r="AA1015" s="14">
        <f t="shared" si="121"/>
        <v>5.9999999999999995E-4</v>
      </c>
      <c r="AB1015">
        <v>2.0321459999999996</v>
      </c>
      <c r="AC1015">
        <v>2.1134318399999996</v>
      </c>
    </row>
    <row r="1016" spans="1:29" x14ac:dyDescent="0.3">
      <c r="A1016">
        <v>142466</v>
      </c>
      <c r="B1016" s="25" t="s">
        <v>5984</v>
      </c>
      <c r="C1016" t="s">
        <v>20</v>
      </c>
      <c r="D1016" t="s">
        <v>21</v>
      </c>
      <c r="E1016">
        <v>2222222</v>
      </c>
      <c r="F1016" s="8" t="s">
        <v>22</v>
      </c>
      <c r="G1016" s="2">
        <v>98</v>
      </c>
      <c r="H1016" t="s">
        <v>3957</v>
      </c>
      <c r="J1016" s="9" t="s">
        <v>4848</v>
      </c>
      <c r="K1016" t="s">
        <v>5130</v>
      </c>
      <c r="L1016" s="2">
        <v>1</v>
      </c>
      <c r="M1016" s="24" t="s">
        <v>5971</v>
      </c>
      <c r="N1016" s="2" t="s">
        <v>23</v>
      </c>
      <c r="O1016" s="18" t="s">
        <v>837</v>
      </c>
      <c r="P1016" s="18" t="s">
        <v>0</v>
      </c>
      <c r="Q1016" s="6" t="s">
        <v>4475</v>
      </c>
      <c r="T1016" s="23">
        <v>45523</v>
      </c>
      <c r="U1016" s="23">
        <v>47440</v>
      </c>
      <c r="X1016" s="20">
        <v>4725</v>
      </c>
      <c r="Z1016" s="6" t="s">
        <v>5978</v>
      </c>
      <c r="AA1016" s="14">
        <f t="shared" si="121"/>
        <v>5.9999999999999995E-4</v>
      </c>
      <c r="AB1016">
        <v>2.1540300000000001</v>
      </c>
      <c r="AC1016">
        <v>2.2401912000000004</v>
      </c>
    </row>
    <row r="1017" spans="1:29" x14ac:dyDescent="0.3">
      <c r="A1017">
        <v>145192</v>
      </c>
      <c r="B1017" s="25" t="s">
        <v>5984</v>
      </c>
      <c r="C1017" t="s">
        <v>20</v>
      </c>
      <c r="D1017" t="s">
        <v>21</v>
      </c>
      <c r="E1017">
        <v>2222222</v>
      </c>
      <c r="F1017" s="8" t="s">
        <v>22</v>
      </c>
      <c r="G1017" s="2">
        <v>98</v>
      </c>
      <c r="H1017" t="s">
        <v>3957</v>
      </c>
      <c r="J1017" s="9" t="s">
        <v>4892</v>
      </c>
      <c r="K1017" t="s">
        <v>5056</v>
      </c>
      <c r="L1017" s="2">
        <v>1</v>
      </c>
      <c r="M1017" s="24" t="s">
        <v>5971</v>
      </c>
      <c r="N1017" s="2" t="s">
        <v>23</v>
      </c>
      <c r="O1017" s="18" t="s">
        <v>838</v>
      </c>
      <c r="P1017" s="18" t="s">
        <v>3781</v>
      </c>
      <c r="Q1017" s="6" t="s">
        <v>4475</v>
      </c>
      <c r="T1017" s="23">
        <v>45744</v>
      </c>
      <c r="U1017" s="23">
        <v>48665</v>
      </c>
      <c r="X1017" s="20">
        <v>20000</v>
      </c>
      <c r="Z1017" s="6" t="s">
        <v>5978</v>
      </c>
      <c r="AA1017" s="14">
        <f t="shared" si="121"/>
        <v>5.9999999999999995E-4</v>
      </c>
      <c r="AB1017">
        <v>10.685405999999999</v>
      </c>
      <c r="AC1017">
        <v>11.112822239999998</v>
      </c>
    </row>
    <row r="1018" spans="1:29" x14ac:dyDescent="0.3">
      <c r="A1018">
        <v>148484</v>
      </c>
      <c r="B1018" s="25" t="s">
        <v>5984</v>
      </c>
      <c r="C1018" t="s">
        <v>20</v>
      </c>
      <c r="D1018" t="s">
        <v>21</v>
      </c>
      <c r="E1018">
        <v>2222222</v>
      </c>
      <c r="F1018" s="8" t="s">
        <v>22</v>
      </c>
      <c r="G1018" s="2">
        <v>98</v>
      </c>
      <c r="H1018" t="s">
        <v>3957</v>
      </c>
      <c r="J1018" s="9" t="s">
        <v>4836</v>
      </c>
      <c r="K1018" t="s">
        <v>4969</v>
      </c>
      <c r="L1018" s="2">
        <v>1</v>
      </c>
      <c r="M1018" s="24" t="s">
        <v>5971</v>
      </c>
      <c r="N1018" s="2" t="s">
        <v>23</v>
      </c>
      <c r="O1018" s="18" t="s">
        <v>839</v>
      </c>
      <c r="P1018" s="18" t="s">
        <v>3781</v>
      </c>
      <c r="Q1018" s="6" t="s">
        <v>4475</v>
      </c>
      <c r="T1018" s="23">
        <v>45799</v>
      </c>
      <c r="U1018" s="23">
        <v>46883</v>
      </c>
      <c r="X1018" s="20">
        <v>4000</v>
      </c>
      <c r="Z1018" s="6" t="s">
        <v>5978</v>
      </c>
      <c r="AA1018" s="14">
        <f t="shared" si="121"/>
        <v>5.9999999999999995E-4</v>
      </c>
      <c r="AB1018">
        <v>1.5863399999999999</v>
      </c>
      <c r="AC1018">
        <v>1.6497936</v>
      </c>
    </row>
    <row r="1019" spans="1:29" x14ac:dyDescent="0.3">
      <c r="A1019">
        <v>148921</v>
      </c>
      <c r="B1019" s="25" t="s">
        <v>5984</v>
      </c>
      <c r="C1019" t="s">
        <v>20</v>
      </c>
      <c r="D1019" t="s">
        <v>21</v>
      </c>
      <c r="E1019">
        <v>2222222</v>
      </c>
      <c r="F1019" s="8" t="s">
        <v>22</v>
      </c>
      <c r="G1019" s="2">
        <v>98</v>
      </c>
      <c r="H1019" t="s">
        <v>3957</v>
      </c>
      <c r="J1019" s="9" t="s">
        <v>5356</v>
      </c>
      <c r="K1019" t="s">
        <v>5357</v>
      </c>
      <c r="L1019" s="2">
        <v>1</v>
      </c>
      <c r="M1019" s="24" t="s">
        <v>5971</v>
      </c>
      <c r="N1019" s="2" t="s">
        <v>23</v>
      </c>
      <c r="O1019" s="18" t="s">
        <v>840</v>
      </c>
      <c r="P1019" s="18" t="s">
        <v>3781</v>
      </c>
      <c r="Q1019" s="6" t="s">
        <v>4475</v>
      </c>
      <c r="T1019" s="23">
        <v>45987</v>
      </c>
      <c r="U1019" s="23">
        <v>46903</v>
      </c>
      <c r="X1019" s="20">
        <v>5000</v>
      </c>
      <c r="Z1019" s="6" t="s">
        <v>5978</v>
      </c>
      <c r="AA1019" s="14">
        <f t="shared" si="121"/>
        <v>5.9999999999999995E-4</v>
      </c>
      <c r="AB1019">
        <v>2.3257019999999997</v>
      </c>
      <c r="AC1019">
        <v>2.41873008</v>
      </c>
    </row>
    <row r="1020" spans="1:29" x14ac:dyDescent="0.3">
      <c r="A1020">
        <v>149565</v>
      </c>
      <c r="B1020" s="25" t="s">
        <v>5984</v>
      </c>
      <c r="C1020" t="s">
        <v>20</v>
      </c>
      <c r="D1020" t="s">
        <v>21</v>
      </c>
      <c r="E1020">
        <v>2222222</v>
      </c>
      <c r="F1020" s="8" t="s">
        <v>22</v>
      </c>
      <c r="G1020" s="2">
        <v>98</v>
      </c>
      <c r="H1020" t="s">
        <v>3957</v>
      </c>
      <c r="J1020" s="9" t="s">
        <v>4836</v>
      </c>
      <c r="K1020" t="s">
        <v>4516</v>
      </c>
      <c r="L1020" s="2">
        <v>1</v>
      </c>
      <c r="M1020" s="24" t="s">
        <v>5971</v>
      </c>
      <c r="N1020" s="2" t="s">
        <v>23</v>
      </c>
      <c r="O1020" s="18" t="s">
        <v>841</v>
      </c>
      <c r="P1020" s="18" t="s">
        <v>3781</v>
      </c>
      <c r="Q1020" s="6" t="s">
        <v>4475</v>
      </c>
      <c r="T1020" s="23">
        <v>46034</v>
      </c>
      <c r="U1020" s="23">
        <v>47130</v>
      </c>
      <c r="X1020" s="20">
        <v>4400</v>
      </c>
      <c r="Z1020" s="6" t="s">
        <v>5978</v>
      </c>
      <c r="AA1020" s="14">
        <f t="shared" si="121"/>
        <v>5.9999999999999995E-4</v>
      </c>
      <c r="AB1020">
        <v>2.289876</v>
      </c>
      <c r="AC1020">
        <v>2.3814710400000001</v>
      </c>
    </row>
    <row r="1021" spans="1:29" x14ac:dyDescent="0.3">
      <c r="A1021">
        <v>141283</v>
      </c>
      <c r="B1021" s="25" t="s">
        <v>5984</v>
      </c>
      <c r="C1021" t="s">
        <v>20</v>
      </c>
      <c r="D1021" t="s">
        <v>21</v>
      </c>
      <c r="E1021">
        <v>2222222</v>
      </c>
      <c r="F1021" s="8" t="s">
        <v>22</v>
      </c>
      <c r="G1021" s="2">
        <v>98</v>
      </c>
      <c r="H1021" t="s">
        <v>3958</v>
      </c>
      <c r="J1021" s="9" t="s">
        <v>5061</v>
      </c>
      <c r="K1021" t="s">
        <v>5078</v>
      </c>
      <c r="L1021" s="2">
        <v>1</v>
      </c>
      <c r="M1021" s="24" t="s">
        <v>5971</v>
      </c>
      <c r="N1021" s="2" t="s">
        <v>23</v>
      </c>
      <c r="O1021" s="18" t="s">
        <v>842</v>
      </c>
      <c r="P1021" s="18" t="s">
        <v>0</v>
      </c>
      <c r="Q1021" s="6" t="s">
        <v>4475</v>
      </c>
      <c r="T1021" s="23">
        <v>45443</v>
      </c>
      <c r="U1021" s="23">
        <v>46905</v>
      </c>
      <c r="X1021" s="20">
        <v>4510</v>
      </c>
      <c r="Z1021" s="6" t="s">
        <v>5978</v>
      </c>
      <c r="AA1021" s="14">
        <f t="shared" si="121"/>
        <v>5.9999999999999995E-4</v>
      </c>
      <c r="AB1021">
        <v>2.6230560000000001</v>
      </c>
      <c r="AC1021">
        <v>2.7279782400000001</v>
      </c>
    </row>
    <row r="1022" spans="1:29" x14ac:dyDescent="0.3">
      <c r="A1022">
        <v>151415</v>
      </c>
      <c r="B1022" s="25" t="s">
        <v>5984</v>
      </c>
      <c r="C1022" t="s">
        <v>20</v>
      </c>
      <c r="D1022" t="s">
        <v>21</v>
      </c>
      <c r="E1022">
        <v>2222222</v>
      </c>
      <c r="F1022" s="8" t="s">
        <v>22</v>
      </c>
      <c r="G1022" s="2">
        <v>98</v>
      </c>
      <c r="H1022" t="s">
        <v>3958</v>
      </c>
      <c r="J1022" s="9" t="s">
        <v>5358</v>
      </c>
      <c r="K1022" t="s">
        <v>4932</v>
      </c>
      <c r="L1022" s="2">
        <v>1</v>
      </c>
      <c r="M1022" s="24" t="s">
        <v>5971</v>
      </c>
      <c r="N1022" s="2" t="s">
        <v>23</v>
      </c>
      <c r="O1022" s="18" t="s">
        <v>843</v>
      </c>
      <c r="P1022" s="18" t="s">
        <v>3781</v>
      </c>
      <c r="Q1022" s="6" t="s">
        <v>4475</v>
      </c>
      <c r="T1022" s="23">
        <v>46162</v>
      </c>
      <c r="U1022" s="23">
        <v>46716</v>
      </c>
      <c r="X1022" s="20">
        <v>1200</v>
      </c>
      <c r="Z1022" s="6" t="s">
        <v>5978</v>
      </c>
      <c r="AA1022" s="14">
        <f t="shared" si="121"/>
        <v>5.9999999999999995E-4</v>
      </c>
      <c r="AB1022">
        <v>0.64854000000000001</v>
      </c>
      <c r="AC1022">
        <v>0.67448160000000001</v>
      </c>
    </row>
    <row r="1023" spans="1:29" x14ac:dyDescent="0.3">
      <c r="A1023">
        <v>135169</v>
      </c>
      <c r="B1023" s="25" t="s">
        <v>5984</v>
      </c>
      <c r="C1023" t="s">
        <v>20</v>
      </c>
      <c r="D1023" t="s">
        <v>21</v>
      </c>
      <c r="E1023">
        <v>2222222</v>
      </c>
      <c r="F1023" s="8" t="s">
        <v>22</v>
      </c>
      <c r="G1023" s="2">
        <v>98</v>
      </c>
      <c r="H1023" t="s">
        <v>3959</v>
      </c>
      <c r="J1023" s="9" t="s">
        <v>5356</v>
      </c>
      <c r="K1023" t="s">
        <v>5359</v>
      </c>
      <c r="L1023" s="2">
        <v>1</v>
      </c>
      <c r="M1023" s="24" t="s">
        <v>5971</v>
      </c>
      <c r="N1023" s="2" t="s">
        <v>23</v>
      </c>
      <c r="O1023" s="18" t="s">
        <v>844</v>
      </c>
      <c r="P1023" s="18" t="s">
        <v>3781</v>
      </c>
      <c r="Q1023" s="6" t="s">
        <v>4475</v>
      </c>
      <c r="T1023" s="23">
        <v>45111</v>
      </c>
      <c r="U1023" s="23">
        <v>46937</v>
      </c>
      <c r="X1023" s="20">
        <v>11000</v>
      </c>
      <c r="Z1023" s="6" t="s">
        <v>5978</v>
      </c>
      <c r="AA1023" s="13">
        <f t="shared" ref="AA1023:AA1024" si="122">+(0.56/1000)</f>
        <v>5.6000000000000006E-4</v>
      </c>
      <c r="AB1023">
        <v>2.7022463999999999</v>
      </c>
      <c r="AC1023">
        <v>2.8103362559999998</v>
      </c>
    </row>
    <row r="1024" spans="1:29" x14ac:dyDescent="0.3">
      <c r="A1024">
        <v>138661</v>
      </c>
      <c r="B1024" s="25" t="s">
        <v>5984</v>
      </c>
      <c r="C1024" t="s">
        <v>20</v>
      </c>
      <c r="D1024" t="s">
        <v>21</v>
      </c>
      <c r="E1024">
        <v>2222222</v>
      </c>
      <c r="F1024" s="8" t="s">
        <v>22</v>
      </c>
      <c r="G1024" s="2">
        <v>98</v>
      </c>
      <c r="H1024" t="s">
        <v>3960</v>
      </c>
      <c r="J1024" s="9" t="s">
        <v>5071</v>
      </c>
      <c r="K1024" t="s">
        <v>5021</v>
      </c>
      <c r="L1024" s="2">
        <v>1</v>
      </c>
      <c r="M1024" s="24" t="s">
        <v>5971</v>
      </c>
      <c r="N1024" s="2" t="s">
        <v>23</v>
      </c>
      <c r="O1024" s="18" t="s">
        <v>845</v>
      </c>
      <c r="P1024" s="18" t="s">
        <v>3781</v>
      </c>
      <c r="Q1024" s="6" t="s">
        <v>4475</v>
      </c>
      <c r="T1024" s="23">
        <v>45289</v>
      </c>
      <c r="U1024" s="23">
        <v>47845</v>
      </c>
      <c r="X1024" s="20">
        <v>20500</v>
      </c>
      <c r="Z1024" s="6" t="s">
        <v>5978</v>
      </c>
      <c r="AA1024" s="13">
        <f t="shared" si="122"/>
        <v>5.6000000000000006E-4</v>
      </c>
      <c r="AB1024">
        <v>8.5957760000000007</v>
      </c>
      <c r="AC1024">
        <v>8.9396070400000003</v>
      </c>
    </row>
    <row r="1025" spans="1:29" x14ac:dyDescent="0.3">
      <c r="A1025">
        <v>142775</v>
      </c>
      <c r="B1025" s="25" t="s">
        <v>5984</v>
      </c>
      <c r="C1025" t="s">
        <v>20</v>
      </c>
      <c r="D1025" t="s">
        <v>21</v>
      </c>
      <c r="E1025">
        <v>2222222</v>
      </c>
      <c r="F1025" s="8" t="s">
        <v>22</v>
      </c>
      <c r="G1025" s="2">
        <v>98</v>
      </c>
      <c r="H1025" t="s">
        <v>3960</v>
      </c>
      <c r="J1025" s="9" t="s">
        <v>4852</v>
      </c>
      <c r="K1025" t="s">
        <v>5360</v>
      </c>
      <c r="L1025" s="2">
        <v>1</v>
      </c>
      <c r="M1025" s="24" t="s">
        <v>5971</v>
      </c>
      <c r="N1025" s="2" t="s">
        <v>23</v>
      </c>
      <c r="O1025" s="18" t="s">
        <v>846</v>
      </c>
      <c r="P1025" s="18" t="s">
        <v>0</v>
      </c>
      <c r="Q1025" s="6" t="s">
        <v>4475</v>
      </c>
      <c r="T1025" s="23">
        <v>45568</v>
      </c>
      <c r="U1025" s="23">
        <v>49401</v>
      </c>
      <c r="X1025" s="20">
        <v>48000</v>
      </c>
      <c r="Z1025" s="6" t="s">
        <v>5978</v>
      </c>
      <c r="AA1025" s="14">
        <f t="shared" ref="AA1025:AA1032" si="123">+(0.6/1000)</f>
        <v>5.9999999999999995E-4</v>
      </c>
      <c r="AB1025">
        <v>27.299339999999997</v>
      </c>
      <c r="AC1025">
        <v>28.391313599999997</v>
      </c>
    </row>
    <row r="1026" spans="1:29" x14ac:dyDescent="0.3">
      <c r="A1026">
        <v>145996</v>
      </c>
      <c r="B1026" s="25" t="s">
        <v>5984</v>
      </c>
      <c r="C1026" t="s">
        <v>20</v>
      </c>
      <c r="D1026" t="s">
        <v>21</v>
      </c>
      <c r="E1026">
        <v>2222222</v>
      </c>
      <c r="F1026" s="8" t="s">
        <v>22</v>
      </c>
      <c r="G1026" s="2">
        <v>98</v>
      </c>
      <c r="H1026" t="s">
        <v>3960</v>
      </c>
      <c r="J1026" s="9" t="s">
        <v>5240</v>
      </c>
      <c r="K1026" t="s">
        <v>4875</v>
      </c>
      <c r="L1026" s="2">
        <v>1</v>
      </c>
      <c r="M1026" s="24" t="s">
        <v>5971</v>
      </c>
      <c r="N1026" s="2" t="s">
        <v>23</v>
      </c>
      <c r="O1026" s="18" t="s">
        <v>847</v>
      </c>
      <c r="P1026" s="18" t="s">
        <v>0</v>
      </c>
      <c r="Q1026" s="6" t="s">
        <v>4475</v>
      </c>
      <c r="T1026" s="23">
        <v>45782</v>
      </c>
      <c r="U1026" s="23">
        <v>46513</v>
      </c>
      <c r="X1026" s="20">
        <v>2980</v>
      </c>
      <c r="Z1026" s="6" t="s">
        <v>5978</v>
      </c>
      <c r="AA1026" s="14">
        <f t="shared" si="123"/>
        <v>5.9999999999999995E-4</v>
      </c>
      <c r="AB1026">
        <v>1.0435859999999999</v>
      </c>
      <c r="AC1026">
        <v>1.08532944</v>
      </c>
    </row>
    <row r="1027" spans="1:29" x14ac:dyDescent="0.3">
      <c r="A1027">
        <v>149782</v>
      </c>
      <c r="B1027" s="25" t="s">
        <v>5984</v>
      </c>
      <c r="C1027" t="s">
        <v>20</v>
      </c>
      <c r="D1027" t="s">
        <v>21</v>
      </c>
      <c r="E1027">
        <v>2222222</v>
      </c>
      <c r="F1027" s="8" t="s">
        <v>22</v>
      </c>
      <c r="G1027" s="2">
        <v>98</v>
      </c>
      <c r="H1027" t="s">
        <v>3960</v>
      </c>
      <c r="J1027" s="9" t="s">
        <v>4967</v>
      </c>
      <c r="K1027" t="s">
        <v>5048</v>
      </c>
      <c r="L1027" s="2">
        <v>1</v>
      </c>
      <c r="M1027" s="24" t="s">
        <v>5971</v>
      </c>
      <c r="N1027" s="2" t="s">
        <v>23</v>
      </c>
      <c r="O1027" s="18" t="s">
        <v>848</v>
      </c>
      <c r="P1027" s="18" t="s">
        <v>3781</v>
      </c>
      <c r="Q1027" s="6" t="s">
        <v>4475</v>
      </c>
      <c r="T1027" s="23">
        <v>46049</v>
      </c>
      <c r="U1027" s="23">
        <v>46778</v>
      </c>
      <c r="X1027" s="20">
        <v>3000</v>
      </c>
      <c r="Z1027" s="6" t="s">
        <v>5978</v>
      </c>
      <c r="AA1027" s="14">
        <f t="shared" si="123"/>
        <v>5.9999999999999995E-4</v>
      </c>
      <c r="AB1027">
        <v>1.4038139999999999</v>
      </c>
      <c r="AC1027">
        <v>1.45996656</v>
      </c>
    </row>
    <row r="1028" spans="1:29" x14ac:dyDescent="0.3">
      <c r="A1028">
        <v>147774</v>
      </c>
      <c r="B1028" s="25" t="s">
        <v>5984</v>
      </c>
      <c r="C1028" t="s">
        <v>20</v>
      </c>
      <c r="D1028" t="s">
        <v>21</v>
      </c>
      <c r="E1028">
        <v>2222222</v>
      </c>
      <c r="F1028" s="8" t="s">
        <v>22</v>
      </c>
      <c r="G1028" s="2">
        <v>98</v>
      </c>
      <c r="H1028" t="s">
        <v>3961</v>
      </c>
      <c r="J1028" s="9" t="s">
        <v>5057</v>
      </c>
      <c r="K1028" t="s">
        <v>4999</v>
      </c>
      <c r="L1028" s="2">
        <v>1</v>
      </c>
      <c r="M1028" s="24" t="s">
        <v>5971</v>
      </c>
      <c r="N1028" s="2" t="s">
        <v>23</v>
      </c>
      <c r="O1028" s="18" t="s">
        <v>849</v>
      </c>
      <c r="P1028" s="18" t="s">
        <v>3781</v>
      </c>
      <c r="Q1028" s="6" t="s">
        <v>4475</v>
      </c>
      <c r="T1028" s="23">
        <v>45912</v>
      </c>
      <c r="U1028" s="23">
        <v>47008</v>
      </c>
      <c r="X1028" s="20">
        <v>3000</v>
      </c>
      <c r="Z1028" s="6" t="s">
        <v>5978</v>
      </c>
      <c r="AA1028" s="14">
        <f t="shared" si="123"/>
        <v>5.9999999999999995E-4</v>
      </c>
      <c r="AB1028">
        <v>1.3927619999999998</v>
      </c>
      <c r="AC1028">
        <v>1.44847248</v>
      </c>
    </row>
    <row r="1029" spans="1:29" x14ac:dyDescent="0.3">
      <c r="A1029">
        <v>150633</v>
      </c>
      <c r="B1029" s="25" t="s">
        <v>5984</v>
      </c>
      <c r="C1029" t="s">
        <v>20</v>
      </c>
      <c r="D1029" t="s">
        <v>21</v>
      </c>
      <c r="E1029">
        <v>2222222</v>
      </c>
      <c r="F1029" s="8" t="s">
        <v>22</v>
      </c>
      <c r="G1029" s="2">
        <v>98</v>
      </c>
      <c r="H1029" t="s">
        <v>3961</v>
      </c>
      <c r="J1029" s="9" t="s">
        <v>5057</v>
      </c>
      <c r="K1029" t="s">
        <v>4999</v>
      </c>
      <c r="L1029" s="2">
        <v>1</v>
      </c>
      <c r="M1029" s="24" t="s">
        <v>5971</v>
      </c>
      <c r="N1029" s="2" t="s">
        <v>23</v>
      </c>
      <c r="O1029" s="18" t="s">
        <v>849</v>
      </c>
      <c r="P1029" s="18" t="s">
        <v>3781</v>
      </c>
      <c r="Q1029" s="6" t="s">
        <v>4475</v>
      </c>
      <c r="T1029" s="23">
        <v>46105</v>
      </c>
      <c r="U1029" s="23">
        <v>47930</v>
      </c>
      <c r="X1029" s="20">
        <v>3345</v>
      </c>
      <c r="Z1029" s="6" t="s">
        <v>5978</v>
      </c>
      <c r="AA1029" s="14">
        <f t="shared" si="123"/>
        <v>5.9999999999999995E-4</v>
      </c>
      <c r="AB1029">
        <v>1.9169459999999998</v>
      </c>
      <c r="AC1029">
        <v>1.9936238399999999</v>
      </c>
    </row>
    <row r="1030" spans="1:29" x14ac:dyDescent="0.3">
      <c r="A1030">
        <v>142148</v>
      </c>
      <c r="B1030" s="25" t="s">
        <v>5984</v>
      </c>
      <c r="C1030" t="s">
        <v>20</v>
      </c>
      <c r="D1030" t="s">
        <v>21</v>
      </c>
      <c r="E1030">
        <v>2222222</v>
      </c>
      <c r="F1030" s="8" t="s">
        <v>22</v>
      </c>
      <c r="G1030" s="2">
        <v>98</v>
      </c>
      <c r="H1030" t="s">
        <v>3962</v>
      </c>
      <c r="J1030" s="9" t="s">
        <v>5165</v>
      </c>
      <c r="K1030" t="s">
        <v>5083</v>
      </c>
      <c r="L1030" s="2">
        <v>1</v>
      </c>
      <c r="M1030" s="24" t="s">
        <v>5971</v>
      </c>
      <c r="N1030" s="2" t="s">
        <v>23</v>
      </c>
      <c r="O1030" s="18" t="s">
        <v>850</v>
      </c>
      <c r="P1030" s="18" t="s">
        <v>3781</v>
      </c>
      <c r="Q1030" s="6" t="s">
        <v>4475</v>
      </c>
      <c r="T1030" s="23">
        <v>45506</v>
      </c>
      <c r="U1030" s="23">
        <v>46600</v>
      </c>
      <c r="X1030" s="20">
        <v>2500</v>
      </c>
      <c r="Z1030" s="6" t="s">
        <v>5978</v>
      </c>
      <c r="AA1030" s="14">
        <f t="shared" si="123"/>
        <v>5.9999999999999995E-4</v>
      </c>
      <c r="AB1030">
        <v>0.64170599999999989</v>
      </c>
      <c r="AC1030">
        <v>0.6673742399999999</v>
      </c>
    </row>
    <row r="1031" spans="1:29" x14ac:dyDescent="0.3">
      <c r="A1031">
        <v>144669</v>
      </c>
      <c r="B1031" s="25" t="s">
        <v>5984</v>
      </c>
      <c r="C1031" t="s">
        <v>20</v>
      </c>
      <c r="D1031" t="s">
        <v>21</v>
      </c>
      <c r="E1031">
        <v>2222222</v>
      </c>
      <c r="F1031" s="8" t="s">
        <v>22</v>
      </c>
      <c r="G1031" s="2">
        <v>98</v>
      </c>
      <c r="H1031" t="s">
        <v>3963</v>
      </c>
      <c r="J1031" s="9" t="s">
        <v>4838</v>
      </c>
      <c r="K1031" t="s">
        <v>4826</v>
      </c>
      <c r="L1031" s="2">
        <v>1</v>
      </c>
      <c r="M1031" s="24" t="s">
        <v>5971</v>
      </c>
      <c r="N1031" s="2" t="s">
        <v>23</v>
      </c>
      <c r="O1031" s="18" t="s">
        <v>851</v>
      </c>
      <c r="P1031" s="18" t="s">
        <v>0</v>
      </c>
      <c r="Q1031" s="6" t="s">
        <v>4475</v>
      </c>
      <c r="T1031" s="23">
        <v>45691</v>
      </c>
      <c r="U1031" s="23">
        <v>47519</v>
      </c>
      <c r="X1031" s="20">
        <v>20000</v>
      </c>
      <c r="Z1031" s="6" t="s">
        <v>5978</v>
      </c>
      <c r="AA1031" s="14">
        <f t="shared" si="123"/>
        <v>5.9999999999999995E-4</v>
      </c>
      <c r="AB1031">
        <v>9.5154419999999984</v>
      </c>
      <c r="AC1031">
        <v>9.8960596799999987</v>
      </c>
    </row>
    <row r="1032" spans="1:29" x14ac:dyDescent="0.3">
      <c r="A1032">
        <v>152308</v>
      </c>
      <c r="B1032" s="25" t="s">
        <v>5984</v>
      </c>
      <c r="C1032" t="s">
        <v>20</v>
      </c>
      <c r="D1032" t="s">
        <v>21</v>
      </c>
      <c r="E1032">
        <v>2222222</v>
      </c>
      <c r="F1032" s="8" t="s">
        <v>22</v>
      </c>
      <c r="G1032" s="2">
        <v>98</v>
      </c>
      <c r="H1032" t="s">
        <v>3963</v>
      </c>
      <c r="J1032" s="9" t="s">
        <v>4838</v>
      </c>
      <c r="K1032" t="s">
        <v>4826</v>
      </c>
      <c r="L1032" s="2">
        <v>1</v>
      </c>
      <c r="M1032" s="24" t="s">
        <v>5971</v>
      </c>
      <c r="N1032" s="2" t="s">
        <v>23</v>
      </c>
      <c r="O1032" s="18" t="s">
        <v>851</v>
      </c>
      <c r="P1032" s="18" t="s">
        <v>0</v>
      </c>
      <c r="Q1032" s="6" t="s">
        <v>4475</v>
      </c>
      <c r="T1032" s="23">
        <v>46227</v>
      </c>
      <c r="U1032" s="23">
        <v>47506</v>
      </c>
      <c r="X1032" s="20">
        <v>5000</v>
      </c>
      <c r="Z1032" s="6" t="s">
        <v>5978</v>
      </c>
      <c r="AA1032" s="14">
        <f t="shared" si="123"/>
        <v>5.9999999999999995E-4</v>
      </c>
      <c r="AB1032">
        <v>2.9999999999999996</v>
      </c>
      <c r="AC1032">
        <v>3.1199999999999997</v>
      </c>
    </row>
    <row r="1033" spans="1:29" x14ac:dyDescent="0.3">
      <c r="A1033">
        <v>125329</v>
      </c>
      <c r="B1033" s="25" t="s">
        <v>5984</v>
      </c>
      <c r="C1033" t="s">
        <v>20</v>
      </c>
      <c r="D1033" t="s">
        <v>21</v>
      </c>
      <c r="E1033">
        <v>2222222</v>
      </c>
      <c r="F1033" s="8" t="s">
        <v>22</v>
      </c>
      <c r="G1033" s="2">
        <v>98</v>
      </c>
      <c r="H1033" t="s">
        <v>3964</v>
      </c>
      <c r="J1033" s="9" t="s">
        <v>4947</v>
      </c>
      <c r="K1033" t="s">
        <v>5361</v>
      </c>
      <c r="L1033" s="2">
        <v>1</v>
      </c>
      <c r="M1033" s="24" t="s">
        <v>5971</v>
      </c>
      <c r="N1033" s="2" t="s">
        <v>23</v>
      </c>
      <c r="O1033" s="18" t="s">
        <v>852</v>
      </c>
      <c r="P1033" s="18" t="s">
        <v>3781</v>
      </c>
      <c r="Q1033" s="6" t="s">
        <v>4475</v>
      </c>
      <c r="T1033" s="23">
        <v>44559</v>
      </c>
      <c r="U1033" s="23">
        <v>44649</v>
      </c>
      <c r="X1033" s="20">
        <v>2055</v>
      </c>
      <c r="Z1033" s="6" t="s">
        <v>5978</v>
      </c>
      <c r="AA1033" s="15">
        <f>+(0.42/1000)</f>
        <v>4.1999999999999996E-4</v>
      </c>
      <c r="AB1033">
        <v>0.86309999999999998</v>
      </c>
      <c r="AC1033">
        <v>0.89762399999999998</v>
      </c>
    </row>
    <row r="1034" spans="1:29" x14ac:dyDescent="0.3">
      <c r="A1034">
        <v>143914</v>
      </c>
      <c r="B1034" s="25" t="s">
        <v>5984</v>
      </c>
      <c r="C1034" t="s">
        <v>20</v>
      </c>
      <c r="D1034" t="s">
        <v>21</v>
      </c>
      <c r="E1034">
        <v>2222222</v>
      </c>
      <c r="F1034" s="8" t="s">
        <v>22</v>
      </c>
      <c r="G1034" s="2">
        <v>98</v>
      </c>
      <c r="H1034" t="s">
        <v>3964</v>
      </c>
      <c r="J1034" s="9" t="s">
        <v>5362</v>
      </c>
      <c r="K1034" t="s">
        <v>5174</v>
      </c>
      <c r="L1034" s="2">
        <v>1</v>
      </c>
      <c r="M1034" s="24" t="s">
        <v>5971</v>
      </c>
      <c r="N1034" s="2" t="s">
        <v>23</v>
      </c>
      <c r="O1034" s="18" t="s">
        <v>853</v>
      </c>
      <c r="P1034" s="18" t="s">
        <v>0</v>
      </c>
      <c r="Q1034" s="6" t="s">
        <v>4475</v>
      </c>
      <c r="T1034" s="23">
        <v>45649</v>
      </c>
      <c r="U1034" s="23">
        <v>49390</v>
      </c>
      <c r="X1034" s="20">
        <v>33200</v>
      </c>
      <c r="Z1034" s="6" t="s">
        <v>5978</v>
      </c>
      <c r="AA1034" s="14">
        <f t="shared" ref="AA1034:AA1036" si="124">+(0.6/1000)</f>
        <v>5.9999999999999995E-4</v>
      </c>
      <c r="AB1034">
        <v>18.662285999999998</v>
      </c>
      <c r="AC1034">
        <v>19.408777439999998</v>
      </c>
    </row>
    <row r="1035" spans="1:29" x14ac:dyDescent="0.3">
      <c r="A1035">
        <v>146708</v>
      </c>
      <c r="B1035" s="25" t="s">
        <v>5984</v>
      </c>
      <c r="C1035" t="s">
        <v>20</v>
      </c>
      <c r="D1035" t="s">
        <v>21</v>
      </c>
      <c r="E1035">
        <v>2222222</v>
      </c>
      <c r="F1035" s="8" t="s">
        <v>22</v>
      </c>
      <c r="G1035" s="2">
        <v>98</v>
      </c>
      <c r="H1035" t="s">
        <v>3964</v>
      </c>
      <c r="J1035" s="9" t="s">
        <v>5362</v>
      </c>
      <c r="K1035" t="s">
        <v>5174</v>
      </c>
      <c r="L1035" s="2">
        <v>1</v>
      </c>
      <c r="M1035" s="24" t="s">
        <v>5971</v>
      </c>
      <c r="N1035" s="2" t="s">
        <v>23</v>
      </c>
      <c r="O1035" s="18" t="s">
        <v>853</v>
      </c>
      <c r="P1035" s="18" t="s">
        <v>0</v>
      </c>
      <c r="Q1035" s="6" t="s">
        <v>4475</v>
      </c>
      <c r="T1035" s="23">
        <v>45839</v>
      </c>
      <c r="U1035" s="23">
        <v>49490</v>
      </c>
      <c r="X1035" s="20">
        <v>15000</v>
      </c>
      <c r="Z1035" s="6" t="s">
        <v>5978</v>
      </c>
      <c r="AA1035" s="14">
        <f t="shared" si="124"/>
        <v>5.9999999999999995E-4</v>
      </c>
      <c r="AB1035">
        <v>8.6035319999999995</v>
      </c>
      <c r="AC1035">
        <v>8.9476732800000001</v>
      </c>
    </row>
    <row r="1036" spans="1:29" x14ac:dyDescent="0.3">
      <c r="A1036">
        <v>150328</v>
      </c>
      <c r="B1036" s="25" t="s">
        <v>5984</v>
      </c>
      <c r="C1036" t="s">
        <v>20</v>
      </c>
      <c r="D1036" t="s">
        <v>21</v>
      </c>
      <c r="E1036">
        <v>2222222</v>
      </c>
      <c r="F1036" s="8" t="s">
        <v>22</v>
      </c>
      <c r="G1036" s="2">
        <v>98</v>
      </c>
      <c r="H1036" t="s">
        <v>3964</v>
      </c>
      <c r="J1036" s="9" t="s">
        <v>5362</v>
      </c>
      <c r="K1036" t="s">
        <v>5174</v>
      </c>
      <c r="L1036" s="2">
        <v>1</v>
      </c>
      <c r="M1036" s="24" t="s">
        <v>5971</v>
      </c>
      <c r="N1036" s="2" t="s">
        <v>23</v>
      </c>
      <c r="O1036" s="18" t="s">
        <v>853</v>
      </c>
      <c r="P1036" s="18" t="s">
        <v>0</v>
      </c>
      <c r="Q1036" s="6" t="s">
        <v>4475</v>
      </c>
      <c r="T1036" s="23">
        <v>46086</v>
      </c>
      <c r="U1036" s="23">
        <v>47181</v>
      </c>
      <c r="X1036" s="20">
        <v>3000</v>
      </c>
      <c r="Z1036" s="6" t="s">
        <v>5978</v>
      </c>
      <c r="AA1036" s="14">
        <f t="shared" si="124"/>
        <v>5.9999999999999995E-4</v>
      </c>
      <c r="AB1036">
        <v>1.6824959999999998</v>
      </c>
      <c r="AC1036">
        <v>1.7497958399999998</v>
      </c>
    </row>
    <row r="1037" spans="1:29" x14ac:dyDescent="0.3">
      <c r="A1037">
        <v>113695</v>
      </c>
      <c r="B1037" s="25" t="s">
        <v>5984</v>
      </c>
      <c r="C1037" t="s">
        <v>20</v>
      </c>
      <c r="D1037" t="s">
        <v>21</v>
      </c>
      <c r="E1037">
        <v>2222222</v>
      </c>
      <c r="F1037" s="8" t="s">
        <v>22</v>
      </c>
      <c r="G1037" s="2">
        <v>98</v>
      </c>
      <c r="H1037" t="s">
        <v>3965</v>
      </c>
      <c r="J1037" s="9" t="s">
        <v>4901</v>
      </c>
      <c r="K1037" t="s">
        <v>4825</v>
      </c>
      <c r="L1037" s="2">
        <v>1</v>
      </c>
      <c r="M1037" s="24" t="s">
        <v>5971</v>
      </c>
      <c r="N1037" s="2" t="s">
        <v>23</v>
      </c>
      <c r="O1037" s="18" t="s">
        <v>854</v>
      </c>
      <c r="P1037" s="18" t="s">
        <v>0</v>
      </c>
      <c r="Q1037" s="6" t="s">
        <v>4475</v>
      </c>
      <c r="T1037" s="23">
        <v>44040</v>
      </c>
      <c r="U1037" s="23">
        <v>46605</v>
      </c>
      <c r="X1037" s="20">
        <v>6500</v>
      </c>
      <c r="Z1037" s="6" t="s">
        <v>5978</v>
      </c>
      <c r="AA1037" s="15">
        <f t="shared" ref="AA1037:AA1039" si="125">+(0.42/1000)</f>
        <v>4.1999999999999996E-4</v>
      </c>
      <c r="AB1037">
        <v>0.64471259999999997</v>
      </c>
      <c r="AC1037">
        <v>0.67050110399999996</v>
      </c>
    </row>
    <row r="1038" spans="1:29" x14ac:dyDescent="0.3">
      <c r="A1038">
        <v>125918</v>
      </c>
      <c r="B1038" s="25" t="s">
        <v>5984</v>
      </c>
      <c r="C1038" t="s">
        <v>20</v>
      </c>
      <c r="D1038" t="s">
        <v>21</v>
      </c>
      <c r="E1038">
        <v>2222222</v>
      </c>
      <c r="F1038" s="8" t="s">
        <v>22</v>
      </c>
      <c r="G1038" s="2">
        <v>98</v>
      </c>
      <c r="H1038" t="s">
        <v>3965</v>
      </c>
      <c r="J1038" s="9" t="s">
        <v>4880</v>
      </c>
      <c r="K1038" t="s">
        <v>5033</v>
      </c>
      <c r="L1038" s="2">
        <v>1</v>
      </c>
      <c r="M1038" s="24" t="s">
        <v>5971</v>
      </c>
      <c r="N1038" s="2" t="s">
        <v>23</v>
      </c>
      <c r="O1038" s="18" t="s">
        <v>855</v>
      </c>
      <c r="P1038" s="18" t="s">
        <v>3781</v>
      </c>
      <c r="Q1038" s="6" t="s">
        <v>4475</v>
      </c>
      <c r="T1038" s="23">
        <v>44593</v>
      </c>
      <c r="U1038" s="23">
        <v>46056</v>
      </c>
      <c r="X1038" s="20">
        <v>5000</v>
      </c>
      <c r="Z1038" s="6" t="s">
        <v>5978</v>
      </c>
      <c r="AA1038" s="15">
        <f t="shared" si="125"/>
        <v>4.1999999999999996E-4</v>
      </c>
      <c r="AB1038">
        <v>1.0733267999999998</v>
      </c>
      <c r="AC1038">
        <v>1.1162598719999999</v>
      </c>
    </row>
    <row r="1039" spans="1:29" x14ac:dyDescent="0.3">
      <c r="A1039">
        <v>128883</v>
      </c>
      <c r="B1039" s="25" t="s">
        <v>5984</v>
      </c>
      <c r="C1039" t="s">
        <v>20</v>
      </c>
      <c r="D1039" t="s">
        <v>21</v>
      </c>
      <c r="E1039">
        <v>2222222</v>
      </c>
      <c r="F1039" s="8" t="s">
        <v>22</v>
      </c>
      <c r="G1039" s="2">
        <v>98</v>
      </c>
      <c r="H1039" t="s">
        <v>3965</v>
      </c>
      <c r="J1039" s="9" t="s">
        <v>4911</v>
      </c>
      <c r="K1039" t="s">
        <v>5363</v>
      </c>
      <c r="L1039" s="2">
        <v>1</v>
      </c>
      <c r="M1039" s="24" t="s">
        <v>5971</v>
      </c>
      <c r="N1039" s="2" t="s">
        <v>23</v>
      </c>
      <c r="O1039" s="18" t="s">
        <v>856</v>
      </c>
      <c r="P1039" s="18" t="s">
        <v>3781</v>
      </c>
      <c r="Q1039" s="6" t="s">
        <v>4475</v>
      </c>
      <c r="T1039" s="23">
        <v>44748</v>
      </c>
      <c r="U1039" s="23">
        <v>46573</v>
      </c>
      <c r="X1039" s="20">
        <v>3985</v>
      </c>
      <c r="Z1039" s="6" t="s">
        <v>5978</v>
      </c>
      <c r="AA1039" s="15">
        <f t="shared" si="125"/>
        <v>4.1999999999999996E-4</v>
      </c>
      <c r="AB1039">
        <v>0.53926739999999995</v>
      </c>
      <c r="AC1039">
        <v>0.56083809600000001</v>
      </c>
    </row>
    <row r="1040" spans="1:29" x14ac:dyDescent="0.3">
      <c r="A1040">
        <v>129735</v>
      </c>
      <c r="B1040" s="25" t="s">
        <v>5984</v>
      </c>
      <c r="C1040" t="s">
        <v>20</v>
      </c>
      <c r="D1040" t="s">
        <v>21</v>
      </c>
      <c r="E1040">
        <v>2222222</v>
      </c>
      <c r="F1040" s="8" t="s">
        <v>22</v>
      </c>
      <c r="G1040" s="2">
        <v>98</v>
      </c>
      <c r="H1040" t="s">
        <v>3965</v>
      </c>
      <c r="J1040" s="9" t="s">
        <v>4830</v>
      </c>
      <c r="K1040" t="s">
        <v>5074</v>
      </c>
      <c r="L1040" s="2">
        <v>1</v>
      </c>
      <c r="M1040" s="24" t="s">
        <v>5971</v>
      </c>
      <c r="N1040" s="2" t="s">
        <v>23</v>
      </c>
      <c r="O1040" s="18" t="s">
        <v>834</v>
      </c>
      <c r="P1040" s="18" t="s">
        <v>3781</v>
      </c>
      <c r="Q1040" s="6" t="s">
        <v>4475</v>
      </c>
      <c r="T1040" s="23">
        <v>44797</v>
      </c>
      <c r="U1040" s="23">
        <v>46622</v>
      </c>
      <c r="X1040" s="20">
        <v>5000</v>
      </c>
      <c r="Z1040" s="6" t="s">
        <v>5978</v>
      </c>
      <c r="AA1040" s="13">
        <f t="shared" ref="AA1040:AA1049" si="126">+(0.56/1000)</f>
        <v>5.6000000000000006E-4</v>
      </c>
      <c r="AB1040">
        <v>2.2012368000000002</v>
      </c>
      <c r="AC1040">
        <v>2.2892862720000005</v>
      </c>
    </row>
    <row r="1041" spans="1:29" x14ac:dyDescent="0.3">
      <c r="A1041">
        <v>130567</v>
      </c>
      <c r="B1041" s="25" t="s">
        <v>5984</v>
      </c>
      <c r="C1041" t="s">
        <v>20</v>
      </c>
      <c r="D1041" t="s">
        <v>21</v>
      </c>
      <c r="E1041">
        <v>2222222</v>
      </c>
      <c r="F1041" s="8" t="s">
        <v>22</v>
      </c>
      <c r="G1041" s="2">
        <v>98</v>
      </c>
      <c r="H1041" t="s">
        <v>3965</v>
      </c>
      <c r="J1041" s="9" t="s">
        <v>5364</v>
      </c>
      <c r="K1041" t="s">
        <v>5365</v>
      </c>
      <c r="L1041" s="2">
        <v>1</v>
      </c>
      <c r="M1041" s="24" t="s">
        <v>5971</v>
      </c>
      <c r="N1041" s="2" t="s">
        <v>23</v>
      </c>
      <c r="O1041" s="18" t="s">
        <v>857</v>
      </c>
      <c r="P1041" s="18" t="s">
        <v>0</v>
      </c>
      <c r="Q1041" s="6" t="s">
        <v>4475</v>
      </c>
      <c r="T1041" s="23">
        <v>44848</v>
      </c>
      <c r="U1041" s="23">
        <v>46673</v>
      </c>
      <c r="X1041" s="20">
        <v>22500</v>
      </c>
      <c r="Z1041" s="6" t="s">
        <v>5978</v>
      </c>
      <c r="AA1041" s="13">
        <f t="shared" si="126"/>
        <v>5.6000000000000006E-4</v>
      </c>
      <c r="AB1041">
        <v>4.014813600000001</v>
      </c>
      <c r="AC1041">
        <v>4.175406144000001</v>
      </c>
    </row>
    <row r="1042" spans="1:29" x14ac:dyDescent="0.3">
      <c r="A1042">
        <v>133574</v>
      </c>
      <c r="B1042" s="25" t="s">
        <v>5984</v>
      </c>
      <c r="C1042" t="s">
        <v>20</v>
      </c>
      <c r="D1042" t="s">
        <v>21</v>
      </c>
      <c r="E1042">
        <v>2222222</v>
      </c>
      <c r="F1042" s="8" t="s">
        <v>22</v>
      </c>
      <c r="G1042" s="2">
        <v>98</v>
      </c>
      <c r="H1042" t="s">
        <v>3965</v>
      </c>
      <c r="J1042" s="9" t="s">
        <v>4916</v>
      </c>
      <c r="K1042" t="s">
        <v>4872</v>
      </c>
      <c r="L1042" s="2">
        <v>1</v>
      </c>
      <c r="M1042" s="24" t="s">
        <v>5971</v>
      </c>
      <c r="N1042" s="2" t="s">
        <v>23</v>
      </c>
      <c r="O1042" s="18" t="s">
        <v>858</v>
      </c>
      <c r="P1042" s="18" t="s">
        <v>3781</v>
      </c>
      <c r="Q1042" s="6" t="s">
        <v>4475</v>
      </c>
      <c r="T1042" s="23">
        <v>45016</v>
      </c>
      <c r="U1042" s="23">
        <v>48762</v>
      </c>
      <c r="X1042" s="20">
        <v>34700</v>
      </c>
      <c r="Z1042" s="6" t="s">
        <v>5978</v>
      </c>
      <c r="AA1042" s="13">
        <f t="shared" si="126"/>
        <v>5.6000000000000006E-4</v>
      </c>
      <c r="AB1042">
        <v>16.434006400000001</v>
      </c>
      <c r="AC1042">
        <v>17.091366656000002</v>
      </c>
    </row>
    <row r="1043" spans="1:29" x14ac:dyDescent="0.3">
      <c r="A1043">
        <v>134851</v>
      </c>
      <c r="B1043" s="25" t="s">
        <v>5984</v>
      </c>
      <c r="C1043" t="s">
        <v>20</v>
      </c>
      <c r="D1043" t="s">
        <v>21</v>
      </c>
      <c r="E1043">
        <v>2222222</v>
      </c>
      <c r="F1043" s="8" t="s">
        <v>22</v>
      </c>
      <c r="G1043" s="2">
        <v>98</v>
      </c>
      <c r="H1043" t="s">
        <v>3965</v>
      </c>
      <c r="J1043" s="9" t="s">
        <v>5366</v>
      </c>
      <c r="K1043" t="s">
        <v>5019</v>
      </c>
      <c r="L1043" s="2">
        <v>1</v>
      </c>
      <c r="M1043" s="24" t="s">
        <v>5971</v>
      </c>
      <c r="N1043" s="2" t="s">
        <v>23</v>
      </c>
      <c r="O1043" s="18" t="s">
        <v>859</v>
      </c>
      <c r="P1043" s="18" t="s">
        <v>3781</v>
      </c>
      <c r="Q1043" s="6" t="s">
        <v>4475</v>
      </c>
      <c r="T1043" s="23">
        <v>45077</v>
      </c>
      <c r="U1043" s="23">
        <v>46539</v>
      </c>
      <c r="X1043" s="20">
        <v>5000</v>
      </c>
      <c r="Z1043" s="6" t="s">
        <v>5978</v>
      </c>
      <c r="AA1043" s="13">
        <f t="shared" si="126"/>
        <v>5.6000000000000006E-4</v>
      </c>
      <c r="AB1043">
        <v>2.4245872000000004</v>
      </c>
      <c r="AC1043">
        <v>2.5215706880000006</v>
      </c>
    </row>
    <row r="1044" spans="1:29" x14ac:dyDescent="0.3">
      <c r="A1044">
        <v>137227</v>
      </c>
      <c r="B1044" s="25" t="s">
        <v>5984</v>
      </c>
      <c r="C1044" t="s">
        <v>20</v>
      </c>
      <c r="D1044" t="s">
        <v>21</v>
      </c>
      <c r="E1044">
        <v>2222222</v>
      </c>
      <c r="F1044" s="8" t="s">
        <v>22</v>
      </c>
      <c r="G1044" s="2">
        <v>98</v>
      </c>
      <c r="H1044" t="s">
        <v>3965</v>
      </c>
      <c r="J1044" s="9" t="s">
        <v>4901</v>
      </c>
      <c r="K1044" t="s">
        <v>4949</v>
      </c>
      <c r="L1044" s="2">
        <v>1</v>
      </c>
      <c r="M1044" s="24" t="s">
        <v>5971</v>
      </c>
      <c r="N1044" s="2" t="s">
        <v>23</v>
      </c>
      <c r="O1044" s="18" t="s">
        <v>860</v>
      </c>
      <c r="P1044" s="18" t="s">
        <v>0</v>
      </c>
      <c r="Q1044" s="6" t="s">
        <v>4475</v>
      </c>
      <c r="T1044" s="23">
        <v>45211</v>
      </c>
      <c r="U1044" s="23">
        <v>46306</v>
      </c>
      <c r="X1044" s="20">
        <v>4500</v>
      </c>
      <c r="Z1044" s="6" t="s">
        <v>5978</v>
      </c>
      <c r="AA1044" s="13">
        <f t="shared" si="126"/>
        <v>5.6000000000000006E-4</v>
      </c>
      <c r="AB1044">
        <v>1.7069080000000003</v>
      </c>
      <c r="AC1044">
        <v>1.7751843200000004</v>
      </c>
    </row>
    <row r="1045" spans="1:29" x14ac:dyDescent="0.3">
      <c r="A1045">
        <v>138599</v>
      </c>
      <c r="B1045" s="25" t="s">
        <v>5984</v>
      </c>
      <c r="C1045" t="s">
        <v>20</v>
      </c>
      <c r="D1045" t="s">
        <v>21</v>
      </c>
      <c r="E1045">
        <v>2222222</v>
      </c>
      <c r="F1045" s="8" t="s">
        <v>22</v>
      </c>
      <c r="G1045" s="2">
        <v>98</v>
      </c>
      <c r="H1045" t="s">
        <v>3965</v>
      </c>
      <c r="J1045" s="9" t="s">
        <v>4916</v>
      </c>
      <c r="K1045" t="s">
        <v>4872</v>
      </c>
      <c r="L1045" s="2">
        <v>1</v>
      </c>
      <c r="M1045" s="24" t="s">
        <v>5971</v>
      </c>
      <c r="N1045" s="2" t="s">
        <v>23</v>
      </c>
      <c r="O1045" s="18" t="s">
        <v>858</v>
      </c>
      <c r="P1045" s="18" t="s">
        <v>3781</v>
      </c>
      <c r="Q1045" s="6" t="s">
        <v>4475</v>
      </c>
      <c r="T1045" s="23">
        <v>45287</v>
      </c>
      <c r="U1045" s="23">
        <v>46472</v>
      </c>
      <c r="X1045" s="20">
        <v>5000</v>
      </c>
      <c r="Z1045" s="6" t="s">
        <v>5978</v>
      </c>
      <c r="AA1045" s="13">
        <f t="shared" si="126"/>
        <v>5.6000000000000006E-4</v>
      </c>
      <c r="AB1045">
        <v>0.81812640000000014</v>
      </c>
      <c r="AC1045">
        <v>0.85085145600000023</v>
      </c>
    </row>
    <row r="1046" spans="1:29" x14ac:dyDescent="0.3">
      <c r="A1046">
        <v>139260</v>
      </c>
      <c r="B1046" s="25" t="s">
        <v>5984</v>
      </c>
      <c r="C1046" t="s">
        <v>20</v>
      </c>
      <c r="D1046" t="s">
        <v>21</v>
      </c>
      <c r="E1046">
        <v>2222222</v>
      </c>
      <c r="F1046" s="8" t="s">
        <v>22</v>
      </c>
      <c r="G1046" s="2">
        <v>98</v>
      </c>
      <c r="H1046" t="s">
        <v>3965</v>
      </c>
      <c r="J1046" s="9" t="s">
        <v>4880</v>
      </c>
      <c r="K1046" t="s">
        <v>5033</v>
      </c>
      <c r="L1046" s="2">
        <v>1</v>
      </c>
      <c r="M1046" s="24" t="s">
        <v>5971</v>
      </c>
      <c r="N1046" s="2" t="s">
        <v>23</v>
      </c>
      <c r="O1046" s="18" t="s">
        <v>855</v>
      </c>
      <c r="P1046" s="18" t="s">
        <v>3781</v>
      </c>
      <c r="Q1046" s="6" t="s">
        <v>4475</v>
      </c>
      <c r="T1046" s="23">
        <v>45322</v>
      </c>
      <c r="U1046" s="23">
        <v>46419</v>
      </c>
      <c r="X1046" s="20">
        <v>4900</v>
      </c>
      <c r="Z1046" s="6" t="s">
        <v>5978</v>
      </c>
      <c r="AA1046" s="13">
        <f t="shared" si="126"/>
        <v>5.6000000000000006E-4</v>
      </c>
      <c r="AB1046">
        <v>2.4329984000000002</v>
      </c>
      <c r="AC1046">
        <v>2.5303183360000001</v>
      </c>
    </row>
    <row r="1047" spans="1:29" x14ac:dyDescent="0.3">
      <c r="A1047">
        <v>139755</v>
      </c>
      <c r="B1047" s="25" t="s">
        <v>5984</v>
      </c>
      <c r="C1047" t="s">
        <v>20</v>
      </c>
      <c r="D1047" t="s">
        <v>21</v>
      </c>
      <c r="E1047">
        <v>2222222</v>
      </c>
      <c r="F1047" s="8" t="s">
        <v>22</v>
      </c>
      <c r="G1047" s="2">
        <v>98</v>
      </c>
      <c r="H1047" t="s">
        <v>3965</v>
      </c>
      <c r="J1047" s="9" t="s">
        <v>4749</v>
      </c>
      <c r="K1047" t="s">
        <v>5367</v>
      </c>
      <c r="L1047" s="2">
        <v>1</v>
      </c>
      <c r="M1047" s="24" t="s">
        <v>5971</v>
      </c>
      <c r="N1047" s="2" t="s">
        <v>23</v>
      </c>
      <c r="O1047" s="18" t="s">
        <v>861</v>
      </c>
      <c r="P1047" s="18" t="s">
        <v>0</v>
      </c>
      <c r="Q1047" s="6" t="s">
        <v>4475</v>
      </c>
      <c r="T1047" s="23">
        <v>45357</v>
      </c>
      <c r="U1047" s="23">
        <v>46817</v>
      </c>
      <c r="X1047" s="20">
        <v>20000</v>
      </c>
      <c r="Z1047" s="6" t="s">
        <v>5978</v>
      </c>
      <c r="AA1047" s="13">
        <f t="shared" si="126"/>
        <v>5.6000000000000006E-4</v>
      </c>
      <c r="AB1047">
        <v>5.5504120000000006</v>
      </c>
      <c r="AC1047">
        <v>5.7724284800000012</v>
      </c>
    </row>
    <row r="1048" spans="1:29" x14ac:dyDescent="0.3">
      <c r="A1048">
        <v>139787</v>
      </c>
      <c r="B1048" s="25" t="s">
        <v>5984</v>
      </c>
      <c r="C1048" t="s">
        <v>20</v>
      </c>
      <c r="D1048" t="s">
        <v>21</v>
      </c>
      <c r="E1048">
        <v>2222222</v>
      </c>
      <c r="F1048" s="8" t="s">
        <v>22</v>
      </c>
      <c r="G1048" s="2">
        <v>98</v>
      </c>
      <c r="H1048" t="s">
        <v>3965</v>
      </c>
      <c r="J1048" s="9" t="s">
        <v>5269</v>
      </c>
      <c r="K1048" t="s">
        <v>5197</v>
      </c>
      <c r="L1048" s="2">
        <v>1</v>
      </c>
      <c r="M1048" s="24" t="s">
        <v>5971</v>
      </c>
      <c r="N1048" s="2" t="s">
        <v>23</v>
      </c>
      <c r="O1048" s="18" t="s">
        <v>862</v>
      </c>
      <c r="P1048" s="18" t="s">
        <v>0</v>
      </c>
      <c r="Q1048" s="6" t="s">
        <v>4475</v>
      </c>
      <c r="T1048" s="23">
        <v>45351</v>
      </c>
      <c r="U1048" s="23">
        <v>47269</v>
      </c>
      <c r="X1048" s="20">
        <v>9770</v>
      </c>
      <c r="Z1048" s="6" t="s">
        <v>5978</v>
      </c>
      <c r="AA1048" s="13">
        <f t="shared" si="126"/>
        <v>5.6000000000000006E-4</v>
      </c>
      <c r="AB1048">
        <v>3.6778224000000002</v>
      </c>
      <c r="AC1048">
        <v>3.8249352960000005</v>
      </c>
    </row>
    <row r="1049" spans="1:29" x14ac:dyDescent="0.3">
      <c r="A1049">
        <v>140646</v>
      </c>
      <c r="B1049" s="25" t="s">
        <v>5984</v>
      </c>
      <c r="C1049" t="s">
        <v>20</v>
      </c>
      <c r="D1049" t="s">
        <v>21</v>
      </c>
      <c r="E1049">
        <v>2222222</v>
      </c>
      <c r="F1049" s="8" t="s">
        <v>22</v>
      </c>
      <c r="G1049" s="2">
        <v>98</v>
      </c>
      <c r="H1049" t="s">
        <v>3965</v>
      </c>
      <c r="J1049" s="9" t="s">
        <v>4945</v>
      </c>
      <c r="K1049" t="s">
        <v>4848</v>
      </c>
      <c r="L1049" s="2">
        <v>1</v>
      </c>
      <c r="M1049" s="24" t="s">
        <v>5971</v>
      </c>
      <c r="N1049" s="2" t="s">
        <v>23</v>
      </c>
      <c r="O1049" s="18" t="s">
        <v>863</v>
      </c>
      <c r="P1049" s="18" t="s">
        <v>0</v>
      </c>
      <c r="Q1049" s="6" t="s">
        <v>4475</v>
      </c>
      <c r="T1049" s="23">
        <v>45405</v>
      </c>
      <c r="U1049" s="23">
        <v>47261</v>
      </c>
      <c r="X1049" s="20">
        <v>17000</v>
      </c>
      <c r="Z1049" s="6" t="s">
        <v>5978</v>
      </c>
      <c r="AA1049" s="13">
        <f t="shared" si="126"/>
        <v>5.6000000000000006E-4</v>
      </c>
      <c r="AB1049">
        <v>6.3092120000000014</v>
      </c>
      <c r="AC1049">
        <v>6.5615804800000017</v>
      </c>
    </row>
    <row r="1050" spans="1:29" x14ac:dyDescent="0.3">
      <c r="A1050">
        <v>140785</v>
      </c>
      <c r="B1050" s="25" t="s">
        <v>5984</v>
      </c>
      <c r="C1050" t="s">
        <v>20</v>
      </c>
      <c r="D1050" t="s">
        <v>21</v>
      </c>
      <c r="E1050">
        <v>2222222</v>
      </c>
      <c r="F1050" s="8" t="s">
        <v>22</v>
      </c>
      <c r="G1050" s="2">
        <v>98</v>
      </c>
      <c r="H1050" t="s">
        <v>3965</v>
      </c>
      <c r="J1050" s="9" t="s">
        <v>5055</v>
      </c>
      <c r="K1050" t="s">
        <v>4924</v>
      </c>
      <c r="L1050" s="2">
        <v>1</v>
      </c>
      <c r="M1050" s="24" t="s">
        <v>5971</v>
      </c>
      <c r="N1050" s="2" t="s">
        <v>23</v>
      </c>
      <c r="O1050" s="18" t="s">
        <v>864</v>
      </c>
      <c r="P1050" s="18" t="s">
        <v>3781</v>
      </c>
      <c r="Q1050" s="6" t="s">
        <v>4475</v>
      </c>
      <c r="T1050" s="23">
        <v>45418</v>
      </c>
      <c r="U1050" s="23">
        <v>47335</v>
      </c>
      <c r="X1050" s="20">
        <v>8000</v>
      </c>
      <c r="Z1050" s="6" t="s">
        <v>5978</v>
      </c>
      <c r="AA1050" s="14">
        <f t="shared" ref="AA1050:AA1071" si="127">+(0.6/1000)</f>
        <v>5.9999999999999995E-4</v>
      </c>
      <c r="AB1050">
        <v>3.4658279999999997</v>
      </c>
      <c r="AC1050">
        <v>3.6044611199999999</v>
      </c>
    </row>
    <row r="1051" spans="1:29" x14ac:dyDescent="0.3">
      <c r="A1051">
        <v>142328</v>
      </c>
      <c r="B1051" s="25" t="s">
        <v>5984</v>
      </c>
      <c r="C1051" t="s">
        <v>20</v>
      </c>
      <c r="D1051" t="s">
        <v>21</v>
      </c>
      <c r="E1051">
        <v>2222222</v>
      </c>
      <c r="F1051" s="8" t="s">
        <v>22</v>
      </c>
      <c r="G1051" s="2">
        <v>98</v>
      </c>
      <c r="H1051" t="s">
        <v>3965</v>
      </c>
      <c r="J1051" s="9" t="s">
        <v>5247</v>
      </c>
      <c r="K1051" t="s">
        <v>5085</v>
      </c>
      <c r="L1051" s="2">
        <v>1</v>
      </c>
      <c r="M1051" s="24" t="s">
        <v>5971</v>
      </c>
      <c r="N1051" s="2" t="s">
        <v>23</v>
      </c>
      <c r="O1051" s="18" t="s">
        <v>865</v>
      </c>
      <c r="P1051" s="18" t="s">
        <v>0</v>
      </c>
      <c r="Q1051" s="6" t="s">
        <v>4475</v>
      </c>
      <c r="T1051" s="23">
        <v>45517</v>
      </c>
      <c r="U1051" s="23">
        <v>46977</v>
      </c>
      <c r="X1051" s="20">
        <v>14500</v>
      </c>
      <c r="Z1051" s="6" t="s">
        <v>5978</v>
      </c>
      <c r="AA1051" s="14">
        <f t="shared" si="127"/>
        <v>5.9999999999999995E-4</v>
      </c>
      <c r="AB1051">
        <v>2.8871699999999998</v>
      </c>
      <c r="AC1051">
        <v>3.0026568</v>
      </c>
    </row>
    <row r="1052" spans="1:29" x14ac:dyDescent="0.3">
      <c r="A1052">
        <v>142585</v>
      </c>
      <c r="B1052" s="25" t="s">
        <v>5984</v>
      </c>
      <c r="C1052" t="s">
        <v>20</v>
      </c>
      <c r="D1052" t="s">
        <v>21</v>
      </c>
      <c r="E1052">
        <v>2222222</v>
      </c>
      <c r="F1052" s="8" t="s">
        <v>22</v>
      </c>
      <c r="G1052" s="2">
        <v>98</v>
      </c>
      <c r="H1052" t="s">
        <v>3965</v>
      </c>
      <c r="J1052" s="9" t="s">
        <v>4903</v>
      </c>
      <c r="K1052" t="s">
        <v>5031</v>
      </c>
      <c r="L1052" s="2">
        <v>1</v>
      </c>
      <c r="M1052" s="24" t="s">
        <v>5971</v>
      </c>
      <c r="N1052" s="2" t="s">
        <v>23</v>
      </c>
      <c r="O1052" s="18" t="s">
        <v>866</v>
      </c>
      <c r="P1052" s="18" t="s">
        <v>3781</v>
      </c>
      <c r="Q1052" s="6" t="s">
        <v>4475</v>
      </c>
      <c r="T1052" s="23">
        <v>45547</v>
      </c>
      <c r="U1052" s="23">
        <v>47008</v>
      </c>
      <c r="X1052" s="20">
        <v>10000</v>
      </c>
      <c r="Z1052" s="6" t="s">
        <v>5978</v>
      </c>
      <c r="AA1052" s="14">
        <f t="shared" si="127"/>
        <v>5.9999999999999995E-4</v>
      </c>
      <c r="AB1052">
        <v>3.6905999999999999</v>
      </c>
      <c r="AC1052">
        <v>3.8382239999999999</v>
      </c>
    </row>
    <row r="1053" spans="1:29" x14ac:dyDescent="0.3">
      <c r="A1053">
        <v>143039</v>
      </c>
      <c r="B1053" s="25" t="s">
        <v>5984</v>
      </c>
      <c r="C1053" t="s">
        <v>20</v>
      </c>
      <c r="D1053" t="s">
        <v>21</v>
      </c>
      <c r="E1053">
        <v>2222222</v>
      </c>
      <c r="F1053" s="8" t="s">
        <v>22</v>
      </c>
      <c r="G1053" s="2">
        <v>98</v>
      </c>
      <c r="H1053" t="s">
        <v>3965</v>
      </c>
      <c r="J1053" s="9" t="s">
        <v>5098</v>
      </c>
      <c r="K1053" t="s">
        <v>5110</v>
      </c>
      <c r="L1053" s="2">
        <v>1</v>
      </c>
      <c r="M1053" s="24" t="s">
        <v>5971</v>
      </c>
      <c r="N1053" s="2" t="s">
        <v>23</v>
      </c>
      <c r="O1053" s="18" t="s">
        <v>867</v>
      </c>
      <c r="P1053" s="18" t="s">
        <v>3781</v>
      </c>
      <c r="Q1053" s="6" t="s">
        <v>4475</v>
      </c>
      <c r="T1053" s="23">
        <v>45565</v>
      </c>
      <c r="U1053" s="23">
        <v>47027</v>
      </c>
      <c r="X1053" s="20">
        <v>4730</v>
      </c>
      <c r="Z1053" s="6" t="s">
        <v>5978</v>
      </c>
      <c r="AA1053" s="14">
        <f t="shared" si="127"/>
        <v>5.9999999999999995E-4</v>
      </c>
      <c r="AB1053">
        <v>1.8011579999999998</v>
      </c>
      <c r="AC1053">
        <v>1.8732043199999999</v>
      </c>
    </row>
    <row r="1054" spans="1:29" x14ac:dyDescent="0.3">
      <c r="A1054">
        <v>143431</v>
      </c>
      <c r="B1054" s="25" t="s">
        <v>5984</v>
      </c>
      <c r="C1054" t="s">
        <v>20</v>
      </c>
      <c r="D1054" t="s">
        <v>21</v>
      </c>
      <c r="E1054">
        <v>2222222</v>
      </c>
      <c r="F1054" s="8" t="s">
        <v>22</v>
      </c>
      <c r="G1054" s="2">
        <v>98</v>
      </c>
      <c r="H1054" t="s">
        <v>3965</v>
      </c>
      <c r="J1054" s="9" t="s">
        <v>5056</v>
      </c>
      <c r="K1054" t="s">
        <v>5021</v>
      </c>
      <c r="L1054" s="2">
        <v>1</v>
      </c>
      <c r="M1054" s="24" t="s">
        <v>5971</v>
      </c>
      <c r="N1054" s="2" t="s">
        <v>23</v>
      </c>
      <c r="O1054" s="18" t="s">
        <v>868</v>
      </c>
      <c r="P1054" s="18" t="s">
        <v>3781</v>
      </c>
      <c r="Q1054" s="6" t="s">
        <v>4475</v>
      </c>
      <c r="T1054" s="23">
        <v>45591</v>
      </c>
      <c r="U1054" s="23">
        <v>47051</v>
      </c>
      <c r="X1054" s="20">
        <v>5000</v>
      </c>
      <c r="Z1054" s="6" t="s">
        <v>5978</v>
      </c>
      <c r="AA1054" s="14">
        <f t="shared" si="127"/>
        <v>5.9999999999999995E-4</v>
      </c>
      <c r="AB1054">
        <v>1.9589219999999998</v>
      </c>
      <c r="AC1054">
        <v>2.0372788799999997</v>
      </c>
    </row>
    <row r="1055" spans="1:29" x14ac:dyDescent="0.3">
      <c r="A1055">
        <v>144037</v>
      </c>
      <c r="B1055" s="25" t="s">
        <v>5984</v>
      </c>
      <c r="C1055" t="s">
        <v>20</v>
      </c>
      <c r="D1055" t="s">
        <v>21</v>
      </c>
      <c r="E1055">
        <v>2222222</v>
      </c>
      <c r="F1055" s="8" t="s">
        <v>22</v>
      </c>
      <c r="G1055" s="2">
        <v>98</v>
      </c>
      <c r="H1055" t="s">
        <v>3965</v>
      </c>
      <c r="J1055" s="9" t="s">
        <v>4891</v>
      </c>
      <c r="K1055" t="s">
        <v>5368</v>
      </c>
      <c r="L1055" s="2">
        <v>1</v>
      </c>
      <c r="M1055" s="24" t="s">
        <v>5971</v>
      </c>
      <c r="N1055" s="2" t="s">
        <v>23</v>
      </c>
      <c r="O1055" s="18" t="s">
        <v>869</v>
      </c>
      <c r="P1055" s="18" t="s">
        <v>3781</v>
      </c>
      <c r="Q1055" s="6" t="s">
        <v>4475</v>
      </c>
      <c r="T1055" s="23">
        <v>45644</v>
      </c>
      <c r="U1055" s="23">
        <v>46738</v>
      </c>
      <c r="X1055" s="20">
        <v>50000</v>
      </c>
      <c r="Z1055" s="6" t="s">
        <v>5978</v>
      </c>
      <c r="AA1055" s="14">
        <f t="shared" si="127"/>
        <v>5.9999999999999995E-4</v>
      </c>
      <c r="AB1055">
        <v>15.947148</v>
      </c>
      <c r="AC1055">
        <v>16.585033920000001</v>
      </c>
    </row>
    <row r="1056" spans="1:29" x14ac:dyDescent="0.3">
      <c r="A1056">
        <v>146581</v>
      </c>
      <c r="B1056" s="25" t="s">
        <v>5984</v>
      </c>
      <c r="C1056" t="s">
        <v>20</v>
      </c>
      <c r="D1056" t="s">
        <v>21</v>
      </c>
      <c r="E1056">
        <v>2222222</v>
      </c>
      <c r="F1056" s="8" t="s">
        <v>22</v>
      </c>
      <c r="G1056" s="2">
        <v>98</v>
      </c>
      <c r="H1056" t="s">
        <v>3965</v>
      </c>
      <c r="J1056" s="9" t="s">
        <v>4830</v>
      </c>
      <c r="K1056" t="s">
        <v>5369</v>
      </c>
      <c r="L1056" s="2">
        <v>1</v>
      </c>
      <c r="M1056" s="24" t="s">
        <v>5971</v>
      </c>
      <c r="N1056" s="2" t="s">
        <v>23</v>
      </c>
      <c r="O1056" s="18" t="s">
        <v>870</v>
      </c>
      <c r="P1056" s="18" t="s">
        <v>3781</v>
      </c>
      <c r="Q1056" s="6" t="s">
        <v>4475</v>
      </c>
      <c r="T1056" s="23">
        <v>45827</v>
      </c>
      <c r="U1056" s="23">
        <v>46923</v>
      </c>
      <c r="X1056" s="20">
        <v>3550</v>
      </c>
      <c r="Z1056" s="6" t="s">
        <v>5978</v>
      </c>
      <c r="AA1056" s="14">
        <f t="shared" si="127"/>
        <v>5.9999999999999995E-4</v>
      </c>
      <c r="AB1056">
        <v>1.4832419999999999</v>
      </c>
      <c r="AC1056">
        <v>1.54257168</v>
      </c>
    </row>
    <row r="1057" spans="1:29" x14ac:dyDescent="0.3">
      <c r="A1057">
        <v>146592</v>
      </c>
      <c r="B1057" s="25" t="s">
        <v>5984</v>
      </c>
      <c r="C1057" t="s">
        <v>20</v>
      </c>
      <c r="D1057" t="s">
        <v>21</v>
      </c>
      <c r="E1057">
        <v>2222222</v>
      </c>
      <c r="F1057" s="8" t="s">
        <v>22</v>
      </c>
      <c r="G1057" s="2">
        <v>98</v>
      </c>
      <c r="H1057" t="s">
        <v>3965</v>
      </c>
      <c r="J1057" s="9" t="s">
        <v>4898</v>
      </c>
      <c r="K1057" t="s">
        <v>4928</v>
      </c>
      <c r="L1057" s="2">
        <v>1</v>
      </c>
      <c r="M1057" s="24" t="s">
        <v>5971</v>
      </c>
      <c r="N1057" s="2" t="s">
        <v>23</v>
      </c>
      <c r="O1057" s="18" t="s">
        <v>871</v>
      </c>
      <c r="P1057" s="18" t="s">
        <v>3781</v>
      </c>
      <c r="Q1057" s="6" t="s">
        <v>4475</v>
      </c>
      <c r="T1057" s="23">
        <v>45828</v>
      </c>
      <c r="U1057" s="23">
        <v>47289</v>
      </c>
      <c r="X1057" s="20">
        <v>3630</v>
      </c>
      <c r="Z1057" s="6" t="s">
        <v>5978</v>
      </c>
      <c r="AA1057" s="14">
        <f t="shared" si="127"/>
        <v>5.9999999999999995E-4</v>
      </c>
      <c r="AB1057">
        <v>1.7338259999999999</v>
      </c>
      <c r="AC1057">
        <v>1.8031790399999998</v>
      </c>
    </row>
    <row r="1058" spans="1:29" x14ac:dyDescent="0.3">
      <c r="A1058">
        <v>147386</v>
      </c>
      <c r="B1058" s="25" t="s">
        <v>5984</v>
      </c>
      <c r="C1058" t="s">
        <v>20</v>
      </c>
      <c r="D1058" t="s">
        <v>21</v>
      </c>
      <c r="E1058">
        <v>2222222</v>
      </c>
      <c r="F1058" s="8" t="s">
        <v>22</v>
      </c>
      <c r="G1058" s="2">
        <v>98</v>
      </c>
      <c r="H1058" t="s">
        <v>3965</v>
      </c>
      <c r="J1058" s="9" t="s">
        <v>5056</v>
      </c>
      <c r="K1058" t="s">
        <v>5021</v>
      </c>
      <c r="L1058" s="2">
        <v>1</v>
      </c>
      <c r="M1058" s="24" t="s">
        <v>5971</v>
      </c>
      <c r="N1058" s="2" t="s">
        <v>23</v>
      </c>
      <c r="O1058" s="18" t="s">
        <v>868</v>
      </c>
      <c r="P1058" s="18" t="s">
        <v>3781</v>
      </c>
      <c r="Q1058" s="6" t="s">
        <v>4475</v>
      </c>
      <c r="T1058" s="23">
        <v>45884</v>
      </c>
      <c r="U1058" s="23">
        <v>46979</v>
      </c>
      <c r="X1058" s="20">
        <v>3900</v>
      </c>
      <c r="Z1058" s="6" t="s">
        <v>5978</v>
      </c>
      <c r="AA1058" s="14">
        <f t="shared" si="127"/>
        <v>5.9999999999999995E-4</v>
      </c>
      <c r="AB1058">
        <v>1.7460180000000001</v>
      </c>
      <c r="AC1058">
        <v>1.81585872</v>
      </c>
    </row>
    <row r="1059" spans="1:29" x14ac:dyDescent="0.3">
      <c r="A1059">
        <v>147417</v>
      </c>
      <c r="B1059" s="25" t="s">
        <v>5984</v>
      </c>
      <c r="C1059" t="s">
        <v>20</v>
      </c>
      <c r="D1059" t="s">
        <v>21</v>
      </c>
      <c r="E1059">
        <v>2222222</v>
      </c>
      <c r="F1059" s="8" t="s">
        <v>22</v>
      </c>
      <c r="G1059" s="2">
        <v>98</v>
      </c>
      <c r="H1059" t="s">
        <v>3965</v>
      </c>
      <c r="J1059" s="9" t="s">
        <v>5370</v>
      </c>
      <c r="K1059" t="s">
        <v>5111</v>
      </c>
      <c r="L1059" s="2">
        <v>1</v>
      </c>
      <c r="M1059" s="24" t="s">
        <v>5971</v>
      </c>
      <c r="N1059" s="2" t="s">
        <v>23</v>
      </c>
      <c r="O1059" s="18" t="s">
        <v>872</v>
      </c>
      <c r="P1059" s="18" t="s">
        <v>0</v>
      </c>
      <c r="Q1059" s="6" t="s">
        <v>4475</v>
      </c>
      <c r="T1059" s="23">
        <v>45894</v>
      </c>
      <c r="U1059" s="23">
        <v>47719</v>
      </c>
      <c r="X1059" s="20">
        <v>8500</v>
      </c>
      <c r="Z1059" s="6" t="s">
        <v>5978</v>
      </c>
      <c r="AA1059" s="14">
        <f t="shared" si="127"/>
        <v>5.9999999999999995E-4</v>
      </c>
      <c r="AB1059">
        <v>4.3777739999999996</v>
      </c>
      <c r="AC1059">
        <v>4.5528849600000001</v>
      </c>
    </row>
    <row r="1060" spans="1:29" x14ac:dyDescent="0.3">
      <c r="A1060">
        <v>147855</v>
      </c>
      <c r="B1060" s="25" t="s">
        <v>5984</v>
      </c>
      <c r="C1060" t="s">
        <v>20</v>
      </c>
      <c r="D1060" t="s">
        <v>21</v>
      </c>
      <c r="E1060">
        <v>2222222</v>
      </c>
      <c r="F1060" s="8" t="s">
        <v>22</v>
      </c>
      <c r="G1060" s="2">
        <v>98</v>
      </c>
      <c r="H1060" t="s">
        <v>3965</v>
      </c>
      <c r="J1060" s="9" t="s">
        <v>5017</v>
      </c>
      <c r="K1060" t="s">
        <v>5019</v>
      </c>
      <c r="L1060" s="2">
        <v>1</v>
      </c>
      <c r="M1060" s="24" t="s">
        <v>5971</v>
      </c>
      <c r="N1060" s="2" t="s">
        <v>23</v>
      </c>
      <c r="O1060" s="18" t="s">
        <v>873</v>
      </c>
      <c r="P1060" s="18" t="s">
        <v>3781</v>
      </c>
      <c r="Q1060" s="6" t="s">
        <v>4475</v>
      </c>
      <c r="T1060" s="23">
        <v>45917</v>
      </c>
      <c r="U1060" s="23">
        <v>47013</v>
      </c>
      <c r="X1060" s="20">
        <v>2250</v>
      </c>
      <c r="Z1060" s="6" t="s">
        <v>5978</v>
      </c>
      <c r="AA1060" s="14">
        <f t="shared" si="127"/>
        <v>5.9999999999999995E-4</v>
      </c>
      <c r="AB1060">
        <v>1.04094</v>
      </c>
      <c r="AC1060">
        <v>1.0825776</v>
      </c>
    </row>
    <row r="1061" spans="1:29" x14ac:dyDescent="0.3">
      <c r="A1061">
        <v>148843</v>
      </c>
      <c r="B1061" s="25" t="s">
        <v>5984</v>
      </c>
      <c r="C1061" t="s">
        <v>20</v>
      </c>
      <c r="D1061" t="s">
        <v>21</v>
      </c>
      <c r="E1061">
        <v>2222222</v>
      </c>
      <c r="F1061" s="8" t="s">
        <v>22</v>
      </c>
      <c r="G1061" s="2">
        <v>98</v>
      </c>
      <c r="H1061" t="s">
        <v>3965</v>
      </c>
      <c r="J1061" s="9" t="s">
        <v>5137</v>
      </c>
      <c r="K1061" t="s">
        <v>4956</v>
      </c>
      <c r="L1061" s="2">
        <v>1</v>
      </c>
      <c r="M1061" s="24" t="s">
        <v>5971</v>
      </c>
      <c r="N1061" s="2" t="s">
        <v>23</v>
      </c>
      <c r="O1061" s="18" t="s">
        <v>874</v>
      </c>
      <c r="P1061" s="18" t="s">
        <v>3781</v>
      </c>
      <c r="Q1061" s="6" t="s">
        <v>4475</v>
      </c>
      <c r="T1061" s="23">
        <v>45982</v>
      </c>
      <c r="U1061" s="23">
        <v>47078</v>
      </c>
      <c r="X1061" s="20">
        <v>3000</v>
      </c>
      <c r="Z1061" s="6" t="s">
        <v>5978</v>
      </c>
      <c r="AA1061" s="14">
        <f t="shared" si="127"/>
        <v>5.9999999999999995E-4</v>
      </c>
      <c r="AB1061">
        <v>1.4746979999999998</v>
      </c>
      <c r="AC1061">
        <v>1.5336859199999999</v>
      </c>
    </row>
    <row r="1062" spans="1:29" x14ac:dyDescent="0.3">
      <c r="A1062">
        <v>148962</v>
      </c>
      <c r="B1062" s="25" t="s">
        <v>5984</v>
      </c>
      <c r="C1062" t="s">
        <v>20</v>
      </c>
      <c r="D1062" t="s">
        <v>21</v>
      </c>
      <c r="E1062">
        <v>2222222</v>
      </c>
      <c r="F1062" s="8" t="s">
        <v>22</v>
      </c>
      <c r="G1062" s="2">
        <v>98</v>
      </c>
      <c r="H1062" t="s">
        <v>3965</v>
      </c>
      <c r="J1062" s="9" t="s">
        <v>5112</v>
      </c>
      <c r="K1062" t="s">
        <v>5371</v>
      </c>
      <c r="L1062" s="2">
        <v>1</v>
      </c>
      <c r="M1062" s="24" t="s">
        <v>5971</v>
      </c>
      <c r="N1062" s="2" t="s">
        <v>23</v>
      </c>
      <c r="O1062" s="18" t="s">
        <v>875</v>
      </c>
      <c r="P1062" s="18" t="s">
        <v>0</v>
      </c>
      <c r="Q1062" s="6" t="s">
        <v>4475</v>
      </c>
      <c r="T1062" s="23">
        <v>45989</v>
      </c>
      <c r="U1062" s="23">
        <v>46358</v>
      </c>
      <c r="X1062" s="20">
        <v>730</v>
      </c>
      <c r="Z1062" s="6" t="s">
        <v>5978</v>
      </c>
      <c r="AA1062" s="14">
        <f t="shared" si="127"/>
        <v>5.9999999999999995E-4</v>
      </c>
      <c r="AB1062">
        <v>0.19129199999999999</v>
      </c>
      <c r="AC1062">
        <v>0.19894367999999998</v>
      </c>
    </row>
    <row r="1063" spans="1:29" x14ac:dyDescent="0.3">
      <c r="A1063">
        <v>149372</v>
      </c>
      <c r="B1063" s="25" t="s">
        <v>5984</v>
      </c>
      <c r="C1063" t="s">
        <v>20</v>
      </c>
      <c r="D1063" t="s">
        <v>21</v>
      </c>
      <c r="E1063">
        <v>2222222</v>
      </c>
      <c r="F1063" s="8" t="s">
        <v>22</v>
      </c>
      <c r="G1063" s="2">
        <v>98</v>
      </c>
      <c r="H1063" t="s">
        <v>3965</v>
      </c>
      <c r="J1063" s="9" t="s">
        <v>4898</v>
      </c>
      <c r="K1063" t="s">
        <v>4899</v>
      </c>
      <c r="L1063" s="2">
        <v>1</v>
      </c>
      <c r="M1063" s="24" t="s">
        <v>5971</v>
      </c>
      <c r="N1063" s="2" t="s">
        <v>23</v>
      </c>
      <c r="O1063" s="18" t="s">
        <v>876</v>
      </c>
      <c r="P1063" s="18" t="s">
        <v>3781</v>
      </c>
      <c r="Q1063" s="6" t="s">
        <v>4475</v>
      </c>
      <c r="T1063" s="23">
        <v>46018</v>
      </c>
      <c r="U1063" s="23">
        <v>47113</v>
      </c>
      <c r="X1063" s="20">
        <v>2850</v>
      </c>
      <c r="Z1063" s="6" t="s">
        <v>5978</v>
      </c>
      <c r="AA1063" s="14">
        <f t="shared" si="127"/>
        <v>5.9999999999999995E-4</v>
      </c>
      <c r="AB1063">
        <v>1.4408579999999998</v>
      </c>
      <c r="AC1063">
        <v>1.4984923199999998</v>
      </c>
    </row>
    <row r="1064" spans="1:29" x14ac:dyDescent="0.3">
      <c r="A1064">
        <v>149826</v>
      </c>
      <c r="B1064" s="25" t="s">
        <v>5984</v>
      </c>
      <c r="C1064" t="s">
        <v>20</v>
      </c>
      <c r="D1064" t="s">
        <v>21</v>
      </c>
      <c r="E1064">
        <v>2222222</v>
      </c>
      <c r="F1064" s="8" t="s">
        <v>22</v>
      </c>
      <c r="G1064" s="2">
        <v>98</v>
      </c>
      <c r="H1064" t="s">
        <v>3965</v>
      </c>
      <c r="J1064" s="9" t="s">
        <v>4924</v>
      </c>
      <c r="K1064" t="s">
        <v>5372</v>
      </c>
      <c r="L1064" s="2">
        <v>1</v>
      </c>
      <c r="M1064" s="24" t="s">
        <v>5971</v>
      </c>
      <c r="N1064" s="2" t="s">
        <v>23</v>
      </c>
      <c r="O1064" s="18" t="s">
        <v>877</v>
      </c>
      <c r="P1064" s="18" t="s">
        <v>3781</v>
      </c>
      <c r="Q1064" s="6" t="s">
        <v>4475</v>
      </c>
      <c r="T1064" s="23">
        <v>46051</v>
      </c>
      <c r="U1064" s="23">
        <v>47150</v>
      </c>
      <c r="X1064" s="20">
        <v>2260</v>
      </c>
      <c r="Z1064" s="6" t="s">
        <v>5978</v>
      </c>
      <c r="AA1064" s="14">
        <f t="shared" si="127"/>
        <v>5.9999999999999995E-4</v>
      </c>
      <c r="AB1064">
        <v>1.2065819999999998</v>
      </c>
      <c r="AC1064">
        <v>1.2548452799999998</v>
      </c>
    </row>
    <row r="1065" spans="1:29" x14ac:dyDescent="0.3">
      <c r="A1065">
        <v>150359</v>
      </c>
      <c r="B1065" s="25" t="s">
        <v>5984</v>
      </c>
      <c r="C1065" t="s">
        <v>20</v>
      </c>
      <c r="D1065" t="s">
        <v>21</v>
      </c>
      <c r="E1065">
        <v>2222222</v>
      </c>
      <c r="F1065" s="8" t="s">
        <v>22</v>
      </c>
      <c r="G1065" s="2">
        <v>98</v>
      </c>
      <c r="H1065" t="s">
        <v>3965</v>
      </c>
      <c r="J1065" s="9" t="s">
        <v>4911</v>
      </c>
      <c r="K1065" t="s">
        <v>5025</v>
      </c>
      <c r="L1065" s="2">
        <v>1</v>
      </c>
      <c r="M1065" s="24" t="s">
        <v>5971</v>
      </c>
      <c r="N1065" s="2" t="s">
        <v>23</v>
      </c>
      <c r="O1065" s="18" t="s">
        <v>847</v>
      </c>
      <c r="P1065" s="18" t="s">
        <v>3781</v>
      </c>
      <c r="Q1065" s="6" t="s">
        <v>4475</v>
      </c>
      <c r="T1065" s="23">
        <v>46087</v>
      </c>
      <c r="U1065" s="23">
        <v>47548</v>
      </c>
      <c r="X1065" s="20">
        <v>5000</v>
      </c>
      <c r="Z1065" s="6" t="s">
        <v>5978</v>
      </c>
      <c r="AA1065" s="14">
        <f t="shared" si="127"/>
        <v>5.9999999999999995E-4</v>
      </c>
      <c r="AB1065">
        <v>2.8234439999999998</v>
      </c>
      <c r="AC1065">
        <v>2.9363817599999997</v>
      </c>
    </row>
    <row r="1066" spans="1:29" x14ac:dyDescent="0.3">
      <c r="A1066">
        <v>150457</v>
      </c>
      <c r="B1066" s="25" t="s">
        <v>5984</v>
      </c>
      <c r="C1066" t="s">
        <v>20</v>
      </c>
      <c r="D1066" t="s">
        <v>21</v>
      </c>
      <c r="E1066">
        <v>2222222</v>
      </c>
      <c r="F1066" s="8" t="s">
        <v>22</v>
      </c>
      <c r="G1066" s="2">
        <v>98</v>
      </c>
      <c r="H1066" t="s">
        <v>3965</v>
      </c>
      <c r="J1066" s="9" t="s">
        <v>4951</v>
      </c>
      <c r="K1066" t="s">
        <v>4857</v>
      </c>
      <c r="L1066" s="2">
        <v>1</v>
      </c>
      <c r="M1066" s="24" t="s">
        <v>5971</v>
      </c>
      <c r="N1066" s="2" t="s">
        <v>23</v>
      </c>
      <c r="O1066" s="18" t="s">
        <v>878</v>
      </c>
      <c r="P1066" s="18" t="s">
        <v>0</v>
      </c>
      <c r="Q1066" s="6" t="s">
        <v>4475</v>
      </c>
      <c r="T1066" s="23">
        <v>46094</v>
      </c>
      <c r="U1066" s="23">
        <v>47189</v>
      </c>
      <c r="X1066" s="20">
        <v>3000</v>
      </c>
      <c r="Z1066" s="6" t="s">
        <v>5978</v>
      </c>
      <c r="AA1066" s="14">
        <f t="shared" si="127"/>
        <v>5.9999999999999995E-4</v>
      </c>
      <c r="AB1066">
        <v>1.6419479999999997</v>
      </c>
      <c r="AC1066">
        <v>1.7076259199999997</v>
      </c>
    </row>
    <row r="1067" spans="1:29" x14ac:dyDescent="0.3">
      <c r="A1067">
        <v>150645</v>
      </c>
      <c r="B1067" s="25" t="s">
        <v>5984</v>
      </c>
      <c r="C1067" t="s">
        <v>20</v>
      </c>
      <c r="D1067" t="s">
        <v>21</v>
      </c>
      <c r="E1067">
        <v>2222222</v>
      </c>
      <c r="F1067" s="8" t="s">
        <v>22</v>
      </c>
      <c r="G1067" s="2">
        <v>98</v>
      </c>
      <c r="H1067" t="s">
        <v>3965</v>
      </c>
      <c r="J1067" s="9" t="s">
        <v>4830</v>
      </c>
      <c r="K1067" t="s">
        <v>5369</v>
      </c>
      <c r="L1067" s="2">
        <v>1</v>
      </c>
      <c r="M1067" s="24" t="s">
        <v>5971</v>
      </c>
      <c r="N1067" s="2" t="s">
        <v>23</v>
      </c>
      <c r="O1067" s="18" t="s">
        <v>870</v>
      </c>
      <c r="P1067" s="18" t="s">
        <v>3781</v>
      </c>
      <c r="Q1067" s="6" t="s">
        <v>4475</v>
      </c>
      <c r="T1067" s="23">
        <v>46106</v>
      </c>
      <c r="U1067" s="23">
        <v>46654</v>
      </c>
      <c r="X1067" s="20">
        <v>600</v>
      </c>
      <c r="Z1067" s="6" t="s">
        <v>5978</v>
      </c>
      <c r="AA1067" s="14">
        <f t="shared" si="127"/>
        <v>5.9999999999999995E-4</v>
      </c>
      <c r="AB1067">
        <v>0.28809599999999996</v>
      </c>
      <c r="AC1067">
        <v>0.29961983999999997</v>
      </c>
    </row>
    <row r="1068" spans="1:29" x14ac:dyDescent="0.3">
      <c r="A1068">
        <v>151733</v>
      </c>
      <c r="B1068" s="25" t="s">
        <v>5984</v>
      </c>
      <c r="C1068" t="s">
        <v>20</v>
      </c>
      <c r="D1068" t="s">
        <v>21</v>
      </c>
      <c r="E1068">
        <v>2222222</v>
      </c>
      <c r="F1068" s="8" t="s">
        <v>22</v>
      </c>
      <c r="G1068" s="2">
        <v>98</v>
      </c>
      <c r="H1068" t="s">
        <v>3965</v>
      </c>
      <c r="J1068" s="9" t="s">
        <v>5137</v>
      </c>
      <c r="K1068" t="s">
        <v>4956</v>
      </c>
      <c r="L1068" s="2">
        <v>1</v>
      </c>
      <c r="M1068" s="24" t="s">
        <v>5971</v>
      </c>
      <c r="N1068" s="2" t="s">
        <v>23</v>
      </c>
      <c r="O1068" s="18" t="s">
        <v>874</v>
      </c>
      <c r="P1068" s="18" t="s">
        <v>3781</v>
      </c>
      <c r="Q1068" s="6" t="s">
        <v>4475</v>
      </c>
      <c r="T1068" s="23">
        <v>46183</v>
      </c>
      <c r="U1068" s="23">
        <v>46914</v>
      </c>
      <c r="X1068" s="20">
        <v>2365</v>
      </c>
      <c r="Z1068" s="6" t="s">
        <v>5978</v>
      </c>
      <c r="AA1068" s="14">
        <f t="shared" si="127"/>
        <v>5.9999999999999995E-4</v>
      </c>
      <c r="AB1068">
        <v>1.3692719999999998</v>
      </c>
      <c r="AC1068">
        <v>1.4240428799999998</v>
      </c>
    </row>
    <row r="1069" spans="1:29" x14ac:dyDescent="0.3">
      <c r="A1069">
        <v>152206</v>
      </c>
      <c r="B1069" s="25" t="s">
        <v>5984</v>
      </c>
      <c r="C1069" t="s">
        <v>20</v>
      </c>
      <c r="D1069" t="s">
        <v>21</v>
      </c>
      <c r="E1069">
        <v>2222222</v>
      </c>
      <c r="F1069" s="8" t="s">
        <v>22</v>
      </c>
      <c r="G1069" s="2">
        <v>98</v>
      </c>
      <c r="H1069" t="s">
        <v>3965</v>
      </c>
      <c r="J1069" s="9" t="s">
        <v>4836</v>
      </c>
      <c r="K1069" t="s">
        <v>5181</v>
      </c>
      <c r="L1069" s="2">
        <v>1</v>
      </c>
      <c r="M1069" s="24" t="s">
        <v>5971</v>
      </c>
      <c r="N1069" s="2" t="s">
        <v>23</v>
      </c>
      <c r="O1069" s="18" t="s">
        <v>879</v>
      </c>
      <c r="P1069" s="18" t="s">
        <v>3781</v>
      </c>
      <c r="Q1069" s="6" t="s">
        <v>4475</v>
      </c>
      <c r="T1069" s="23">
        <v>46219</v>
      </c>
      <c r="U1069" s="23">
        <v>47680</v>
      </c>
      <c r="X1069" s="20">
        <v>5000</v>
      </c>
      <c r="Z1069" s="6" t="s">
        <v>5978</v>
      </c>
      <c r="AA1069" s="14">
        <f t="shared" si="127"/>
        <v>5.9999999999999995E-4</v>
      </c>
      <c r="AB1069">
        <v>2.9999999999999996</v>
      </c>
      <c r="AC1069">
        <v>3.1199999999999997</v>
      </c>
    </row>
    <row r="1070" spans="1:29" x14ac:dyDescent="0.3">
      <c r="A1070">
        <v>152271</v>
      </c>
      <c r="B1070" s="25" t="s">
        <v>5984</v>
      </c>
      <c r="C1070" t="s">
        <v>20</v>
      </c>
      <c r="D1070" t="s">
        <v>21</v>
      </c>
      <c r="E1070">
        <v>2222222</v>
      </c>
      <c r="F1070" s="8" t="s">
        <v>22</v>
      </c>
      <c r="G1070" s="2">
        <v>98</v>
      </c>
      <c r="H1070" t="s">
        <v>3965</v>
      </c>
      <c r="J1070" s="9" t="s">
        <v>4924</v>
      </c>
      <c r="K1070" t="s">
        <v>5372</v>
      </c>
      <c r="L1070" s="2">
        <v>1</v>
      </c>
      <c r="M1070" s="24" t="s">
        <v>5971</v>
      </c>
      <c r="N1070" s="2" t="s">
        <v>23</v>
      </c>
      <c r="O1070" s="18" t="s">
        <v>877</v>
      </c>
      <c r="P1070" s="18" t="s">
        <v>3781</v>
      </c>
      <c r="Q1070" s="6" t="s">
        <v>4475</v>
      </c>
      <c r="T1070" s="23">
        <v>46224</v>
      </c>
      <c r="U1070" s="23">
        <v>47684</v>
      </c>
      <c r="X1070" s="20">
        <v>3760</v>
      </c>
      <c r="Z1070" s="6" t="s">
        <v>5978</v>
      </c>
      <c r="AA1070" s="14">
        <f t="shared" si="127"/>
        <v>5.9999999999999995E-4</v>
      </c>
      <c r="AB1070">
        <v>2.2559999999999998</v>
      </c>
      <c r="AC1070">
        <v>2.3462399999999999</v>
      </c>
    </row>
    <row r="1071" spans="1:29" x14ac:dyDescent="0.3">
      <c r="A1071">
        <v>152389</v>
      </c>
      <c r="B1071" s="25" t="s">
        <v>5984</v>
      </c>
      <c r="C1071" t="s">
        <v>20</v>
      </c>
      <c r="D1071" t="s">
        <v>21</v>
      </c>
      <c r="E1071">
        <v>2222222</v>
      </c>
      <c r="F1071" s="8" t="s">
        <v>22</v>
      </c>
      <c r="G1071" s="2">
        <v>98</v>
      </c>
      <c r="H1071" t="s">
        <v>3965</v>
      </c>
      <c r="J1071" s="9" t="s">
        <v>4891</v>
      </c>
      <c r="K1071" t="s">
        <v>5368</v>
      </c>
      <c r="L1071" s="2">
        <v>1</v>
      </c>
      <c r="M1071" s="24" t="s">
        <v>5971</v>
      </c>
      <c r="N1071" s="2" t="s">
        <v>23</v>
      </c>
      <c r="O1071" s="18" t="s">
        <v>869</v>
      </c>
      <c r="P1071" s="18" t="s">
        <v>3781</v>
      </c>
      <c r="Q1071" s="6" t="s">
        <v>4475</v>
      </c>
      <c r="T1071" s="23">
        <v>46234</v>
      </c>
      <c r="U1071" s="23">
        <v>46324</v>
      </c>
      <c r="X1071" s="20">
        <v>4040</v>
      </c>
      <c r="Z1071" s="6" t="s">
        <v>5978</v>
      </c>
      <c r="AA1071" s="14">
        <f t="shared" si="127"/>
        <v>5.9999999999999995E-4</v>
      </c>
      <c r="AB1071">
        <v>2.4239999999999999</v>
      </c>
      <c r="AC1071">
        <v>2.5209600000000001</v>
      </c>
    </row>
    <row r="1072" spans="1:29" x14ac:dyDescent="0.3">
      <c r="A1072">
        <v>131371</v>
      </c>
      <c r="B1072" s="25" t="s">
        <v>5984</v>
      </c>
      <c r="C1072" t="s">
        <v>20</v>
      </c>
      <c r="D1072" t="s">
        <v>21</v>
      </c>
      <c r="E1072">
        <v>2222222</v>
      </c>
      <c r="F1072" s="8" t="s">
        <v>22</v>
      </c>
      <c r="G1072" s="2">
        <v>98</v>
      </c>
      <c r="H1072" t="s">
        <v>3966</v>
      </c>
      <c r="J1072" s="9" t="s">
        <v>5193</v>
      </c>
      <c r="K1072" t="s">
        <v>4937</v>
      </c>
      <c r="L1072" s="2">
        <v>1</v>
      </c>
      <c r="M1072" s="24" t="s">
        <v>5971</v>
      </c>
      <c r="N1072" s="2" t="s">
        <v>23</v>
      </c>
      <c r="O1072" s="18" t="s">
        <v>880</v>
      </c>
      <c r="P1072" s="18" t="s">
        <v>0</v>
      </c>
      <c r="Q1072" s="6" t="s">
        <v>4475</v>
      </c>
      <c r="T1072" s="23">
        <v>44904</v>
      </c>
      <c r="U1072" s="23">
        <v>48563</v>
      </c>
      <c r="X1072" s="20">
        <v>72400</v>
      </c>
      <c r="Z1072" s="6" t="s">
        <v>5978</v>
      </c>
      <c r="AA1072" s="13">
        <f t="shared" ref="AA1072:AA1073" si="128">+(0.56/1000)</f>
        <v>5.6000000000000006E-4</v>
      </c>
      <c r="AB1072">
        <v>32.618628000000008</v>
      </c>
      <c r="AC1072">
        <v>33.923373120000008</v>
      </c>
    </row>
    <row r="1073" spans="1:29" x14ac:dyDescent="0.3">
      <c r="A1073">
        <v>133434</v>
      </c>
      <c r="B1073" s="25" t="s">
        <v>5984</v>
      </c>
      <c r="C1073" t="s">
        <v>20</v>
      </c>
      <c r="D1073" t="s">
        <v>21</v>
      </c>
      <c r="E1073">
        <v>2222222</v>
      </c>
      <c r="F1073" s="8" t="s">
        <v>22</v>
      </c>
      <c r="G1073" s="2">
        <v>98</v>
      </c>
      <c r="H1073" t="s">
        <v>3966</v>
      </c>
      <c r="J1073" s="9" t="s">
        <v>4860</v>
      </c>
      <c r="K1073" t="s">
        <v>4926</v>
      </c>
      <c r="L1073" s="2">
        <v>1</v>
      </c>
      <c r="M1073" s="24" t="s">
        <v>5971</v>
      </c>
      <c r="N1073" s="2" t="s">
        <v>23</v>
      </c>
      <c r="O1073" s="18" t="s">
        <v>881</v>
      </c>
      <c r="P1073" s="18" t="s">
        <v>3781</v>
      </c>
      <c r="Q1073" s="6" t="s">
        <v>4475</v>
      </c>
      <c r="T1073" s="23">
        <v>45002</v>
      </c>
      <c r="U1073" s="23">
        <v>47558</v>
      </c>
      <c r="X1073" s="20">
        <v>20000</v>
      </c>
      <c r="Z1073" s="6" t="s">
        <v>5978</v>
      </c>
      <c r="AA1073" s="13">
        <f t="shared" si="128"/>
        <v>5.6000000000000006E-4</v>
      </c>
      <c r="AB1073">
        <v>7.4473392000000009</v>
      </c>
      <c r="AC1073">
        <v>7.745232768000001</v>
      </c>
    </row>
    <row r="1074" spans="1:29" x14ac:dyDescent="0.3">
      <c r="A1074">
        <v>143067</v>
      </c>
      <c r="B1074" s="25" t="s">
        <v>5984</v>
      </c>
      <c r="C1074" t="s">
        <v>20</v>
      </c>
      <c r="D1074" t="s">
        <v>21</v>
      </c>
      <c r="E1074">
        <v>2222222</v>
      </c>
      <c r="F1074" s="8" t="s">
        <v>22</v>
      </c>
      <c r="G1074" s="2">
        <v>98</v>
      </c>
      <c r="H1074" t="s">
        <v>3966</v>
      </c>
      <c r="J1074" s="9" t="s">
        <v>4891</v>
      </c>
      <c r="K1074" t="s">
        <v>5019</v>
      </c>
      <c r="L1074" s="2">
        <v>1</v>
      </c>
      <c r="M1074" s="24" t="s">
        <v>5971</v>
      </c>
      <c r="N1074" s="2" t="s">
        <v>23</v>
      </c>
      <c r="O1074" s="18" t="s">
        <v>882</v>
      </c>
      <c r="P1074" s="18" t="s">
        <v>3781</v>
      </c>
      <c r="Q1074" s="6" t="s">
        <v>4475</v>
      </c>
      <c r="T1074" s="23">
        <v>45565</v>
      </c>
      <c r="U1074" s="23">
        <v>47484</v>
      </c>
      <c r="X1074" s="20">
        <v>2880</v>
      </c>
      <c r="Z1074" s="6" t="s">
        <v>5978</v>
      </c>
      <c r="AA1074" s="14">
        <f t="shared" ref="AA1074:AA1077" si="129">+(0.6/1000)</f>
        <v>5.9999999999999995E-4</v>
      </c>
      <c r="AB1074">
        <v>1.3374060000000001</v>
      </c>
      <c r="AC1074">
        <v>1.3909022400000002</v>
      </c>
    </row>
    <row r="1075" spans="1:29" x14ac:dyDescent="0.3">
      <c r="A1075">
        <v>149676</v>
      </c>
      <c r="B1075" s="25" t="s">
        <v>5984</v>
      </c>
      <c r="C1075" t="s">
        <v>20</v>
      </c>
      <c r="D1075" t="s">
        <v>21</v>
      </c>
      <c r="E1075">
        <v>2222222</v>
      </c>
      <c r="F1075" s="8" t="s">
        <v>22</v>
      </c>
      <c r="G1075" s="2">
        <v>98</v>
      </c>
      <c r="H1075" t="s">
        <v>3966</v>
      </c>
      <c r="J1075" s="9" t="s">
        <v>5193</v>
      </c>
      <c r="K1075" t="s">
        <v>4937</v>
      </c>
      <c r="L1075" s="2">
        <v>1</v>
      </c>
      <c r="M1075" s="24" t="s">
        <v>5971</v>
      </c>
      <c r="N1075" s="2" t="s">
        <v>23</v>
      </c>
      <c r="O1075" s="18" t="s">
        <v>880</v>
      </c>
      <c r="P1075" s="18" t="s">
        <v>0</v>
      </c>
      <c r="Q1075" s="6" t="s">
        <v>4475</v>
      </c>
      <c r="T1075" s="23">
        <v>46043</v>
      </c>
      <c r="U1075" s="23">
        <v>47868</v>
      </c>
      <c r="X1075" s="20">
        <v>15000</v>
      </c>
      <c r="Z1075" s="6" t="s">
        <v>5978</v>
      </c>
      <c r="AA1075" s="14">
        <f t="shared" si="129"/>
        <v>5.9999999999999995E-4</v>
      </c>
      <c r="AB1075">
        <v>8.3489939999999994</v>
      </c>
      <c r="AC1075">
        <v>8.6829537600000002</v>
      </c>
    </row>
    <row r="1076" spans="1:29" x14ac:dyDescent="0.3">
      <c r="A1076">
        <v>149688</v>
      </c>
      <c r="B1076" s="25" t="s">
        <v>5984</v>
      </c>
      <c r="C1076" t="s">
        <v>20</v>
      </c>
      <c r="D1076" t="s">
        <v>21</v>
      </c>
      <c r="E1076">
        <v>2222222</v>
      </c>
      <c r="F1076" s="8" t="s">
        <v>22</v>
      </c>
      <c r="G1076" s="2">
        <v>98</v>
      </c>
      <c r="H1076" t="s">
        <v>3966</v>
      </c>
      <c r="J1076" s="9" t="s">
        <v>4945</v>
      </c>
      <c r="K1076" t="s">
        <v>4857</v>
      </c>
      <c r="L1076" s="2">
        <v>1</v>
      </c>
      <c r="M1076" s="24" t="s">
        <v>5971</v>
      </c>
      <c r="N1076" s="2" t="s">
        <v>23</v>
      </c>
      <c r="O1076" s="18" t="s">
        <v>883</v>
      </c>
      <c r="P1076" s="18" t="s">
        <v>0</v>
      </c>
      <c r="Q1076" s="6" t="s">
        <v>4475</v>
      </c>
      <c r="T1076" s="23">
        <v>46042</v>
      </c>
      <c r="U1076" s="23">
        <v>47503</v>
      </c>
      <c r="X1076" s="20">
        <v>5000</v>
      </c>
      <c r="Z1076" s="6" t="s">
        <v>5978</v>
      </c>
      <c r="AA1076" s="14">
        <f t="shared" si="129"/>
        <v>5.9999999999999995E-4</v>
      </c>
      <c r="AB1076">
        <v>2.7287159999999995</v>
      </c>
      <c r="AC1076">
        <v>2.8378646399999994</v>
      </c>
    </row>
    <row r="1077" spans="1:29" x14ac:dyDescent="0.3">
      <c r="A1077">
        <v>151478</v>
      </c>
      <c r="B1077" s="25" t="s">
        <v>5984</v>
      </c>
      <c r="C1077" t="s">
        <v>20</v>
      </c>
      <c r="D1077" t="s">
        <v>21</v>
      </c>
      <c r="E1077">
        <v>2222222</v>
      </c>
      <c r="F1077" s="8" t="s">
        <v>22</v>
      </c>
      <c r="G1077" s="2">
        <v>98</v>
      </c>
      <c r="H1077" t="s">
        <v>3966</v>
      </c>
      <c r="J1077" s="9" t="s">
        <v>4891</v>
      </c>
      <c r="K1077" t="s">
        <v>5019</v>
      </c>
      <c r="L1077" s="2">
        <v>1</v>
      </c>
      <c r="M1077" s="24" t="s">
        <v>5971</v>
      </c>
      <c r="N1077" s="2" t="s">
        <v>23</v>
      </c>
      <c r="O1077" s="18" t="s">
        <v>882</v>
      </c>
      <c r="P1077" s="18" t="s">
        <v>3781</v>
      </c>
      <c r="Q1077" s="6" t="s">
        <v>4475</v>
      </c>
      <c r="T1077" s="23">
        <v>46168</v>
      </c>
      <c r="U1077" s="23">
        <v>46258</v>
      </c>
      <c r="X1077" s="20">
        <v>2700</v>
      </c>
      <c r="Z1077" s="6" t="s">
        <v>5978</v>
      </c>
      <c r="AA1077" s="14">
        <f t="shared" si="129"/>
        <v>5.9999999999999995E-4</v>
      </c>
      <c r="AB1077">
        <v>1.6199999999999999</v>
      </c>
      <c r="AC1077">
        <v>1.6847999999999999</v>
      </c>
    </row>
    <row r="1078" spans="1:29" x14ac:dyDescent="0.3">
      <c r="A1078">
        <v>137054</v>
      </c>
      <c r="B1078" s="25" t="s">
        <v>5984</v>
      </c>
      <c r="C1078" t="s">
        <v>20</v>
      </c>
      <c r="D1078" t="s">
        <v>21</v>
      </c>
      <c r="E1078">
        <v>2222222</v>
      </c>
      <c r="F1078" s="8" t="s">
        <v>22</v>
      </c>
      <c r="G1078" s="2">
        <v>98</v>
      </c>
      <c r="H1078" t="s">
        <v>3967</v>
      </c>
      <c r="J1078" s="9" t="s">
        <v>5051</v>
      </c>
      <c r="K1078" t="s">
        <v>5071</v>
      </c>
      <c r="L1078" s="2">
        <v>1</v>
      </c>
      <c r="M1078" s="24" t="s">
        <v>5971</v>
      </c>
      <c r="N1078" s="2" t="s">
        <v>23</v>
      </c>
      <c r="O1078" s="18" t="s">
        <v>884</v>
      </c>
      <c r="P1078" s="18" t="s">
        <v>3781</v>
      </c>
      <c r="Q1078" s="6" t="s">
        <v>4475</v>
      </c>
      <c r="T1078" s="23">
        <v>45209</v>
      </c>
      <c r="U1078" s="23">
        <v>47035</v>
      </c>
      <c r="X1078" s="20">
        <v>12000</v>
      </c>
      <c r="Z1078" s="6" t="s">
        <v>5978</v>
      </c>
      <c r="AA1078" s="13">
        <f>+(0.56/1000)</f>
        <v>5.6000000000000006E-4</v>
      </c>
      <c r="AB1078">
        <v>5.8025968000000008</v>
      </c>
      <c r="AC1078">
        <v>6.0347006720000014</v>
      </c>
    </row>
    <row r="1079" spans="1:29" x14ac:dyDescent="0.3">
      <c r="A1079">
        <v>145791</v>
      </c>
      <c r="B1079" s="25" t="s">
        <v>5984</v>
      </c>
      <c r="C1079" t="s">
        <v>20</v>
      </c>
      <c r="D1079" t="s">
        <v>21</v>
      </c>
      <c r="E1079">
        <v>2222222</v>
      </c>
      <c r="F1079" s="8" t="s">
        <v>22</v>
      </c>
      <c r="G1079" s="2">
        <v>98</v>
      </c>
      <c r="H1079" t="s">
        <v>3967</v>
      </c>
      <c r="J1079" s="9" t="s">
        <v>5373</v>
      </c>
      <c r="K1079" t="s">
        <v>5072</v>
      </c>
      <c r="L1079" s="2">
        <v>1</v>
      </c>
      <c r="M1079" s="24" t="s">
        <v>5971</v>
      </c>
      <c r="N1079" s="2" t="s">
        <v>23</v>
      </c>
      <c r="O1079" s="18" t="s">
        <v>885</v>
      </c>
      <c r="P1079" s="18" t="s">
        <v>3781</v>
      </c>
      <c r="Q1079" s="6" t="s">
        <v>4475</v>
      </c>
      <c r="T1079" s="23">
        <v>45763</v>
      </c>
      <c r="U1079" s="23">
        <v>46859</v>
      </c>
      <c r="X1079" s="20">
        <v>5700</v>
      </c>
      <c r="Z1079" s="6" t="s">
        <v>5978</v>
      </c>
      <c r="AA1079" s="14">
        <f t="shared" ref="AA1079:AA1083" si="130">+(0.6/1000)</f>
        <v>5.9999999999999995E-4</v>
      </c>
      <c r="AB1079">
        <v>2.5438739999999997</v>
      </c>
      <c r="AC1079">
        <v>2.6456289599999998</v>
      </c>
    </row>
    <row r="1080" spans="1:29" x14ac:dyDescent="0.3">
      <c r="A1080">
        <v>150252</v>
      </c>
      <c r="B1080" s="25" t="s">
        <v>5984</v>
      </c>
      <c r="C1080" t="s">
        <v>20</v>
      </c>
      <c r="D1080" t="s">
        <v>21</v>
      </c>
      <c r="E1080">
        <v>2222222</v>
      </c>
      <c r="F1080" s="8" t="s">
        <v>22</v>
      </c>
      <c r="G1080" s="2">
        <v>98</v>
      </c>
      <c r="H1080" t="s">
        <v>3967</v>
      </c>
      <c r="J1080" s="9" t="s">
        <v>4823</v>
      </c>
      <c r="K1080" t="s">
        <v>4851</v>
      </c>
      <c r="L1080" s="2">
        <v>1</v>
      </c>
      <c r="M1080" s="24" t="s">
        <v>5971</v>
      </c>
      <c r="N1080" s="2" t="s">
        <v>23</v>
      </c>
      <c r="O1080" s="18" t="s">
        <v>886</v>
      </c>
      <c r="P1080" s="18" t="s">
        <v>3781</v>
      </c>
      <c r="Q1080" s="6" t="s">
        <v>4475</v>
      </c>
      <c r="T1080" s="23">
        <v>46081</v>
      </c>
      <c r="U1080" s="23">
        <v>49738</v>
      </c>
      <c r="X1080" s="20">
        <v>10250</v>
      </c>
      <c r="Z1080" s="6" t="s">
        <v>5978</v>
      </c>
      <c r="AA1080" s="14">
        <f t="shared" si="130"/>
        <v>5.9999999999999995E-4</v>
      </c>
      <c r="AB1080">
        <v>6.1226700000000003</v>
      </c>
      <c r="AC1080">
        <v>6.3675768000000001</v>
      </c>
    </row>
    <row r="1081" spans="1:29" x14ac:dyDescent="0.3">
      <c r="A1081">
        <v>148603</v>
      </c>
      <c r="B1081" s="25" t="s">
        <v>5984</v>
      </c>
      <c r="C1081" t="s">
        <v>20</v>
      </c>
      <c r="D1081" t="s">
        <v>21</v>
      </c>
      <c r="E1081">
        <v>2222222</v>
      </c>
      <c r="F1081" s="8" t="s">
        <v>22</v>
      </c>
      <c r="G1081" s="2">
        <v>98</v>
      </c>
      <c r="H1081" t="s">
        <v>3968</v>
      </c>
      <c r="J1081" s="9" t="s">
        <v>4934</v>
      </c>
      <c r="K1081" t="s">
        <v>4949</v>
      </c>
      <c r="L1081" s="2">
        <v>1</v>
      </c>
      <c r="M1081" s="24" t="s">
        <v>5971</v>
      </c>
      <c r="N1081" s="2" t="s">
        <v>23</v>
      </c>
      <c r="O1081" s="18" t="s">
        <v>887</v>
      </c>
      <c r="P1081" s="18" t="s">
        <v>0</v>
      </c>
      <c r="Q1081" s="6" t="s">
        <v>4475</v>
      </c>
      <c r="T1081" s="23">
        <v>45966</v>
      </c>
      <c r="U1081" s="23">
        <v>46604</v>
      </c>
      <c r="X1081" s="20">
        <v>3250</v>
      </c>
      <c r="Z1081" s="6" t="s">
        <v>5978</v>
      </c>
      <c r="AA1081" s="14">
        <f t="shared" si="130"/>
        <v>5.9999999999999995E-4</v>
      </c>
      <c r="AB1081">
        <v>1.2739979999999997</v>
      </c>
      <c r="AC1081">
        <v>1.3249579199999997</v>
      </c>
    </row>
    <row r="1082" spans="1:29" x14ac:dyDescent="0.3">
      <c r="A1082">
        <v>149996</v>
      </c>
      <c r="B1082" s="25" t="s">
        <v>5984</v>
      </c>
      <c r="C1082" t="s">
        <v>20</v>
      </c>
      <c r="D1082" t="s">
        <v>21</v>
      </c>
      <c r="E1082">
        <v>2222222</v>
      </c>
      <c r="F1082" s="8" t="s">
        <v>22</v>
      </c>
      <c r="G1082" s="2">
        <v>98</v>
      </c>
      <c r="H1082" t="s">
        <v>3969</v>
      </c>
      <c r="J1082" s="9" t="s">
        <v>5234</v>
      </c>
      <c r="K1082" t="s">
        <v>5374</v>
      </c>
      <c r="L1082" s="2">
        <v>1</v>
      </c>
      <c r="M1082" s="24" t="s">
        <v>5971</v>
      </c>
      <c r="N1082" s="2" t="s">
        <v>23</v>
      </c>
      <c r="O1082" s="18" t="s">
        <v>888</v>
      </c>
      <c r="P1082" s="18" t="s">
        <v>0</v>
      </c>
      <c r="Q1082" s="6" t="s">
        <v>4475</v>
      </c>
      <c r="T1082" s="23">
        <v>46081</v>
      </c>
      <c r="U1082" s="23">
        <v>53386</v>
      </c>
      <c r="X1082" s="20">
        <v>106200</v>
      </c>
      <c r="Z1082" s="6" t="s">
        <v>5978</v>
      </c>
      <c r="AA1082" s="14">
        <f t="shared" si="130"/>
        <v>5.9999999999999995E-4</v>
      </c>
      <c r="AB1082">
        <v>63.310175999999998</v>
      </c>
      <c r="AC1082">
        <v>65.842583039999994</v>
      </c>
    </row>
    <row r="1083" spans="1:29" x14ac:dyDescent="0.3">
      <c r="A1083">
        <v>146880</v>
      </c>
      <c r="B1083" s="25" t="s">
        <v>5984</v>
      </c>
      <c r="C1083" t="s">
        <v>20</v>
      </c>
      <c r="D1083" t="s">
        <v>21</v>
      </c>
      <c r="E1083">
        <v>2222222</v>
      </c>
      <c r="F1083" s="8" t="s">
        <v>22</v>
      </c>
      <c r="G1083" s="2">
        <v>98</v>
      </c>
      <c r="H1083" t="s">
        <v>3970</v>
      </c>
      <c r="J1083" s="9" t="s">
        <v>5375</v>
      </c>
      <c r="K1083" t="s">
        <v>5024</v>
      </c>
      <c r="L1083" s="2">
        <v>1</v>
      </c>
      <c r="M1083" s="24" t="s">
        <v>5971</v>
      </c>
      <c r="N1083" s="2" t="s">
        <v>23</v>
      </c>
      <c r="O1083" s="18" t="s">
        <v>889</v>
      </c>
      <c r="P1083" s="18" t="s">
        <v>0</v>
      </c>
      <c r="Q1083" s="6" t="s">
        <v>4475</v>
      </c>
      <c r="T1083" s="23">
        <v>45849</v>
      </c>
      <c r="U1083" s="23">
        <v>47309</v>
      </c>
      <c r="X1083" s="20">
        <v>5000</v>
      </c>
      <c r="Z1083" s="6" t="s">
        <v>5978</v>
      </c>
      <c r="AA1083" s="14">
        <f t="shared" si="130"/>
        <v>5.9999999999999995E-4</v>
      </c>
      <c r="AB1083">
        <v>2.4386099999999997</v>
      </c>
      <c r="AC1083">
        <v>2.5361543999999996</v>
      </c>
    </row>
    <row r="1084" spans="1:29" x14ac:dyDescent="0.3">
      <c r="A1084">
        <v>82529</v>
      </c>
      <c r="B1084" s="25" t="s">
        <v>5984</v>
      </c>
      <c r="C1084" t="s">
        <v>20</v>
      </c>
      <c r="D1084" t="s">
        <v>21</v>
      </c>
      <c r="E1084">
        <v>2222222</v>
      </c>
      <c r="F1084" s="8" t="s">
        <v>22</v>
      </c>
      <c r="G1084" s="2">
        <v>98</v>
      </c>
      <c r="H1084" t="s">
        <v>3971</v>
      </c>
      <c r="J1084" s="9" t="s">
        <v>5376</v>
      </c>
      <c r="K1084" t="s">
        <v>4980</v>
      </c>
      <c r="L1084" s="2">
        <v>1</v>
      </c>
      <c r="M1084" s="24" t="s">
        <v>5971</v>
      </c>
      <c r="N1084" s="2" t="s">
        <v>23</v>
      </c>
      <c r="O1084" s="18" t="s">
        <v>890</v>
      </c>
      <c r="P1084" s="18" t="s">
        <v>3781</v>
      </c>
      <c r="Q1084" s="6" t="s">
        <v>4475</v>
      </c>
      <c r="T1084" s="23">
        <v>42886</v>
      </c>
      <c r="U1084" s="23">
        <v>44712</v>
      </c>
      <c r="X1084" s="20">
        <v>10000</v>
      </c>
      <c r="Z1084" s="6" t="s">
        <v>5978</v>
      </c>
      <c r="AA1084" s="15">
        <f>+(0.42/1000)</f>
        <v>4.1999999999999996E-4</v>
      </c>
      <c r="AB1084">
        <v>3.6651551999999996</v>
      </c>
      <c r="AC1084">
        <v>3.8117614079999997</v>
      </c>
    </row>
    <row r="1085" spans="1:29" x14ac:dyDescent="0.3">
      <c r="A1085">
        <v>132559</v>
      </c>
      <c r="B1085" s="25" t="s">
        <v>5984</v>
      </c>
      <c r="C1085" t="s">
        <v>20</v>
      </c>
      <c r="D1085" t="s">
        <v>21</v>
      </c>
      <c r="E1085">
        <v>2222222</v>
      </c>
      <c r="F1085" s="8" t="s">
        <v>22</v>
      </c>
      <c r="G1085" s="2">
        <v>98</v>
      </c>
      <c r="H1085" t="s">
        <v>3971</v>
      </c>
      <c r="J1085" s="9" t="s">
        <v>4950</v>
      </c>
      <c r="K1085" t="s">
        <v>5377</v>
      </c>
      <c r="L1085" s="2">
        <v>1</v>
      </c>
      <c r="M1085" s="24" t="s">
        <v>5971</v>
      </c>
      <c r="N1085" s="2" t="s">
        <v>23</v>
      </c>
      <c r="O1085" s="18" t="s">
        <v>891</v>
      </c>
      <c r="P1085" s="18" t="s">
        <v>0</v>
      </c>
      <c r="Q1085" s="6" t="s">
        <v>4475</v>
      </c>
      <c r="T1085" s="23">
        <v>44946</v>
      </c>
      <c r="U1085" s="23">
        <v>46771</v>
      </c>
      <c r="X1085" s="20">
        <v>5462.32</v>
      </c>
      <c r="Z1085" s="6" t="s">
        <v>5978</v>
      </c>
      <c r="AA1085" s="13">
        <f>+(0.56/1000)</f>
        <v>5.6000000000000006E-4</v>
      </c>
      <c r="AB1085">
        <v>3.0078720000000003</v>
      </c>
      <c r="AC1085">
        <v>3.1281868800000003</v>
      </c>
    </row>
    <row r="1086" spans="1:29" x14ac:dyDescent="0.3">
      <c r="A1086">
        <v>113817</v>
      </c>
      <c r="B1086" s="25" t="s">
        <v>5984</v>
      </c>
      <c r="C1086" t="s">
        <v>20</v>
      </c>
      <c r="D1086" t="s">
        <v>21</v>
      </c>
      <c r="E1086">
        <v>2222222</v>
      </c>
      <c r="F1086" s="8" t="s">
        <v>22</v>
      </c>
      <c r="G1086" s="2">
        <v>98</v>
      </c>
      <c r="H1086" t="s">
        <v>3972</v>
      </c>
      <c r="J1086" s="9" t="s">
        <v>4826</v>
      </c>
      <c r="L1086" s="2">
        <v>1</v>
      </c>
      <c r="M1086" s="24" t="s">
        <v>5971</v>
      </c>
      <c r="N1086" s="2" t="s">
        <v>23</v>
      </c>
      <c r="O1086" s="18" t="s">
        <v>892</v>
      </c>
      <c r="P1086" s="18" t="s">
        <v>0</v>
      </c>
      <c r="Q1086" s="6" t="s">
        <v>4475</v>
      </c>
      <c r="T1086" s="23">
        <v>44025</v>
      </c>
      <c r="U1086" s="23">
        <v>45863</v>
      </c>
      <c r="X1086" s="20">
        <v>8900</v>
      </c>
      <c r="Z1086" s="6" t="s">
        <v>5978</v>
      </c>
      <c r="AA1086" s="15">
        <f>+(0.42/1000)</f>
        <v>4.1999999999999996E-4</v>
      </c>
      <c r="AB1086">
        <v>3.5282225999999999</v>
      </c>
      <c r="AC1086">
        <v>3.6693515040000002</v>
      </c>
    </row>
    <row r="1087" spans="1:29" x14ac:dyDescent="0.3">
      <c r="A1087">
        <v>146355</v>
      </c>
      <c r="B1087" s="25" t="s">
        <v>5984</v>
      </c>
      <c r="C1087" t="s">
        <v>20</v>
      </c>
      <c r="D1087" t="s">
        <v>21</v>
      </c>
      <c r="E1087">
        <v>2222222</v>
      </c>
      <c r="F1087" s="8" t="s">
        <v>22</v>
      </c>
      <c r="G1087" s="2">
        <v>98</v>
      </c>
      <c r="H1087" t="s">
        <v>3973</v>
      </c>
      <c r="J1087" s="9" t="s">
        <v>4934</v>
      </c>
      <c r="K1087" t="s">
        <v>5270</v>
      </c>
      <c r="L1087" s="2">
        <v>1</v>
      </c>
      <c r="M1087" s="24" t="s">
        <v>5971</v>
      </c>
      <c r="N1087" s="2" t="s">
        <v>23</v>
      </c>
      <c r="O1087" s="18" t="s">
        <v>893</v>
      </c>
      <c r="P1087" s="18" t="s">
        <v>0</v>
      </c>
      <c r="Q1087" s="6" t="s">
        <v>4475</v>
      </c>
      <c r="T1087" s="23">
        <v>45814</v>
      </c>
      <c r="U1087" s="23">
        <v>47275</v>
      </c>
      <c r="X1087" s="20">
        <v>12000</v>
      </c>
      <c r="Z1087" s="6" t="s">
        <v>5978</v>
      </c>
      <c r="AA1087" s="14">
        <f t="shared" ref="AA1087:AA1090" si="131">+(0.6/1000)</f>
        <v>5.9999999999999995E-4</v>
      </c>
      <c r="AB1087">
        <v>5.6313899999999997</v>
      </c>
      <c r="AC1087">
        <v>5.8566456000000002</v>
      </c>
    </row>
    <row r="1088" spans="1:29" x14ac:dyDescent="0.3">
      <c r="A1088">
        <v>151161</v>
      </c>
      <c r="B1088" s="25" t="s">
        <v>5984</v>
      </c>
      <c r="C1088" t="s">
        <v>20</v>
      </c>
      <c r="D1088" t="s">
        <v>21</v>
      </c>
      <c r="E1088">
        <v>2222222</v>
      </c>
      <c r="F1088" s="8" t="s">
        <v>22</v>
      </c>
      <c r="G1088" s="2">
        <v>98</v>
      </c>
      <c r="H1088" t="s">
        <v>3973</v>
      </c>
      <c r="J1088" s="9" t="s">
        <v>5378</v>
      </c>
      <c r="K1088" t="s">
        <v>4926</v>
      </c>
      <c r="L1088" s="2">
        <v>1</v>
      </c>
      <c r="M1088" s="24" t="s">
        <v>5971</v>
      </c>
      <c r="N1088" s="2" t="s">
        <v>23</v>
      </c>
      <c r="O1088" s="18" t="s">
        <v>894</v>
      </c>
      <c r="P1088" s="18" t="s">
        <v>0</v>
      </c>
      <c r="Q1088" s="6" t="s">
        <v>4475</v>
      </c>
      <c r="T1088" s="23">
        <v>46146</v>
      </c>
      <c r="U1088" s="23">
        <v>51624</v>
      </c>
      <c r="X1088" s="20">
        <v>55700</v>
      </c>
      <c r="Z1088" s="6" t="s">
        <v>5978</v>
      </c>
      <c r="AA1088" s="14">
        <f t="shared" si="131"/>
        <v>5.9999999999999995E-4</v>
      </c>
      <c r="AB1088">
        <v>33.349511999999997</v>
      </c>
      <c r="AC1088">
        <v>34.683492479999998</v>
      </c>
    </row>
    <row r="1089" spans="1:29" x14ac:dyDescent="0.3">
      <c r="A1089">
        <v>148722</v>
      </c>
      <c r="B1089" s="25" t="s">
        <v>5984</v>
      </c>
      <c r="C1089" t="s">
        <v>20</v>
      </c>
      <c r="D1089" t="s">
        <v>21</v>
      </c>
      <c r="E1089">
        <v>2222222</v>
      </c>
      <c r="F1089" s="8" t="s">
        <v>22</v>
      </c>
      <c r="G1089" s="2">
        <v>98</v>
      </c>
      <c r="H1089" t="s">
        <v>3974</v>
      </c>
      <c r="J1089" s="9" t="s">
        <v>4988</v>
      </c>
      <c r="K1089" t="s">
        <v>4949</v>
      </c>
      <c r="L1089" s="2">
        <v>1</v>
      </c>
      <c r="M1089" s="24" t="s">
        <v>5971</v>
      </c>
      <c r="N1089" s="2" t="s">
        <v>23</v>
      </c>
      <c r="O1089" s="18" t="s">
        <v>895</v>
      </c>
      <c r="P1089" s="18" t="s">
        <v>0</v>
      </c>
      <c r="Q1089" s="6" t="s">
        <v>4475</v>
      </c>
      <c r="T1089" s="23">
        <v>45974</v>
      </c>
      <c r="U1089" s="23">
        <v>47070</v>
      </c>
      <c r="X1089" s="20">
        <v>3100</v>
      </c>
      <c r="Z1089" s="6" t="s">
        <v>5978</v>
      </c>
      <c r="AA1089" s="14">
        <f t="shared" si="131"/>
        <v>5.9999999999999995E-4</v>
      </c>
      <c r="AB1089">
        <v>1.5238439999999998</v>
      </c>
      <c r="AC1089">
        <v>1.5847977599999998</v>
      </c>
    </row>
    <row r="1090" spans="1:29" x14ac:dyDescent="0.3">
      <c r="A1090">
        <v>151849</v>
      </c>
      <c r="B1090" s="25" t="s">
        <v>5984</v>
      </c>
      <c r="C1090" t="s">
        <v>20</v>
      </c>
      <c r="D1090" t="s">
        <v>21</v>
      </c>
      <c r="E1090">
        <v>2222222</v>
      </c>
      <c r="F1090" s="8" t="s">
        <v>22</v>
      </c>
      <c r="G1090" s="2">
        <v>98</v>
      </c>
      <c r="H1090" t="s">
        <v>3975</v>
      </c>
      <c r="J1090" s="9" t="s">
        <v>4950</v>
      </c>
      <c r="K1090" t="s">
        <v>5379</v>
      </c>
      <c r="L1090" s="2">
        <v>1</v>
      </c>
      <c r="M1090" s="24" t="s">
        <v>5971</v>
      </c>
      <c r="N1090" s="2" t="s">
        <v>23</v>
      </c>
      <c r="O1090" s="18" t="s">
        <v>896</v>
      </c>
      <c r="P1090" s="18" t="s">
        <v>0</v>
      </c>
      <c r="Q1090" s="6" t="s">
        <v>4475</v>
      </c>
      <c r="T1090" s="23">
        <v>46202</v>
      </c>
      <c r="U1090" s="23">
        <v>47298</v>
      </c>
      <c r="X1090" s="20">
        <v>7500</v>
      </c>
      <c r="Z1090" s="6" t="s">
        <v>5978</v>
      </c>
      <c r="AA1090" s="14">
        <f t="shared" si="131"/>
        <v>5.9999999999999995E-4</v>
      </c>
      <c r="AB1090">
        <v>4.3982760000000001</v>
      </c>
      <c r="AC1090">
        <v>4.5742070400000001</v>
      </c>
    </row>
    <row r="1091" spans="1:29" x14ac:dyDescent="0.3">
      <c r="A1091">
        <v>137311</v>
      </c>
      <c r="B1091" s="25" t="s">
        <v>5984</v>
      </c>
      <c r="C1091" t="s">
        <v>20</v>
      </c>
      <c r="D1091" t="s">
        <v>21</v>
      </c>
      <c r="E1091">
        <v>2222222</v>
      </c>
      <c r="F1091" s="8" t="s">
        <v>22</v>
      </c>
      <c r="G1091" s="2">
        <v>98</v>
      </c>
      <c r="H1091" t="s">
        <v>3976</v>
      </c>
      <c r="J1091" s="9" t="s">
        <v>5322</v>
      </c>
      <c r="K1091" t="s">
        <v>5052</v>
      </c>
      <c r="L1091" s="2">
        <v>1</v>
      </c>
      <c r="M1091" s="24" t="s">
        <v>5971</v>
      </c>
      <c r="N1091" s="2" t="s">
        <v>23</v>
      </c>
      <c r="O1091" s="18" t="s">
        <v>897</v>
      </c>
      <c r="P1091" s="18" t="s">
        <v>0</v>
      </c>
      <c r="Q1091" s="6" t="s">
        <v>4475</v>
      </c>
      <c r="T1091" s="23">
        <v>45216</v>
      </c>
      <c r="U1091" s="23">
        <v>45581</v>
      </c>
      <c r="X1091" s="20">
        <v>1000</v>
      </c>
      <c r="Z1091" s="6" t="s">
        <v>5978</v>
      </c>
      <c r="AA1091" s="13">
        <f>+(0.56/1000)</f>
        <v>5.6000000000000006E-4</v>
      </c>
      <c r="AB1091">
        <v>0.14918400000000001</v>
      </c>
      <c r="AC1091">
        <v>0.15515136000000002</v>
      </c>
    </row>
    <row r="1092" spans="1:29" x14ac:dyDescent="0.3">
      <c r="A1092">
        <v>151053</v>
      </c>
      <c r="B1092" s="25" t="s">
        <v>5984</v>
      </c>
      <c r="C1092" t="s">
        <v>20</v>
      </c>
      <c r="D1092" t="s">
        <v>21</v>
      </c>
      <c r="E1092">
        <v>2222222</v>
      </c>
      <c r="F1092" s="8" t="s">
        <v>22</v>
      </c>
      <c r="G1092" s="2">
        <v>98</v>
      </c>
      <c r="H1092" t="s">
        <v>3976</v>
      </c>
      <c r="J1092" s="9" t="s">
        <v>4864</v>
      </c>
      <c r="K1092" t="s">
        <v>5035</v>
      </c>
      <c r="L1092" s="2">
        <v>1</v>
      </c>
      <c r="M1092" s="24" t="s">
        <v>5971</v>
      </c>
      <c r="N1092" s="2" t="s">
        <v>23</v>
      </c>
      <c r="O1092" s="18" t="s">
        <v>898</v>
      </c>
      <c r="P1092" s="18" t="s">
        <v>0</v>
      </c>
      <c r="Q1092" s="6" t="s">
        <v>4475</v>
      </c>
      <c r="T1092" s="23">
        <v>46141</v>
      </c>
      <c r="U1092" s="23">
        <v>48333</v>
      </c>
      <c r="X1092" s="20">
        <v>12000</v>
      </c>
      <c r="Z1092" s="6" t="s">
        <v>5978</v>
      </c>
      <c r="AA1092" s="14">
        <f t="shared" ref="AA1092:AA1093" si="132">+(0.6/1000)</f>
        <v>5.9999999999999995E-4</v>
      </c>
      <c r="AB1092">
        <v>7.0175759999999991</v>
      </c>
      <c r="AC1092">
        <v>7.2982790399999997</v>
      </c>
    </row>
    <row r="1093" spans="1:29" x14ac:dyDescent="0.3">
      <c r="A1093">
        <v>148903</v>
      </c>
      <c r="B1093" s="25" t="s">
        <v>5984</v>
      </c>
      <c r="C1093" t="s">
        <v>20</v>
      </c>
      <c r="D1093" t="s">
        <v>21</v>
      </c>
      <c r="E1093">
        <v>2222222</v>
      </c>
      <c r="F1093" s="8" t="s">
        <v>22</v>
      </c>
      <c r="G1093" s="2">
        <v>98</v>
      </c>
      <c r="H1093" t="s">
        <v>3977</v>
      </c>
      <c r="J1093" s="9" t="s">
        <v>4993</v>
      </c>
      <c r="K1093" t="s">
        <v>4761</v>
      </c>
      <c r="L1093" s="2">
        <v>1</v>
      </c>
      <c r="M1093" s="24" t="s">
        <v>5971</v>
      </c>
      <c r="N1093" s="2" t="s">
        <v>23</v>
      </c>
      <c r="O1093" s="18" t="s">
        <v>899</v>
      </c>
      <c r="P1093" s="18" t="s">
        <v>3781</v>
      </c>
      <c r="Q1093" s="6" t="s">
        <v>4475</v>
      </c>
      <c r="T1093" s="23">
        <v>45988</v>
      </c>
      <c r="U1093" s="23">
        <v>47814</v>
      </c>
      <c r="X1093" s="20">
        <v>30000</v>
      </c>
      <c r="Z1093" s="6" t="s">
        <v>5978</v>
      </c>
      <c r="AA1093" s="14">
        <f t="shared" si="132"/>
        <v>5.9999999999999995E-4</v>
      </c>
      <c r="AB1093">
        <v>1.3669739999999999</v>
      </c>
      <c r="AC1093">
        <v>1.4216529599999999</v>
      </c>
    </row>
    <row r="1094" spans="1:29" x14ac:dyDescent="0.3">
      <c r="A1094">
        <v>137303</v>
      </c>
      <c r="B1094" s="25" t="s">
        <v>5984</v>
      </c>
      <c r="C1094" t="s">
        <v>20</v>
      </c>
      <c r="D1094" t="s">
        <v>21</v>
      </c>
      <c r="E1094">
        <v>2222222</v>
      </c>
      <c r="F1094" s="8" t="s">
        <v>22</v>
      </c>
      <c r="G1094" s="2">
        <v>98</v>
      </c>
      <c r="H1094" t="s">
        <v>3978</v>
      </c>
      <c r="J1094" s="9" t="s">
        <v>4946</v>
      </c>
      <c r="K1094" t="s">
        <v>4940</v>
      </c>
      <c r="L1094" s="2">
        <v>1</v>
      </c>
      <c r="M1094" s="24" t="s">
        <v>5971</v>
      </c>
      <c r="N1094" s="2" t="s">
        <v>23</v>
      </c>
      <c r="O1094" s="18" t="s">
        <v>900</v>
      </c>
      <c r="P1094" s="18" t="s">
        <v>0</v>
      </c>
      <c r="Q1094" s="6" t="s">
        <v>4475</v>
      </c>
      <c r="T1094" s="23">
        <v>45223</v>
      </c>
      <c r="U1094" s="23">
        <v>47049</v>
      </c>
      <c r="X1094" s="20">
        <v>8000</v>
      </c>
      <c r="Z1094" s="6" t="s">
        <v>5978</v>
      </c>
      <c r="AA1094" s="13">
        <f t="shared" ref="AA1094:AA1099" si="133">+(0.56/1000)</f>
        <v>5.6000000000000006E-4</v>
      </c>
      <c r="AB1094">
        <v>2.4477432000000006</v>
      </c>
      <c r="AC1094">
        <v>2.5456529280000009</v>
      </c>
    </row>
    <row r="1095" spans="1:29" x14ac:dyDescent="0.3">
      <c r="A1095">
        <v>131752</v>
      </c>
      <c r="B1095" s="25" t="s">
        <v>5984</v>
      </c>
      <c r="C1095" t="s">
        <v>20</v>
      </c>
      <c r="D1095" t="s">
        <v>21</v>
      </c>
      <c r="E1095">
        <v>2222222</v>
      </c>
      <c r="F1095" s="8" t="s">
        <v>22</v>
      </c>
      <c r="G1095" s="2">
        <v>98</v>
      </c>
      <c r="H1095" t="s">
        <v>3979</v>
      </c>
      <c r="J1095" s="9" t="s">
        <v>5240</v>
      </c>
      <c r="K1095" t="s">
        <v>5068</v>
      </c>
      <c r="L1095" s="2">
        <v>1</v>
      </c>
      <c r="M1095" s="24" t="s">
        <v>5971</v>
      </c>
      <c r="N1095" s="2" t="s">
        <v>23</v>
      </c>
      <c r="O1095" s="18" t="s">
        <v>901</v>
      </c>
      <c r="P1095" s="18" t="s">
        <v>0</v>
      </c>
      <c r="Q1095" s="6" t="s">
        <v>4475</v>
      </c>
      <c r="T1095" s="23">
        <v>44904</v>
      </c>
      <c r="U1095" s="23">
        <v>47160</v>
      </c>
      <c r="X1095" s="20">
        <v>19033.5</v>
      </c>
      <c r="Z1095" s="6" t="s">
        <v>5978</v>
      </c>
      <c r="AA1095" s="13">
        <f t="shared" si="133"/>
        <v>5.6000000000000006E-4</v>
      </c>
      <c r="AB1095">
        <v>2.5623472</v>
      </c>
      <c r="AC1095">
        <v>2.6648410880000002</v>
      </c>
    </row>
    <row r="1096" spans="1:29" x14ac:dyDescent="0.3">
      <c r="A1096">
        <v>138576</v>
      </c>
      <c r="B1096" s="25" t="s">
        <v>5984</v>
      </c>
      <c r="C1096" t="s">
        <v>20</v>
      </c>
      <c r="D1096" t="s">
        <v>21</v>
      </c>
      <c r="E1096">
        <v>2222222</v>
      </c>
      <c r="F1096" s="8" t="s">
        <v>22</v>
      </c>
      <c r="G1096" s="2">
        <v>98</v>
      </c>
      <c r="H1096" t="s">
        <v>3980</v>
      </c>
      <c r="J1096" s="9" t="s">
        <v>4924</v>
      </c>
      <c r="K1096" t="s">
        <v>4926</v>
      </c>
      <c r="L1096" s="2">
        <v>1</v>
      </c>
      <c r="M1096" s="24" t="s">
        <v>5971</v>
      </c>
      <c r="N1096" s="2" t="s">
        <v>23</v>
      </c>
      <c r="O1096" s="18" t="s">
        <v>902</v>
      </c>
      <c r="P1096" s="18" t="s">
        <v>3781</v>
      </c>
      <c r="Q1096" s="6" t="s">
        <v>4475</v>
      </c>
      <c r="T1096" s="23">
        <v>45287</v>
      </c>
      <c r="U1096" s="23">
        <v>45834</v>
      </c>
      <c r="X1096" s="20">
        <v>1500</v>
      </c>
      <c r="Z1096" s="6" t="s">
        <v>5978</v>
      </c>
      <c r="AA1096" s="13">
        <f t="shared" si="133"/>
        <v>5.6000000000000006E-4</v>
      </c>
      <c r="AB1096">
        <v>0.67959360000000002</v>
      </c>
      <c r="AC1096">
        <v>0.70677734400000003</v>
      </c>
    </row>
    <row r="1097" spans="1:29" x14ac:dyDescent="0.3">
      <c r="A1097">
        <v>140361</v>
      </c>
      <c r="B1097" s="25" t="s">
        <v>5984</v>
      </c>
      <c r="C1097" t="s">
        <v>20</v>
      </c>
      <c r="D1097" t="s">
        <v>21</v>
      </c>
      <c r="E1097">
        <v>2222222</v>
      </c>
      <c r="F1097" s="8" t="s">
        <v>22</v>
      </c>
      <c r="G1097" s="2">
        <v>98</v>
      </c>
      <c r="H1097" t="s">
        <v>3981</v>
      </c>
      <c r="J1097" s="9" t="s">
        <v>4836</v>
      </c>
      <c r="K1097" t="s">
        <v>5380</v>
      </c>
      <c r="L1097" s="2">
        <v>1</v>
      </c>
      <c r="M1097" s="24" t="s">
        <v>5971</v>
      </c>
      <c r="N1097" s="2" t="s">
        <v>23</v>
      </c>
      <c r="O1097" s="18" t="s">
        <v>903</v>
      </c>
      <c r="P1097" s="18" t="s">
        <v>3781</v>
      </c>
      <c r="Q1097" s="6" t="s">
        <v>4475</v>
      </c>
      <c r="T1097" s="23">
        <v>45383</v>
      </c>
      <c r="U1097" s="23">
        <v>46478</v>
      </c>
      <c r="X1097" s="20">
        <v>3180</v>
      </c>
      <c r="Z1097" s="6" t="s">
        <v>5978</v>
      </c>
      <c r="AA1097" s="13">
        <f t="shared" si="133"/>
        <v>5.6000000000000006E-4</v>
      </c>
      <c r="AB1097">
        <v>1.7133256000000003</v>
      </c>
      <c r="AC1097">
        <v>1.7818586240000005</v>
      </c>
    </row>
    <row r="1098" spans="1:29" x14ac:dyDescent="0.3">
      <c r="A1098">
        <v>136374</v>
      </c>
      <c r="B1098" s="25" t="s">
        <v>5984</v>
      </c>
      <c r="C1098" t="s">
        <v>20</v>
      </c>
      <c r="D1098" t="s">
        <v>21</v>
      </c>
      <c r="E1098">
        <v>2222222</v>
      </c>
      <c r="F1098" s="8" t="s">
        <v>22</v>
      </c>
      <c r="G1098" s="2">
        <v>98</v>
      </c>
      <c r="H1098" t="s">
        <v>3982</v>
      </c>
      <c r="J1098" s="9" t="s">
        <v>4871</v>
      </c>
      <c r="K1098" t="s">
        <v>4949</v>
      </c>
      <c r="L1098" s="2">
        <v>1</v>
      </c>
      <c r="M1098" s="24" t="s">
        <v>5971</v>
      </c>
      <c r="N1098" s="2" t="s">
        <v>23</v>
      </c>
      <c r="O1098" s="18" t="s">
        <v>904</v>
      </c>
      <c r="P1098" s="18" t="s">
        <v>0</v>
      </c>
      <c r="Q1098" s="6" t="s">
        <v>4475</v>
      </c>
      <c r="T1098" s="23">
        <v>45169</v>
      </c>
      <c r="U1098" s="23">
        <v>46264</v>
      </c>
      <c r="X1098" s="20">
        <v>5000</v>
      </c>
      <c r="Z1098" s="6" t="s">
        <v>5978</v>
      </c>
      <c r="AA1098" s="13">
        <f t="shared" si="133"/>
        <v>5.6000000000000006E-4</v>
      </c>
      <c r="AB1098">
        <v>0.2006368</v>
      </c>
      <c r="AC1098">
        <v>0.20866227200000001</v>
      </c>
    </row>
    <row r="1099" spans="1:29" x14ac:dyDescent="0.3">
      <c r="A1099">
        <v>148540</v>
      </c>
      <c r="B1099" s="25" t="s">
        <v>5984</v>
      </c>
      <c r="C1099" t="s">
        <v>20</v>
      </c>
      <c r="D1099" t="s">
        <v>21</v>
      </c>
      <c r="E1099">
        <v>2222222</v>
      </c>
      <c r="F1099" s="8" t="s">
        <v>22</v>
      </c>
      <c r="G1099" s="2">
        <v>98</v>
      </c>
      <c r="H1099" t="s">
        <v>3982</v>
      </c>
      <c r="J1099" s="9" t="s">
        <v>4967</v>
      </c>
      <c r="K1099" t="s">
        <v>4911</v>
      </c>
      <c r="L1099" s="2">
        <v>1</v>
      </c>
      <c r="M1099" s="24" t="s">
        <v>5971</v>
      </c>
      <c r="N1099" s="2" t="s">
        <v>23</v>
      </c>
      <c r="O1099" s="18" t="s">
        <v>905</v>
      </c>
      <c r="P1099" s="18" t="s">
        <v>3781</v>
      </c>
      <c r="Q1099" s="6" t="s">
        <v>4475</v>
      </c>
      <c r="T1099" s="23">
        <v>45174</v>
      </c>
      <c r="U1099" s="23">
        <v>47001</v>
      </c>
      <c r="X1099" s="20">
        <v>4800</v>
      </c>
      <c r="Z1099" s="6" t="s">
        <v>5978</v>
      </c>
      <c r="AA1099" s="13">
        <f t="shared" si="133"/>
        <v>5.6000000000000006E-4</v>
      </c>
      <c r="AB1099">
        <v>1.5265264000000003</v>
      </c>
      <c r="AC1099">
        <v>1.5875874560000003</v>
      </c>
    </row>
    <row r="1100" spans="1:29" x14ac:dyDescent="0.3">
      <c r="A1100">
        <v>151455</v>
      </c>
      <c r="B1100" s="25" t="s">
        <v>5984</v>
      </c>
      <c r="C1100" t="s">
        <v>20</v>
      </c>
      <c r="D1100" t="s">
        <v>21</v>
      </c>
      <c r="E1100">
        <v>2222222</v>
      </c>
      <c r="F1100" s="8" t="s">
        <v>22</v>
      </c>
      <c r="G1100" s="2">
        <v>98</v>
      </c>
      <c r="H1100" t="s">
        <v>3982</v>
      </c>
      <c r="J1100" s="9" t="s">
        <v>5381</v>
      </c>
      <c r="K1100" t="s">
        <v>5382</v>
      </c>
      <c r="L1100" s="2">
        <v>1</v>
      </c>
      <c r="M1100" s="24" t="s">
        <v>5971</v>
      </c>
      <c r="N1100" s="2" t="s">
        <v>23</v>
      </c>
      <c r="O1100" s="18" t="s">
        <v>906</v>
      </c>
      <c r="P1100" s="18" t="s">
        <v>0</v>
      </c>
      <c r="Q1100" s="6" t="s">
        <v>4475</v>
      </c>
      <c r="T1100" s="23">
        <v>46164</v>
      </c>
      <c r="U1100" s="23">
        <v>46467</v>
      </c>
      <c r="X1100" s="20">
        <v>4000</v>
      </c>
      <c r="Z1100" s="6" t="s">
        <v>5978</v>
      </c>
      <c r="AA1100" s="14">
        <f t="shared" ref="AA1100:AA1103" si="134">+(0.6/1000)</f>
        <v>5.9999999999999995E-4</v>
      </c>
      <c r="AB1100">
        <v>1.9460759999999999</v>
      </c>
      <c r="AC1100">
        <v>2.02391904</v>
      </c>
    </row>
    <row r="1101" spans="1:29" x14ac:dyDescent="0.3">
      <c r="A1101">
        <v>144752</v>
      </c>
      <c r="B1101" s="25" t="s">
        <v>5984</v>
      </c>
      <c r="C1101" t="s">
        <v>20</v>
      </c>
      <c r="D1101" t="s">
        <v>21</v>
      </c>
      <c r="E1101">
        <v>2222222</v>
      </c>
      <c r="F1101" s="8" t="s">
        <v>22</v>
      </c>
      <c r="G1101" s="2">
        <v>98</v>
      </c>
      <c r="H1101" t="s">
        <v>3983</v>
      </c>
      <c r="J1101" s="9" t="s">
        <v>5174</v>
      </c>
      <c r="K1101" t="s">
        <v>5383</v>
      </c>
      <c r="L1101" s="2">
        <v>1</v>
      </c>
      <c r="M1101" s="24" t="s">
        <v>5971</v>
      </c>
      <c r="N1101" s="2" t="s">
        <v>23</v>
      </c>
      <c r="O1101" s="18" t="s">
        <v>907</v>
      </c>
      <c r="P1101" s="18" t="s">
        <v>0</v>
      </c>
      <c r="Q1101" s="6" t="s">
        <v>4475</v>
      </c>
      <c r="T1101" s="23">
        <v>45687</v>
      </c>
      <c r="U1101" s="23">
        <v>46419</v>
      </c>
      <c r="X1101" s="20">
        <v>1500</v>
      </c>
      <c r="Z1101" s="6" t="s">
        <v>5978</v>
      </c>
      <c r="AA1101" s="14">
        <f t="shared" si="134"/>
        <v>5.9999999999999995E-4</v>
      </c>
      <c r="AB1101">
        <v>0.29520599999999997</v>
      </c>
      <c r="AC1101">
        <v>0.30701423999999999</v>
      </c>
    </row>
    <row r="1102" spans="1:29" x14ac:dyDescent="0.3">
      <c r="A1102">
        <v>147949</v>
      </c>
      <c r="B1102" s="25" t="s">
        <v>5984</v>
      </c>
      <c r="C1102" t="s">
        <v>20</v>
      </c>
      <c r="D1102" t="s">
        <v>21</v>
      </c>
      <c r="E1102">
        <v>2222222</v>
      </c>
      <c r="F1102" s="8" t="s">
        <v>22</v>
      </c>
      <c r="G1102" s="2">
        <v>98</v>
      </c>
      <c r="H1102" t="s">
        <v>3983</v>
      </c>
      <c r="J1102" s="9" t="s">
        <v>4911</v>
      </c>
      <c r="K1102" t="s">
        <v>4872</v>
      </c>
      <c r="L1102" s="2">
        <v>1</v>
      </c>
      <c r="M1102" s="24" t="s">
        <v>5971</v>
      </c>
      <c r="N1102" s="2" t="s">
        <v>23</v>
      </c>
      <c r="O1102" s="18" t="s">
        <v>908</v>
      </c>
      <c r="P1102" s="18" t="s">
        <v>3781</v>
      </c>
      <c r="Q1102" s="6" t="s">
        <v>4475</v>
      </c>
      <c r="T1102" s="23">
        <v>45924</v>
      </c>
      <c r="U1102" s="23">
        <v>47385</v>
      </c>
      <c r="X1102" s="20">
        <v>1330</v>
      </c>
      <c r="Z1102" s="6" t="s">
        <v>5978</v>
      </c>
      <c r="AA1102" s="14">
        <f t="shared" si="134"/>
        <v>5.9999999999999995E-4</v>
      </c>
      <c r="AB1102">
        <v>0.73456199999999994</v>
      </c>
      <c r="AC1102">
        <v>0.76394447999999993</v>
      </c>
    </row>
    <row r="1103" spans="1:29" x14ac:dyDescent="0.3">
      <c r="A1103">
        <v>149831</v>
      </c>
      <c r="B1103" s="25" t="s">
        <v>5984</v>
      </c>
      <c r="C1103" t="s">
        <v>20</v>
      </c>
      <c r="D1103" t="s">
        <v>21</v>
      </c>
      <c r="E1103">
        <v>2222222</v>
      </c>
      <c r="F1103" s="8" t="s">
        <v>22</v>
      </c>
      <c r="G1103" s="2">
        <v>98</v>
      </c>
      <c r="H1103" t="s">
        <v>3984</v>
      </c>
      <c r="J1103" s="9" t="s">
        <v>4838</v>
      </c>
      <c r="K1103" t="s">
        <v>5377</v>
      </c>
      <c r="L1103" s="2">
        <v>1</v>
      </c>
      <c r="M1103" s="24" t="s">
        <v>5971</v>
      </c>
      <c r="N1103" s="2" t="s">
        <v>23</v>
      </c>
      <c r="O1103" s="18" t="s">
        <v>909</v>
      </c>
      <c r="P1103" s="18" t="s">
        <v>0</v>
      </c>
      <c r="Q1103" s="6" t="s">
        <v>4475</v>
      </c>
      <c r="T1103" s="23">
        <v>46051</v>
      </c>
      <c r="U1103" s="23">
        <v>46505</v>
      </c>
      <c r="X1103" s="20">
        <v>3000</v>
      </c>
      <c r="Z1103" s="6" t="s">
        <v>5978</v>
      </c>
      <c r="AA1103" s="14">
        <f t="shared" si="134"/>
        <v>5.9999999999999995E-4</v>
      </c>
      <c r="AB1103">
        <v>1.123686</v>
      </c>
      <c r="AC1103">
        <v>1.16863344</v>
      </c>
    </row>
    <row r="1104" spans="1:29" x14ac:dyDescent="0.3">
      <c r="A1104">
        <v>52391</v>
      </c>
      <c r="B1104" s="25" t="s">
        <v>5984</v>
      </c>
      <c r="C1104" t="s">
        <v>20</v>
      </c>
      <c r="D1104" t="s">
        <v>21</v>
      </c>
      <c r="E1104">
        <v>2222222</v>
      </c>
      <c r="F1104" s="8" t="s">
        <v>22</v>
      </c>
      <c r="G1104" s="2">
        <v>98</v>
      </c>
      <c r="H1104" t="s">
        <v>3985</v>
      </c>
      <c r="J1104" s="9" t="s">
        <v>4872</v>
      </c>
      <c r="K1104" t="s">
        <v>5384</v>
      </c>
      <c r="L1104" s="2">
        <v>1</v>
      </c>
      <c r="M1104" s="24" t="s">
        <v>5971</v>
      </c>
      <c r="N1104" s="2" t="s">
        <v>23</v>
      </c>
      <c r="O1104" s="18" t="s">
        <v>910</v>
      </c>
      <c r="P1104" s="18" t="s">
        <v>3781</v>
      </c>
      <c r="Q1104" s="6" t="s">
        <v>4475</v>
      </c>
      <c r="T1104" s="23">
        <v>41306</v>
      </c>
      <c r="U1104" s="23">
        <v>43739</v>
      </c>
      <c r="X1104" s="20">
        <v>4081.19</v>
      </c>
      <c r="Z1104" s="6" t="s">
        <v>5978</v>
      </c>
      <c r="AA1104" s="16">
        <f>+(0.36/1000)</f>
        <v>3.5999999999999997E-4</v>
      </c>
      <c r="AB1104">
        <v>1.2520439999999999</v>
      </c>
      <c r="AC1104">
        <v>1.30212576</v>
      </c>
    </row>
    <row r="1105" spans="1:29" x14ac:dyDescent="0.3">
      <c r="A1105">
        <v>143493</v>
      </c>
      <c r="B1105" s="25" t="s">
        <v>5984</v>
      </c>
      <c r="C1105" t="s">
        <v>20</v>
      </c>
      <c r="D1105" t="s">
        <v>21</v>
      </c>
      <c r="E1105">
        <v>2222222</v>
      </c>
      <c r="F1105" s="8" t="s">
        <v>22</v>
      </c>
      <c r="G1105" s="2">
        <v>98</v>
      </c>
      <c r="H1105" t="s">
        <v>3985</v>
      </c>
      <c r="J1105" s="9" t="s">
        <v>4815</v>
      </c>
      <c r="K1105" t="s">
        <v>4983</v>
      </c>
      <c r="L1105" s="2">
        <v>1</v>
      </c>
      <c r="M1105" s="24" t="s">
        <v>5971</v>
      </c>
      <c r="N1105" s="2" t="s">
        <v>23</v>
      </c>
      <c r="O1105" s="18" t="s">
        <v>326</v>
      </c>
      <c r="P1105" s="18" t="s">
        <v>0</v>
      </c>
      <c r="Q1105" s="6" t="s">
        <v>4475</v>
      </c>
      <c r="T1105" s="23">
        <v>45595</v>
      </c>
      <c r="U1105" s="23">
        <v>47420</v>
      </c>
      <c r="X1105" s="20">
        <v>4770</v>
      </c>
      <c r="Z1105" s="6" t="s">
        <v>5978</v>
      </c>
      <c r="AA1105" s="14">
        <f t="shared" ref="AA1105:AA1113" si="135">+(0.6/1000)</f>
        <v>5.9999999999999995E-4</v>
      </c>
      <c r="AB1105">
        <v>2.8111439999999996</v>
      </c>
      <c r="AC1105">
        <v>2.9235897599999996</v>
      </c>
    </row>
    <row r="1106" spans="1:29" x14ac:dyDescent="0.3">
      <c r="A1106">
        <v>144040</v>
      </c>
      <c r="B1106" s="25" t="s">
        <v>5984</v>
      </c>
      <c r="C1106" t="s">
        <v>20</v>
      </c>
      <c r="D1106" t="s">
        <v>21</v>
      </c>
      <c r="E1106">
        <v>2222222</v>
      </c>
      <c r="F1106" s="8" t="s">
        <v>22</v>
      </c>
      <c r="G1106" s="2">
        <v>98</v>
      </c>
      <c r="H1106" t="s">
        <v>3985</v>
      </c>
      <c r="J1106" s="9" t="s">
        <v>5097</v>
      </c>
      <c r="K1106" t="s">
        <v>5019</v>
      </c>
      <c r="L1106" s="2">
        <v>1</v>
      </c>
      <c r="M1106" s="24" t="s">
        <v>5971</v>
      </c>
      <c r="N1106" s="2" t="s">
        <v>23</v>
      </c>
      <c r="O1106" s="18" t="s">
        <v>911</v>
      </c>
      <c r="P1106" s="18" t="s">
        <v>3781</v>
      </c>
      <c r="Q1106" s="6" t="s">
        <v>4475</v>
      </c>
      <c r="T1106" s="23">
        <v>45634</v>
      </c>
      <c r="U1106" s="23">
        <v>47094</v>
      </c>
      <c r="X1106" s="20">
        <v>4830</v>
      </c>
      <c r="Z1106" s="6" t="s">
        <v>5978</v>
      </c>
      <c r="AA1106" s="14">
        <f t="shared" si="135"/>
        <v>5.9999999999999995E-4</v>
      </c>
      <c r="AB1106">
        <v>1.9901219999999997</v>
      </c>
      <c r="AC1106">
        <v>2.0697268799999997</v>
      </c>
    </row>
    <row r="1107" spans="1:29" x14ac:dyDescent="0.3">
      <c r="A1107">
        <v>146694</v>
      </c>
      <c r="B1107" s="25" t="s">
        <v>5984</v>
      </c>
      <c r="C1107" t="s">
        <v>20</v>
      </c>
      <c r="D1107" t="s">
        <v>21</v>
      </c>
      <c r="E1107">
        <v>2222222</v>
      </c>
      <c r="F1107" s="8" t="s">
        <v>22</v>
      </c>
      <c r="G1107" s="2">
        <v>98</v>
      </c>
      <c r="H1107" t="s">
        <v>3985</v>
      </c>
      <c r="J1107" s="9" t="s">
        <v>4830</v>
      </c>
      <c r="K1107" t="s">
        <v>5153</v>
      </c>
      <c r="L1107" s="2">
        <v>1</v>
      </c>
      <c r="M1107" s="24" t="s">
        <v>5971</v>
      </c>
      <c r="N1107" s="2" t="s">
        <v>23</v>
      </c>
      <c r="O1107" s="18" t="s">
        <v>912</v>
      </c>
      <c r="P1107" s="18" t="s">
        <v>3781</v>
      </c>
      <c r="Q1107" s="6" t="s">
        <v>4475</v>
      </c>
      <c r="T1107" s="23">
        <v>45836</v>
      </c>
      <c r="U1107" s="23">
        <v>46936</v>
      </c>
      <c r="X1107" s="20">
        <v>4000</v>
      </c>
      <c r="Z1107" s="6" t="s">
        <v>5978</v>
      </c>
      <c r="AA1107" s="14">
        <f t="shared" si="135"/>
        <v>5.9999999999999995E-4</v>
      </c>
      <c r="AB1107">
        <v>1.7314259999999999</v>
      </c>
      <c r="AC1107">
        <v>1.80068304</v>
      </c>
    </row>
    <row r="1108" spans="1:29" x14ac:dyDescent="0.3">
      <c r="A1108">
        <v>148045</v>
      </c>
      <c r="B1108" s="25" t="s">
        <v>5984</v>
      </c>
      <c r="C1108" t="s">
        <v>20</v>
      </c>
      <c r="D1108" t="s">
        <v>21</v>
      </c>
      <c r="E1108">
        <v>2222222</v>
      </c>
      <c r="F1108" s="8" t="s">
        <v>22</v>
      </c>
      <c r="G1108" s="2">
        <v>98</v>
      </c>
      <c r="H1108" t="s">
        <v>3985</v>
      </c>
      <c r="J1108" s="9" t="s">
        <v>4826</v>
      </c>
      <c r="K1108" t="s">
        <v>5385</v>
      </c>
      <c r="L1108" s="2">
        <v>1</v>
      </c>
      <c r="M1108" s="24" t="s">
        <v>5971</v>
      </c>
      <c r="N1108" s="2" t="s">
        <v>23</v>
      </c>
      <c r="O1108" s="18" t="s">
        <v>913</v>
      </c>
      <c r="P1108" s="18" t="s">
        <v>0</v>
      </c>
      <c r="Q1108" s="6" t="s">
        <v>4475</v>
      </c>
      <c r="T1108" s="23">
        <v>45931</v>
      </c>
      <c r="U1108" s="23">
        <v>47391</v>
      </c>
      <c r="X1108" s="20">
        <v>4500</v>
      </c>
      <c r="Z1108" s="6" t="s">
        <v>5978</v>
      </c>
      <c r="AA1108" s="14">
        <f t="shared" si="135"/>
        <v>5.9999999999999995E-4</v>
      </c>
      <c r="AB1108">
        <v>2.3282339999999997</v>
      </c>
      <c r="AC1108">
        <v>2.42136336</v>
      </c>
    </row>
    <row r="1109" spans="1:29" x14ac:dyDescent="0.3">
      <c r="A1109">
        <v>149222</v>
      </c>
      <c r="B1109" s="25" t="s">
        <v>5984</v>
      </c>
      <c r="C1109" t="s">
        <v>20</v>
      </c>
      <c r="D1109" t="s">
        <v>21</v>
      </c>
      <c r="E1109">
        <v>2222222</v>
      </c>
      <c r="F1109" s="8" t="s">
        <v>22</v>
      </c>
      <c r="G1109" s="2">
        <v>98</v>
      </c>
      <c r="H1109" t="s">
        <v>3985</v>
      </c>
      <c r="J1109" s="9" t="s">
        <v>4838</v>
      </c>
      <c r="K1109" t="s">
        <v>4826</v>
      </c>
      <c r="L1109" s="2">
        <v>1</v>
      </c>
      <c r="M1109" s="24" t="s">
        <v>5971</v>
      </c>
      <c r="N1109" s="2" t="s">
        <v>23</v>
      </c>
      <c r="O1109" s="18" t="s">
        <v>914</v>
      </c>
      <c r="P1109" s="18" t="s">
        <v>0</v>
      </c>
      <c r="Q1109" s="6" t="s">
        <v>4475</v>
      </c>
      <c r="T1109" s="23">
        <v>46015</v>
      </c>
      <c r="U1109" s="23">
        <v>47475</v>
      </c>
      <c r="X1109" s="20">
        <v>10000</v>
      </c>
      <c r="Z1109" s="6" t="s">
        <v>5978</v>
      </c>
      <c r="AA1109" s="14">
        <f t="shared" si="135"/>
        <v>5.9999999999999995E-4</v>
      </c>
      <c r="AB1109">
        <v>5.3414459999999995</v>
      </c>
      <c r="AC1109">
        <v>5.5551038399999992</v>
      </c>
    </row>
    <row r="1110" spans="1:29" x14ac:dyDescent="0.3">
      <c r="A1110">
        <v>149275</v>
      </c>
      <c r="B1110" s="25" t="s">
        <v>5984</v>
      </c>
      <c r="C1110" t="s">
        <v>20</v>
      </c>
      <c r="D1110" t="s">
        <v>21</v>
      </c>
      <c r="E1110">
        <v>2222222</v>
      </c>
      <c r="F1110" s="8" t="s">
        <v>22</v>
      </c>
      <c r="G1110" s="2">
        <v>98</v>
      </c>
      <c r="H1110" t="s">
        <v>3985</v>
      </c>
      <c r="J1110" s="9" t="s">
        <v>5206</v>
      </c>
      <c r="K1110" t="s">
        <v>5025</v>
      </c>
      <c r="L1110" s="2">
        <v>1</v>
      </c>
      <c r="M1110" s="24" t="s">
        <v>5971</v>
      </c>
      <c r="N1110" s="2" t="s">
        <v>23</v>
      </c>
      <c r="O1110" s="18" t="s">
        <v>915</v>
      </c>
      <c r="P1110" s="18" t="s">
        <v>3781</v>
      </c>
      <c r="Q1110" s="6" t="s">
        <v>4475</v>
      </c>
      <c r="T1110" s="23">
        <v>46009</v>
      </c>
      <c r="U1110" s="23">
        <v>46738</v>
      </c>
      <c r="X1110" s="20">
        <v>2500</v>
      </c>
      <c r="Z1110" s="6" t="s">
        <v>5978</v>
      </c>
      <c r="AA1110" s="14">
        <f t="shared" si="135"/>
        <v>5.9999999999999995E-4</v>
      </c>
      <c r="AB1110">
        <v>1.1128319999999998</v>
      </c>
      <c r="AC1110">
        <v>1.1573452799999999</v>
      </c>
    </row>
    <row r="1111" spans="1:29" x14ac:dyDescent="0.3">
      <c r="A1111">
        <v>150301</v>
      </c>
      <c r="B1111" s="25" t="s">
        <v>5984</v>
      </c>
      <c r="C1111" t="s">
        <v>20</v>
      </c>
      <c r="D1111" t="s">
        <v>21</v>
      </c>
      <c r="E1111">
        <v>2222222</v>
      </c>
      <c r="F1111" s="8" t="s">
        <v>22</v>
      </c>
      <c r="G1111" s="2">
        <v>98</v>
      </c>
      <c r="H1111" t="s">
        <v>3985</v>
      </c>
      <c r="J1111" s="9" t="s">
        <v>4836</v>
      </c>
      <c r="K1111" t="s">
        <v>4872</v>
      </c>
      <c r="L1111" s="2">
        <v>1</v>
      </c>
      <c r="M1111" s="24" t="s">
        <v>5971</v>
      </c>
      <c r="N1111" s="2" t="s">
        <v>23</v>
      </c>
      <c r="O1111" s="18" t="s">
        <v>916</v>
      </c>
      <c r="P1111" s="18" t="s">
        <v>3781</v>
      </c>
      <c r="Q1111" s="6" t="s">
        <v>4475</v>
      </c>
      <c r="T1111" s="23">
        <v>46085</v>
      </c>
      <c r="U1111" s="23">
        <v>46815</v>
      </c>
      <c r="X1111" s="20">
        <v>1000</v>
      </c>
      <c r="Z1111" s="6" t="s">
        <v>5978</v>
      </c>
      <c r="AA1111" s="14">
        <f t="shared" si="135"/>
        <v>5.9999999999999995E-4</v>
      </c>
      <c r="AB1111">
        <v>0.51351000000000002</v>
      </c>
      <c r="AC1111">
        <v>0.53405040000000004</v>
      </c>
    </row>
    <row r="1112" spans="1:29" x14ac:dyDescent="0.3">
      <c r="A1112">
        <v>150389</v>
      </c>
      <c r="B1112" s="25" t="s">
        <v>5984</v>
      </c>
      <c r="C1112" t="s">
        <v>20</v>
      </c>
      <c r="D1112" t="s">
        <v>21</v>
      </c>
      <c r="E1112">
        <v>2222222</v>
      </c>
      <c r="F1112" s="8" t="s">
        <v>22</v>
      </c>
      <c r="G1112" s="2">
        <v>98</v>
      </c>
      <c r="H1112" t="s">
        <v>3985</v>
      </c>
      <c r="J1112" s="9" t="s">
        <v>4830</v>
      </c>
      <c r="K1112" t="s">
        <v>5153</v>
      </c>
      <c r="L1112" s="2">
        <v>1</v>
      </c>
      <c r="M1112" s="24" t="s">
        <v>5971</v>
      </c>
      <c r="N1112" s="2" t="s">
        <v>23</v>
      </c>
      <c r="O1112" s="18" t="s">
        <v>912</v>
      </c>
      <c r="P1112" s="18" t="s">
        <v>3781</v>
      </c>
      <c r="Q1112" s="6" t="s">
        <v>4475</v>
      </c>
      <c r="T1112" s="23">
        <v>46090</v>
      </c>
      <c r="U1112" s="23">
        <v>46821</v>
      </c>
      <c r="X1112" s="20">
        <v>3200</v>
      </c>
      <c r="Z1112" s="6" t="s">
        <v>5978</v>
      </c>
      <c r="AA1112" s="14">
        <f t="shared" si="135"/>
        <v>5.9999999999999995E-4</v>
      </c>
      <c r="AB1112">
        <v>1.645656</v>
      </c>
      <c r="AC1112">
        <v>1.71148224</v>
      </c>
    </row>
    <row r="1113" spans="1:29" x14ac:dyDescent="0.3">
      <c r="A1113">
        <v>151322</v>
      </c>
      <c r="B1113" s="25" t="s">
        <v>5984</v>
      </c>
      <c r="C1113" t="s">
        <v>20</v>
      </c>
      <c r="D1113" t="s">
        <v>21</v>
      </c>
      <c r="E1113">
        <v>2222222</v>
      </c>
      <c r="F1113" s="8" t="s">
        <v>22</v>
      </c>
      <c r="G1113" s="2">
        <v>98</v>
      </c>
      <c r="H1113" t="s">
        <v>3985</v>
      </c>
      <c r="J1113" s="9" t="s">
        <v>4901</v>
      </c>
      <c r="K1113" t="s">
        <v>4975</v>
      </c>
      <c r="L1113" s="2">
        <v>1</v>
      </c>
      <c r="M1113" s="24" t="s">
        <v>5971</v>
      </c>
      <c r="N1113" s="2" t="s">
        <v>23</v>
      </c>
      <c r="O1113" s="18" t="s">
        <v>917</v>
      </c>
      <c r="P1113" s="18" t="s">
        <v>0</v>
      </c>
      <c r="Q1113" s="6" t="s">
        <v>4475</v>
      </c>
      <c r="T1113" s="23">
        <v>46156</v>
      </c>
      <c r="U1113" s="23">
        <v>46246</v>
      </c>
      <c r="X1113" s="20">
        <v>700</v>
      </c>
      <c r="Z1113" s="6" t="s">
        <v>5978</v>
      </c>
      <c r="AA1113" s="14">
        <f t="shared" si="135"/>
        <v>5.9999999999999995E-4</v>
      </c>
      <c r="AB1113">
        <v>0.42</v>
      </c>
      <c r="AC1113">
        <v>0.43680000000000002</v>
      </c>
    </row>
    <row r="1114" spans="1:29" x14ac:dyDescent="0.3">
      <c r="A1114">
        <v>123575</v>
      </c>
      <c r="B1114" s="25" t="s">
        <v>5984</v>
      </c>
      <c r="C1114" t="s">
        <v>20</v>
      </c>
      <c r="D1114" t="s">
        <v>21</v>
      </c>
      <c r="E1114">
        <v>2222222</v>
      </c>
      <c r="F1114" s="8" t="s">
        <v>22</v>
      </c>
      <c r="G1114" s="2">
        <v>98</v>
      </c>
      <c r="H1114" t="s">
        <v>3986</v>
      </c>
      <c r="J1114" s="9" t="s">
        <v>4827</v>
      </c>
      <c r="L1114" s="2">
        <v>1</v>
      </c>
      <c r="M1114" s="24" t="s">
        <v>5971</v>
      </c>
      <c r="N1114" s="2" t="s">
        <v>23</v>
      </c>
      <c r="O1114" s="18" t="s">
        <v>918</v>
      </c>
      <c r="P1114" s="18" t="s">
        <v>0</v>
      </c>
      <c r="Q1114" s="6" t="s">
        <v>4475</v>
      </c>
      <c r="T1114" s="23">
        <v>44474</v>
      </c>
      <c r="U1114" s="23">
        <v>45203</v>
      </c>
      <c r="X1114" s="20">
        <v>1060</v>
      </c>
      <c r="Z1114" s="6" t="s">
        <v>5978</v>
      </c>
      <c r="AA1114" s="15">
        <f t="shared" ref="AA1114:AA1115" si="136">+(0.42/1000)</f>
        <v>4.1999999999999996E-4</v>
      </c>
      <c r="AB1114">
        <v>0.1061298</v>
      </c>
      <c r="AC1114">
        <v>0.11037499200000001</v>
      </c>
    </row>
    <row r="1115" spans="1:29" x14ac:dyDescent="0.3">
      <c r="A1115">
        <v>129276</v>
      </c>
      <c r="B1115" s="25" t="s">
        <v>5984</v>
      </c>
      <c r="C1115" t="s">
        <v>20</v>
      </c>
      <c r="D1115" t="s">
        <v>21</v>
      </c>
      <c r="E1115">
        <v>2222222</v>
      </c>
      <c r="F1115" s="8" t="s">
        <v>22</v>
      </c>
      <c r="G1115" s="2">
        <v>98</v>
      </c>
      <c r="H1115" t="s">
        <v>3986</v>
      </c>
      <c r="J1115" s="9" t="s">
        <v>5055</v>
      </c>
      <c r="K1115" t="s">
        <v>4832</v>
      </c>
      <c r="L1115" s="2">
        <v>1</v>
      </c>
      <c r="M1115" s="24" t="s">
        <v>5971</v>
      </c>
      <c r="N1115" s="2" t="s">
        <v>23</v>
      </c>
      <c r="O1115" s="18" t="s">
        <v>919</v>
      </c>
      <c r="P1115" s="18" t="s">
        <v>3781</v>
      </c>
      <c r="Q1115" s="6" t="s">
        <v>4475</v>
      </c>
      <c r="T1115" s="23">
        <v>44771</v>
      </c>
      <c r="U1115" s="23">
        <v>45881</v>
      </c>
      <c r="X1115" s="20">
        <v>2500</v>
      </c>
      <c r="Z1115" s="6" t="s">
        <v>5978</v>
      </c>
      <c r="AA1115" s="15">
        <f t="shared" si="136"/>
        <v>4.1999999999999996E-4</v>
      </c>
      <c r="AB1115">
        <v>1.0276601999999999</v>
      </c>
      <c r="AC1115">
        <v>1.068766608</v>
      </c>
    </row>
    <row r="1116" spans="1:29" x14ac:dyDescent="0.3">
      <c r="A1116">
        <v>139085</v>
      </c>
      <c r="B1116" s="25" t="s">
        <v>5984</v>
      </c>
      <c r="C1116" t="s">
        <v>20</v>
      </c>
      <c r="D1116" t="s">
        <v>21</v>
      </c>
      <c r="E1116">
        <v>2222222</v>
      </c>
      <c r="F1116" s="8" t="s">
        <v>22</v>
      </c>
      <c r="G1116" s="2">
        <v>98</v>
      </c>
      <c r="H1116" t="s">
        <v>3987</v>
      </c>
      <c r="J1116" s="9" t="s">
        <v>4968</v>
      </c>
      <c r="K1116" t="s">
        <v>4836</v>
      </c>
      <c r="L1116" s="2">
        <v>1</v>
      </c>
      <c r="M1116" s="24" t="s">
        <v>5971</v>
      </c>
      <c r="N1116" s="2" t="s">
        <v>23</v>
      </c>
      <c r="O1116" s="18" t="s">
        <v>920</v>
      </c>
      <c r="P1116" s="18" t="s">
        <v>0</v>
      </c>
      <c r="Q1116" s="6" t="s">
        <v>4475</v>
      </c>
      <c r="T1116" s="23">
        <v>45315</v>
      </c>
      <c r="U1116" s="23">
        <v>46410</v>
      </c>
      <c r="X1116" s="20">
        <v>5000</v>
      </c>
      <c r="Z1116" s="6" t="s">
        <v>5978</v>
      </c>
      <c r="AA1116" s="13">
        <f>+(0.56/1000)</f>
        <v>5.6000000000000006E-4</v>
      </c>
      <c r="AB1116">
        <v>0.67477760000000009</v>
      </c>
      <c r="AC1116">
        <v>0.70176870400000013</v>
      </c>
    </row>
    <row r="1117" spans="1:29" x14ac:dyDescent="0.3">
      <c r="A1117">
        <v>114181</v>
      </c>
      <c r="B1117" s="25" t="s">
        <v>5984</v>
      </c>
      <c r="C1117" t="s">
        <v>20</v>
      </c>
      <c r="D1117" t="s">
        <v>21</v>
      </c>
      <c r="E1117">
        <v>2222222</v>
      </c>
      <c r="F1117" s="8" t="s">
        <v>22</v>
      </c>
      <c r="G1117" s="2">
        <v>98</v>
      </c>
      <c r="H1117" t="s">
        <v>3988</v>
      </c>
      <c r="J1117" s="9" t="s">
        <v>5265</v>
      </c>
      <c r="K1117" t="s">
        <v>4857</v>
      </c>
      <c r="L1117" s="2">
        <v>1</v>
      </c>
      <c r="M1117" s="24" t="s">
        <v>5971</v>
      </c>
      <c r="N1117" s="2" t="s">
        <v>23</v>
      </c>
      <c r="O1117" s="18" t="s">
        <v>921</v>
      </c>
      <c r="P1117" s="18" t="s">
        <v>0</v>
      </c>
      <c r="Q1117" s="6" t="s">
        <v>4475</v>
      </c>
      <c r="T1117" s="23">
        <v>44056</v>
      </c>
      <c r="U1117" s="23">
        <v>46256</v>
      </c>
      <c r="X1117" s="20">
        <v>20000</v>
      </c>
      <c r="Z1117" s="6" t="s">
        <v>5978</v>
      </c>
      <c r="AA1117" s="15">
        <f>+(0.42/1000)</f>
        <v>4.1999999999999996E-4</v>
      </c>
      <c r="AB1117">
        <v>0.17529119999999998</v>
      </c>
      <c r="AC1117">
        <v>0.18230284799999999</v>
      </c>
    </row>
    <row r="1118" spans="1:29" x14ac:dyDescent="0.3">
      <c r="A1118">
        <v>138303</v>
      </c>
      <c r="B1118" s="25" t="s">
        <v>5984</v>
      </c>
      <c r="C1118" t="s">
        <v>20</v>
      </c>
      <c r="D1118" t="s">
        <v>21</v>
      </c>
      <c r="E1118">
        <v>2222222</v>
      </c>
      <c r="F1118" s="8" t="s">
        <v>22</v>
      </c>
      <c r="G1118" s="2">
        <v>98</v>
      </c>
      <c r="H1118" t="s">
        <v>3988</v>
      </c>
      <c r="J1118" s="9" t="s">
        <v>4891</v>
      </c>
      <c r="K1118" t="s">
        <v>4942</v>
      </c>
      <c r="L1118" s="2">
        <v>1</v>
      </c>
      <c r="M1118" s="24" t="s">
        <v>5971</v>
      </c>
      <c r="N1118" s="2" t="s">
        <v>23</v>
      </c>
      <c r="O1118" s="18" t="s">
        <v>922</v>
      </c>
      <c r="P1118" s="18" t="s">
        <v>3781</v>
      </c>
      <c r="Q1118" s="6" t="s">
        <v>4475</v>
      </c>
      <c r="T1118" s="23">
        <v>45274</v>
      </c>
      <c r="U1118" s="23">
        <v>47100</v>
      </c>
      <c r="X1118" s="20">
        <v>10000</v>
      </c>
      <c r="Z1118" s="6" t="s">
        <v>5978</v>
      </c>
      <c r="AA1118" s="13">
        <f>+(0.56/1000)</f>
        <v>5.6000000000000006E-4</v>
      </c>
      <c r="AB1118">
        <v>3.2122496000000003</v>
      </c>
      <c r="AC1118">
        <v>3.3407395840000005</v>
      </c>
    </row>
    <row r="1119" spans="1:29" x14ac:dyDescent="0.3">
      <c r="A1119">
        <v>143500</v>
      </c>
      <c r="B1119" s="25" t="s">
        <v>5984</v>
      </c>
      <c r="C1119" t="s">
        <v>20</v>
      </c>
      <c r="D1119" t="s">
        <v>21</v>
      </c>
      <c r="E1119">
        <v>2222222</v>
      </c>
      <c r="F1119" s="8" t="s">
        <v>22</v>
      </c>
      <c r="G1119" s="2">
        <v>98</v>
      </c>
      <c r="H1119" t="s">
        <v>3988</v>
      </c>
      <c r="J1119" s="9" t="s">
        <v>5323</v>
      </c>
      <c r="K1119" t="s">
        <v>5211</v>
      </c>
      <c r="L1119" s="2">
        <v>1</v>
      </c>
      <c r="M1119" s="24" t="s">
        <v>5971</v>
      </c>
      <c r="N1119" s="2" t="s">
        <v>23</v>
      </c>
      <c r="O1119" s="18" t="s">
        <v>923</v>
      </c>
      <c r="P1119" s="18" t="s">
        <v>0</v>
      </c>
      <c r="Q1119" s="6" t="s">
        <v>4475</v>
      </c>
      <c r="T1119" s="23">
        <v>45596</v>
      </c>
      <c r="U1119" s="23">
        <v>47421</v>
      </c>
      <c r="X1119" s="20">
        <v>5000</v>
      </c>
      <c r="Z1119" s="6" t="s">
        <v>5978</v>
      </c>
      <c r="AA1119" s="14">
        <f t="shared" ref="AA1119:AA1129" si="137">+(0.6/1000)</f>
        <v>5.9999999999999995E-4</v>
      </c>
      <c r="AB1119">
        <v>2.1930179999999999</v>
      </c>
      <c r="AC1119">
        <v>2.28073872</v>
      </c>
    </row>
    <row r="1120" spans="1:29" x14ac:dyDescent="0.3">
      <c r="A1120">
        <v>143639</v>
      </c>
      <c r="B1120" s="25" t="s">
        <v>5984</v>
      </c>
      <c r="C1120" t="s">
        <v>20</v>
      </c>
      <c r="D1120" t="s">
        <v>21</v>
      </c>
      <c r="E1120">
        <v>2222222</v>
      </c>
      <c r="F1120" s="8" t="s">
        <v>22</v>
      </c>
      <c r="G1120" s="2">
        <v>98</v>
      </c>
      <c r="H1120" t="s">
        <v>3988</v>
      </c>
      <c r="J1120" s="9" t="s">
        <v>5386</v>
      </c>
      <c r="K1120" t="s">
        <v>4844</v>
      </c>
      <c r="L1120" s="2">
        <v>1</v>
      </c>
      <c r="M1120" s="24" t="s">
        <v>5971</v>
      </c>
      <c r="N1120" s="2" t="s">
        <v>23</v>
      </c>
      <c r="O1120" s="18" t="s">
        <v>924</v>
      </c>
      <c r="P1120" s="18" t="s">
        <v>0</v>
      </c>
      <c r="Q1120" s="6" t="s">
        <v>4475</v>
      </c>
      <c r="T1120" s="23">
        <v>45607</v>
      </c>
      <c r="U1120" s="23">
        <v>47433</v>
      </c>
      <c r="X1120" s="20">
        <v>4220</v>
      </c>
      <c r="Z1120" s="6" t="s">
        <v>5978</v>
      </c>
      <c r="AA1120" s="14">
        <f t="shared" si="137"/>
        <v>5.9999999999999995E-4</v>
      </c>
      <c r="AB1120">
        <v>1.8881159999999999</v>
      </c>
      <c r="AC1120">
        <v>1.9636406399999999</v>
      </c>
    </row>
    <row r="1121" spans="1:29" x14ac:dyDescent="0.3">
      <c r="A1121">
        <v>145563</v>
      </c>
      <c r="B1121" s="25" t="s">
        <v>5984</v>
      </c>
      <c r="C1121" t="s">
        <v>20</v>
      </c>
      <c r="D1121" t="s">
        <v>21</v>
      </c>
      <c r="E1121">
        <v>2222222</v>
      </c>
      <c r="F1121" s="8" t="s">
        <v>22</v>
      </c>
      <c r="G1121" s="2">
        <v>98</v>
      </c>
      <c r="H1121" t="s">
        <v>3988</v>
      </c>
      <c r="J1121" s="9" t="s">
        <v>5265</v>
      </c>
      <c r="K1121" t="s">
        <v>4857</v>
      </c>
      <c r="L1121" s="2">
        <v>1</v>
      </c>
      <c r="M1121" s="24" t="s">
        <v>5971</v>
      </c>
      <c r="N1121" s="2" t="s">
        <v>23</v>
      </c>
      <c r="O1121" s="18" t="s">
        <v>921</v>
      </c>
      <c r="P1121" s="18" t="s">
        <v>0</v>
      </c>
      <c r="Q1121" s="6" t="s">
        <v>4475</v>
      </c>
      <c r="T1121" s="23">
        <v>45747</v>
      </c>
      <c r="U1121" s="23">
        <v>46482</v>
      </c>
      <c r="X1121" s="20">
        <v>2600</v>
      </c>
      <c r="Z1121" s="6" t="s">
        <v>5978</v>
      </c>
      <c r="AA1121" s="14">
        <f t="shared" si="137"/>
        <v>5.9999999999999995E-4</v>
      </c>
      <c r="AB1121">
        <v>0.64839000000000002</v>
      </c>
      <c r="AC1121">
        <v>0.67432560000000008</v>
      </c>
    </row>
    <row r="1122" spans="1:29" x14ac:dyDescent="0.3">
      <c r="A1122">
        <v>147419</v>
      </c>
      <c r="B1122" s="25" t="s">
        <v>5984</v>
      </c>
      <c r="C1122" t="s">
        <v>20</v>
      </c>
      <c r="D1122" t="s">
        <v>21</v>
      </c>
      <c r="E1122">
        <v>2222222</v>
      </c>
      <c r="F1122" s="8" t="s">
        <v>22</v>
      </c>
      <c r="G1122" s="2">
        <v>98</v>
      </c>
      <c r="H1122" t="s">
        <v>3988</v>
      </c>
      <c r="J1122" s="9" t="s">
        <v>4838</v>
      </c>
      <c r="K1122" t="s">
        <v>4857</v>
      </c>
      <c r="L1122" s="2">
        <v>1</v>
      </c>
      <c r="M1122" s="24" t="s">
        <v>5971</v>
      </c>
      <c r="N1122" s="2" t="s">
        <v>23</v>
      </c>
      <c r="O1122" s="18" t="s">
        <v>925</v>
      </c>
      <c r="P1122" s="18" t="s">
        <v>0</v>
      </c>
      <c r="Q1122" s="6" t="s">
        <v>4475</v>
      </c>
      <c r="T1122" s="23">
        <v>45888</v>
      </c>
      <c r="U1122" s="23">
        <v>46255</v>
      </c>
      <c r="X1122" s="20">
        <v>1700</v>
      </c>
      <c r="Z1122" s="6" t="s">
        <v>5978</v>
      </c>
      <c r="AA1122" s="14">
        <f t="shared" si="137"/>
        <v>5.9999999999999995E-4</v>
      </c>
      <c r="AB1122">
        <v>9.1313999999999992E-2</v>
      </c>
      <c r="AC1122">
        <v>9.4966559999999992E-2</v>
      </c>
    </row>
    <row r="1123" spans="1:29" x14ac:dyDescent="0.3">
      <c r="A1123">
        <v>150076</v>
      </c>
      <c r="B1123" s="25" t="s">
        <v>5984</v>
      </c>
      <c r="C1123" t="s">
        <v>20</v>
      </c>
      <c r="D1123" t="s">
        <v>21</v>
      </c>
      <c r="E1123">
        <v>2222222</v>
      </c>
      <c r="F1123" s="8" t="s">
        <v>22</v>
      </c>
      <c r="G1123" s="2">
        <v>98</v>
      </c>
      <c r="H1123" t="s">
        <v>3988</v>
      </c>
      <c r="J1123" s="9" t="s">
        <v>4929</v>
      </c>
      <c r="K1123" t="s">
        <v>4848</v>
      </c>
      <c r="L1123" s="2">
        <v>1</v>
      </c>
      <c r="M1123" s="24" t="s">
        <v>5971</v>
      </c>
      <c r="N1123" s="2" t="s">
        <v>23</v>
      </c>
      <c r="O1123" s="18" t="s">
        <v>926</v>
      </c>
      <c r="P1123" s="18" t="s">
        <v>0</v>
      </c>
      <c r="Q1123" s="6" t="s">
        <v>4475</v>
      </c>
      <c r="T1123" s="23">
        <v>46071</v>
      </c>
      <c r="U1123" s="23">
        <v>47534</v>
      </c>
      <c r="X1123" s="20">
        <v>5000</v>
      </c>
      <c r="Z1123" s="6" t="s">
        <v>5978</v>
      </c>
      <c r="AA1123" s="14">
        <f t="shared" si="137"/>
        <v>5.9999999999999995E-4</v>
      </c>
      <c r="AB1123">
        <v>2.7787860000000002</v>
      </c>
      <c r="AC1123">
        <v>2.8899374400000002</v>
      </c>
    </row>
    <row r="1124" spans="1:29" x14ac:dyDescent="0.3">
      <c r="A1124">
        <v>144567</v>
      </c>
      <c r="B1124" s="25" t="s">
        <v>5984</v>
      </c>
      <c r="C1124" t="s">
        <v>20</v>
      </c>
      <c r="D1124" t="s">
        <v>21</v>
      </c>
      <c r="E1124">
        <v>2222222</v>
      </c>
      <c r="F1124" s="8" t="s">
        <v>22</v>
      </c>
      <c r="G1124" s="2">
        <v>98</v>
      </c>
      <c r="H1124" t="s">
        <v>3989</v>
      </c>
      <c r="J1124" s="9" t="s">
        <v>4836</v>
      </c>
      <c r="K1124" t="s">
        <v>5206</v>
      </c>
      <c r="L1124" s="2">
        <v>1</v>
      </c>
      <c r="M1124" s="24" t="s">
        <v>5971</v>
      </c>
      <c r="N1124" s="2" t="s">
        <v>23</v>
      </c>
      <c r="O1124" s="18" t="s">
        <v>927</v>
      </c>
      <c r="P1124" s="18" t="s">
        <v>3781</v>
      </c>
      <c r="Q1124" s="6" t="s">
        <v>4475</v>
      </c>
      <c r="T1124" s="23">
        <v>45688</v>
      </c>
      <c r="U1124" s="23">
        <v>49342</v>
      </c>
      <c r="X1124" s="20">
        <v>100000</v>
      </c>
      <c r="Z1124" s="6" t="s">
        <v>5978</v>
      </c>
      <c r="AA1124" s="14">
        <f t="shared" si="137"/>
        <v>5.9999999999999995E-4</v>
      </c>
      <c r="AB1124">
        <v>55.216517999999994</v>
      </c>
      <c r="AC1124">
        <v>57.425178719999998</v>
      </c>
    </row>
    <row r="1125" spans="1:29" x14ac:dyDescent="0.3">
      <c r="A1125">
        <v>152151</v>
      </c>
      <c r="B1125" s="25" t="s">
        <v>5984</v>
      </c>
      <c r="C1125" t="s">
        <v>20</v>
      </c>
      <c r="D1125" t="s">
        <v>21</v>
      </c>
      <c r="E1125">
        <v>2222222</v>
      </c>
      <c r="F1125" s="8" t="s">
        <v>22</v>
      </c>
      <c r="G1125" s="2">
        <v>98</v>
      </c>
      <c r="H1125" t="s">
        <v>3989</v>
      </c>
      <c r="J1125" s="9" t="s">
        <v>4836</v>
      </c>
      <c r="K1125" t="s">
        <v>5206</v>
      </c>
      <c r="L1125" s="2">
        <v>1</v>
      </c>
      <c r="M1125" s="24" t="s">
        <v>5971</v>
      </c>
      <c r="N1125" s="2" t="s">
        <v>23</v>
      </c>
      <c r="O1125" s="18" t="s">
        <v>927</v>
      </c>
      <c r="P1125" s="18" t="s">
        <v>3781</v>
      </c>
      <c r="Q1125" s="6" t="s">
        <v>4475</v>
      </c>
      <c r="T1125" s="23">
        <v>46216</v>
      </c>
      <c r="U1125" s="23">
        <v>47311</v>
      </c>
      <c r="X1125" s="20">
        <v>5000</v>
      </c>
      <c r="Z1125" s="6" t="s">
        <v>5978</v>
      </c>
      <c r="AA1125" s="14">
        <f t="shared" si="137"/>
        <v>5.9999999999999995E-4</v>
      </c>
      <c r="AB1125">
        <v>2.9999999999999996</v>
      </c>
      <c r="AC1125">
        <v>3.1199999999999997</v>
      </c>
    </row>
    <row r="1126" spans="1:29" x14ac:dyDescent="0.3">
      <c r="A1126">
        <v>143682</v>
      </c>
      <c r="B1126" s="25" t="s">
        <v>5984</v>
      </c>
      <c r="C1126" t="s">
        <v>20</v>
      </c>
      <c r="D1126" t="s">
        <v>21</v>
      </c>
      <c r="E1126">
        <v>2222222</v>
      </c>
      <c r="F1126" s="8" t="s">
        <v>22</v>
      </c>
      <c r="G1126" s="2">
        <v>98</v>
      </c>
      <c r="H1126" t="s">
        <v>3990</v>
      </c>
      <c r="J1126" s="9" t="s">
        <v>5387</v>
      </c>
      <c r="K1126" t="s">
        <v>5313</v>
      </c>
      <c r="L1126" s="2">
        <v>1</v>
      </c>
      <c r="M1126" s="24" t="s">
        <v>5971</v>
      </c>
      <c r="N1126" s="2" t="s">
        <v>23</v>
      </c>
      <c r="O1126" s="18" t="s">
        <v>928</v>
      </c>
      <c r="P1126" s="18" t="s">
        <v>3781</v>
      </c>
      <c r="Q1126" s="6" t="s">
        <v>4475</v>
      </c>
      <c r="T1126" s="23">
        <v>45609</v>
      </c>
      <c r="U1126" s="23">
        <v>46704</v>
      </c>
      <c r="X1126" s="20">
        <v>1900</v>
      </c>
      <c r="Z1126" s="6" t="s">
        <v>5978</v>
      </c>
      <c r="AA1126" s="14">
        <f t="shared" si="137"/>
        <v>5.9999999999999995E-4</v>
      </c>
      <c r="AB1126">
        <v>0.57017399999999996</v>
      </c>
      <c r="AC1126">
        <v>0.59298096</v>
      </c>
    </row>
    <row r="1127" spans="1:29" x14ac:dyDescent="0.3">
      <c r="A1127">
        <v>141052</v>
      </c>
      <c r="B1127" s="25" t="s">
        <v>5984</v>
      </c>
      <c r="C1127" t="s">
        <v>20</v>
      </c>
      <c r="D1127" t="s">
        <v>21</v>
      </c>
      <c r="E1127">
        <v>2222222</v>
      </c>
      <c r="F1127" s="8" t="s">
        <v>22</v>
      </c>
      <c r="G1127" s="2">
        <v>98</v>
      </c>
      <c r="H1127" t="s">
        <v>3991</v>
      </c>
      <c r="J1127" s="9" t="s">
        <v>4830</v>
      </c>
      <c r="K1127" t="s">
        <v>4911</v>
      </c>
      <c r="L1127" s="2">
        <v>1</v>
      </c>
      <c r="M1127" s="24" t="s">
        <v>5971</v>
      </c>
      <c r="N1127" s="2" t="s">
        <v>23</v>
      </c>
      <c r="O1127" s="18" t="s">
        <v>929</v>
      </c>
      <c r="P1127" s="18" t="s">
        <v>3781</v>
      </c>
      <c r="Q1127" s="6" t="s">
        <v>4475</v>
      </c>
      <c r="T1127" s="23">
        <v>45428</v>
      </c>
      <c r="U1127" s="23">
        <v>46522</v>
      </c>
      <c r="X1127" s="20">
        <v>4000</v>
      </c>
      <c r="Z1127" s="6" t="s">
        <v>5978</v>
      </c>
      <c r="AA1127" s="14">
        <f t="shared" si="137"/>
        <v>5.9999999999999995E-4</v>
      </c>
      <c r="AB1127">
        <v>0.80154599999999998</v>
      </c>
      <c r="AC1127">
        <v>0.83360783999999999</v>
      </c>
    </row>
    <row r="1128" spans="1:29" x14ac:dyDescent="0.3">
      <c r="A1128">
        <v>151336</v>
      </c>
      <c r="B1128" s="25" t="s">
        <v>5984</v>
      </c>
      <c r="C1128" t="s">
        <v>20</v>
      </c>
      <c r="D1128" t="s">
        <v>21</v>
      </c>
      <c r="E1128">
        <v>2222222</v>
      </c>
      <c r="F1128" s="8" t="s">
        <v>22</v>
      </c>
      <c r="G1128" s="2">
        <v>98</v>
      </c>
      <c r="H1128" t="s">
        <v>3992</v>
      </c>
      <c r="J1128" s="9" t="s">
        <v>4953</v>
      </c>
      <c r="K1128" t="s">
        <v>5189</v>
      </c>
      <c r="L1128" s="2">
        <v>1</v>
      </c>
      <c r="M1128" s="24" t="s">
        <v>5971</v>
      </c>
      <c r="N1128" s="2" t="s">
        <v>23</v>
      </c>
      <c r="O1128" s="18" t="s">
        <v>930</v>
      </c>
      <c r="P1128" s="18" t="s">
        <v>0</v>
      </c>
      <c r="Q1128" s="6" t="s">
        <v>4475</v>
      </c>
      <c r="T1128" s="23">
        <v>46157</v>
      </c>
      <c r="U1128" s="23">
        <v>46460</v>
      </c>
      <c r="X1128" s="20">
        <v>3750</v>
      </c>
      <c r="Z1128" s="6" t="s">
        <v>5978</v>
      </c>
      <c r="AA1128" s="14">
        <f t="shared" si="137"/>
        <v>5.9999999999999995E-4</v>
      </c>
      <c r="AB1128">
        <v>2.0395019999999997</v>
      </c>
      <c r="AC1128">
        <v>2.1210820799999999</v>
      </c>
    </row>
    <row r="1129" spans="1:29" x14ac:dyDescent="0.3">
      <c r="A1129">
        <v>147377</v>
      </c>
      <c r="B1129" s="25" t="s">
        <v>5984</v>
      </c>
      <c r="C1129" t="s">
        <v>20</v>
      </c>
      <c r="D1129" t="s">
        <v>21</v>
      </c>
      <c r="E1129">
        <v>2222222</v>
      </c>
      <c r="F1129" s="8" t="s">
        <v>22</v>
      </c>
      <c r="G1129" s="2">
        <v>98</v>
      </c>
      <c r="H1129" t="s">
        <v>3993</v>
      </c>
      <c r="J1129" s="9" t="s">
        <v>4911</v>
      </c>
      <c r="K1129" t="s">
        <v>5146</v>
      </c>
      <c r="L1129" s="2">
        <v>1</v>
      </c>
      <c r="M1129" s="24" t="s">
        <v>5971</v>
      </c>
      <c r="N1129" s="2" t="s">
        <v>23</v>
      </c>
      <c r="O1129" s="18" t="s">
        <v>931</v>
      </c>
      <c r="P1129" s="18" t="s">
        <v>3781</v>
      </c>
      <c r="Q1129" s="6" t="s">
        <v>4475</v>
      </c>
      <c r="T1129" s="23">
        <v>45884</v>
      </c>
      <c r="U1129" s="23">
        <v>46432</v>
      </c>
      <c r="X1129" s="20">
        <v>500</v>
      </c>
      <c r="Z1129" s="6" t="s">
        <v>5978</v>
      </c>
      <c r="AA1129" s="14">
        <f t="shared" si="137"/>
        <v>5.9999999999999995E-4</v>
      </c>
      <c r="AB1129">
        <v>0.12570599999999998</v>
      </c>
      <c r="AC1129">
        <v>0.13073424</v>
      </c>
    </row>
    <row r="1130" spans="1:29" x14ac:dyDescent="0.3">
      <c r="A1130">
        <v>148527</v>
      </c>
      <c r="B1130" s="25" t="s">
        <v>5984</v>
      </c>
      <c r="C1130" t="s">
        <v>20</v>
      </c>
      <c r="D1130" t="s">
        <v>21</v>
      </c>
      <c r="E1130">
        <v>2222222</v>
      </c>
      <c r="F1130" s="8" t="s">
        <v>22</v>
      </c>
      <c r="G1130" s="2">
        <v>98</v>
      </c>
      <c r="H1130" t="s">
        <v>3993</v>
      </c>
      <c r="J1130" s="9" t="s">
        <v>4889</v>
      </c>
      <c r="K1130" t="s">
        <v>5097</v>
      </c>
      <c r="L1130" s="2">
        <v>1</v>
      </c>
      <c r="M1130" s="24" t="s">
        <v>5971</v>
      </c>
      <c r="N1130" s="2" t="s">
        <v>23</v>
      </c>
      <c r="O1130" s="18" t="s">
        <v>932</v>
      </c>
      <c r="P1130" s="18" t="s">
        <v>3781</v>
      </c>
      <c r="Q1130" s="6" t="s">
        <v>4475</v>
      </c>
      <c r="T1130" s="23">
        <v>44747</v>
      </c>
      <c r="U1130" s="23">
        <v>46578</v>
      </c>
      <c r="X1130" s="20">
        <v>7381</v>
      </c>
      <c r="Z1130" s="6" t="s">
        <v>5978</v>
      </c>
      <c r="AA1130" s="15">
        <f>+(0.42/1000)</f>
        <v>4.1999999999999996E-4</v>
      </c>
      <c r="AB1130">
        <v>0.84604799999999991</v>
      </c>
      <c r="AC1130">
        <v>0.87988991999999999</v>
      </c>
    </row>
    <row r="1131" spans="1:29" x14ac:dyDescent="0.3">
      <c r="A1131">
        <v>140965</v>
      </c>
      <c r="B1131" s="25" t="s">
        <v>5984</v>
      </c>
      <c r="C1131" t="s">
        <v>20</v>
      </c>
      <c r="D1131" t="s">
        <v>21</v>
      </c>
      <c r="E1131">
        <v>2222222</v>
      </c>
      <c r="F1131" s="8" t="s">
        <v>22</v>
      </c>
      <c r="G1131" s="2">
        <v>98</v>
      </c>
      <c r="H1131" t="s">
        <v>3994</v>
      </c>
      <c r="J1131" s="9" t="s">
        <v>5220</v>
      </c>
      <c r="K1131" t="s">
        <v>5270</v>
      </c>
      <c r="L1131" s="2">
        <v>1</v>
      </c>
      <c r="M1131" s="24" t="s">
        <v>5971</v>
      </c>
      <c r="N1131" s="2" t="s">
        <v>23</v>
      </c>
      <c r="O1131" s="18" t="s">
        <v>933</v>
      </c>
      <c r="P1131" s="18" t="s">
        <v>0</v>
      </c>
      <c r="Q1131" s="6" t="s">
        <v>4475</v>
      </c>
      <c r="T1131" s="23">
        <v>45428</v>
      </c>
      <c r="U1131" s="23">
        <v>49079</v>
      </c>
      <c r="X1131" s="20">
        <v>58000</v>
      </c>
      <c r="Z1131" s="6" t="s">
        <v>5978</v>
      </c>
      <c r="AA1131" s="14">
        <f t="shared" ref="AA1131:AA1136" si="138">+(0.6/1000)</f>
        <v>5.9999999999999995E-4</v>
      </c>
      <c r="AB1131">
        <v>30.466445999999998</v>
      </c>
      <c r="AC1131">
        <v>31.68510384</v>
      </c>
    </row>
    <row r="1132" spans="1:29" x14ac:dyDescent="0.3">
      <c r="A1132">
        <v>143379</v>
      </c>
      <c r="B1132" s="25" t="s">
        <v>5984</v>
      </c>
      <c r="C1132" t="s">
        <v>20</v>
      </c>
      <c r="D1132" t="s">
        <v>21</v>
      </c>
      <c r="E1132">
        <v>2222222</v>
      </c>
      <c r="F1132" s="8" t="s">
        <v>22</v>
      </c>
      <c r="G1132" s="2">
        <v>98</v>
      </c>
      <c r="H1132" t="s">
        <v>3994</v>
      </c>
      <c r="J1132" s="9" t="s">
        <v>4911</v>
      </c>
      <c r="K1132" t="s">
        <v>5169</v>
      </c>
      <c r="L1132" s="2">
        <v>1</v>
      </c>
      <c r="M1132" s="24" t="s">
        <v>5971</v>
      </c>
      <c r="N1132" s="2" t="s">
        <v>23</v>
      </c>
      <c r="O1132" s="18" t="s">
        <v>934</v>
      </c>
      <c r="P1132" s="18" t="s">
        <v>3781</v>
      </c>
      <c r="Q1132" s="6" t="s">
        <v>4475</v>
      </c>
      <c r="T1132" s="23">
        <v>45586</v>
      </c>
      <c r="U1132" s="23">
        <v>47046</v>
      </c>
      <c r="X1132" s="20">
        <v>5000</v>
      </c>
      <c r="Z1132" s="6" t="s">
        <v>5978</v>
      </c>
      <c r="AA1132" s="14">
        <f t="shared" si="138"/>
        <v>5.9999999999999995E-4</v>
      </c>
      <c r="AB1132">
        <v>1.9589219999999998</v>
      </c>
      <c r="AC1132">
        <v>2.0372788799999997</v>
      </c>
    </row>
    <row r="1133" spans="1:29" x14ac:dyDescent="0.3">
      <c r="A1133">
        <v>147430</v>
      </c>
      <c r="B1133" s="25" t="s">
        <v>5984</v>
      </c>
      <c r="C1133" t="s">
        <v>20</v>
      </c>
      <c r="D1133" t="s">
        <v>21</v>
      </c>
      <c r="E1133">
        <v>2222222</v>
      </c>
      <c r="F1133" s="8" t="s">
        <v>22</v>
      </c>
      <c r="G1133" s="2">
        <v>98</v>
      </c>
      <c r="H1133" t="s">
        <v>3994</v>
      </c>
      <c r="J1133" s="9" t="s">
        <v>5220</v>
      </c>
      <c r="K1133" t="s">
        <v>5270</v>
      </c>
      <c r="L1133" s="2">
        <v>1</v>
      </c>
      <c r="M1133" s="24" t="s">
        <v>5971</v>
      </c>
      <c r="N1133" s="2" t="s">
        <v>23</v>
      </c>
      <c r="O1133" s="18" t="s">
        <v>933</v>
      </c>
      <c r="P1133" s="18" t="s">
        <v>0</v>
      </c>
      <c r="Q1133" s="6" t="s">
        <v>4475</v>
      </c>
      <c r="T1133" s="23">
        <v>45888</v>
      </c>
      <c r="U1133" s="23">
        <v>47348</v>
      </c>
      <c r="X1133" s="20">
        <v>5000</v>
      </c>
      <c r="Z1133" s="6" t="s">
        <v>5978</v>
      </c>
      <c r="AA1133" s="14">
        <f t="shared" si="138"/>
        <v>5.9999999999999995E-4</v>
      </c>
      <c r="AB1133">
        <v>2.4882239999999998</v>
      </c>
      <c r="AC1133">
        <v>2.58775296</v>
      </c>
    </row>
    <row r="1134" spans="1:29" x14ac:dyDescent="0.3">
      <c r="A1134">
        <v>147853</v>
      </c>
      <c r="B1134" s="25" t="s">
        <v>5984</v>
      </c>
      <c r="C1134" t="s">
        <v>20</v>
      </c>
      <c r="D1134" t="s">
        <v>21</v>
      </c>
      <c r="E1134">
        <v>2222222</v>
      </c>
      <c r="F1134" s="8" t="s">
        <v>22</v>
      </c>
      <c r="G1134" s="2">
        <v>98</v>
      </c>
      <c r="H1134" t="s">
        <v>3994</v>
      </c>
      <c r="J1134" s="9" t="s">
        <v>5388</v>
      </c>
      <c r="K1134" t="s">
        <v>5389</v>
      </c>
      <c r="L1134" s="2">
        <v>1</v>
      </c>
      <c r="M1134" s="24" t="s">
        <v>5971</v>
      </c>
      <c r="N1134" s="2" t="s">
        <v>23</v>
      </c>
      <c r="O1134" s="18" t="s">
        <v>935</v>
      </c>
      <c r="P1134" s="18" t="s">
        <v>3781</v>
      </c>
      <c r="Q1134" s="6" t="s">
        <v>4475</v>
      </c>
      <c r="T1134" s="23">
        <v>45921</v>
      </c>
      <c r="U1134" s="23">
        <v>47382</v>
      </c>
      <c r="X1134" s="20">
        <v>5000</v>
      </c>
      <c r="Z1134" s="6" t="s">
        <v>5978</v>
      </c>
      <c r="AA1134" s="14">
        <f t="shared" si="138"/>
        <v>5.9999999999999995E-4</v>
      </c>
      <c r="AB1134">
        <v>2.5388099999999998</v>
      </c>
      <c r="AC1134">
        <v>2.6403623999999999</v>
      </c>
    </row>
    <row r="1135" spans="1:29" x14ac:dyDescent="0.3">
      <c r="A1135">
        <v>151214</v>
      </c>
      <c r="B1135" s="25" t="s">
        <v>5984</v>
      </c>
      <c r="C1135" t="s">
        <v>20</v>
      </c>
      <c r="D1135" t="s">
        <v>21</v>
      </c>
      <c r="E1135">
        <v>2222222</v>
      </c>
      <c r="F1135" s="8" t="s">
        <v>22</v>
      </c>
      <c r="G1135" s="2">
        <v>98</v>
      </c>
      <c r="H1135" t="s">
        <v>3994</v>
      </c>
      <c r="J1135" s="9" t="s">
        <v>5161</v>
      </c>
      <c r="K1135" t="s">
        <v>5181</v>
      </c>
      <c r="L1135" s="2">
        <v>1</v>
      </c>
      <c r="M1135" s="24" t="s">
        <v>5971</v>
      </c>
      <c r="N1135" s="2" t="s">
        <v>23</v>
      </c>
      <c r="O1135" s="18" t="s">
        <v>936</v>
      </c>
      <c r="P1135" s="18" t="s">
        <v>3781</v>
      </c>
      <c r="Q1135" s="6" t="s">
        <v>4475</v>
      </c>
      <c r="T1135" s="23">
        <v>46148</v>
      </c>
      <c r="U1135" s="23">
        <v>47608</v>
      </c>
      <c r="X1135" s="20">
        <v>5000</v>
      </c>
      <c r="Z1135" s="6" t="s">
        <v>5978</v>
      </c>
      <c r="AA1135" s="14">
        <f t="shared" si="138"/>
        <v>5.9999999999999995E-4</v>
      </c>
      <c r="AB1135">
        <v>2.9123100000000002</v>
      </c>
      <c r="AC1135">
        <v>3.0288024000000004</v>
      </c>
    </row>
    <row r="1136" spans="1:29" x14ac:dyDescent="0.3">
      <c r="A1136">
        <v>151599</v>
      </c>
      <c r="B1136" s="25" t="s">
        <v>5984</v>
      </c>
      <c r="C1136" t="s">
        <v>20</v>
      </c>
      <c r="D1136" t="s">
        <v>21</v>
      </c>
      <c r="E1136">
        <v>2222222</v>
      </c>
      <c r="F1136" s="8" t="s">
        <v>22</v>
      </c>
      <c r="G1136" s="2">
        <v>98</v>
      </c>
      <c r="H1136" t="s">
        <v>3994</v>
      </c>
      <c r="J1136" s="9" t="s">
        <v>5282</v>
      </c>
      <c r="K1136" t="s">
        <v>4875</v>
      </c>
      <c r="L1136" s="2">
        <v>1</v>
      </c>
      <c r="M1136" s="24" t="s">
        <v>5971</v>
      </c>
      <c r="N1136" s="2" t="s">
        <v>23</v>
      </c>
      <c r="O1136" s="18" t="s">
        <v>937</v>
      </c>
      <c r="P1136" s="18" t="s">
        <v>0</v>
      </c>
      <c r="Q1136" s="6" t="s">
        <v>4475</v>
      </c>
      <c r="T1136" s="23">
        <v>46176</v>
      </c>
      <c r="U1136" s="23">
        <v>47637</v>
      </c>
      <c r="X1136" s="20">
        <v>5000</v>
      </c>
      <c r="Z1136" s="6" t="s">
        <v>5978</v>
      </c>
      <c r="AA1136" s="14">
        <f t="shared" si="138"/>
        <v>5.9999999999999995E-4</v>
      </c>
      <c r="AB1136">
        <v>2.9564819999999998</v>
      </c>
      <c r="AC1136">
        <v>3.07474128</v>
      </c>
    </row>
    <row r="1137" spans="1:29" x14ac:dyDescent="0.3">
      <c r="A1137">
        <v>136571</v>
      </c>
      <c r="B1137" s="25" t="s">
        <v>5984</v>
      </c>
      <c r="C1137" t="s">
        <v>20</v>
      </c>
      <c r="D1137" t="s">
        <v>21</v>
      </c>
      <c r="E1137">
        <v>2222222</v>
      </c>
      <c r="F1137" s="8" t="s">
        <v>22</v>
      </c>
      <c r="G1137" s="2">
        <v>98</v>
      </c>
      <c r="H1137" t="s">
        <v>3995</v>
      </c>
      <c r="J1137" s="9" t="s">
        <v>4916</v>
      </c>
      <c r="K1137" t="s">
        <v>5025</v>
      </c>
      <c r="L1137" s="2">
        <v>1</v>
      </c>
      <c r="M1137" s="24" t="s">
        <v>5971</v>
      </c>
      <c r="N1137" s="2" t="s">
        <v>23</v>
      </c>
      <c r="O1137" s="18" t="s">
        <v>938</v>
      </c>
      <c r="P1137" s="18" t="s">
        <v>3781</v>
      </c>
      <c r="Q1137" s="6" t="s">
        <v>4475</v>
      </c>
      <c r="T1137" s="23">
        <v>45182</v>
      </c>
      <c r="U1137" s="23">
        <v>46643</v>
      </c>
      <c r="X1137" s="20">
        <v>5000</v>
      </c>
      <c r="Z1137" s="6" t="s">
        <v>5978</v>
      </c>
      <c r="AA1137" s="13">
        <f>+(0.56/1000)</f>
        <v>5.6000000000000006E-4</v>
      </c>
      <c r="AB1137">
        <v>1.0476872000000002</v>
      </c>
      <c r="AC1137">
        <v>1.0895946880000003</v>
      </c>
    </row>
    <row r="1138" spans="1:29" x14ac:dyDescent="0.3">
      <c r="A1138">
        <v>148051</v>
      </c>
      <c r="B1138" s="25" t="s">
        <v>5984</v>
      </c>
      <c r="C1138" t="s">
        <v>20</v>
      </c>
      <c r="D1138" t="s">
        <v>21</v>
      </c>
      <c r="E1138">
        <v>2222222</v>
      </c>
      <c r="F1138" s="8" t="s">
        <v>22</v>
      </c>
      <c r="G1138" s="2">
        <v>98</v>
      </c>
      <c r="H1138" t="s">
        <v>3996</v>
      </c>
      <c r="J1138" s="9" t="s">
        <v>5390</v>
      </c>
      <c r="K1138" t="s">
        <v>4949</v>
      </c>
      <c r="L1138" s="2">
        <v>1</v>
      </c>
      <c r="M1138" s="24" t="s">
        <v>5971</v>
      </c>
      <c r="N1138" s="2" t="s">
        <v>23</v>
      </c>
      <c r="O1138" s="18" t="s">
        <v>939</v>
      </c>
      <c r="P1138" s="18" t="s">
        <v>0</v>
      </c>
      <c r="Q1138" s="6" t="s">
        <v>4475</v>
      </c>
      <c r="T1138" s="23">
        <v>45931</v>
      </c>
      <c r="U1138" s="23">
        <v>47027</v>
      </c>
      <c r="X1138" s="20">
        <v>3100</v>
      </c>
      <c r="Z1138" s="6" t="s">
        <v>5978</v>
      </c>
      <c r="AA1138" s="14">
        <f t="shared" ref="AA1138:AA1139" si="139">+(0.6/1000)</f>
        <v>5.9999999999999995E-4</v>
      </c>
      <c r="AB1138">
        <v>1.4788319999999997</v>
      </c>
      <c r="AC1138">
        <v>1.5379852799999998</v>
      </c>
    </row>
    <row r="1139" spans="1:29" x14ac:dyDescent="0.3">
      <c r="A1139">
        <v>149526</v>
      </c>
      <c r="B1139" s="25" t="s">
        <v>5984</v>
      </c>
      <c r="C1139" t="s">
        <v>20</v>
      </c>
      <c r="D1139" t="s">
        <v>21</v>
      </c>
      <c r="E1139">
        <v>2222222</v>
      </c>
      <c r="F1139" s="8" t="s">
        <v>22</v>
      </c>
      <c r="G1139" s="2">
        <v>98</v>
      </c>
      <c r="H1139" t="s">
        <v>3997</v>
      </c>
      <c r="J1139" s="9" t="s">
        <v>5068</v>
      </c>
      <c r="K1139" t="s">
        <v>5271</v>
      </c>
      <c r="L1139" s="2">
        <v>1</v>
      </c>
      <c r="M1139" s="24" t="s">
        <v>5971</v>
      </c>
      <c r="N1139" s="2" t="s">
        <v>23</v>
      </c>
      <c r="O1139" s="18" t="s">
        <v>940</v>
      </c>
      <c r="P1139" s="18" t="s">
        <v>0</v>
      </c>
      <c r="Q1139" s="6" t="s">
        <v>4475</v>
      </c>
      <c r="T1139" s="23">
        <v>46033</v>
      </c>
      <c r="U1139" s="23">
        <v>46398</v>
      </c>
      <c r="X1139" s="20">
        <v>1600</v>
      </c>
      <c r="Z1139" s="6" t="s">
        <v>5978</v>
      </c>
      <c r="AA1139" s="14">
        <f t="shared" si="139"/>
        <v>5.9999999999999995E-4</v>
      </c>
      <c r="AB1139">
        <v>0.499392</v>
      </c>
      <c r="AC1139">
        <v>0.51936768</v>
      </c>
    </row>
    <row r="1140" spans="1:29" x14ac:dyDescent="0.3">
      <c r="A1140">
        <v>128939</v>
      </c>
      <c r="B1140" s="25" t="s">
        <v>5984</v>
      </c>
      <c r="C1140" t="s">
        <v>20</v>
      </c>
      <c r="D1140" t="s">
        <v>21</v>
      </c>
      <c r="E1140">
        <v>2222222</v>
      </c>
      <c r="F1140" s="8" t="s">
        <v>22</v>
      </c>
      <c r="G1140" s="2">
        <v>98</v>
      </c>
      <c r="H1140" t="s">
        <v>3998</v>
      </c>
      <c r="J1140" s="9" t="s">
        <v>5234</v>
      </c>
      <c r="K1140" t="s">
        <v>5007</v>
      </c>
      <c r="L1140" s="2">
        <v>1</v>
      </c>
      <c r="M1140" s="24" t="s">
        <v>5971</v>
      </c>
      <c r="N1140" s="2" t="s">
        <v>23</v>
      </c>
      <c r="O1140" s="18" t="s">
        <v>880</v>
      </c>
      <c r="P1140" s="18" t="s">
        <v>0</v>
      </c>
      <c r="Q1140" s="6" t="s">
        <v>4475</v>
      </c>
      <c r="T1140" s="23">
        <v>44766</v>
      </c>
      <c r="U1140" s="23">
        <v>46591</v>
      </c>
      <c r="X1140" s="20">
        <v>18360</v>
      </c>
      <c r="Z1140" s="6" t="s">
        <v>5978</v>
      </c>
      <c r="AA1140" s="15">
        <f>+(0.42/1000)</f>
        <v>4.1999999999999996E-4</v>
      </c>
      <c r="AB1140">
        <v>2.0234843999999996</v>
      </c>
      <c r="AC1140">
        <v>2.1044237759999995</v>
      </c>
    </row>
    <row r="1141" spans="1:29" x14ac:dyDescent="0.3">
      <c r="A1141">
        <v>138557</v>
      </c>
      <c r="B1141" s="25" t="s">
        <v>5984</v>
      </c>
      <c r="C1141" t="s">
        <v>20</v>
      </c>
      <c r="D1141" t="s">
        <v>21</v>
      </c>
      <c r="E1141">
        <v>2222222</v>
      </c>
      <c r="F1141" s="8" t="s">
        <v>22</v>
      </c>
      <c r="G1141" s="2">
        <v>98</v>
      </c>
      <c r="H1141" t="s">
        <v>3998</v>
      </c>
      <c r="J1141" s="9" t="s">
        <v>5391</v>
      </c>
      <c r="K1141" t="s">
        <v>5392</v>
      </c>
      <c r="L1141" s="2">
        <v>1</v>
      </c>
      <c r="M1141" s="24" t="s">
        <v>5971</v>
      </c>
      <c r="N1141" s="2" t="s">
        <v>23</v>
      </c>
      <c r="O1141" s="18" t="s">
        <v>941</v>
      </c>
      <c r="P1141" s="18" t="s">
        <v>0</v>
      </c>
      <c r="Q1141" s="6" t="s">
        <v>4475</v>
      </c>
      <c r="T1141" s="23">
        <v>45288</v>
      </c>
      <c r="U1141" s="23">
        <v>47114</v>
      </c>
      <c r="X1141" s="20">
        <v>14500</v>
      </c>
      <c r="Z1141" s="6" t="s">
        <v>5978</v>
      </c>
      <c r="AA1141" s="13">
        <f>+(0.56/1000)</f>
        <v>5.6000000000000006E-4</v>
      </c>
      <c r="AB1141">
        <v>4.6330256000000007</v>
      </c>
      <c r="AC1141">
        <v>4.818346624000001</v>
      </c>
    </row>
    <row r="1142" spans="1:29" x14ac:dyDescent="0.3">
      <c r="A1142">
        <v>149965</v>
      </c>
      <c r="B1142" s="25" t="s">
        <v>5984</v>
      </c>
      <c r="C1142" t="s">
        <v>20</v>
      </c>
      <c r="D1142" t="s">
        <v>21</v>
      </c>
      <c r="E1142">
        <v>2222222</v>
      </c>
      <c r="F1142" s="8" t="s">
        <v>22</v>
      </c>
      <c r="G1142" s="2">
        <v>98</v>
      </c>
      <c r="H1142" t="s">
        <v>3999</v>
      </c>
      <c r="J1142" s="9" t="s">
        <v>4836</v>
      </c>
      <c r="K1142" t="s">
        <v>5004</v>
      </c>
      <c r="L1142" s="2">
        <v>1</v>
      </c>
      <c r="M1142" s="24" t="s">
        <v>5971</v>
      </c>
      <c r="N1142" s="2" t="s">
        <v>23</v>
      </c>
      <c r="O1142" s="18" t="s">
        <v>942</v>
      </c>
      <c r="P1142" s="18" t="s">
        <v>3781</v>
      </c>
      <c r="Q1142" s="6" t="s">
        <v>4475</v>
      </c>
      <c r="T1142" s="23">
        <v>46062</v>
      </c>
      <c r="U1142" s="23">
        <v>46612</v>
      </c>
      <c r="X1142" s="20">
        <v>2460</v>
      </c>
      <c r="Z1142" s="6" t="s">
        <v>5978</v>
      </c>
      <c r="AA1142" s="14">
        <f>+(0.6/1000)</f>
        <v>5.9999999999999995E-4</v>
      </c>
      <c r="AB1142">
        <v>1.1031839999999999</v>
      </c>
      <c r="AC1142">
        <v>1.14731136</v>
      </c>
    </row>
    <row r="1143" spans="1:29" x14ac:dyDescent="0.3">
      <c r="A1143">
        <v>136106</v>
      </c>
      <c r="B1143" s="25" t="s">
        <v>5984</v>
      </c>
      <c r="C1143" t="s">
        <v>20</v>
      </c>
      <c r="D1143" t="s">
        <v>21</v>
      </c>
      <c r="E1143">
        <v>2222222</v>
      </c>
      <c r="F1143" s="8" t="s">
        <v>22</v>
      </c>
      <c r="G1143" s="2">
        <v>98</v>
      </c>
      <c r="H1143" t="s">
        <v>4000</v>
      </c>
      <c r="J1143" s="9" t="s">
        <v>5055</v>
      </c>
      <c r="K1143" t="s">
        <v>4926</v>
      </c>
      <c r="L1143" s="2">
        <v>1</v>
      </c>
      <c r="M1143" s="24" t="s">
        <v>5971</v>
      </c>
      <c r="N1143" s="2" t="s">
        <v>23</v>
      </c>
      <c r="O1143" s="18" t="s">
        <v>943</v>
      </c>
      <c r="P1143" s="18" t="s">
        <v>3781</v>
      </c>
      <c r="Q1143" s="6" t="s">
        <v>4475</v>
      </c>
      <c r="T1143" s="23">
        <v>45160</v>
      </c>
      <c r="U1143" s="23">
        <v>47351</v>
      </c>
      <c r="X1143" s="20">
        <v>13100</v>
      </c>
      <c r="Z1143" s="6" t="s">
        <v>5978</v>
      </c>
      <c r="AA1143" s="13">
        <f t="shared" ref="AA1143:AA1144" si="140">+(0.56/1000)</f>
        <v>5.6000000000000006E-4</v>
      </c>
      <c r="AB1143">
        <v>4.9186031999999997</v>
      </c>
      <c r="AC1143">
        <v>5.1153473279999995</v>
      </c>
    </row>
    <row r="1144" spans="1:29" x14ac:dyDescent="0.3">
      <c r="A1144">
        <v>139994</v>
      </c>
      <c r="B1144" s="25" t="s">
        <v>5984</v>
      </c>
      <c r="C1144" t="s">
        <v>20</v>
      </c>
      <c r="D1144" t="s">
        <v>21</v>
      </c>
      <c r="E1144">
        <v>2222222</v>
      </c>
      <c r="F1144" s="8" t="s">
        <v>22</v>
      </c>
      <c r="G1144" s="2">
        <v>98</v>
      </c>
      <c r="H1144" t="s">
        <v>4000</v>
      </c>
      <c r="J1144" s="9" t="s">
        <v>5008</v>
      </c>
      <c r="K1144" t="s">
        <v>4485</v>
      </c>
      <c r="L1144" s="2">
        <v>1</v>
      </c>
      <c r="M1144" s="24" t="s">
        <v>5971</v>
      </c>
      <c r="N1144" s="2" t="s">
        <v>23</v>
      </c>
      <c r="O1144" s="18" t="s">
        <v>769</v>
      </c>
      <c r="P1144" s="18" t="s">
        <v>0</v>
      </c>
      <c r="Q1144" s="6" t="s">
        <v>4475</v>
      </c>
      <c r="T1144" s="23">
        <v>45381</v>
      </c>
      <c r="U1144" s="23">
        <v>47939</v>
      </c>
      <c r="X1144" s="20">
        <v>20100</v>
      </c>
      <c r="Z1144" s="6" t="s">
        <v>5978</v>
      </c>
      <c r="AA1144" s="13">
        <f t="shared" si="140"/>
        <v>5.6000000000000006E-4</v>
      </c>
      <c r="AB1144">
        <v>8.7601920000000018</v>
      </c>
      <c r="AC1144">
        <v>9.1105996800000018</v>
      </c>
    </row>
    <row r="1145" spans="1:29" x14ac:dyDescent="0.3">
      <c r="A1145">
        <v>141528</v>
      </c>
      <c r="B1145" s="25" t="s">
        <v>5984</v>
      </c>
      <c r="C1145" t="s">
        <v>20</v>
      </c>
      <c r="D1145" t="s">
        <v>21</v>
      </c>
      <c r="E1145">
        <v>2222222</v>
      </c>
      <c r="F1145" s="8" t="s">
        <v>22</v>
      </c>
      <c r="G1145" s="2">
        <v>98</v>
      </c>
      <c r="H1145" t="s">
        <v>4000</v>
      </c>
      <c r="J1145" s="9" t="s">
        <v>4830</v>
      </c>
      <c r="K1145" t="s">
        <v>5088</v>
      </c>
      <c r="L1145" s="2">
        <v>1</v>
      </c>
      <c r="M1145" s="24" t="s">
        <v>5971</v>
      </c>
      <c r="N1145" s="2" t="s">
        <v>23</v>
      </c>
      <c r="O1145" s="18" t="s">
        <v>944</v>
      </c>
      <c r="P1145" s="18" t="s">
        <v>3781</v>
      </c>
      <c r="Q1145" s="6" t="s">
        <v>4475</v>
      </c>
      <c r="T1145" s="23">
        <v>45460</v>
      </c>
      <c r="U1145" s="23">
        <v>47286</v>
      </c>
      <c r="X1145" s="20">
        <v>3150</v>
      </c>
      <c r="Z1145" s="6" t="s">
        <v>5978</v>
      </c>
      <c r="AA1145" s="14">
        <f t="shared" ref="AA1145:AA1162" si="141">+(0.6/1000)</f>
        <v>5.9999999999999995E-4</v>
      </c>
      <c r="AB1145">
        <v>1.2993959999999998</v>
      </c>
      <c r="AC1145">
        <v>1.3513718399999999</v>
      </c>
    </row>
    <row r="1146" spans="1:29" x14ac:dyDescent="0.3">
      <c r="A1146">
        <v>148705</v>
      </c>
      <c r="B1146" s="25" t="s">
        <v>5984</v>
      </c>
      <c r="C1146" t="s">
        <v>20</v>
      </c>
      <c r="D1146" t="s">
        <v>21</v>
      </c>
      <c r="E1146">
        <v>2222222</v>
      </c>
      <c r="F1146" s="8" t="s">
        <v>22</v>
      </c>
      <c r="G1146" s="2">
        <v>98</v>
      </c>
      <c r="H1146" t="s">
        <v>4000</v>
      </c>
      <c r="J1146" s="9" t="s">
        <v>5008</v>
      </c>
      <c r="K1146" t="s">
        <v>4485</v>
      </c>
      <c r="L1146" s="2">
        <v>1</v>
      </c>
      <c r="M1146" s="24" t="s">
        <v>5971</v>
      </c>
      <c r="N1146" s="2" t="s">
        <v>23</v>
      </c>
      <c r="O1146" s="18" t="s">
        <v>769</v>
      </c>
      <c r="P1146" s="18" t="s">
        <v>0</v>
      </c>
      <c r="Q1146" s="6" t="s">
        <v>4475</v>
      </c>
      <c r="T1146" s="23">
        <v>45973</v>
      </c>
      <c r="U1146" s="23">
        <v>47069</v>
      </c>
      <c r="X1146" s="20">
        <v>2000</v>
      </c>
      <c r="Z1146" s="6" t="s">
        <v>5978</v>
      </c>
      <c r="AA1146" s="14">
        <f t="shared" si="141"/>
        <v>5.9999999999999995E-4</v>
      </c>
      <c r="AB1146">
        <v>0.9831359999999999</v>
      </c>
      <c r="AC1146">
        <v>1.0224614399999998</v>
      </c>
    </row>
    <row r="1147" spans="1:29" x14ac:dyDescent="0.3">
      <c r="A1147">
        <v>149885</v>
      </c>
      <c r="B1147" s="25" t="s">
        <v>5984</v>
      </c>
      <c r="C1147" t="s">
        <v>20</v>
      </c>
      <c r="D1147" t="s">
        <v>21</v>
      </c>
      <c r="E1147">
        <v>2222222</v>
      </c>
      <c r="F1147" s="8" t="s">
        <v>22</v>
      </c>
      <c r="G1147" s="2">
        <v>98</v>
      </c>
      <c r="H1147" t="s">
        <v>4000</v>
      </c>
      <c r="J1147" s="9" t="s">
        <v>4836</v>
      </c>
      <c r="K1147" t="s">
        <v>5075</v>
      </c>
      <c r="L1147" s="2">
        <v>1</v>
      </c>
      <c r="M1147" s="24" t="s">
        <v>5971</v>
      </c>
      <c r="N1147" s="2" t="s">
        <v>23</v>
      </c>
      <c r="O1147" s="18" t="s">
        <v>945</v>
      </c>
      <c r="P1147" s="18" t="s">
        <v>3781</v>
      </c>
      <c r="Q1147" s="6" t="s">
        <v>4475</v>
      </c>
      <c r="T1147" s="23">
        <v>46055</v>
      </c>
      <c r="U1147" s="23">
        <v>46422</v>
      </c>
      <c r="X1147" s="20">
        <v>5000</v>
      </c>
      <c r="Z1147" s="6" t="s">
        <v>5978</v>
      </c>
      <c r="AA1147" s="14">
        <f t="shared" si="141"/>
        <v>5.9999999999999995E-4</v>
      </c>
      <c r="AB1147">
        <v>1.8155339999999998</v>
      </c>
      <c r="AC1147">
        <v>1.8881553599999998</v>
      </c>
    </row>
    <row r="1148" spans="1:29" x14ac:dyDescent="0.3">
      <c r="A1148">
        <v>152180</v>
      </c>
      <c r="B1148" s="25" t="s">
        <v>5984</v>
      </c>
      <c r="C1148" t="s">
        <v>20</v>
      </c>
      <c r="D1148" t="s">
        <v>21</v>
      </c>
      <c r="E1148">
        <v>2222222</v>
      </c>
      <c r="F1148" s="8" t="s">
        <v>22</v>
      </c>
      <c r="G1148" s="2">
        <v>98</v>
      </c>
      <c r="H1148" t="s">
        <v>4001</v>
      </c>
      <c r="J1148" s="9" t="s">
        <v>5269</v>
      </c>
      <c r="K1148" t="s">
        <v>5393</v>
      </c>
      <c r="L1148" s="2">
        <v>1</v>
      </c>
      <c r="M1148" s="24" t="s">
        <v>5971</v>
      </c>
      <c r="N1148" s="2" t="s">
        <v>23</v>
      </c>
      <c r="O1148" s="18" t="s">
        <v>945</v>
      </c>
      <c r="P1148" s="18" t="s">
        <v>0</v>
      </c>
      <c r="Q1148" s="6" t="s">
        <v>4475</v>
      </c>
      <c r="T1148" s="23">
        <v>46217</v>
      </c>
      <c r="U1148" s="23">
        <v>46307</v>
      </c>
      <c r="X1148" s="20">
        <v>2000</v>
      </c>
      <c r="Z1148" s="6" t="s">
        <v>5978</v>
      </c>
      <c r="AA1148" s="14">
        <f t="shared" si="141"/>
        <v>5.9999999999999995E-4</v>
      </c>
      <c r="AB1148">
        <v>1.2</v>
      </c>
      <c r="AC1148">
        <v>1.248</v>
      </c>
    </row>
    <row r="1149" spans="1:29" x14ac:dyDescent="0.3">
      <c r="A1149">
        <v>142991</v>
      </c>
      <c r="B1149" s="25" t="s">
        <v>5984</v>
      </c>
      <c r="C1149" t="s">
        <v>20</v>
      </c>
      <c r="D1149" t="s">
        <v>21</v>
      </c>
      <c r="E1149">
        <v>2222222</v>
      </c>
      <c r="F1149" s="8" t="s">
        <v>22</v>
      </c>
      <c r="G1149" s="2">
        <v>98</v>
      </c>
      <c r="H1149" t="s">
        <v>4002</v>
      </c>
      <c r="J1149" s="9" t="s">
        <v>4911</v>
      </c>
      <c r="K1149" t="s">
        <v>5095</v>
      </c>
      <c r="L1149" s="2">
        <v>1</v>
      </c>
      <c r="M1149" s="24" t="s">
        <v>5971</v>
      </c>
      <c r="N1149" s="2" t="s">
        <v>23</v>
      </c>
      <c r="O1149" s="18" t="s">
        <v>946</v>
      </c>
      <c r="P1149" s="18" t="s">
        <v>3781</v>
      </c>
      <c r="Q1149" s="6" t="s">
        <v>4475</v>
      </c>
      <c r="T1149" s="23">
        <v>45560</v>
      </c>
      <c r="U1149" s="23">
        <v>47386</v>
      </c>
      <c r="X1149" s="20">
        <v>3790</v>
      </c>
      <c r="Z1149" s="6" t="s">
        <v>5978</v>
      </c>
      <c r="AA1149" s="14">
        <f t="shared" si="141"/>
        <v>5.9999999999999995E-4</v>
      </c>
      <c r="AB1149">
        <v>1.6298939999999997</v>
      </c>
      <c r="AC1149">
        <v>1.6950897599999999</v>
      </c>
    </row>
    <row r="1150" spans="1:29" x14ac:dyDescent="0.3">
      <c r="A1150">
        <v>147461</v>
      </c>
      <c r="B1150" s="25" t="s">
        <v>5984</v>
      </c>
      <c r="C1150" t="s">
        <v>20</v>
      </c>
      <c r="D1150" t="s">
        <v>21</v>
      </c>
      <c r="E1150">
        <v>2222222</v>
      </c>
      <c r="F1150" s="8" t="s">
        <v>22</v>
      </c>
      <c r="G1150" s="2">
        <v>98</v>
      </c>
      <c r="H1150" t="s">
        <v>4002</v>
      </c>
      <c r="J1150" s="9" t="s">
        <v>5042</v>
      </c>
      <c r="K1150" t="s">
        <v>5394</v>
      </c>
      <c r="L1150" s="2">
        <v>1</v>
      </c>
      <c r="M1150" s="24" t="s">
        <v>5971</v>
      </c>
      <c r="N1150" s="2" t="s">
        <v>23</v>
      </c>
      <c r="O1150" s="18" t="s">
        <v>947</v>
      </c>
      <c r="P1150" s="18" t="s">
        <v>3781</v>
      </c>
      <c r="Q1150" s="6" t="s">
        <v>4475</v>
      </c>
      <c r="T1150" s="23">
        <v>45890</v>
      </c>
      <c r="U1150" s="23">
        <v>47355</v>
      </c>
      <c r="X1150" s="20">
        <v>5000</v>
      </c>
      <c r="Z1150" s="6" t="s">
        <v>5978</v>
      </c>
      <c r="AA1150" s="14">
        <f t="shared" si="141"/>
        <v>5.9999999999999995E-4</v>
      </c>
      <c r="AB1150">
        <v>2.5386600000000001</v>
      </c>
      <c r="AC1150">
        <v>2.6402064000000003</v>
      </c>
    </row>
    <row r="1151" spans="1:29" x14ac:dyDescent="0.3">
      <c r="A1151">
        <v>147997</v>
      </c>
      <c r="B1151" s="25" t="s">
        <v>5984</v>
      </c>
      <c r="C1151" t="s">
        <v>20</v>
      </c>
      <c r="D1151" t="s">
        <v>21</v>
      </c>
      <c r="E1151">
        <v>2222222</v>
      </c>
      <c r="F1151" s="8" t="s">
        <v>22</v>
      </c>
      <c r="G1151" s="2">
        <v>98</v>
      </c>
      <c r="H1151" t="s">
        <v>4002</v>
      </c>
      <c r="J1151" s="9" t="s">
        <v>4901</v>
      </c>
      <c r="K1151" t="s">
        <v>5395</v>
      </c>
      <c r="L1151" s="2">
        <v>1</v>
      </c>
      <c r="M1151" s="24" t="s">
        <v>5971</v>
      </c>
      <c r="N1151" s="2" t="s">
        <v>23</v>
      </c>
      <c r="O1151" s="18" t="s">
        <v>948</v>
      </c>
      <c r="P1151" s="18" t="s">
        <v>0</v>
      </c>
      <c r="Q1151" s="6" t="s">
        <v>4475</v>
      </c>
      <c r="T1151" s="23">
        <v>45928</v>
      </c>
      <c r="U1151" s="23">
        <v>47027</v>
      </c>
      <c r="X1151" s="20">
        <v>4300</v>
      </c>
      <c r="Z1151" s="6" t="s">
        <v>5978</v>
      </c>
      <c r="AA1151" s="14">
        <f t="shared" si="141"/>
        <v>5.9999999999999995E-4</v>
      </c>
      <c r="AB1151">
        <v>2.0317979999999998</v>
      </c>
      <c r="AC1151">
        <v>2.11306992</v>
      </c>
    </row>
    <row r="1152" spans="1:29" x14ac:dyDescent="0.3">
      <c r="A1152">
        <v>148424</v>
      </c>
      <c r="B1152" s="25" t="s">
        <v>5984</v>
      </c>
      <c r="C1152" t="s">
        <v>20</v>
      </c>
      <c r="D1152" t="s">
        <v>21</v>
      </c>
      <c r="E1152">
        <v>2222222</v>
      </c>
      <c r="F1152" s="8" t="s">
        <v>22</v>
      </c>
      <c r="G1152" s="2">
        <v>98</v>
      </c>
      <c r="H1152" t="s">
        <v>4002</v>
      </c>
      <c r="J1152" s="9" t="s">
        <v>5102</v>
      </c>
      <c r="K1152" t="s">
        <v>4875</v>
      </c>
      <c r="L1152" s="2">
        <v>1</v>
      </c>
      <c r="M1152" s="24" t="s">
        <v>5971</v>
      </c>
      <c r="N1152" s="2" t="s">
        <v>23</v>
      </c>
      <c r="O1152" s="18" t="s">
        <v>949</v>
      </c>
      <c r="P1152" s="18" t="s">
        <v>0</v>
      </c>
      <c r="Q1152" s="6" t="s">
        <v>4475</v>
      </c>
      <c r="T1152" s="23">
        <v>45960</v>
      </c>
      <c r="U1152" s="23">
        <v>47058</v>
      </c>
      <c r="X1152" s="20">
        <v>4450</v>
      </c>
      <c r="Z1152" s="6" t="s">
        <v>5978</v>
      </c>
      <c r="AA1152" s="14">
        <f t="shared" si="141"/>
        <v>5.9999999999999995E-4</v>
      </c>
      <c r="AB1152">
        <v>2.2981979999999997</v>
      </c>
      <c r="AC1152">
        <v>2.39012592</v>
      </c>
    </row>
    <row r="1153" spans="1:29" x14ac:dyDescent="0.3">
      <c r="A1153">
        <v>148981</v>
      </c>
      <c r="B1153" s="25" t="s">
        <v>5984</v>
      </c>
      <c r="C1153" t="s">
        <v>20</v>
      </c>
      <c r="D1153" t="s">
        <v>21</v>
      </c>
      <c r="E1153">
        <v>2222222</v>
      </c>
      <c r="F1153" s="8" t="s">
        <v>22</v>
      </c>
      <c r="G1153" s="2">
        <v>98</v>
      </c>
      <c r="H1153" t="s">
        <v>4002</v>
      </c>
      <c r="J1153" s="9" t="s">
        <v>5396</v>
      </c>
      <c r="K1153" t="s">
        <v>4980</v>
      </c>
      <c r="L1153" s="2">
        <v>1</v>
      </c>
      <c r="M1153" s="24" t="s">
        <v>5971</v>
      </c>
      <c r="N1153" s="2" t="s">
        <v>23</v>
      </c>
      <c r="O1153" s="18" t="s">
        <v>950</v>
      </c>
      <c r="P1153" s="18" t="s">
        <v>3781</v>
      </c>
      <c r="Q1153" s="6" t="s">
        <v>4475</v>
      </c>
      <c r="T1153" s="23">
        <v>45990</v>
      </c>
      <c r="U1153" s="23">
        <v>46355</v>
      </c>
      <c r="X1153" s="20">
        <v>120000</v>
      </c>
      <c r="Z1153" s="6" t="s">
        <v>5978</v>
      </c>
      <c r="AA1153" s="14">
        <f t="shared" si="141"/>
        <v>5.9999999999999995E-4</v>
      </c>
      <c r="AB1153">
        <v>72</v>
      </c>
      <c r="AC1153">
        <v>74.88</v>
      </c>
    </row>
    <row r="1154" spans="1:29" x14ac:dyDescent="0.3">
      <c r="A1154">
        <v>150118</v>
      </c>
      <c r="B1154" s="25" t="s">
        <v>5984</v>
      </c>
      <c r="C1154" t="s">
        <v>20</v>
      </c>
      <c r="D1154" t="s">
        <v>21</v>
      </c>
      <c r="E1154">
        <v>2222222</v>
      </c>
      <c r="F1154" s="8" t="s">
        <v>22</v>
      </c>
      <c r="G1154" s="2">
        <v>98</v>
      </c>
      <c r="H1154" t="s">
        <v>4002</v>
      </c>
      <c r="J1154" s="9" t="s">
        <v>5397</v>
      </c>
      <c r="K1154" t="s">
        <v>4861</v>
      </c>
      <c r="L1154" s="2">
        <v>1</v>
      </c>
      <c r="M1154" s="24" t="s">
        <v>5971</v>
      </c>
      <c r="N1154" s="2" t="s">
        <v>23</v>
      </c>
      <c r="O1154" s="18" t="s">
        <v>304</v>
      </c>
      <c r="P1154" s="18" t="s">
        <v>3781</v>
      </c>
      <c r="Q1154" s="6" t="s">
        <v>4475</v>
      </c>
      <c r="T1154" s="23">
        <v>46076</v>
      </c>
      <c r="U1154" s="23">
        <v>47174</v>
      </c>
      <c r="X1154" s="20">
        <v>4200</v>
      </c>
      <c r="Z1154" s="6" t="s">
        <v>5978</v>
      </c>
      <c r="AA1154" s="14">
        <f t="shared" si="141"/>
        <v>5.9999999999999995E-4</v>
      </c>
      <c r="AB1154">
        <v>2.1915959999999997</v>
      </c>
      <c r="AC1154">
        <v>2.2792598399999999</v>
      </c>
    </row>
    <row r="1155" spans="1:29" x14ac:dyDescent="0.3">
      <c r="A1155">
        <v>150958</v>
      </c>
      <c r="B1155" s="25" t="s">
        <v>5984</v>
      </c>
      <c r="C1155" t="s">
        <v>20</v>
      </c>
      <c r="D1155" t="s">
        <v>21</v>
      </c>
      <c r="E1155">
        <v>2222222</v>
      </c>
      <c r="F1155" s="8" t="s">
        <v>22</v>
      </c>
      <c r="G1155" s="2">
        <v>98</v>
      </c>
      <c r="H1155" t="s">
        <v>4002</v>
      </c>
      <c r="J1155" s="9" t="s">
        <v>5038</v>
      </c>
      <c r="K1155" t="s">
        <v>5025</v>
      </c>
      <c r="L1155" s="2">
        <v>1</v>
      </c>
      <c r="M1155" s="24" t="s">
        <v>5971</v>
      </c>
      <c r="N1155" s="2" t="s">
        <v>23</v>
      </c>
      <c r="O1155" s="18" t="s">
        <v>951</v>
      </c>
      <c r="P1155" s="18" t="s">
        <v>3781</v>
      </c>
      <c r="Q1155" s="6" t="s">
        <v>4475</v>
      </c>
      <c r="T1155" s="23">
        <v>46129</v>
      </c>
      <c r="U1155" s="23">
        <v>46282</v>
      </c>
      <c r="X1155" s="20">
        <v>1000</v>
      </c>
      <c r="Z1155" s="6" t="s">
        <v>5978</v>
      </c>
      <c r="AA1155" s="14">
        <f t="shared" si="141"/>
        <v>5.9999999999999995E-4</v>
      </c>
      <c r="AB1155">
        <v>0.245088</v>
      </c>
      <c r="AC1155">
        <v>0.25489151999999998</v>
      </c>
    </row>
    <row r="1156" spans="1:29" x14ac:dyDescent="0.3">
      <c r="A1156">
        <v>150991</v>
      </c>
      <c r="B1156" s="25" t="s">
        <v>5984</v>
      </c>
      <c r="C1156" t="s">
        <v>20</v>
      </c>
      <c r="D1156" t="s">
        <v>21</v>
      </c>
      <c r="E1156">
        <v>2222222</v>
      </c>
      <c r="F1156" s="8" t="s">
        <v>22</v>
      </c>
      <c r="G1156" s="2">
        <v>98</v>
      </c>
      <c r="H1156" t="s">
        <v>4002</v>
      </c>
      <c r="J1156" s="9" t="s">
        <v>4815</v>
      </c>
      <c r="K1156" t="s">
        <v>4950</v>
      </c>
      <c r="L1156" s="2">
        <v>1</v>
      </c>
      <c r="M1156" s="24" t="s">
        <v>5971</v>
      </c>
      <c r="N1156" s="2" t="s">
        <v>23</v>
      </c>
      <c r="O1156" s="18" t="s">
        <v>952</v>
      </c>
      <c r="P1156" s="18" t="s">
        <v>0</v>
      </c>
      <c r="Q1156" s="6" t="s">
        <v>4475</v>
      </c>
      <c r="T1156" s="23">
        <v>46131</v>
      </c>
      <c r="U1156" s="23">
        <v>46221</v>
      </c>
      <c r="X1156" s="20">
        <v>5000</v>
      </c>
      <c r="Z1156" s="6" t="s">
        <v>5978</v>
      </c>
      <c r="AA1156" s="14">
        <f t="shared" si="141"/>
        <v>5.9999999999999995E-4</v>
      </c>
      <c r="AB1156">
        <v>2.9999999999999996</v>
      </c>
      <c r="AC1156">
        <v>3.1199999999999997</v>
      </c>
    </row>
    <row r="1157" spans="1:29" x14ac:dyDescent="0.3">
      <c r="A1157">
        <v>151245</v>
      </c>
      <c r="B1157" s="25" t="s">
        <v>5984</v>
      </c>
      <c r="C1157" t="s">
        <v>20</v>
      </c>
      <c r="D1157" t="s">
        <v>21</v>
      </c>
      <c r="E1157">
        <v>2222222</v>
      </c>
      <c r="F1157" s="8" t="s">
        <v>22</v>
      </c>
      <c r="G1157" s="2">
        <v>98</v>
      </c>
      <c r="H1157" t="s">
        <v>4002</v>
      </c>
      <c r="J1157" s="9" t="s">
        <v>4852</v>
      </c>
      <c r="K1157" t="s">
        <v>5190</v>
      </c>
      <c r="L1157" s="2">
        <v>1</v>
      </c>
      <c r="M1157" s="24" t="s">
        <v>5971</v>
      </c>
      <c r="N1157" s="2" t="s">
        <v>23</v>
      </c>
      <c r="O1157" s="18" t="s">
        <v>953</v>
      </c>
      <c r="P1157" s="18" t="s">
        <v>0</v>
      </c>
      <c r="Q1157" s="6" t="s">
        <v>4475</v>
      </c>
      <c r="T1157" s="23">
        <v>46149</v>
      </c>
      <c r="U1157" s="23">
        <v>46241</v>
      </c>
      <c r="X1157" s="20">
        <v>1500</v>
      </c>
      <c r="Z1157" s="6" t="s">
        <v>5978</v>
      </c>
      <c r="AA1157" s="14">
        <f t="shared" si="141"/>
        <v>5.9999999999999995E-4</v>
      </c>
      <c r="AB1157">
        <v>0.89999999999999991</v>
      </c>
      <c r="AC1157">
        <v>0.93599999999999994</v>
      </c>
    </row>
    <row r="1158" spans="1:29" x14ac:dyDescent="0.3">
      <c r="A1158">
        <v>151334</v>
      </c>
      <c r="B1158" s="25" t="s">
        <v>5984</v>
      </c>
      <c r="C1158" t="s">
        <v>20</v>
      </c>
      <c r="D1158" t="s">
        <v>21</v>
      </c>
      <c r="E1158">
        <v>2222222</v>
      </c>
      <c r="F1158" s="8" t="s">
        <v>22</v>
      </c>
      <c r="G1158" s="2">
        <v>98</v>
      </c>
      <c r="H1158" t="s">
        <v>4002</v>
      </c>
      <c r="J1158" s="9" t="s">
        <v>4852</v>
      </c>
      <c r="K1158" t="s">
        <v>5135</v>
      </c>
      <c r="L1158" s="2">
        <v>1</v>
      </c>
      <c r="M1158" s="24" t="s">
        <v>5971</v>
      </c>
      <c r="N1158" s="2" t="s">
        <v>23</v>
      </c>
      <c r="O1158" s="18" t="s">
        <v>954</v>
      </c>
      <c r="P1158" s="18" t="s">
        <v>0</v>
      </c>
      <c r="Q1158" s="6" t="s">
        <v>4475</v>
      </c>
      <c r="T1158" s="23">
        <v>46156</v>
      </c>
      <c r="U1158" s="23">
        <v>46246</v>
      </c>
      <c r="X1158" s="20">
        <v>4400</v>
      </c>
      <c r="Z1158" s="6" t="s">
        <v>5978</v>
      </c>
      <c r="AA1158" s="14">
        <f t="shared" si="141"/>
        <v>5.9999999999999995E-4</v>
      </c>
      <c r="AB1158">
        <v>2.6399999999999997</v>
      </c>
      <c r="AC1158">
        <v>2.7455999999999996</v>
      </c>
    </row>
    <row r="1159" spans="1:29" x14ac:dyDescent="0.3">
      <c r="A1159">
        <v>151745</v>
      </c>
      <c r="B1159" s="25" t="s">
        <v>5984</v>
      </c>
      <c r="C1159" t="s">
        <v>20</v>
      </c>
      <c r="D1159" t="s">
        <v>21</v>
      </c>
      <c r="E1159">
        <v>2222222</v>
      </c>
      <c r="F1159" s="8" t="s">
        <v>22</v>
      </c>
      <c r="G1159" s="2">
        <v>98</v>
      </c>
      <c r="H1159" t="s">
        <v>4002</v>
      </c>
      <c r="J1159" s="9" t="s">
        <v>4901</v>
      </c>
      <c r="K1159" t="s">
        <v>5395</v>
      </c>
      <c r="L1159" s="2">
        <v>1</v>
      </c>
      <c r="M1159" s="24" t="s">
        <v>5971</v>
      </c>
      <c r="N1159" s="2" t="s">
        <v>23</v>
      </c>
      <c r="O1159" s="18" t="s">
        <v>948</v>
      </c>
      <c r="P1159" s="18" t="s">
        <v>0</v>
      </c>
      <c r="Q1159" s="6" t="s">
        <v>4475</v>
      </c>
      <c r="T1159" s="23">
        <v>46184</v>
      </c>
      <c r="U1159" s="23">
        <v>46915</v>
      </c>
      <c r="X1159" s="20">
        <v>2000</v>
      </c>
      <c r="Z1159" s="6" t="s">
        <v>5978</v>
      </c>
      <c r="AA1159" s="14">
        <f t="shared" si="141"/>
        <v>5.9999999999999995E-4</v>
      </c>
      <c r="AB1159">
        <v>1.157532</v>
      </c>
      <c r="AC1159">
        <v>1.20383328</v>
      </c>
    </row>
    <row r="1160" spans="1:29" x14ac:dyDescent="0.3">
      <c r="A1160">
        <v>152122</v>
      </c>
      <c r="B1160" s="25" t="s">
        <v>5984</v>
      </c>
      <c r="C1160" t="s">
        <v>20</v>
      </c>
      <c r="D1160" t="s">
        <v>21</v>
      </c>
      <c r="E1160">
        <v>2222222</v>
      </c>
      <c r="F1160" s="8" t="s">
        <v>22</v>
      </c>
      <c r="G1160" s="2">
        <v>98</v>
      </c>
      <c r="H1160" t="s">
        <v>4002</v>
      </c>
      <c r="J1160" s="9" t="s">
        <v>5398</v>
      </c>
      <c r="K1160" t="s">
        <v>5313</v>
      </c>
      <c r="L1160" s="2">
        <v>1</v>
      </c>
      <c r="M1160" s="24" t="s">
        <v>5971</v>
      </c>
      <c r="N1160" s="2" t="s">
        <v>23</v>
      </c>
      <c r="O1160" s="18" t="s">
        <v>955</v>
      </c>
      <c r="P1160" s="18" t="s">
        <v>3781</v>
      </c>
      <c r="Q1160" s="6" t="s">
        <v>4475</v>
      </c>
      <c r="T1160" s="23">
        <v>46212</v>
      </c>
      <c r="U1160" s="23">
        <v>46243</v>
      </c>
      <c r="X1160" s="20">
        <v>1000</v>
      </c>
      <c r="Z1160" s="6" t="s">
        <v>5978</v>
      </c>
      <c r="AA1160" s="14">
        <f t="shared" si="141"/>
        <v>5.9999999999999995E-4</v>
      </c>
      <c r="AB1160">
        <v>0.6</v>
      </c>
      <c r="AC1160">
        <v>0.624</v>
      </c>
    </row>
    <row r="1161" spans="1:29" x14ac:dyDescent="0.3">
      <c r="A1161">
        <v>145659</v>
      </c>
      <c r="B1161" s="25" t="s">
        <v>5984</v>
      </c>
      <c r="C1161" t="s">
        <v>20</v>
      </c>
      <c r="D1161" t="s">
        <v>21</v>
      </c>
      <c r="E1161">
        <v>2222222</v>
      </c>
      <c r="F1161" s="8" t="s">
        <v>22</v>
      </c>
      <c r="G1161" s="2">
        <v>98</v>
      </c>
      <c r="H1161" t="s">
        <v>4003</v>
      </c>
      <c r="J1161" s="9" t="s">
        <v>5399</v>
      </c>
      <c r="K1161" t="s">
        <v>5282</v>
      </c>
      <c r="L1161" s="2">
        <v>1</v>
      </c>
      <c r="M1161" s="24" t="s">
        <v>5971</v>
      </c>
      <c r="N1161" s="2" t="s">
        <v>23</v>
      </c>
      <c r="O1161" s="18" t="s">
        <v>956</v>
      </c>
      <c r="P1161" s="18" t="s">
        <v>0</v>
      </c>
      <c r="Q1161" s="6" t="s">
        <v>4475</v>
      </c>
      <c r="T1161" s="23">
        <v>45755</v>
      </c>
      <c r="U1161" s="23">
        <v>46546</v>
      </c>
      <c r="X1161" s="20">
        <v>5000</v>
      </c>
      <c r="Z1161" s="6" t="s">
        <v>5978</v>
      </c>
      <c r="AA1161" s="14">
        <f t="shared" si="141"/>
        <v>5.9999999999999995E-4</v>
      </c>
      <c r="AB1161">
        <v>1.414086</v>
      </c>
      <c r="AC1161">
        <v>1.4706494400000001</v>
      </c>
    </row>
    <row r="1162" spans="1:29" x14ac:dyDescent="0.3">
      <c r="A1162">
        <v>147882</v>
      </c>
      <c r="B1162" s="25" t="s">
        <v>5984</v>
      </c>
      <c r="C1162" t="s">
        <v>20</v>
      </c>
      <c r="D1162" t="s">
        <v>21</v>
      </c>
      <c r="E1162">
        <v>2222222</v>
      </c>
      <c r="F1162" s="8" t="s">
        <v>22</v>
      </c>
      <c r="G1162" s="2">
        <v>98</v>
      </c>
      <c r="H1162" t="s">
        <v>4003</v>
      </c>
      <c r="J1162" s="9" t="s">
        <v>5234</v>
      </c>
      <c r="K1162" t="s">
        <v>5160</v>
      </c>
      <c r="L1162" s="2">
        <v>1</v>
      </c>
      <c r="M1162" s="24" t="s">
        <v>5971</v>
      </c>
      <c r="N1162" s="2" t="s">
        <v>23</v>
      </c>
      <c r="O1162" s="18" t="s">
        <v>957</v>
      </c>
      <c r="P1162" s="18" t="s">
        <v>0</v>
      </c>
      <c r="Q1162" s="6" t="s">
        <v>4475</v>
      </c>
      <c r="T1162" s="23">
        <v>45919</v>
      </c>
      <c r="U1162" s="23">
        <v>47384</v>
      </c>
      <c r="X1162" s="20">
        <v>5000</v>
      </c>
      <c r="Z1162" s="6" t="s">
        <v>5978</v>
      </c>
      <c r="AA1162" s="14">
        <f t="shared" si="141"/>
        <v>5.9999999999999995E-4</v>
      </c>
      <c r="AB1162">
        <v>2.5388099999999998</v>
      </c>
      <c r="AC1162">
        <v>2.6403623999999999</v>
      </c>
    </row>
    <row r="1163" spans="1:29" x14ac:dyDescent="0.3">
      <c r="A1163">
        <v>125768</v>
      </c>
      <c r="B1163" s="25" t="s">
        <v>5984</v>
      </c>
      <c r="C1163" t="s">
        <v>20</v>
      </c>
      <c r="D1163" t="s">
        <v>21</v>
      </c>
      <c r="E1163">
        <v>2222222</v>
      </c>
      <c r="F1163" s="8" t="s">
        <v>22</v>
      </c>
      <c r="G1163" s="2">
        <v>98</v>
      </c>
      <c r="H1163" t="s">
        <v>4004</v>
      </c>
      <c r="J1163" s="9" t="s">
        <v>5165</v>
      </c>
      <c r="K1163" t="s">
        <v>4924</v>
      </c>
      <c r="L1163" s="2">
        <v>1</v>
      </c>
      <c r="M1163" s="24" t="s">
        <v>5971</v>
      </c>
      <c r="N1163" s="2" t="s">
        <v>23</v>
      </c>
      <c r="O1163" s="18" t="s">
        <v>958</v>
      </c>
      <c r="P1163" s="18" t="s">
        <v>0</v>
      </c>
      <c r="Q1163" s="6" t="s">
        <v>4475</v>
      </c>
      <c r="T1163" s="23">
        <v>44586</v>
      </c>
      <c r="U1163" s="23">
        <v>45681</v>
      </c>
      <c r="X1163" s="20">
        <v>4000</v>
      </c>
      <c r="Z1163" s="6" t="s">
        <v>5978</v>
      </c>
      <c r="AA1163" s="15">
        <f>+(0.42/1000)</f>
        <v>4.1999999999999996E-4</v>
      </c>
      <c r="AB1163">
        <v>0.3017532</v>
      </c>
      <c r="AC1163">
        <v>0.31382332800000001</v>
      </c>
    </row>
    <row r="1164" spans="1:29" x14ac:dyDescent="0.3">
      <c r="A1164">
        <v>145600</v>
      </c>
      <c r="B1164" s="25" t="s">
        <v>5984</v>
      </c>
      <c r="C1164" t="s">
        <v>20</v>
      </c>
      <c r="D1164" t="s">
        <v>21</v>
      </c>
      <c r="E1164">
        <v>2222222</v>
      </c>
      <c r="F1164" s="8" t="s">
        <v>22</v>
      </c>
      <c r="G1164" s="2">
        <v>98</v>
      </c>
      <c r="H1164" t="s">
        <v>4004</v>
      </c>
      <c r="J1164" s="9" t="s">
        <v>4898</v>
      </c>
      <c r="K1164" t="s">
        <v>4926</v>
      </c>
      <c r="L1164" s="2">
        <v>1</v>
      </c>
      <c r="M1164" s="24" t="s">
        <v>5971</v>
      </c>
      <c r="N1164" s="2" t="s">
        <v>23</v>
      </c>
      <c r="O1164" s="18" t="s">
        <v>959</v>
      </c>
      <c r="P1164" s="18" t="s">
        <v>3781</v>
      </c>
      <c r="Q1164" s="6" t="s">
        <v>4475</v>
      </c>
      <c r="T1164" s="23">
        <v>45757</v>
      </c>
      <c r="U1164" s="23">
        <v>48314</v>
      </c>
      <c r="X1164" s="20">
        <v>30000</v>
      </c>
      <c r="Z1164" s="6" t="s">
        <v>5978</v>
      </c>
      <c r="AA1164" s="14">
        <f t="shared" ref="AA1164:AA1166" si="142">+(0.6/1000)</f>
        <v>5.9999999999999995E-4</v>
      </c>
      <c r="AB1164">
        <v>15.756869999999999</v>
      </c>
      <c r="AC1164">
        <v>16.387144800000002</v>
      </c>
    </row>
    <row r="1165" spans="1:29" x14ac:dyDescent="0.3">
      <c r="A1165">
        <v>147640</v>
      </c>
      <c r="B1165" s="25" t="s">
        <v>5984</v>
      </c>
      <c r="C1165" t="s">
        <v>20</v>
      </c>
      <c r="D1165" t="s">
        <v>21</v>
      </c>
      <c r="E1165">
        <v>2222222</v>
      </c>
      <c r="F1165" s="8" t="s">
        <v>22</v>
      </c>
      <c r="G1165" s="2">
        <v>98</v>
      </c>
      <c r="H1165" t="s">
        <v>4004</v>
      </c>
      <c r="J1165" s="9" t="s">
        <v>5226</v>
      </c>
      <c r="K1165" t="s">
        <v>5039</v>
      </c>
      <c r="L1165" s="2">
        <v>1</v>
      </c>
      <c r="M1165" s="24" t="s">
        <v>5971</v>
      </c>
      <c r="N1165" s="2" t="s">
        <v>23</v>
      </c>
      <c r="O1165" s="18" t="s">
        <v>328</v>
      </c>
      <c r="P1165" s="18" t="s">
        <v>3781</v>
      </c>
      <c r="Q1165" s="6" t="s">
        <v>4475</v>
      </c>
      <c r="T1165" s="23">
        <v>45911</v>
      </c>
      <c r="U1165" s="23">
        <v>51390</v>
      </c>
      <c r="X1165" s="20">
        <v>29500</v>
      </c>
      <c r="Z1165" s="6" t="s">
        <v>5978</v>
      </c>
      <c r="AA1165" s="14">
        <f t="shared" si="142"/>
        <v>5.9999999999999995E-4</v>
      </c>
      <c r="AB1165">
        <v>17.327891999999999</v>
      </c>
      <c r="AC1165">
        <v>18.02100768</v>
      </c>
    </row>
    <row r="1166" spans="1:29" x14ac:dyDescent="0.3">
      <c r="A1166">
        <v>151883</v>
      </c>
      <c r="B1166" s="25" t="s">
        <v>5984</v>
      </c>
      <c r="C1166" t="s">
        <v>20</v>
      </c>
      <c r="D1166" t="s">
        <v>21</v>
      </c>
      <c r="E1166">
        <v>2222222</v>
      </c>
      <c r="F1166" s="8" t="s">
        <v>22</v>
      </c>
      <c r="G1166" s="2">
        <v>98</v>
      </c>
      <c r="H1166" t="s">
        <v>4005</v>
      </c>
      <c r="J1166" s="9" t="s">
        <v>4871</v>
      </c>
      <c r="K1166" t="s">
        <v>4878</v>
      </c>
      <c r="L1166" s="2">
        <v>1</v>
      </c>
      <c r="M1166" s="24" t="s">
        <v>5971</v>
      </c>
      <c r="N1166" s="2" t="s">
        <v>23</v>
      </c>
      <c r="O1166" s="18" t="s">
        <v>960</v>
      </c>
      <c r="P1166" s="18" t="s">
        <v>0</v>
      </c>
      <c r="Q1166" s="6" t="s">
        <v>4475</v>
      </c>
      <c r="T1166" s="23">
        <v>46195</v>
      </c>
      <c r="U1166" s="23">
        <v>47656</v>
      </c>
      <c r="X1166" s="20">
        <v>5000</v>
      </c>
      <c r="Z1166" s="6" t="s">
        <v>5978</v>
      </c>
      <c r="AA1166" s="14">
        <f t="shared" si="142"/>
        <v>5.9999999999999995E-4</v>
      </c>
      <c r="AB1166">
        <v>2.9564819999999998</v>
      </c>
      <c r="AC1166">
        <v>3.07474128</v>
      </c>
    </row>
    <row r="1167" spans="1:29" x14ac:dyDescent="0.3">
      <c r="A1167">
        <v>113129</v>
      </c>
      <c r="B1167" s="25" t="s">
        <v>5984</v>
      </c>
      <c r="C1167" t="s">
        <v>20</v>
      </c>
      <c r="D1167" t="s">
        <v>21</v>
      </c>
      <c r="E1167">
        <v>2222222</v>
      </c>
      <c r="F1167" s="8" t="s">
        <v>22</v>
      </c>
      <c r="G1167" s="2">
        <v>98</v>
      </c>
      <c r="H1167" t="s">
        <v>4006</v>
      </c>
      <c r="J1167" s="9" t="s">
        <v>4949</v>
      </c>
      <c r="K1167" t="s">
        <v>5130</v>
      </c>
      <c r="L1167" s="2">
        <v>1</v>
      </c>
      <c r="M1167" s="24" t="s">
        <v>5971</v>
      </c>
      <c r="N1167" s="2" t="s">
        <v>23</v>
      </c>
      <c r="O1167" s="18" t="s">
        <v>961</v>
      </c>
      <c r="P1167" s="18" t="s">
        <v>0</v>
      </c>
      <c r="Q1167" s="6" t="s">
        <v>4475</v>
      </c>
      <c r="T1167" s="23">
        <v>43999</v>
      </c>
      <c r="U1167" s="23">
        <v>46650</v>
      </c>
      <c r="X1167" s="20">
        <v>12725</v>
      </c>
      <c r="Z1167" s="6" t="s">
        <v>5978</v>
      </c>
      <c r="AA1167" s="15">
        <f>+(0.42/1000)</f>
        <v>4.1999999999999996E-4</v>
      </c>
      <c r="AB1167">
        <v>1.3266035999999999</v>
      </c>
      <c r="AC1167">
        <v>1.379667744</v>
      </c>
    </row>
    <row r="1168" spans="1:29" x14ac:dyDescent="0.3">
      <c r="A1168">
        <v>140228</v>
      </c>
      <c r="B1168" s="25" t="s">
        <v>5984</v>
      </c>
      <c r="C1168" t="s">
        <v>20</v>
      </c>
      <c r="D1168" t="s">
        <v>21</v>
      </c>
      <c r="E1168">
        <v>2222222</v>
      </c>
      <c r="F1168" s="8" t="s">
        <v>22</v>
      </c>
      <c r="G1168" s="2">
        <v>98</v>
      </c>
      <c r="H1168" t="s">
        <v>4006</v>
      </c>
      <c r="J1168" s="9" t="s">
        <v>4949</v>
      </c>
      <c r="K1168" t="s">
        <v>5130</v>
      </c>
      <c r="L1168" s="2">
        <v>1</v>
      </c>
      <c r="M1168" s="24" t="s">
        <v>5971</v>
      </c>
      <c r="N1168" s="2" t="s">
        <v>23</v>
      </c>
      <c r="O1168" s="18" t="s">
        <v>961</v>
      </c>
      <c r="P1168" s="18" t="s">
        <v>0</v>
      </c>
      <c r="Q1168" s="6" t="s">
        <v>4475</v>
      </c>
      <c r="T1168" s="23">
        <v>45377</v>
      </c>
      <c r="U1168" s="23">
        <v>46563</v>
      </c>
      <c r="X1168" s="20">
        <v>4000</v>
      </c>
      <c r="Z1168" s="6" t="s">
        <v>5978</v>
      </c>
      <c r="AA1168" s="13">
        <f>+(0.56/1000)</f>
        <v>5.6000000000000006E-4</v>
      </c>
      <c r="AB1168">
        <v>0.81728640000000008</v>
      </c>
      <c r="AC1168">
        <v>0.84997785600000009</v>
      </c>
    </row>
    <row r="1169" spans="1:29" x14ac:dyDescent="0.3">
      <c r="A1169">
        <v>146674</v>
      </c>
      <c r="B1169" s="25" t="s">
        <v>5984</v>
      </c>
      <c r="C1169" t="s">
        <v>20</v>
      </c>
      <c r="D1169" t="s">
        <v>21</v>
      </c>
      <c r="E1169">
        <v>2222222</v>
      </c>
      <c r="F1169" s="8" t="s">
        <v>22</v>
      </c>
      <c r="G1169" s="2">
        <v>98</v>
      </c>
      <c r="H1169" t="s">
        <v>4006</v>
      </c>
      <c r="J1169" s="9" t="s">
        <v>5011</v>
      </c>
      <c r="K1169" t="s">
        <v>5400</v>
      </c>
      <c r="L1169" s="2">
        <v>1</v>
      </c>
      <c r="M1169" s="24" t="s">
        <v>5971</v>
      </c>
      <c r="N1169" s="2" t="s">
        <v>23</v>
      </c>
      <c r="O1169" s="18" t="s">
        <v>962</v>
      </c>
      <c r="P1169" s="18" t="s">
        <v>3781</v>
      </c>
      <c r="Q1169" s="6" t="s">
        <v>4475</v>
      </c>
      <c r="T1169" s="23">
        <v>45834</v>
      </c>
      <c r="U1169" s="23">
        <v>47295</v>
      </c>
      <c r="X1169" s="20">
        <v>4000</v>
      </c>
      <c r="Z1169" s="6" t="s">
        <v>5978</v>
      </c>
      <c r="AA1169" s="14">
        <f t="shared" ref="AA1169:AA1170" si="143">+(0.6/1000)</f>
        <v>5.9999999999999995E-4</v>
      </c>
      <c r="AB1169">
        <v>1.9106099999999997</v>
      </c>
      <c r="AC1169">
        <v>1.9870343999999998</v>
      </c>
    </row>
    <row r="1170" spans="1:29" x14ac:dyDescent="0.3">
      <c r="A1170">
        <v>145770</v>
      </c>
      <c r="B1170" s="25" t="s">
        <v>5984</v>
      </c>
      <c r="C1170" t="s">
        <v>20</v>
      </c>
      <c r="D1170" t="s">
        <v>21</v>
      </c>
      <c r="E1170">
        <v>2222222</v>
      </c>
      <c r="F1170" s="8" t="s">
        <v>22</v>
      </c>
      <c r="G1170" s="2">
        <v>98</v>
      </c>
      <c r="H1170" t="s">
        <v>4007</v>
      </c>
      <c r="J1170" s="9" t="s">
        <v>4839</v>
      </c>
      <c r="K1170" t="s">
        <v>5035</v>
      </c>
      <c r="L1170" s="2">
        <v>1</v>
      </c>
      <c r="M1170" s="24" t="s">
        <v>5971</v>
      </c>
      <c r="N1170" s="2" t="s">
        <v>23</v>
      </c>
      <c r="O1170" s="18" t="s">
        <v>963</v>
      </c>
      <c r="P1170" s="18" t="s">
        <v>0</v>
      </c>
      <c r="Q1170" s="6" t="s">
        <v>4475</v>
      </c>
      <c r="T1170" s="23">
        <v>45763</v>
      </c>
      <c r="U1170" s="23">
        <v>47224</v>
      </c>
      <c r="X1170" s="20">
        <v>5000</v>
      </c>
      <c r="Z1170" s="6" t="s">
        <v>5978</v>
      </c>
      <c r="AA1170" s="14">
        <f t="shared" si="143"/>
        <v>5.9999999999999995E-4</v>
      </c>
      <c r="AB1170">
        <v>2.2833479999999997</v>
      </c>
      <c r="AC1170">
        <v>2.37468192</v>
      </c>
    </row>
    <row r="1171" spans="1:29" x14ac:dyDescent="0.3">
      <c r="A1171">
        <v>90481</v>
      </c>
      <c r="B1171" s="25" t="s">
        <v>5984</v>
      </c>
      <c r="C1171" t="s">
        <v>20</v>
      </c>
      <c r="D1171" t="s">
        <v>21</v>
      </c>
      <c r="E1171">
        <v>2222222</v>
      </c>
      <c r="F1171" s="8" t="s">
        <v>22</v>
      </c>
      <c r="G1171" s="2">
        <v>98</v>
      </c>
      <c r="H1171" t="s">
        <v>4008</v>
      </c>
      <c r="J1171" s="9" t="s">
        <v>5351</v>
      </c>
      <c r="K1171" t="s">
        <v>5189</v>
      </c>
      <c r="L1171" s="2">
        <v>1</v>
      </c>
      <c r="M1171" s="24" t="s">
        <v>5971</v>
      </c>
      <c r="N1171" s="2" t="s">
        <v>23</v>
      </c>
      <c r="O1171" s="18" t="s">
        <v>964</v>
      </c>
      <c r="P1171" s="18" t="s">
        <v>0</v>
      </c>
      <c r="Q1171" s="6" t="s">
        <v>4475</v>
      </c>
      <c r="T1171" s="23">
        <v>43186</v>
      </c>
      <c r="U1171" s="23">
        <v>45383</v>
      </c>
      <c r="X1171" s="20">
        <v>10000</v>
      </c>
      <c r="Z1171" s="6" t="s">
        <v>5978</v>
      </c>
      <c r="AA1171" s="15">
        <f t="shared" ref="AA1171:AA1172" si="144">+(0.42/1000)</f>
        <v>4.1999999999999996E-4</v>
      </c>
      <c r="AB1171">
        <v>3.8452218</v>
      </c>
      <c r="AC1171">
        <v>3.999030672</v>
      </c>
    </row>
    <row r="1172" spans="1:29" x14ac:dyDescent="0.3">
      <c r="A1172">
        <v>100024</v>
      </c>
      <c r="B1172" s="25" t="s">
        <v>5984</v>
      </c>
      <c r="C1172" t="s">
        <v>20</v>
      </c>
      <c r="D1172" t="s">
        <v>21</v>
      </c>
      <c r="E1172">
        <v>2222222</v>
      </c>
      <c r="F1172" s="8" t="s">
        <v>22</v>
      </c>
      <c r="G1172" s="2">
        <v>98</v>
      </c>
      <c r="H1172" t="s">
        <v>4008</v>
      </c>
      <c r="J1172" s="9" t="s">
        <v>5351</v>
      </c>
      <c r="K1172" t="s">
        <v>5189</v>
      </c>
      <c r="L1172" s="2">
        <v>1</v>
      </c>
      <c r="M1172" s="24" t="s">
        <v>5971</v>
      </c>
      <c r="N1172" s="2" t="s">
        <v>23</v>
      </c>
      <c r="O1172" s="18" t="s">
        <v>964</v>
      </c>
      <c r="P1172" s="18" t="s">
        <v>0</v>
      </c>
      <c r="Q1172" s="6" t="s">
        <v>4475</v>
      </c>
      <c r="T1172" s="23">
        <v>43432</v>
      </c>
      <c r="U1172" s="23">
        <v>43983</v>
      </c>
      <c r="X1172" s="20">
        <v>716</v>
      </c>
      <c r="Z1172" s="6" t="s">
        <v>5978</v>
      </c>
      <c r="AA1172" s="15">
        <f t="shared" si="144"/>
        <v>4.1999999999999996E-4</v>
      </c>
      <c r="AB1172">
        <v>0.30071999999999999</v>
      </c>
      <c r="AC1172">
        <v>0.31274879999999999</v>
      </c>
    </row>
    <row r="1173" spans="1:29" x14ac:dyDescent="0.3">
      <c r="A1173">
        <v>143589</v>
      </c>
      <c r="B1173" s="25" t="s">
        <v>5984</v>
      </c>
      <c r="C1173" t="s">
        <v>20</v>
      </c>
      <c r="D1173" t="s">
        <v>21</v>
      </c>
      <c r="E1173">
        <v>2222222</v>
      </c>
      <c r="F1173" s="8" t="s">
        <v>22</v>
      </c>
      <c r="G1173" s="2">
        <v>98</v>
      </c>
      <c r="H1173" t="s">
        <v>4008</v>
      </c>
      <c r="J1173" s="9" t="s">
        <v>4864</v>
      </c>
      <c r="K1173" t="s">
        <v>4949</v>
      </c>
      <c r="L1173" s="2">
        <v>1</v>
      </c>
      <c r="M1173" s="24" t="s">
        <v>5971</v>
      </c>
      <c r="N1173" s="2" t="s">
        <v>23</v>
      </c>
      <c r="O1173" s="18" t="s">
        <v>965</v>
      </c>
      <c r="P1173" s="18" t="s">
        <v>0</v>
      </c>
      <c r="Q1173" s="6" t="s">
        <v>4475</v>
      </c>
      <c r="T1173" s="23">
        <v>45603</v>
      </c>
      <c r="U1173" s="23">
        <v>47064</v>
      </c>
      <c r="X1173" s="20">
        <v>5000</v>
      </c>
      <c r="Z1173" s="6" t="s">
        <v>5978</v>
      </c>
      <c r="AA1173" s="14">
        <f t="shared" ref="AA1173:AA1175" si="145">+(0.6/1000)</f>
        <v>5.9999999999999995E-4</v>
      </c>
      <c r="AB1173">
        <v>2.0174699999999999</v>
      </c>
      <c r="AC1173">
        <v>2.0981687999999998</v>
      </c>
    </row>
    <row r="1174" spans="1:29" x14ac:dyDescent="0.3">
      <c r="A1174">
        <v>150149</v>
      </c>
      <c r="B1174" s="25" t="s">
        <v>5984</v>
      </c>
      <c r="C1174" t="s">
        <v>20</v>
      </c>
      <c r="D1174" t="s">
        <v>21</v>
      </c>
      <c r="E1174">
        <v>2222222</v>
      </c>
      <c r="F1174" s="8" t="s">
        <v>22</v>
      </c>
      <c r="G1174" s="2">
        <v>98</v>
      </c>
      <c r="H1174" t="s">
        <v>4008</v>
      </c>
      <c r="J1174" s="9" t="s">
        <v>5316</v>
      </c>
      <c r="K1174" t="s">
        <v>5126</v>
      </c>
      <c r="L1174" s="2">
        <v>1</v>
      </c>
      <c r="M1174" s="24" t="s">
        <v>5971</v>
      </c>
      <c r="N1174" s="2" t="s">
        <v>23</v>
      </c>
      <c r="O1174" s="18" t="s">
        <v>966</v>
      </c>
      <c r="P1174" s="18" t="s">
        <v>0</v>
      </c>
      <c r="Q1174" s="6" t="s">
        <v>4475</v>
      </c>
      <c r="T1174" s="23">
        <v>46076</v>
      </c>
      <c r="U1174" s="23">
        <v>46808</v>
      </c>
      <c r="X1174" s="20">
        <v>3000</v>
      </c>
      <c r="Z1174" s="6" t="s">
        <v>5978</v>
      </c>
      <c r="AA1174" s="14">
        <f t="shared" si="145"/>
        <v>5.9999999999999995E-4</v>
      </c>
      <c r="AB1174">
        <v>1.4739599999999997</v>
      </c>
      <c r="AC1174">
        <v>1.5329183999999998</v>
      </c>
    </row>
    <row r="1175" spans="1:29" x14ac:dyDescent="0.3">
      <c r="A1175">
        <v>150696</v>
      </c>
      <c r="B1175" s="25" t="s">
        <v>5984</v>
      </c>
      <c r="C1175" t="s">
        <v>20</v>
      </c>
      <c r="D1175" t="s">
        <v>21</v>
      </c>
      <c r="E1175">
        <v>2222222</v>
      </c>
      <c r="F1175" s="8" t="s">
        <v>22</v>
      </c>
      <c r="G1175" s="2">
        <v>98</v>
      </c>
      <c r="H1175" t="s">
        <v>4008</v>
      </c>
      <c r="J1175" s="9" t="s">
        <v>5124</v>
      </c>
      <c r="K1175" t="s">
        <v>4940</v>
      </c>
      <c r="L1175" s="2">
        <v>1</v>
      </c>
      <c r="M1175" s="24" t="s">
        <v>5971</v>
      </c>
      <c r="N1175" s="2" t="s">
        <v>23</v>
      </c>
      <c r="O1175" s="18" t="s">
        <v>967</v>
      </c>
      <c r="P1175" s="18" t="s">
        <v>0</v>
      </c>
      <c r="Q1175" s="6" t="s">
        <v>4475</v>
      </c>
      <c r="T1175" s="23">
        <v>46111</v>
      </c>
      <c r="U1175" s="23">
        <v>47206</v>
      </c>
      <c r="X1175" s="20">
        <v>4000</v>
      </c>
      <c r="Z1175" s="6" t="s">
        <v>5978</v>
      </c>
      <c r="AA1175" s="14">
        <f t="shared" si="145"/>
        <v>5.9999999999999995E-4</v>
      </c>
      <c r="AB1175">
        <v>2.243328</v>
      </c>
      <c r="AC1175">
        <v>2.33306112</v>
      </c>
    </row>
    <row r="1176" spans="1:29" x14ac:dyDescent="0.3">
      <c r="A1176">
        <v>137696</v>
      </c>
      <c r="B1176" s="25" t="s">
        <v>5984</v>
      </c>
      <c r="C1176" t="s">
        <v>20</v>
      </c>
      <c r="D1176" t="s">
        <v>21</v>
      </c>
      <c r="E1176">
        <v>2222222</v>
      </c>
      <c r="F1176" s="8" t="s">
        <v>22</v>
      </c>
      <c r="G1176" s="2">
        <v>98</v>
      </c>
      <c r="H1176" t="s">
        <v>4009</v>
      </c>
      <c r="J1176" s="9" t="s">
        <v>5030</v>
      </c>
      <c r="K1176" t="s">
        <v>5401</v>
      </c>
      <c r="L1176" s="2">
        <v>1</v>
      </c>
      <c r="M1176" s="24" t="s">
        <v>5971</v>
      </c>
      <c r="N1176" s="2" t="s">
        <v>23</v>
      </c>
      <c r="O1176" s="18" t="s">
        <v>968</v>
      </c>
      <c r="P1176" s="18" t="s">
        <v>3781</v>
      </c>
      <c r="Q1176" s="6" t="s">
        <v>4475</v>
      </c>
      <c r="T1176" s="23">
        <v>45240</v>
      </c>
      <c r="U1176" s="23">
        <v>47067</v>
      </c>
      <c r="X1176" s="20">
        <v>9800</v>
      </c>
      <c r="Z1176" s="6" t="s">
        <v>5978</v>
      </c>
      <c r="AA1176" s="13">
        <f>+(0.56/1000)</f>
        <v>5.6000000000000006E-4</v>
      </c>
      <c r="AB1176">
        <v>3.1088680000000006</v>
      </c>
      <c r="AC1176">
        <v>3.2332227200000005</v>
      </c>
    </row>
    <row r="1177" spans="1:29" x14ac:dyDescent="0.3">
      <c r="A1177">
        <v>147281</v>
      </c>
      <c r="B1177" s="25" t="s">
        <v>5984</v>
      </c>
      <c r="C1177" t="s">
        <v>20</v>
      </c>
      <c r="D1177" t="s">
        <v>21</v>
      </c>
      <c r="E1177">
        <v>2222222</v>
      </c>
      <c r="F1177" s="8" t="s">
        <v>22</v>
      </c>
      <c r="G1177" s="2">
        <v>98</v>
      </c>
      <c r="H1177" t="s">
        <v>4010</v>
      </c>
      <c r="J1177" s="9" t="s">
        <v>5006</v>
      </c>
      <c r="K1177" t="s">
        <v>4838</v>
      </c>
      <c r="L1177" s="2">
        <v>1</v>
      </c>
      <c r="M1177" s="24" t="s">
        <v>5971</v>
      </c>
      <c r="N1177" s="2" t="s">
        <v>23</v>
      </c>
      <c r="O1177" s="18" t="s">
        <v>969</v>
      </c>
      <c r="P1177" s="18" t="s">
        <v>0</v>
      </c>
      <c r="Q1177" s="6" t="s">
        <v>4475</v>
      </c>
      <c r="T1177" s="23">
        <v>45877</v>
      </c>
      <c r="U1177" s="23">
        <v>46790</v>
      </c>
      <c r="X1177" s="20">
        <v>3580</v>
      </c>
      <c r="Z1177" s="6" t="s">
        <v>5978</v>
      </c>
      <c r="AA1177" s="14">
        <f t="shared" ref="AA1177:AA1181" si="146">+(0.6/1000)</f>
        <v>5.9999999999999995E-4</v>
      </c>
      <c r="AB1177">
        <v>0.83762399999999992</v>
      </c>
      <c r="AC1177">
        <v>0.87112895999999995</v>
      </c>
    </row>
    <row r="1178" spans="1:29" x14ac:dyDescent="0.3">
      <c r="A1178">
        <v>151062</v>
      </c>
      <c r="B1178" s="25" t="s">
        <v>5984</v>
      </c>
      <c r="C1178" t="s">
        <v>20</v>
      </c>
      <c r="D1178" t="s">
        <v>21</v>
      </c>
      <c r="E1178">
        <v>2222222</v>
      </c>
      <c r="F1178" s="8" t="s">
        <v>22</v>
      </c>
      <c r="G1178" s="2">
        <v>98</v>
      </c>
      <c r="H1178" t="s">
        <v>4010</v>
      </c>
      <c r="J1178" s="9" t="s">
        <v>5006</v>
      </c>
      <c r="K1178" t="s">
        <v>4838</v>
      </c>
      <c r="L1178" s="2">
        <v>1</v>
      </c>
      <c r="M1178" s="24" t="s">
        <v>5971</v>
      </c>
      <c r="N1178" s="2" t="s">
        <v>23</v>
      </c>
      <c r="O1178" s="18" t="s">
        <v>969</v>
      </c>
      <c r="P1178" s="18" t="s">
        <v>0</v>
      </c>
      <c r="Q1178" s="6" t="s">
        <v>4475</v>
      </c>
      <c r="T1178" s="23">
        <v>46139</v>
      </c>
      <c r="U1178" s="23">
        <v>49061</v>
      </c>
      <c r="X1178" s="20">
        <v>30000</v>
      </c>
      <c r="Z1178" s="6" t="s">
        <v>5978</v>
      </c>
      <c r="AA1178" s="14">
        <f t="shared" si="146"/>
        <v>5.9999999999999995E-4</v>
      </c>
      <c r="AB1178">
        <v>17.689313999999996</v>
      </c>
      <c r="AC1178">
        <v>18.396886559999995</v>
      </c>
    </row>
    <row r="1179" spans="1:29" x14ac:dyDescent="0.3">
      <c r="A1179">
        <v>152045</v>
      </c>
      <c r="B1179" s="25" t="s">
        <v>5984</v>
      </c>
      <c r="C1179" t="s">
        <v>20</v>
      </c>
      <c r="D1179" t="s">
        <v>21</v>
      </c>
      <c r="E1179">
        <v>2222222</v>
      </c>
      <c r="F1179" s="8" t="s">
        <v>22</v>
      </c>
      <c r="G1179" s="2">
        <v>98</v>
      </c>
      <c r="H1179" t="s">
        <v>4010</v>
      </c>
      <c r="J1179" s="9" t="s">
        <v>4998</v>
      </c>
      <c r="K1179" t="s">
        <v>5206</v>
      </c>
      <c r="L1179" s="2">
        <v>1</v>
      </c>
      <c r="M1179" s="24" t="s">
        <v>5971</v>
      </c>
      <c r="N1179" s="2" t="s">
        <v>23</v>
      </c>
      <c r="O1179" s="18" t="s">
        <v>970</v>
      </c>
      <c r="P1179" s="18" t="s">
        <v>3781</v>
      </c>
      <c r="Q1179" s="6" t="s">
        <v>4475</v>
      </c>
      <c r="T1179" s="23">
        <v>46208</v>
      </c>
      <c r="U1179" s="23">
        <v>47668</v>
      </c>
      <c r="X1179" s="20">
        <v>9300</v>
      </c>
      <c r="Z1179" s="6" t="s">
        <v>5978</v>
      </c>
      <c r="AA1179" s="14">
        <f t="shared" si="146"/>
        <v>5.9999999999999995E-4</v>
      </c>
      <c r="AB1179">
        <v>5.5799999999999992</v>
      </c>
      <c r="AC1179">
        <v>5.8031999999999995</v>
      </c>
    </row>
    <row r="1180" spans="1:29" x14ac:dyDescent="0.3">
      <c r="A1180">
        <v>152048</v>
      </c>
      <c r="B1180" s="25" t="s">
        <v>5984</v>
      </c>
      <c r="C1180" t="s">
        <v>20</v>
      </c>
      <c r="D1180" t="s">
        <v>21</v>
      </c>
      <c r="E1180">
        <v>2222222</v>
      </c>
      <c r="F1180" s="8" t="s">
        <v>22</v>
      </c>
      <c r="G1180" s="2">
        <v>98</v>
      </c>
      <c r="H1180" t="s">
        <v>4010</v>
      </c>
      <c r="J1180" s="9" t="s">
        <v>5006</v>
      </c>
      <c r="K1180" t="s">
        <v>4838</v>
      </c>
      <c r="L1180" s="2">
        <v>1</v>
      </c>
      <c r="M1180" s="24" t="s">
        <v>5971</v>
      </c>
      <c r="N1180" s="2" t="s">
        <v>23</v>
      </c>
      <c r="O1180" s="18" t="s">
        <v>969</v>
      </c>
      <c r="P1180" s="18" t="s">
        <v>0</v>
      </c>
      <c r="Q1180" s="6" t="s">
        <v>4475</v>
      </c>
      <c r="T1180" s="23">
        <v>46219</v>
      </c>
      <c r="U1180" s="23">
        <v>46399</v>
      </c>
      <c r="X1180" s="20">
        <v>12000</v>
      </c>
      <c r="Z1180" s="6" t="s">
        <v>5978</v>
      </c>
      <c r="AA1180" s="14">
        <f t="shared" si="146"/>
        <v>5.9999999999999995E-4</v>
      </c>
      <c r="AB1180">
        <v>7.1999999999999993</v>
      </c>
      <c r="AC1180">
        <v>7.4879999999999995</v>
      </c>
    </row>
    <row r="1181" spans="1:29" x14ac:dyDescent="0.3">
      <c r="A1181">
        <v>152207</v>
      </c>
      <c r="B1181" s="25" t="s">
        <v>5984</v>
      </c>
      <c r="C1181" t="s">
        <v>20</v>
      </c>
      <c r="D1181" t="s">
        <v>21</v>
      </c>
      <c r="E1181">
        <v>2222222</v>
      </c>
      <c r="F1181" s="8" t="s">
        <v>22</v>
      </c>
      <c r="G1181" s="2">
        <v>98</v>
      </c>
      <c r="H1181" t="s">
        <v>4010</v>
      </c>
      <c r="J1181" s="9" t="s">
        <v>5006</v>
      </c>
      <c r="K1181" t="s">
        <v>4838</v>
      </c>
      <c r="L1181" s="2">
        <v>1</v>
      </c>
      <c r="M1181" s="24" t="s">
        <v>5971</v>
      </c>
      <c r="N1181" s="2" t="s">
        <v>23</v>
      </c>
      <c r="O1181" s="18" t="s">
        <v>969</v>
      </c>
      <c r="P1181" s="18" t="s">
        <v>0</v>
      </c>
      <c r="Q1181" s="6" t="s">
        <v>4475</v>
      </c>
      <c r="T1181" s="23">
        <v>46219</v>
      </c>
      <c r="U1181" s="23">
        <v>46309</v>
      </c>
      <c r="X1181" s="20">
        <v>5000</v>
      </c>
      <c r="Z1181" s="6" t="s">
        <v>5978</v>
      </c>
      <c r="AA1181" s="14">
        <f t="shared" si="146"/>
        <v>5.9999999999999995E-4</v>
      </c>
      <c r="AB1181">
        <v>2.9999999999999996</v>
      </c>
      <c r="AC1181">
        <v>3.1199999999999997</v>
      </c>
    </row>
    <row r="1182" spans="1:29" x14ac:dyDescent="0.3">
      <c r="A1182">
        <v>136830</v>
      </c>
      <c r="B1182" s="25" t="s">
        <v>5984</v>
      </c>
      <c r="C1182" t="s">
        <v>20</v>
      </c>
      <c r="D1182" t="s">
        <v>21</v>
      </c>
      <c r="E1182">
        <v>2222222</v>
      </c>
      <c r="F1182" s="8" t="s">
        <v>22</v>
      </c>
      <c r="G1182" s="2">
        <v>98</v>
      </c>
      <c r="H1182" t="s">
        <v>4011</v>
      </c>
      <c r="J1182" s="9" t="s">
        <v>4836</v>
      </c>
      <c r="K1182" t="s">
        <v>4516</v>
      </c>
      <c r="L1182" s="2">
        <v>1</v>
      </c>
      <c r="M1182" s="24" t="s">
        <v>5971</v>
      </c>
      <c r="N1182" s="2" t="s">
        <v>23</v>
      </c>
      <c r="O1182" s="18" t="s">
        <v>971</v>
      </c>
      <c r="P1182" s="18" t="s">
        <v>3781</v>
      </c>
      <c r="Q1182" s="6" t="s">
        <v>4475</v>
      </c>
      <c r="T1182" s="23">
        <v>45198</v>
      </c>
      <c r="U1182" s="23">
        <v>46750</v>
      </c>
      <c r="X1182" s="20">
        <v>5000</v>
      </c>
      <c r="Z1182" s="6" t="s">
        <v>5978</v>
      </c>
      <c r="AA1182" s="13">
        <f t="shared" ref="AA1182:AA1183" si="147">+(0.56/1000)</f>
        <v>5.6000000000000006E-4</v>
      </c>
      <c r="AB1182">
        <v>1.3692056000000004</v>
      </c>
      <c r="AC1182">
        <v>1.4239738240000004</v>
      </c>
    </row>
    <row r="1183" spans="1:29" x14ac:dyDescent="0.3">
      <c r="A1183">
        <v>138311</v>
      </c>
      <c r="B1183" s="25" t="s">
        <v>5984</v>
      </c>
      <c r="C1183" t="s">
        <v>20</v>
      </c>
      <c r="D1183" t="s">
        <v>21</v>
      </c>
      <c r="E1183">
        <v>2222222</v>
      </c>
      <c r="F1183" s="8" t="s">
        <v>22</v>
      </c>
      <c r="G1183" s="2">
        <v>98</v>
      </c>
      <c r="H1183" t="s">
        <v>4011</v>
      </c>
      <c r="J1183" s="9" t="s">
        <v>4956</v>
      </c>
      <c r="K1183" t="s">
        <v>4980</v>
      </c>
      <c r="L1183" s="2">
        <v>1</v>
      </c>
      <c r="M1183" s="24" t="s">
        <v>5971</v>
      </c>
      <c r="N1183" s="2" t="s">
        <v>23</v>
      </c>
      <c r="O1183" s="18" t="s">
        <v>972</v>
      </c>
      <c r="P1183" s="18" t="s">
        <v>3781</v>
      </c>
      <c r="Q1183" s="6" t="s">
        <v>4475</v>
      </c>
      <c r="T1183" s="23">
        <v>45281</v>
      </c>
      <c r="U1183" s="23">
        <v>47202</v>
      </c>
      <c r="X1183" s="20">
        <v>20000</v>
      </c>
      <c r="Z1183" s="6" t="s">
        <v>5978</v>
      </c>
      <c r="AA1183" s="13">
        <f t="shared" si="147"/>
        <v>5.6000000000000006E-4</v>
      </c>
      <c r="AB1183">
        <v>7.4234888000000003</v>
      </c>
      <c r="AC1183">
        <v>7.7204283520000008</v>
      </c>
    </row>
    <row r="1184" spans="1:29" x14ac:dyDescent="0.3">
      <c r="A1184">
        <v>151628</v>
      </c>
      <c r="B1184" s="25" t="s">
        <v>5984</v>
      </c>
      <c r="C1184" t="s">
        <v>20</v>
      </c>
      <c r="D1184" t="s">
        <v>21</v>
      </c>
      <c r="E1184">
        <v>2222222</v>
      </c>
      <c r="F1184" s="8" t="s">
        <v>22</v>
      </c>
      <c r="G1184" s="2">
        <v>98</v>
      </c>
      <c r="H1184" t="s">
        <v>4011</v>
      </c>
      <c r="J1184" s="9" t="s">
        <v>4956</v>
      </c>
      <c r="K1184" t="s">
        <v>4980</v>
      </c>
      <c r="L1184" s="2">
        <v>1</v>
      </c>
      <c r="M1184" s="24" t="s">
        <v>5971</v>
      </c>
      <c r="N1184" s="2" t="s">
        <v>23</v>
      </c>
      <c r="O1184" s="18" t="s">
        <v>972</v>
      </c>
      <c r="P1184" s="18" t="s">
        <v>3781</v>
      </c>
      <c r="Q1184" s="6" t="s">
        <v>4475</v>
      </c>
      <c r="T1184" s="23">
        <v>46176</v>
      </c>
      <c r="U1184" s="23">
        <v>46266</v>
      </c>
      <c r="X1184" s="20">
        <v>2050</v>
      </c>
      <c r="Z1184" s="6" t="s">
        <v>5978</v>
      </c>
      <c r="AA1184" s="14">
        <f t="shared" ref="AA1184:AA1188" si="148">+(0.6/1000)</f>
        <v>5.9999999999999995E-4</v>
      </c>
      <c r="AB1184">
        <v>1.23</v>
      </c>
      <c r="AC1184">
        <v>1.2792000000000001</v>
      </c>
    </row>
    <row r="1185" spans="1:29" x14ac:dyDescent="0.3">
      <c r="A1185">
        <v>149242</v>
      </c>
      <c r="B1185" s="25" t="s">
        <v>5984</v>
      </c>
      <c r="C1185" t="s">
        <v>20</v>
      </c>
      <c r="D1185" t="s">
        <v>21</v>
      </c>
      <c r="E1185">
        <v>2222222</v>
      </c>
      <c r="F1185" s="8" t="s">
        <v>22</v>
      </c>
      <c r="G1185" s="2">
        <v>98</v>
      </c>
      <c r="H1185" t="s">
        <v>4012</v>
      </c>
      <c r="J1185" s="9" t="s">
        <v>4836</v>
      </c>
      <c r="K1185" t="s">
        <v>4837</v>
      </c>
      <c r="L1185" s="2">
        <v>1</v>
      </c>
      <c r="M1185" s="24" t="s">
        <v>5971</v>
      </c>
      <c r="N1185" s="2" t="s">
        <v>23</v>
      </c>
      <c r="O1185" s="18" t="s">
        <v>973</v>
      </c>
      <c r="P1185" s="18" t="s">
        <v>3781</v>
      </c>
      <c r="Q1185" s="6" t="s">
        <v>4475</v>
      </c>
      <c r="T1185" s="23">
        <v>46007</v>
      </c>
      <c r="U1185" s="23">
        <v>46736</v>
      </c>
      <c r="X1185" s="20">
        <v>1500</v>
      </c>
      <c r="Z1185" s="6" t="s">
        <v>5978</v>
      </c>
      <c r="AA1185" s="14">
        <f t="shared" si="148"/>
        <v>5.9999999999999995E-4</v>
      </c>
      <c r="AB1185">
        <v>0.66770999999999991</v>
      </c>
      <c r="AC1185">
        <v>0.69441839999999988</v>
      </c>
    </row>
    <row r="1186" spans="1:29" x14ac:dyDescent="0.3">
      <c r="A1186">
        <v>141505</v>
      </c>
      <c r="B1186" s="25" t="s">
        <v>5984</v>
      </c>
      <c r="C1186" t="s">
        <v>20</v>
      </c>
      <c r="D1186" t="s">
        <v>21</v>
      </c>
      <c r="E1186">
        <v>2222222</v>
      </c>
      <c r="F1186" s="8" t="s">
        <v>22</v>
      </c>
      <c r="G1186" s="2">
        <v>98</v>
      </c>
      <c r="H1186" t="s">
        <v>4013</v>
      </c>
      <c r="J1186" s="9" t="s">
        <v>4815</v>
      </c>
      <c r="K1186" t="s">
        <v>5024</v>
      </c>
      <c r="L1186" s="2">
        <v>1</v>
      </c>
      <c r="M1186" s="24" t="s">
        <v>5971</v>
      </c>
      <c r="N1186" s="2" t="s">
        <v>23</v>
      </c>
      <c r="O1186" s="18" t="s">
        <v>974</v>
      </c>
      <c r="P1186" s="18" t="s">
        <v>0</v>
      </c>
      <c r="Q1186" s="6" t="s">
        <v>4475</v>
      </c>
      <c r="T1186" s="23">
        <v>45455</v>
      </c>
      <c r="U1186" s="23">
        <v>46550</v>
      </c>
      <c r="X1186" s="20">
        <v>4200</v>
      </c>
      <c r="Z1186" s="6" t="s">
        <v>5978</v>
      </c>
      <c r="AA1186" s="14">
        <f t="shared" si="148"/>
        <v>5.9999999999999995E-4</v>
      </c>
      <c r="AB1186">
        <v>0.92816399999999999</v>
      </c>
      <c r="AC1186">
        <v>0.96529056000000002</v>
      </c>
    </row>
    <row r="1187" spans="1:29" x14ac:dyDescent="0.3">
      <c r="A1187">
        <v>147287</v>
      </c>
      <c r="B1187" s="25" t="s">
        <v>5984</v>
      </c>
      <c r="C1187" t="s">
        <v>20</v>
      </c>
      <c r="D1187" t="s">
        <v>21</v>
      </c>
      <c r="E1187">
        <v>2222222</v>
      </c>
      <c r="F1187" s="8" t="s">
        <v>22</v>
      </c>
      <c r="G1187" s="2">
        <v>98</v>
      </c>
      <c r="H1187" t="s">
        <v>4013</v>
      </c>
      <c r="J1187" s="9" t="s">
        <v>4815</v>
      </c>
      <c r="K1187" t="s">
        <v>5024</v>
      </c>
      <c r="L1187" s="2">
        <v>1</v>
      </c>
      <c r="M1187" s="24" t="s">
        <v>5971</v>
      </c>
      <c r="N1187" s="2" t="s">
        <v>23</v>
      </c>
      <c r="O1187" s="18" t="s">
        <v>974</v>
      </c>
      <c r="P1187" s="18" t="s">
        <v>0</v>
      </c>
      <c r="Q1187" s="6" t="s">
        <v>4475</v>
      </c>
      <c r="T1187" s="23">
        <v>45886</v>
      </c>
      <c r="U1187" s="23">
        <v>47711</v>
      </c>
      <c r="X1187" s="20">
        <v>40000</v>
      </c>
      <c r="Z1187" s="6" t="s">
        <v>5978</v>
      </c>
      <c r="AA1187" s="14">
        <f t="shared" si="148"/>
        <v>5.9999999999999995E-4</v>
      </c>
      <c r="AB1187">
        <v>20.601161999999995</v>
      </c>
      <c r="AC1187">
        <v>21.425208479999995</v>
      </c>
    </row>
    <row r="1188" spans="1:29" x14ac:dyDescent="0.3">
      <c r="A1188">
        <v>144354</v>
      </c>
      <c r="B1188" s="25" t="s">
        <v>5984</v>
      </c>
      <c r="C1188" t="s">
        <v>20</v>
      </c>
      <c r="D1188" t="s">
        <v>21</v>
      </c>
      <c r="E1188">
        <v>2222222</v>
      </c>
      <c r="F1188" s="8" t="s">
        <v>22</v>
      </c>
      <c r="G1188" s="2">
        <v>98</v>
      </c>
      <c r="H1188" t="s">
        <v>4014</v>
      </c>
      <c r="J1188" s="9" t="s">
        <v>5295</v>
      </c>
      <c r="K1188" t="s">
        <v>4960</v>
      </c>
      <c r="L1188" s="2">
        <v>1</v>
      </c>
      <c r="M1188" s="24" t="s">
        <v>5971</v>
      </c>
      <c r="N1188" s="2" t="s">
        <v>23</v>
      </c>
      <c r="O1188" s="18" t="s">
        <v>975</v>
      </c>
      <c r="P1188" s="18" t="s">
        <v>3781</v>
      </c>
      <c r="Q1188" s="6" t="s">
        <v>4475</v>
      </c>
      <c r="T1188" s="23">
        <v>45657</v>
      </c>
      <c r="U1188" s="23">
        <v>47482</v>
      </c>
      <c r="X1188" s="20">
        <v>3820</v>
      </c>
      <c r="Z1188" s="6" t="s">
        <v>5978</v>
      </c>
      <c r="AA1188" s="14">
        <f t="shared" si="148"/>
        <v>5.9999999999999995E-4</v>
      </c>
      <c r="AB1188">
        <v>1.8900779999999999</v>
      </c>
      <c r="AC1188">
        <v>1.9656811199999999</v>
      </c>
    </row>
    <row r="1189" spans="1:29" x14ac:dyDescent="0.3">
      <c r="A1189">
        <v>559</v>
      </c>
      <c r="B1189" s="25" t="s">
        <v>5984</v>
      </c>
      <c r="C1189" t="s">
        <v>20</v>
      </c>
      <c r="D1189" t="s">
        <v>21</v>
      </c>
      <c r="E1189">
        <v>2222222</v>
      </c>
      <c r="F1189" s="8" t="s">
        <v>22</v>
      </c>
      <c r="G1189" s="2">
        <v>98</v>
      </c>
      <c r="H1189" t="s">
        <v>4015</v>
      </c>
      <c r="J1189" s="9" t="s">
        <v>4911</v>
      </c>
      <c r="K1189" t="s">
        <v>4861</v>
      </c>
      <c r="L1189" s="2">
        <v>1</v>
      </c>
      <c r="M1189" s="24" t="s">
        <v>5971</v>
      </c>
      <c r="N1189" s="2" t="s">
        <v>23</v>
      </c>
      <c r="O1189" s="18" t="s">
        <v>976</v>
      </c>
      <c r="P1189" s="18" t="s">
        <v>3781</v>
      </c>
      <c r="Q1189" s="6" t="s">
        <v>4475</v>
      </c>
      <c r="T1189" s="23">
        <v>40893</v>
      </c>
      <c r="U1189" s="23">
        <v>42720</v>
      </c>
      <c r="X1189" s="20">
        <v>8000</v>
      </c>
      <c r="Z1189" s="6" t="s">
        <v>5978</v>
      </c>
      <c r="AA1189" s="16">
        <f t="shared" ref="AA1189:AA1190" si="149">+(0.36/1000)</f>
        <v>3.5999999999999997E-4</v>
      </c>
      <c r="AB1189">
        <v>2.4896231999999996</v>
      </c>
      <c r="AC1189">
        <v>2.5892081279999997</v>
      </c>
    </row>
    <row r="1190" spans="1:29" x14ac:dyDescent="0.3">
      <c r="A1190">
        <v>55478</v>
      </c>
      <c r="B1190" s="25" t="s">
        <v>5984</v>
      </c>
      <c r="C1190" t="s">
        <v>20</v>
      </c>
      <c r="D1190" t="s">
        <v>21</v>
      </c>
      <c r="E1190">
        <v>2222222</v>
      </c>
      <c r="F1190" s="8" t="s">
        <v>22</v>
      </c>
      <c r="G1190" s="2">
        <v>98</v>
      </c>
      <c r="H1190" t="s">
        <v>4015</v>
      </c>
      <c r="J1190" s="9" t="s">
        <v>4892</v>
      </c>
      <c r="K1190" t="s">
        <v>5295</v>
      </c>
      <c r="L1190" s="2">
        <v>1</v>
      </c>
      <c r="M1190" s="24" t="s">
        <v>5971</v>
      </c>
      <c r="N1190" s="2" t="s">
        <v>23</v>
      </c>
      <c r="O1190" s="18" t="s">
        <v>977</v>
      </c>
      <c r="P1190" s="18" t="s">
        <v>3781</v>
      </c>
      <c r="Q1190" s="6" t="s">
        <v>4475</v>
      </c>
      <c r="T1190" s="23">
        <v>41647</v>
      </c>
      <c r="U1190" s="23">
        <v>43838</v>
      </c>
      <c r="X1190" s="20">
        <v>4700</v>
      </c>
      <c r="Z1190" s="6" t="s">
        <v>5978</v>
      </c>
      <c r="AA1190" s="16">
        <f t="shared" si="149"/>
        <v>3.5999999999999997E-4</v>
      </c>
      <c r="AB1190">
        <v>1.6786079999999999</v>
      </c>
      <c r="AC1190">
        <v>1.74575232</v>
      </c>
    </row>
    <row r="1191" spans="1:29" x14ac:dyDescent="0.3">
      <c r="A1191">
        <v>146174</v>
      </c>
      <c r="B1191" s="25" t="s">
        <v>5984</v>
      </c>
      <c r="C1191" t="s">
        <v>20</v>
      </c>
      <c r="D1191" t="s">
        <v>21</v>
      </c>
      <c r="E1191">
        <v>2222222</v>
      </c>
      <c r="F1191" s="8" t="s">
        <v>22</v>
      </c>
      <c r="G1191" s="2">
        <v>98</v>
      </c>
      <c r="H1191" t="s">
        <v>4015</v>
      </c>
      <c r="J1191" s="9" t="s">
        <v>5402</v>
      </c>
      <c r="K1191" t="s">
        <v>4991</v>
      </c>
      <c r="L1191" s="2">
        <v>1</v>
      </c>
      <c r="M1191" s="24" t="s">
        <v>5971</v>
      </c>
      <c r="N1191" s="2" t="s">
        <v>23</v>
      </c>
      <c r="O1191" s="18" t="s">
        <v>978</v>
      </c>
      <c r="P1191" s="18" t="s">
        <v>3781</v>
      </c>
      <c r="Q1191" s="6" t="s">
        <v>4475</v>
      </c>
      <c r="T1191" s="23">
        <v>45797</v>
      </c>
      <c r="U1191" s="23">
        <v>47257</v>
      </c>
      <c r="X1191" s="20">
        <v>6000</v>
      </c>
      <c r="Z1191" s="6" t="s">
        <v>5978</v>
      </c>
      <c r="AA1191" s="14">
        <f t="shared" ref="AA1191:AA1193" si="150">+(0.6/1000)</f>
        <v>5.9999999999999995E-4</v>
      </c>
      <c r="AB1191">
        <v>2.7496619999999998</v>
      </c>
      <c r="AC1191">
        <v>2.8596484799999997</v>
      </c>
    </row>
    <row r="1192" spans="1:29" x14ac:dyDescent="0.3">
      <c r="A1192">
        <v>150305</v>
      </c>
      <c r="B1192" s="25" t="s">
        <v>5984</v>
      </c>
      <c r="C1192" t="s">
        <v>20</v>
      </c>
      <c r="D1192" t="s">
        <v>21</v>
      </c>
      <c r="E1192">
        <v>2222222</v>
      </c>
      <c r="F1192" s="8" t="s">
        <v>22</v>
      </c>
      <c r="G1192" s="2">
        <v>98</v>
      </c>
      <c r="H1192" t="s">
        <v>4015</v>
      </c>
      <c r="J1192" s="9" t="s">
        <v>4955</v>
      </c>
      <c r="K1192" t="s">
        <v>4980</v>
      </c>
      <c r="L1192" s="2">
        <v>1</v>
      </c>
      <c r="M1192" s="24" t="s">
        <v>5971</v>
      </c>
      <c r="N1192" s="2" t="s">
        <v>23</v>
      </c>
      <c r="O1192" s="18" t="s">
        <v>979</v>
      </c>
      <c r="P1192" s="18" t="s">
        <v>3781</v>
      </c>
      <c r="Q1192" s="6" t="s">
        <v>4475</v>
      </c>
      <c r="T1192" s="23">
        <v>46142</v>
      </c>
      <c r="U1192" s="23">
        <v>51621</v>
      </c>
      <c r="X1192" s="20">
        <v>100000</v>
      </c>
      <c r="Z1192" s="6" t="s">
        <v>5978</v>
      </c>
      <c r="AA1192" s="14">
        <f t="shared" si="150"/>
        <v>5.9999999999999995E-4</v>
      </c>
      <c r="AB1192">
        <v>59.571257999999993</v>
      </c>
      <c r="AC1192">
        <v>61.954108319999996</v>
      </c>
    </row>
    <row r="1193" spans="1:29" x14ac:dyDescent="0.3">
      <c r="A1193">
        <v>150689</v>
      </c>
      <c r="B1193" s="25" t="s">
        <v>5984</v>
      </c>
      <c r="C1193" t="s">
        <v>20</v>
      </c>
      <c r="D1193" t="s">
        <v>21</v>
      </c>
      <c r="E1193">
        <v>2222222</v>
      </c>
      <c r="F1193" s="8" t="s">
        <v>22</v>
      </c>
      <c r="G1193" s="2">
        <v>98</v>
      </c>
      <c r="H1193" t="s">
        <v>4015</v>
      </c>
      <c r="J1193" s="9" t="s">
        <v>5403</v>
      </c>
      <c r="K1193" t="s">
        <v>5298</v>
      </c>
      <c r="L1193" s="2">
        <v>1</v>
      </c>
      <c r="M1193" s="24" t="s">
        <v>5971</v>
      </c>
      <c r="N1193" s="2" t="s">
        <v>23</v>
      </c>
      <c r="O1193" s="18" t="s">
        <v>980</v>
      </c>
      <c r="P1193" s="18" t="s">
        <v>0</v>
      </c>
      <c r="Q1193" s="6" t="s">
        <v>4475</v>
      </c>
      <c r="T1193" s="23">
        <v>46108</v>
      </c>
      <c r="U1193" s="23">
        <v>47203</v>
      </c>
      <c r="X1193" s="20">
        <v>5000</v>
      </c>
      <c r="Z1193" s="6" t="s">
        <v>5978</v>
      </c>
      <c r="AA1193" s="14">
        <f t="shared" si="150"/>
        <v>5.9999999999999995E-4</v>
      </c>
      <c r="AB1193">
        <v>2.7250739999999998</v>
      </c>
      <c r="AC1193">
        <v>2.83407696</v>
      </c>
    </row>
    <row r="1194" spans="1:29" x14ac:dyDescent="0.3">
      <c r="A1194">
        <v>130365</v>
      </c>
      <c r="B1194" s="25" t="s">
        <v>5984</v>
      </c>
      <c r="C1194" t="s">
        <v>20</v>
      </c>
      <c r="D1194" t="s">
        <v>21</v>
      </c>
      <c r="E1194">
        <v>2222222</v>
      </c>
      <c r="F1194" s="8" t="s">
        <v>22</v>
      </c>
      <c r="G1194" s="2">
        <v>98</v>
      </c>
      <c r="H1194" t="s">
        <v>4016</v>
      </c>
      <c r="J1194" s="9" t="s">
        <v>4853</v>
      </c>
      <c r="K1194" t="s">
        <v>4905</v>
      </c>
      <c r="L1194" s="2">
        <v>1</v>
      </c>
      <c r="M1194" s="24" t="s">
        <v>5971</v>
      </c>
      <c r="N1194" s="2" t="s">
        <v>23</v>
      </c>
      <c r="O1194" s="18" t="s">
        <v>981</v>
      </c>
      <c r="P1194" s="18" t="s">
        <v>0</v>
      </c>
      <c r="Q1194" s="6" t="s">
        <v>4475</v>
      </c>
      <c r="T1194" s="23">
        <v>44831</v>
      </c>
      <c r="U1194" s="23">
        <v>46292</v>
      </c>
      <c r="X1194" s="20">
        <v>5000</v>
      </c>
      <c r="Z1194" s="6" t="s">
        <v>5978</v>
      </c>
      <c r="AA1194" s="13">
        <f>+(0.56/1000)</f>
        <v>5.6000000000000006E-4</v>
      </c>
      <c r="AB1194">
        <v>2.6399856000000006</v>
      </c>
      <c r="AC1194">
        <v>2.7455850240000008</v>
      </c>
    </row>
    <row r="1195" spans="1:29" x14ac:dyDescent="0.3">
      <c r="A1195">
        <v>152155</v>
      </c>
      <c r="B1195" s="25" t="s">
        <v>5984</v>
      </c>
      <c r="C1195" t="s">
        <v>20</v>
      </c>
      <c r="D1195" t="s">
        <v>21</v>
      </c>
      <c r="E1195">
        <v>2222222</v>
      </c>
      <c r="F1195" s="8" t="s">
        <v>22</v>
      </c>
      <c r="G1195" s="2">
        <v>98</v>
      </c>
      <c r="H1195" t="s">
        <v>4016</v>
      </c>
      <c r="J1195" s="9" t="s">
        <v>4911</v>
      </c>
      <c r="K1195" t="s">
        <v>5404</v>
      </c>
      <c r="L1195" s="2">
        <v>1</v>
      </c>
      <c r="M1195" s="24" t="s">
        <v>5971</v>
      </c>
      <c r="N1195" s="2" t="s">
        <v>23</v>
      </c>
      <c r="O1195" s="18" t="s">
        <v>982</v>
      </c>
      <c r="P1195" s="18" t="s">
        <v>3781</v>
      </c>
      <c r="Q1195" s="6" t="s">
        <v>4475</v>
      </c>
      <c r="T1195" s="23">
        <v>46216</v>
      </c>
      <c r="U1195" s="23">
        <v>47311</v>
      </c>
      <c r="X1195" s="20">
        <v>3250</v>
      </c>
      <c r="Z1195" s="6" t="s">
        <v>5978</v>
      </c>
      <c r="AA1195" s="14">
        <f>+(0.6/1000)</f>
        <v>5.9999999999999995E-4</v>
      </c>
      <c r="AB1195">
        <v>1.9499999999999997</v>
      </c>
      <c r="AC1195">
        <v>2.0279999999999996</v>
      </c>
    </row>
    <row r="1196" spans="1:29" x14ac:dyDescent="0.3">
      <c r="A1196">
        <v>127197</v>
      </c>
      <c r="B1196" s="25" t="s">
        <v>5984</v>
      </c>
      <c r="C1196" t="s">
        <v>20</v>
      </c>
      <c r="D1196" t="s">
        <v>21</v>
      </c>
      <c r="E1196">
        <v>2222222</v>
      </c>
      <c r="F1196" s="8" t="s">
        <v>22</v>
      </c>
      <c r="G1196" s="2">
        <v>98</v>
      </c>
      <c r="H1196" t="s">
        <v>4017</v>
      </c>
      <c r="J1196" s="9" t="s">
        <v>4900</v>
      </c>
      <c r="K1196" t="s">
        <v>5405</v>
      </c>
      <c r="L1196" s="2">
        <v>1</v>
      </c>
      <c r="M1196" s="24" t="s">
        <v>5971</v>
      </c>
      <c r="N1196" s="2" t="s">
        <v>23</v>
      </c>
      <c r="O1196" s="18" t="s">
        <v>983</v>
      </c>
      <c r="P1196" s="18" t="s">
        <v>0</v>
      </c>
      <c r="Q1196" s="6" t="s">
        <v>4475</v>
      </c>
      <c r="T1196" s="23">
        <v>44656</v>
      </c>
      <c r="U1196" s="23">
        <v>48309</v>
      </c>
      <c r="X1196" s="20">
        <v>17300</v>
      </c>
      <c r="Z1196" s="6" t="s">
        <v>5978</v>
      </c>
      <c r="AA1196" s="15">
        <f>+(0.42/1000)</f>
        <v>4.1999999999999996E-4</v>
      </c>
      <c r="AB1196">
        <v>7.2401574000000002</v>
      </c>
      <c r="AC1196">
        <v>7.5297636960000007</v>
      </c>
    </row>
    <row r="1197" spans="1:29" x14ac:dyDescent="0.3">
      <c r="A1197">
        <v>129232</v>
      </c>
      <c r="B1197" s="25" t="s">
        <v>5984</v>
      </c>
      <c r="C1197" t="s">
        <v>20</v>
      </c>
      <c r="D1197" t="s">
        <v>21</v>
      </c>
      <c r="E1197">
        <v>2222222</v>
      </c>
      <c r="F1197" s="8" t="s">
        <v>22</v>
      </c>
      <c r="G1197" s="2">
        <v>98</v>
      </c>
      <c r="H1197" t="s">
        <v>4017</v>
      </c>
      <c r="J1197" s="9" t="s">
        <v>4852</v>
      </c>
      <c r="K1197" t="s">
        <v>5406</v>
      </c>
      <c r="L1197" s="2">
        <v>1</v>
      </c>
      <c r="M1197" s="24" t="s">
        <v>5971</v>
      </c>
      <c r="N1197" s="2" t="s">
        <v>23</v>
      </c>
      <c r="O1197" s="18" t="s">
        <v>984</v>
      </c>
      <c r="P1197" s="18" t="s">
        <v>0</v>
      </c>
      <c r="Q1197" s="6" t="s">
        <v>4475</v>
      </c>
      <c r="T1197" s="23">
        <v>44783</v>
      </c>
      <c r="U1197" s="23">
        <v>46608</v>
      </c>
      <c r="X1197" s="20">
        <v>7000</v>
      </c>
      <c r="Z1197" s="6" t="s">
        <v>5978</v>
      </c>
      <c r="AA1197" s="13">
        <f t="shared" ref="AA1197:AA1200" si="151">+(0.56/1000)</f>
        <v>5.6000000000000006E-4</v>
      </c>
      <c r="AB1197">
        <v>1.1062800000000002</v>
      </c>
      <c r="AC1197">
        <v>1.1505312000000001</v>
      </c>
    </row>
    <row r="1198" spans="1:29" x14ac:dyDescent="0.3">
      <c r="A1198">
        <v>136249</v>
      </c>
      <c r="B1198" s="25" t="s">
        <v>5984</v>
      </c>
      <c r="C1198" t="s">
        <v>20</v>
      </c>
      <c r="D1198" t="s">
        <v>21</v>
      </c>
      <c r="E1198">
        <v>2222222</v>
      </c>
      <c r="F1198" s="8" t="s">
        <v>22</v>
      </c>
      <c r="G1198" s="2">
        <v>98</v>
      </c>
      <c r="H1198" t="s">
        <v>4017</v>
      </c>
      <c r="J1198" s="9" t="s">
        <v>4981</v>
      </c>
      <c r="K1198" t="s">
        <v>4863</v>
      </c>
      <c r="L1198" s="2">
        <v>1</v>
      </c>
      <c r="M1198" s="24" t="s">
        <v>5971</v>
      </c>
      <c r="N1198" s="2" t="s">
        <v>23</v>
      </c>
      <c r="O1198" s="18" t="s">
        <v>985</v>
      </c>
      <c r="P1198" s="18" t="s">
        <v>3781</v>
      </c>
      <c r="Q1198" s="6" t="s">
        <v>4475</v>
      </c>
      <c r="T1198" s="23">
        <v>45165</v>
      </c>
      <c r="U1198" s="23">
        <v>47813</v>
      </c>
      <c r="X1198" s="20">
        <v>15000</v>
      </c>
      <c r="Z1198" s="6" t="s">
        <v>5978</v>
      </c>
      <c r="AA1198" s="13">
        <f t="shared" si="151"/>
        <v>5.6000000000000006E-4</v>
      </c>
      <c r="AB1198">
        <v>6.2408864000000008</v>
      </c>
      <c r="AC1198">
        <v>6.4905218560000009</v>
      </c>
    </row>
    <row r="1199" spans="1:29" x14ac:dyDescent="0.3">
      <c r="A1199">
        <v>137091</v>
      </c>
      <c r="B1199" s="25" t="s">
        <v>5984</v>
      </c>
      <c r="C1199" t="s">
        <v>20</v>
      </c>
      <c r="D1199" t="s">
        <v>21</v>
      </c>
      <c r="E1199">
        <v>2222222</v>
      </c>
      <c r="F1199" s="8" t="s">
        <v>22</v>
      </c>
      <c r="G1199" s="2">
        <v>98</v>
      </c>
      <c r="H1199" t="s">
        <v>4017</v>
      </c>
      <c r="J1199" s="9" t="s">
        <v>4870</v>
      </c>
      <c r="K1199" t="s">
        <v>5407</v>
      </c>
      <c r="L1199" s="2">
        <v>1</v>
      </c>
      <c r="M1199" s="24" t="s">
        <v>5971</v>
      </c>
      <c r="N1199" s="2" t="s">
        <v>23</v>
      </c>
      <c r="O1199" s="18" t="s">
        <v>986</v>
      </c>
      <c r="P1199" s="18" t="s">
        <v>0</v>
      </c>
      <c r="Q1199" s="6" t="s">
        <v>4475</v>
      </c>
      <c r="T1199" s="23">
        <v>45209</v>
      </c>
      <c r="U1199" s="23">
        <v>46396</v>
      </c>
      <c r="X1199" s="20">
        <v>10000</v>
      </c>
      <c r="Z1199" s="6" t="s">
        <v>5978</v>
      </c>
      <c r="AA1199" s="13">
        <f t="shared" si="151"/>
        <v>5.6000000000000006E-4</v>
      </c>
      <c r="AB1199">
        <v>2.2087016000000004</v>
      </c>
      <c r="AC1199">
        <v>2.2970496640000007</v>
      </c>
    </row>
    <row r="1200" spans="1:29" x14ac:dyDescent="0.3">
      <c r="A1200">
        <v>138651</v>
      </c>
      <c r="B1200" s="25" t="s">
        <v>5984</v>
      </c>
      <c r="C1200" t="s">
        <v>20</v>
      </c>
      <c r="D1200" t="s">
        <v>21</v>
      </c>
      <c r="E1200">
        <v>2222222</v>
      </c>
      <c r="F1200" s="8" t="s">
        <v>22</v>
      </c>
      <c r="G1200" s="2">
        <v>98</v>
      </c>
      <c r="H1200" t="s">
        <v>4017</v>
      </c>
      <c r="J1200" s="9" t="s">
        <v>5140</v>
      </c>
      <c r="K1200" t="s">
        <v>4854</v>
      </c>
      <c r="L1200" s="2">
        <v>1</v>
      </c>
      <c r="M1200" s="24" t="s">
        <v>5971</v>
      </c>
      <c r="N1200" s="2" t="s">
        <v>23</v>
      </c>
      <c r="O1200" s="18" t="s">
        <v>987</v>
      </c>
      <c r="P1200" s="18" t="s">
        <v>3781</v>
      </c>
      <c r="Q1200" s="6" t="s">
        <v>4475</v>
      </c>
      <c r="T1200" s="23">
        <v>45289</v>
      </c>
      <c r="U1200" s="23">
        <v>46749</v>
      </c>
      <c r="X1200" s="20">
        <v>2500</v>
      </c>
      <c r="Z1200" s="6" t="s">
        <v>5978</v>
      </c>
      <c r="AA1200" s="13">
        <f t="shared" si="151"/>
        <v>5.6000000000000006E-4</v>
      </c>
      <c r="AB1200">
        <v>0.65246720000000002</v>
      </c>
      <c r="AC1200">
        <v>0.67856588800000006</v>
      </c>
    </row>
    <row r="1201" spans="1:29" x14ac:dyDescent="0.3">
      <c r="A1201">
        <v>145853</v>
      </c>
      <c r="B1201" s="25" t="s">
        <v>5984</v>
      </c>
      <c r="C1201" t="s">
        <v>20</v>
      </c>
      <c r="D1201" t="s">
        <v>21</v>
      </c>
      <c r="E1201">
        <v>2222222</v>
      </c>
      <c r="F1201" s="8" t="s">
        <v>22</v>
      </c>
      <c r="G1201" s="2">
        <v>98</v>
      </c>
      <c r="H1201" t="s">
        <v>4017</v>
      </c>
      <c r="J1201" s="9" t="s">
        <v>5408</v>
      </c>
      <c r="K1201" t="s">
        <v>5409</v>
      </c>
      <c r="L1201" s="2">
        <v>1</v>
      </c>
      <c r="M1201" s="24" t="s">
        <v>5971</v>
      </c>
      <c r="N1201" s="2" t="s">
        <v>23</v>
      </c>
      <c r="O1201" s="18" t="s">
        <v>988</v>
      </c>
      <c r="P1201" s="18" t="s">
        <v>3781</v>
      </c>
      <c r="Q1201" s="6" t="s">
        <v>4475</v>
      </c>
      <c r="T1201" s="23">
        <v>45771</v>
      </c>
      <c r="U1201" s="23">
        <v>46501</v>
      </c>
      <c r="X1201" s="20">
        <v>5000</v>
      </c>
      <c r="Z1201" s="6" t="s">
        <v>5978</v>
      </c>
      <c r="AA1201" s="14">
        <f t="shared" ref="AA1201:AA1204" si="152">+(0.6/1000)</f>
        <v>5.9999999999999995E-4</v>
      </c>
      <c r="AB1201">
        <v>1.2542519999999999</v>
      </c>
      <c r="AC1201">
        <v>1.3044220799999999</v>
      </c>
    </row>
    <row r="1202" spans="1:29" x14ac:dyDescent="0.3">
      <c r="A1202">
        <v>149187</v>
      </c>
      <c r="B1202" s="25" t="s">
        <v>5984</v>
      </c>
      <c r="C1202" t="s">
        <v>20</v>
      </c>
      <c r="D1202" t="s">
        <v>21</v>
      </c>
      <c r="E1202">
        <v>2222222</v>
      </c>
      <c r="F1202" s="8" t="s">
        <v>22</v>
      </c>
      <c r="G1202" s="2">
        <v>98</v>
      </c>
      <c r="H1202" t="s">
        <v>4017</v>
      </c>
      <c r="J1202" s="9" t="s">
        <v>5240</v>
      </c>
      <c r="K1202" t="s">
        <v>5085</v>
      </c>
      <c r="L1202" s="2">
        <v>1</v>
      </c>
      <c r="M1202" s="24" t="s">
        <v>5971</v>
      </c>
      <c r="N1202" s="2" t="s">
        <v>23</v>
      </c>
      <c r="O1202" s="18" t="s">
        <v>989</v>
      </c>
      <c r="P1202" s="18" t="s">
        <v>0</v>
      </c>
      <c r="Q1202" s="6" t="s">
        <v>4475</v>
      </c>
      <c r="T1202" s="23">
        <v>46003</v>
      </c>
      <c r="U1202" s="23">
        <v>47098</v>
      </c>
      <c r="X1202" s="20">
        <v>5000</v>
      </c>
      <c r="Z1202" s="6" t="s">
        <v>5978</v>
      </c>
      <c r="AA1202" s="14">
        <f t="shared" si="152"/>
        <v>5.9999999999999995E-4</v>
      </c>
      <c r="AB1202">
        <v>2.5338899999999995</v>
      </c>
      <c r="AC1202">
        <v>2.6352455999999997</v>
      </c>
    </row>
    <row r="1203" spans="1:29" x14ac:dyDescent="0.3">
      <c r="A1203">
        <v>150677</v>
      </c>
      <c r="B1203" s="25" t="s">
        <v>5984</v>
      </c>
      <c r="C1203" t="s">
        <v>20</v>
      </c>
      <c r="D1203" t="s">
        <v>21</v>
      </c>
      <c r="E1203">
        <v>2222222</v>
      </c>
      <c r="F1203" s="8" t="s">
        <v>22</v>
      </c>
      <c r="G1203" s="2">
        <v>98</v>
      </c>
      <c r="H1203" t="s">
        <v>4017</v>
      </c>
      <c r="J1203" s="9" t="s">
        <v>4967</v>
      </c>
      <c r="K1203" t="s">
        <v>4911</v>
      </c>
      <c r="L1203" s="2">
        <v>1</v>
      </c>
      <c r="M1203" s="24" t="s">
        <v>5971</v>
      </c>
      <c r="N1203" s="2" t="s">
        <v>23</v>
      </c>
      <c r="O1203" s="18" t="s">
        <v>990</v>
      </c>
      <c r="P1203" s="18" t="s">
        <v>3781</v>
      </c>
      <c r="Q1203" s="6" t="s">
        <v>4475</v>
      </c>
      <c r="T1203" s="23">
        <v>46108</v>
      </c>
      <c r="U1203" s="23">
        <v>47203</v>
      </c>
      <c r="X1203" s="20">
        <v>5000</v>
      </c>
      <c r="Z1203" s="6" t="s">
        <v>5978</v>
      </c>
      <c r="AA1203" s="14">
        <f t="shared" si="152"/>
        <v>5.9999999999999995E-4</v>
      </c>
      <c r="AB1203">
        <v>2.7403199999999996</v>
      </c>
      <c r="AC1203">
        <v>2.8499327999999999</v>
      </c>
    </row>
    <row r="1204" spans="1:29" x14ac:dyDescent="0.3">
      <c r="A1204">
        <v>151529</v>
      </c>
      <c r="B1204" s="25" t="s">
        <v>5984</v>
      </c>
      <c r="C1204" t="s">
        <v>20</v>
      </c>
      <c r="D1204" t="s">
        <v>21</v>
      </c>
      <c r="E1204">
        <v>2222222</v>
      </c>
      <c r="F1204" s="8" t="s">
        <v>22</v>
      </c>
      <c r="G1204" s="2">
        <v>98</v>
      </c>
      <c r="H1204" t="s">
        <v>4017</v>
      </c>
      <c r="J1204" s="9" t="s">
        <v>5240</v>
      </c>
      <c r="K1204" t="s">
        <v>5085</v>
      </c>
      <c r="L1204" s="2">
        <v>1</v>
      </c>
      <c r="M1204" s="24" t="s">
        <v>5971</v>
      </c>
      <c r="N1204" s="2" t="s">
        <v>23</v>
      </c>
      <c r="O1204" s="18" t="s">
        <v>989</v>
      </c>
      <c r="P1204" s="18" t="s">
        <v>0</v>
      </c>
      <c r="Q1204" s="6" t="s">
        <v>4475</v>
      </c>
      <c r="T1204" s="23">
        <v>46171</v>
      </c>
      <c r="U1204" s="23">
        <v>47266</v>
      </c>
      <c r="X1204" s="20">
        <v>4000</v>
      </c>
      <c r="Z1204" s="6" t="s">
        <v>5978</v>
      </c>
      <c r="AA1204" s="14">
        <f t="shared" si="152"/>
        <v>5.9999999999999995E-4</v>
      </c>
      <c r="AB1204">
        <v>2.3481540000000001</v>
      </c>
      <c r="AC1204">
        <v>2.4420801600000002</v>
      </c>
    </row>
    <row r="1205" spans="1:29" x14ac:dyDescent="0.3">
      <c r="A1205">
        <v>125432</v>
      </c>
      <c r="B1205" s="25" t="s">
        <v>5984</v>
      </c>
      <c r="C1205" t="s">
        <v>20</v>
      </c>
      <c r="D1205" t="s">
        <v>21</v>
      </c>
      <c r="E1205">
        <v>2222222</v>
      </c>
      <c r="F1205" s="8" t="s">
        <v>22</v>
      </c>
      <c r="G1205" s="2">
        <v>98</v>
      </c>
      <c r="H1205" t="s">
        <v>4018</v>
      </c>
      <c r="J1205" s="9" t="s">
        <v>4892</v>
      </c>
      <c r="K1205" t="s">
        <v>5166</v>
      </c>
      <c r="L1205" s="2">
        <v>1</v>
      </c>
      <c r="M1205" s="24" t="s">
        <v>5971</v>
      </c>
      <c r="N1205" s="2" t="s">
        <v>23</v>
      </c>
      <c r="O1205" s="18" t="s">
        <v>991</v>
      </c>
      <c r="P1205" s="18" t="s">
        <v>3781</v>
      </c>
      <c r="Q1205" s="6" t="s">
        <v>4475</v>
      </c>
      <c r="T1205" s="23">
        <v>44631</v>
      </c>
      <c r="U1205" s="23">
        <v>47279</v>
      </c>
      <c r="X1205" s="20">
        <v>20000</v>
      </c>
      <c r="Z1205" s="6" t="s">
        <v>5978</v>
      </c>
      <c r="AA1205" s="15">
        <f>+(0.42/1000)</f>
        <v>4.1999999999999996E-4</v>
      </c>
      <c r="AB1205">
        <v>4.6609163999999996</v>
      </c>
      <c r="AC1205">
        <v>4.8473530560000002</v>
      </c>
    </row>
    <row r="1206" spans="1:29" x14ac:dyDescent="0.3">
      <c r="A1206">
        <v>140782</v>
      </c>
      <c r="B1206" s="25" t="s">
        <v>5984</v>
      </c>
      <c r="C1206" t="s">
        <v>20</v>
      </c>
      <c r="D1206" t="s">
        <v>21</v>
      </c>
      <c r="E1206">
        <v>2222222</v>
      </c>
      <c r="F1206" s="8" t="s">
        <v>22</v>
      </c>
      <c r="G1206" s="2">
        <v>98</v>
      </c>
      <c r="H1206" t="s">
        <v>4019</v>
      </c>
      <c r="J1206" s="9" t="s">
        <v>5093</v>
      </c>
      <c r="K1206" t="s">
        <v>4980</v>
      </c>
      <c r="L1206" s="2">
        <v>1</v>
      </c>
      <c r="M1206" s="24" t="s">
        <v>5971</v>
      </c>
      <c r="N1206" s="2" t="s">
        <v>23</v>
      </c>
      <c r="O1206" s="18" t="s">
        <v>992</v>
      </c>
      <c r="P1206" s="18" t="s">
        <v>3781</v>
      </c>
      <c r="Q1206" s="6" t="s">
        <v>4475</v>
      </c>
      <c r="T1206" s="23">
        <v>45411</v>
      </c>
      <c r="U1206" s="23">
        <v>46963</v>
      </c>
      <c r="X1206" s="20">
        <v>3430</v>
      </c>
      <c r="Z1206" s="6" t="s">
        <v>5978</v>
      </c>
      <c r="AA1206" s="13">
        <f>+(0.56/1000)</f>
        <v>5.6000000000000006E-4</v>
      </c>
      <c r="AB1206">
        <v>1.1435816000000001</v>
      </c>
      <c r="AC1206">
        <v>1.189324864</v>
      </c>
    </row>
    <row r="1207" spans="1:29" x14ac:dyDescent="0.3">
      <c r="A1207">
        <v>145720</v>
      </c>
      <c r="B1207" s="25" t="s">
        <v>5984</v>
      </c>
      <c r="C1207" t="s">
        <v>20</v>
      </c>
      <c r="D1207" t="s">
        <v>21</v>
      </c>
      <c r="E1207">
        <v>2222222</v>
      </c>
      <c r="F1207" s="8" t="s">
        <v>22</v>
      </c>
      <c r="G1207" s="2">
        <v>98</v>
      </c>
      <c r="H1207" t="s">
        <v>4019</v>
      </c>
      <c r="J1207" s="9" t="s">
        <v>5098</v>
      </c>
      <c r="K1207" t="s">
        <v>4942</v>
      </c>
      <c r="L1207" s="2">
        <v>1</v>
      </c>
      <c r="M1207" s="24" t="s">
        <v>5971</v>
      </c>
      <c r="N1207" s="2" t="s">
        <v>23</v>
      </c>
      <c r="O1207" s="18" t="s">
        <v>993</v>
      </c>
      <c r="P1207" s="18" t="s">
        <v>3781</v>
      </c>
      <c r="Q1207" s="6" t="s">
        <v>4475</v>
      </c>
      <c r="T1207" s="23">
        <v>45807</v>
      </c>
      <c r="U1207" s="23">
        <v>49458</v>
      </c>
      <c r="X1207" s="20">
        <v>90000</v>
      </c>
      <c r="Z1207" s="6" t="s">
        <v>5978</v>
      </c>
      <c r="AA1207" s="14">
        <f t="shared" ref="AA1207:AA1208" si="153">+(0.6/1000)</f>
        <v>5.9999999999999995E-4</v>
      </c>
      <c r="AB1207">
        <v>51.270785999999994</v>
      </c>
      <c r="AC1207">
        <v>53.321617439999997</v>
      </c>
    </row>
    <row r="1208" spans="1:29" x14ac:dyDescent="0.3">
      <c r="A1208">
        <v>149043</v>
      </c>
      <c r="B1208" s="25" t="s">
        <v>5984</v>
      </c>
      <c r="C1208" t="s">
        <v>20</v>
      </c>
      <c r="D1208" t="s">
        <v>21</v>
      </c>
      <c r="E1208">
        <v>2222222</v>
      </c>
      <c r="F1208" s="8" t="s">
        <v>22</v>
      </c>
      <c r="G1208" s="2">
        <v>98</v>
      </c>
      <c r="H1208" t="s">
        <v>4019</v>
      </c>
      <c r="J1208" s="9" t="s">
        <v>5199</v>
      </c>
      <c r="K1208" t="s">
        <v>5297</v>
      </c>
      <c r="L1208" s="2">
        <v>1</v>
      </c>
      <c r="M1208" s="24" t="s">
        <v>5971</v>
      </c>
      <c r="N1208" s="2" t="s">
        <v>23</v>
      </c>
      <c r="O1208" s="18" t="s">
        <v>499</v>
      </c>
      <c r="P1208" s="18" t="s">
        <v>0</v>
      </c>
      <c r="Q1208" s="6" t="s">
        <v>4475</v>
      </c>
      <c r="T1208" s="23">
        <v>45994</v>
      </c>
      <c r="U1208" s="23">
        <v>46358</v>
      </c>
      <c r="X1208" s="20">
        <v>3200</v>
      </c>
      <c r="Z1208" s="6" t="s">
        <v>5978</v>
      </c>
      <c r="AA1208" s="14">
        <f t="shared" si="153"/>
        <v>5.9999999999999995E-4</v>
      </c>
      <c r="AB1208">
        <v>1.308738</v>
      </c>
      <c r="AC1208">
        <v>1.3610875200000001</v>
      </c>
    </row>
    <row r="1209" spans="1:29" x14ac:dyDescent="0.3">
      <c r="A1209">
        <v>120266</v>
      </c>
      <c r="B1209" s="25" t="s">
        <v>5984</v>
      </c>
      <c r="C1209" t="s">
        <v>20</v>
      </c>
      <c r="D1209" t="s">
        <v>21</v>
      </c>
      <c r="E1209">
        <v>2222222</v>
      </c>
      <c r="F1209" s="8" t="s">
        <v>22</v>
      </c>
      <c r="G1209" s="2">
        <v>98</v>
      </c>
      <c r="H1209" t="s">
        <v>4020</v>
      </c>
      <c r="J1209" s="9" t="s">
        <v>4900</v>
      </c>
      <c r="K1209" t="s">
        <v>4901</v>
      </c>
      <c r="L1209" s="2">
        <v>1</v>
      </c>
      <c r="M1209" s="24" t="s">
        <v>5971</v>
      </c>
      <c r="N1209" s="2" t="s">
        <v>23</v>
      </c>
      <c r="O1209" s="18" t="s">
        <v>994</v>
      </c>
      <c r="P1209" s="18" t="s">
        <v>0</v>
      </c>
      <c r="Q1209" s="6" t="s">
        <v>4475</v>
      </c>
      <c r="T1209" s="23">
        <v>44333</v>
      </c>
      <c r="U1209" s="23">
        <v>46889</v>
      </c>
      <c r="X1209" s="20">
        <v>20000</v>
      </c>
      <c r="Z1209" s="6" t="s">
        <v>5978</v>
      </c>
      <c r="AA1209" s="15">
        <f>+(0.42/1000)</f>
        <v>4.1999999999999996E-4</v>
      </c>
      <c r="AB1209">
        <v>3.1785641999999998</v>
      </c>
      <c r="AC1209">
        <v>3.3057067679999999</v>
      </c>
    </row>
    <row r="1210" spans="1:29" x14ac:dyDescent="0.3">
      <c r="A1210">
        <v>131932</v>
      </c>
      <c r="B1210" s="25" t="s">
        <v>5984</v>
      </c>
      <c r="C1210" t="s">
        <v>20</v>
      </c>
      <c r="D1210" t="s">
        <v>21</v>
      </c>
      <c r="E1210">
        <v>2222222</v>
      </c>
      <c r="F1210" s="8" t="s">
        <v>22</v>
      </c>
      <c r="G1210" s="2">
        <v>98</v>
      </c>
      <c r="H1210" t="s">
        <v>4020</v>
      </c>
      <c r="J1210" s="9" t="s">
        <v>4826</v>
      </c>
      <c r="K1210" t="s">
        <v>5160</v>
      </c>
      <c r="L1210" s="2">
        <v>1</v>
      </c>
      <c r="M1210" s="24" t="s">
        <v>5971</v>
      </c>
      <c r="N1210" s="2" t="s">
        <v>23</v>
      </c>
      <c r="O1210" s="18" t="s">
        <v>995</v>
      </c>
      <c r="P1210" s="18" t="s">
        <v>0</v>
      </c>
      <c r="Q1210" s="6" t="s">
        <v>4475</v>
      </c>
      <c r="T1210" s="23">
        <v>44916</v>
      </c>
      <c r="U1210" s="23">
        <v>46012</v>
      </c>
      <c r="X1210" s="20">
        <v>2050</v>
      </c>
      <c r="Z1210" s="6" t="s">
        <v>5978</v>
      </c>
      <c r="AA1210" s="13">
        <f>+(0.56/1000)</f>
        <v>5.6000000000000006E-4</v>
      </c>
      <c r="AB1210">
        <v>0.71293040000000008</v>
      </c>
      <c r="AC1210">
        <v>0.74144761600000009</v>
      </c>
    </row>
    <row r="1211" spans="1:29" x14ac:dyDescent="0.3">
      <c r="A1211">
        <v>141093</v>
      </c>
      <c r="B1211" s="25" t="s">
        <v>5984</v>
      </c>
      <c r="C1211" t="s">
        <v>20</v>
      </c>
      <c r="D1211" t="s">
        <v>21</v>
      </c>
      <c r="E1211">
        <v>2222222</v>
      </c>
      <c r="F1211" s="8" t="s">
        <v>22</v>
      </c>
      <c r="G1211" s="2">
        <v>98</v>
      </c>
      <c r="H1211" t="s">
        <v>4020</v>
      </c>
      <c r="J1211" s="9" t="s">
        <v>5229</v>
      </c>
      <c r="K1211" t="s">
        <v>4924</v>
      </c>
      <c r="L1211" s="2">
        <v>1</v>
      </c>
      <c r="M1211" s="24" t="s">
        <v>5971</v>
      </c>
      <c r="N1211" s="2" t="s">
        <v>23</v>
      </c>
      <c r="O1211" s="18" t="s">
        <v>996</v>
      </c>
      <c r="P1211" s="18" t="s">
        <v>3781</v>
      </c>
      <c r="Q1211" s="6" t="s">
        <v>4475</v>
      </c>
      <c r="T1211" s="23">
        <v>45431</v>
      </c>
      <c r="U1211" s="23">
        <v>45979</v>
      </c>
      <c r="X1211" s="20">
        <v>1100</v>
      </c>
      <c r="Z1211" s="6" t="s">
        <v>5978</v>
      </c>
      <c r="AA1211" s="14">
        <f t="shared" ref="AA1211:AA1218" si="154">+(0.6/1000)</f>
        <v>5.9999999999999995E-4</v>
      </c>
      <c r="AB1211">
        <v>0.59492999999999996</v>
      </c>
      <c r="AC1211">
        <v>0.61872720000000003</v>
      </c>
    </row>
    <row r="1212" spans="1:29" x14ac:dyDescent="0.3">
      <c r="A1212">
        <v>143889</v>
      </c>
      <c r="B1212" s="25" t="s">
        <v>5984</v>
      </c>
      <c r="C1212" t="s">
        <v>20</v>
      </c>
      <c r="D1212" t="s">
        <v>21</v>
      </c>
      <c r="E1212">
        <v>2222222</v>
      </c>
      <c r="F1212" s="8" t="s">
        <v>22</v>
      </c>
      <c r="G1212" s="2">
        <v>98</v>
      </c>
      <c r="H1212" t="s">
        <v>4020</v>
      </c>
      <c r="J1212" s="9" t="s">
        <v>4815</v>
      </c>
      <c r="K1212" t="s">
        <v>5068</v>
      </c>
      <c r="L1212" s="2">
        <v>1</v>
      </c>
      <c r="M1212" s="24" t="s">
        <v>5971</v>
      </c>
      <c r="N1212" s="2" t="s">
        <v>23</v>
      </c>
      <c r="O1212" s="18" t="s">
        <v>997</v>
      </c>
      <c r="P1212" s="18" t="s">
        <v>0</v>
      </c>
      <c r="Q1212" s="6" t="s">
        <v>4475</v>
      </c>
      <c r="T1212" s="23">
        <v>45623</v>
      </c>
      <c r="U1212" s="23">
        <v>46810</v>
      </c>
      <c r="X1212" s="20">
        <v>3195</v>
      </c>
      <c r="Z1212" s="6" t="s">
        <v>5978</v>
      </c>
      <c r="AA1212" s="14">
        <f t="shared" si="154"/>
        <v>5.9999999999999995E-4</v>
      </c>
      <c r="AB1212">
        <v>1.1766599999999998</v>
      </c>
      <c r="AC1212">
        <v>1.2237263999999999</v>
      </c>
    </row>
    <row r="1213" spans="1:29" x14ac:dyDescent="0.3">
      <c r="A1213">
        <v>144484</v>
      </c>
      <c r="B1213" s="25" t="s">
        <v>5984</v>
      </c>
      <c r="C1213" t="s">
        <v>20</v>
      </c>
      <c r="D1213" t="s">
        <v>21</v>
      </c>
      <c r="E1213">
        <v>2222222</v>
      </c>
      <c r="F1213" s="8" t="s">
        <v>22</v>
      </c>
      <c r="G1213" s="2">
        <v>98</v>
      </c>
      <c r="H1213" t="s">
        <v>4020</v>
      </c>
      <c r="J1213" s="9" t="s">
        <v>4853</v>
      </c>
      <c r="K1213" t="s">
        <v>4983</v>
      </c>
      <c r="L1213" s="2">
        <v>1</v>
      </c>
      <c r="M1213" s="24" t="s">
        <v>5971</v>
      </c>
      <c r="N1213" s="2" t="s">
        <v>23</v>
      </c>
      <c r="O1213" s="18" t="s">
        <v>998</v>
      </c>
      <c r="P1213" s="18" t="s">
        <v>0</v>
      </c>
      <c r="Q1213" s="6" t="s">
        <v>4475</v>
      </c>
      <c r="T1213" s="23">
        <v>45666</v>
      </c>
      <c r="U1213" s="23">
        <v>47126</v>
      </c>
      <c r="X1213" s="20">
        <v>5000</v>
      </c>
      <c r="Z1213" s="6" t="s">
        <v>5978</v>
      </c>
      <c r="AA1213" s="14">
        <f t="shared" si="154"/>
        <v>5.9999999999999995E-4</v>
      </c>
      <c r="AB1213">
        <v>2.1152279999999997</v>
      </c>
      <c r="AC1213">
        <v>2.1998371199999998</v>
      </c>
    </row>
    <row r="1214" spans="1:29" x14ac:dyDescent="0.3">
      <c r="A1214">
        <v>146999</v>
      </c>
      <c r="B1214" s="25" t="s">
        <v>5984</v>
      </c>
      <c r="C1214" t="s">
        <v>20</v>
      </c>
      <c r="D1214" t="s">
        <v>21</v>
      </c>
      <c r="E1214">
        <v>2222222</v>
      </c>
      <c r="F1214" s="8" t="s">
        <v>22</v>
      </c>
      <c r="G1214" s="2">
        <v>98</v>
      </c>
      <c r="H1214" t="s">
        <v>4020</v>
      </c>
      <c r="J1214" s="9" t="s">
        <v>4970</v>
      </c>
      <c r="K1214" t="s">
        <v>4991</v>
      </c>
      <c r="L1214" s="2">
        <v>1</v>
      </c>
      <c r="M1214" s="24" t="s">
        <v>5971</v>
      </c>
      <c r="N1214" s="2" t="s">
        <v>23</v>
      </c>
      <c r="O1214" s="18" t="s">
        <v>999</v>
      </c>
      <c r="P1214" s="18" t="s">
        <v>3781</v>
      </c>
      <c r="Q1214" s="6" t="s">
        <v>4475</v>
      </c>
      <c r="T1214" s="23">
        <v>45869</v>
      </c>
      <c r="U1214" s="23">
        <v>47694</v>
      </c>
      <c r="X1214" s="20">
        <v>10000</v>
      </c>
      <c r="Z1214" s="6" t="s">
        <v>5978</v>
      </c>
      <c r="AA1214" s="14">
        <f t="shared" si="154"/>
        <v>5.9999999999999995E-4</v>
      </c>
      <c r="AB1214">
        <v>5.1902459999999992</v>
      </c>
      <c r="AC1214">
        <v>5.3978558399999992</v>
      </c>
    </row>
    <row r="1215" spans="1:29" x14ac:dyDescent="0.3">
      <c r="A1215">
        <v>147407</v>
      </c>
      <c r="B1215" s="25" t="s">
        <v>5984</v>
      </c>
      <c r="C1215" t="s">
        <v>20</v>
      </c>
      <c r="D1215" t="s">
        <v>21</v>
      </c>
      <c r="E1215">
        <v>2222222</v>
      </c>
      <c r="F1215" s="8" t="s">
        <v>22</v>
      </c>
      <c r="G1215" s="2">
        <v>98</v>
      </c>
      <c r="H1215" t="s">
        <v>4020</v>
      </c>
      <c r="J1215" s="9" t="s">
        <v>5137</v>
      </c>
      <c r="K1215" t="s">
        <v>5104</v>
      </c>
      <c r="L1215" s="2">
        <v>1</v>
      </c>
      <c r="M1215" s="24" t="s">
        <v>5971</v>
      </c>
      <c r="N1215" s="2" t="s">
        <v>23</v>
      </c>
      <c r="O1215" s="18" t="s">
        <v>1000</v>
      </c>
      <c r="P1215" s="18" t="s">
        <v>3781</v>
      </c>
      <c r="Q1215" s="6" t="s">
        <v>4475</v>
      </c>
      <c r="T1215" s="23">
        <v>45898</v>
      </c>
      <c r="U1215" s="23">
        <v>49554</v>
      </c>
      <c r="X1215" s="20">
        <v>40000</v>
      </c>
      <c r="Z1215" s="6" t="s">
        <v>5978</v>
      </c>
      <c r="AA1215" s="14">
        <f t="shared" si="154"/>
        <v>5.9999999999999995E-4</v>
      </c>
      <c r="AB1215">
        <v>22.909056</v>
      </c>
      <c r="AC1215">
        <v>23.825418240000001</v>
      </c>
    </row>
    <row r="1216" spans="1:29" x14ac:dyDescent="0.3">
      <c r="A1216">
        <v>148588</v>
      </c>
      <c r="B1216" s="25" t="s">
        <v>5984</v>
      </c>
      <c r="C1216" t="s">
        <v>20</v>
      </c>
      <c r="D1216" t="s">
        <v>21</v>
      </c>
      <c r="E1216">
        <v>2222222</v>
      </c>
      <c r="F1216" s="8" t="s">
        <v>22</v>
      </c>
      <c r="G1216" s="2">
        <v>98</v>
      </c>
      <c r="H1216" t="s">
        <v>4020</v>
      </c>
      <c r="J1216" s="9" t="s">
        <v>4836</v>
      </c>
      <c r="K1216" t="s">
        <v>5410</v>
      </c>
      <c r="L1216" s="2">
        <v>1</v>
      </c>
      <c r="M1216" s="24" t="s">
        <v>5971</v>
      </c>
      <c r="N1216" s="2" t="s">
        <v>23</v>
      </c>
      <c r="O1216" s="18" t="s">
        <v>1001</v>
      </c>
      <c r="P1216" s="18" t="s">
        <v>3781</v>
      </c>
      <c r="Q1216" s="6" t="s">
        <v>4475</v>
      </c>
      <c r="T1216" s="23">
        <v>45790</v>
      </c>
      <c r="U1216" s="23">
        <v>47978</v>
      </c>
      <c r="X1216" s="20">
        <v>14040</v>
      </c>
      <c r="Z1216" s="6" t="s">
        <v>5978</v>
      </c>
      <c r="AA1216" s="14">
        <f t="shared" si="154"/>
        <v>5.9999999999999995E-4</v>
      </c>
      <c r="AB1216">
        <v>7.3399979999999996</v>
      </c>
      <c r="AC1216">
        <v>7.6335979199999997</v>
      </c>
    </row>
    <row r="1217" spans="1:29" x14ac:dyDescent="0.3">
      <c r="A1217">
        <v>151715</v>
      </c>
      <c r="B1217" s="25" t="s">
        <v>5984</v>
      </c>
      <c r="C1217" t="s">
        <v>20</v>
      </c>
      <c r="D1217" t="s">
        <v>21</v>
      </c>
      <c r="E1217">
        <v>2222222</v>
      </c>
      <c r="F1217" s="8" t="s">
        <v>22</v>
      </c>
      <c r="G1217" s="2">
        <v>98</v>
      </c>
      <c r="H1217" t="s">
        <v>4020</v>
      </c>
      <c r="J1217" s="9" t="s">
        <v>5068</v>
      </c>
      <c r="K1217" t="s">
        <v>4853</v>
      </c>
      <c r="L1217" s="2">
        <v>1</v>
      </c>
      <c r="M1217" s="24" t="s">
        <v>5971</v>
      </c>
      <c r="N1217" s="2" t="s">
        <v>23</v>
      </c>
      <c r="O1217" s="18" t="s">
        <v>1002</v>
      </c>
      <c r="P1217" s="18" t="s">
        <v>0</v>
      </c>
      <c r="Q1217" s="6" t="s">
        <v>4475</v>
      </c>
      <c r="T1217" s="23">
        <v>46182</v>
      </c>
      <c r="U1217" s="23">
        <v>46913</v>
      </c>
      <c r="X1217" s="20">
        <v>4650</v>
      </c>
      <c r="Z1217" s="6" t="s">
        <v>5978</v>
      </c>
      <c r="AA1217" s="14">
        <f t="shared" si="154"/>
        <v>5.9999999999999995E-4</v>
      </c>
      <c r="AB1217">
        <v>2.692224</v>
      </c>
      <c r="AC1217">
        <v>2.7999129599999999</v>
      </c>
    </row>
    <row r="1218" spans="1:29" x14ac:dyDescent="0.3">
      <c r="A1218">
        <v>152319</v>
      </c>
      <c r="B1218" s="25" t="s">
        <v>5984</v>
      </c>
      <c r="C1218" t="s">
        <v>20</v>
      </c>
      <c r="D1218" t="s">
        <v>21</v>
      </c>
      <c r="E1218">
        <v>2222222</v>
      </c>
      <c r="F1218" s="8" t="s">
        <v>22</v>
      </c>
      <c r="G1218" s="2">
        <v>98</v>
      </c>
      <c r="H1218" t="s">
        <v>4020</v>
      </c>
      <c r="J1218" s="9" t="s">
        <v>4904</v>
      </c>
      <c r="K1218" t="s">
        <v>5165</v>
      </c>
      <c r="L1218" s="2">
        <v>1</v>
      </c>
      <c r="M1218" s="24" t="s">
        <v>5971</v>
      </c>
      <c r="N1218" s="2" t="s">
        <v>23</v>
      </c>
      <c r="O1218" s="18" t="s">
        <v>1003</v>
      </c>
      <c r="P1218" s="18" t="s">
        <v>3781</v>
      </c>
      <c r="Q1218" s="6" t="s">
        <v>4475</v>
      </c>
      <c r="T1218" s="23">
        <v>46229</v>
      </c>
      <c r="U1218" s="23">
        <v>46417</v>
      </c>
      <c r="X1218" s="20">
        <v>900</v>
      </c>
      <c r="Z1218" s="6" t="s">
        <v>5978</v>
      </c>
      <c r="AA1218" s="14">
        <f t="shared" si="154"/>
        <v>5.9999999999999995E-4</v>
      </c>
      <c r="AB1218">
        <v>0.53999999999999992</v>
      </c>
      <c r="AC1218">
        <v>0.56159999999999999</v>
      </c>
    </row>
    <row r="1219" spans="1:29" x14ac:dyDescent="0.3">
      <c r="A1219">
        <v>121319</v>
      </c>
      <c r="B1219" s="25" t="s">
        <v>5984</v>
      </c>
      <c r="C1219" t="s">
        <v>20</v>
      </c>
      <c r="D1219" t="s">
        <v>21</v>
      </c>
      <c r="E1219">
        <v>2222222</v>
      </c>
      <c r="F1219" s="8" t="s">
        <v>22</v>
      </c>
      <c r="G1219" s="2">
        <v>98</v>
      </c>
      <c r="H1219" t="s">
        <v>4021</v>
      </c>
      <c r="J1219" s="9" t="s">
        <v>4852</v>
      </c>
      <c r="K1219" t="s">
        <v>5212</v>
      </c>
      <c r="L1219" s="2">
        <v>1</v>
      </c>
      <c r="M1219" s="24" t="s">
        <v>5971</v>
      </c>
      <c r="N1219" s="2" t="s">
        <v>23</v>
      </c>
      <c r="O1219" s="18" t="s">
        <v>1004</v>
      </c>
      <c r="P1219" s="18" t="s">
        <v>0</v>
      </c>
      <c r="Q1219" s="6" t="s">
        <v>4475</v>
      </c>
      <c r="T1219" s="23">
        <v>44368</v>
      </c>
      <c r="U1219" s="23">
        <v>46939</v>
      </c>
      <c r="X1219" s="20">
        <v>15000</v>
      </c>
      <c r="Z1219" s="6" t="s">
        <v>5978</v>
      </c>
      <c r="AA1219" s="15">
        <f>+(0.42/1000)</f>
        <v>4.1999999999999996E-4</v>
      </c>
      <c r="AB1219">
        <v>2.5669643999999998</v>
      </c>
      <c r="AC1219">
        <v>2.669642976</v>
      </c>
    </row>
    <row r="1220" spans="1:29" x14ac:dyDescent="0.3">
      <c r="A1220">
        <v>148910</v>
      </c>
      <c r="B1220" s="25" t="s">
        <v>5984</v>
      </c>
      <c r="C1220" t="s">
        <v>20</v>
      </c>
      <c r="D1220" t="s">
        <v>21</v>
      </c>
      <c r="E1220">
        <v>2222222</v>
      </c>
      <c r="F1220" s="8" t="s">
        <v>22</v>
      </c>
      <c r="G1220" s="2">
        <v>98</v>
      </c>
      <c r="H1220" t="s">
        <v>4021</v>
      </c>
      <c r="J1220" s="9" t="s">
        <v>5140</v>
      </c>
      <c r="K1220" t="s">
        <v>5166</v>
      </c>
      <c r="L1220" s="2">
        <v>1</v>
      </c>
      <c r="M1220" s="24" t="s">
        <v>5971</v>
      </c>
      <c r="N1220" s="2" t="s">
        <v>23</v>
      </c>
      <c r="O1220" s="18" t="s">
        <v>1005</v>
      </c>
      <c r="P1220" s="18" t="s">
        <v>3781</v>
      </c>
      <c r="Q1220" s="6" t="s">
        <v>4475</v>
      </c>
      <c r="T1220" s="23">
        <v>45987</v>
      </c>
      <c r="U1220" s="23">
        <v>46352</v>
      </c>
      <c r="X1220" s="20">
        <v>1260</v>
      </c>
      <c r="Z1220" s="6" t="s">
        <v>5978</v>
      </c>
      <c r="AA1220" s="14">
        <f>+(0.6/1000)</f>
        <v>5.9999999999999995E-4</v>
      </c>
      <c r="AB1220">
        <v>0.26695799999999997</v>
      </c>
      <c r="AC1220">
        <v>0.27763631999999999</v>
      </c>
    </row>
    <row r="1221" spans="1:29" x14ac:dyDescent="0.3">
      <c r="A1221">
        <v>114882</v>
      </c>
      <c r="B1221" s="25" t="s">
        <v>5984</v>
      </c>
      <c r="C1221" t="s">
        <v>20</v>
      </c>
      <c r="D1221" t="s">
        <v>21</v>
      </c>
      <c r="E1221">
        <v>2222222</v>
      </c>
      <c r="F1221" s="8" t="s">
        <v>22</v>
      </c>
      <c r="G1221" s="2">
        <v>98</v>
      </c>
      <c r="H1221" t="s">
        <v>4022</v>
      </c>
      <c r="J1221" s="9" t="s">
        <v>5411</v>
      </c>
      <c r="K1221" t="s">
        <v>5412</v>
      </c>
      <c r="L1221" s="2">
        <v>1</v>
      </c>
      <c r="M1221" s="24" t="s">
        <v>5971</v>
      </c>
      <c r="N1221" s="2" t="s">
        <v>23</v>
      </c>
      <c r="O1221" s="18" t="s">
        <v>1006</v>
      </c>
      <c r="P1221" s="18" t="s">
        <v>3781</v>
      </c>
      <c r="Q1221" s="6" t="s">
        <v>4475</v>
      </c>
      <c r="T1221" s="23">
        <v>44071</v>
      </c>
      <c r="U1221" s="23">
        <v>45184</v>
      </c>
      <c r="X1221" s="20">
        <v>3000</v>
      </c>
      <c r="Z1221" s="6" t="s">
        <v>5978</v>
      </c>
      <c r="AA1221" s="15">
        <f>+(0.42/1000)</f>
        <v>4.1999999999999996E-4</v>
      </c>
      <c r="AB1221">
        <v>0.57194339999999999</v>
      </c>
      <c r="AC1221">
        <v>0.59482113599999997</v>
      </c>
    </row>
    <row r="1222" spans="1:29" x14ac:dyDescent="0.3">
      <c r="A1222">
        <v>151962</v>
      </c>
      <c r="B1222" s="25" t="s">
        <v>5984</v>
      </c>
      <c r="C1222" t="s">
        <v>20</v>
      </c>
      <c r="D1222" t="s">
        <v>21</v>
      </c>
      <c r="E1222">
        <v>2222222</v>
      </c>
      <c r="F1222" s="8" t="s">
        <v>22</v>
      </c>
      <c r="G1222" s="2">
        <v>98</v>
      </c>
      <c r="H1222" t="s">
        <v>4023</v>
      </c>
      <c r="J1222" s="9" t="s">
        <v>5413</v>
      </c>
      <c r="K1222" t="s">
        <v>4928</v>
      </c>
      <c r="L1222" s="2">
        <v>1</v>
      </c>
      <c r="M1222" s="24" t="s">
        <v>5971</v>
      </c>
      <c r="N1222" s="2" t="s">
        <v>23</v>
      </c>
      <c r="O1222" s="18" t="s">
        <v>1007</v>
      </c>
      <c r="P1222" s="18" t="s">
        <v>3781</v>
      </c>
      <c r="Q1222" s="6" t="s">
        <v>4475</v>
      </c>
      <c r="T1222" s="23">
        <v>46202</v>
      </c>
      <c r="U1222" s="23">
        <v>46385</v>
      </c>
      <c r="X1222" s="20">
        <v>1000</v>
      </c>
      <c r="Z1222" s="6" t="s">
        <v>5978</v>
      </c>
      <c r="AA1222" s="14">
        <f>+(0.6/1000)</f>
        <v>5.9999999999999995E-4</v>
      </c>
      <c r="AB1222">
        <v>0.50341799999999992</v>
      </c>
      <c r="AC1222">
        <v>0.52355471999999992</v>
      </c>
    </row>
    <row r="1223" spans="1:29" x14ac:dyDescent="0.3">
      <c r="A1223">
        <v>115234</v>
      </c>
      <c r="B1223" s="25" t="s">
        <v>5984</v>
      </c>
      <c r="C1223" t="s">
        <v>20</v>
      </c>
      <c r="D1223" t="s">
        <v>21</v>
      </c>
      <c r="E1223">
        <v>2222222</v>
      </c>
      <c r="F1223" s="8" t="s">
        <v>22</v>
      </c>
      <c r="G1223" s="2">
        <v>98</v>
      </c>
      <c r="H1223" t="s">
        <v>4024</v>
      </c>
      <c r="J1223" s="9" t="s">
        <v>4826</v>
      </c>
      <c r="K1223" t="s">
        <v>4841</v>
      </c>
      <c r="L1223" s="2">
        <v>1</v>
      </c>
      <c r="M1223" s="24" t="s">
        <v>5971</v>
      </c>
      <c r="N1223" s="2" t="s">
        <v>23</v>
      </c>
      <c r="O1223" s="18" t="s">
        <v>1008</v>
      </c>
      <c r="P1223" s="18" t="s">
        <v>0</v>
      </c>
      <c r="Q1223" s="6" t="s">
        <v>4475</v>
      </c>
      <c r="T1223" s="23">
        <v>44098</v>
      </c>
      <c r="U1223" s="23">
        <v>46661</v>
      </c>
      <c r="X1223" s="20">
        <v>25000</v>
      </c>
      <c r="Z1223" s="6" t="s">
        <v>5978</v>
      </c>
      <c r="AA1223" s="15">
        <f>+(0.42/1000)</f>
        <v>4.1999999999999996E-4</v>
      </c>
      <c r="AB1223">
        <v>2.9938691999999998</v>
      </c>
      <c r="AC1223">
        <v>3.1136239679999997</v>
      </c>
    </row>
    <row r="1224" spans="1:29" x14ac:dyDescent="0.3">
      <c r="A1224">
        <v>133594</v>
      </c>
      <c r="B1224" s="25" t="s">
        <v>5984</v>
      </c>
      <c r="C1224" t="s">
        <v>20</v>
      </c>
      <c r="D1224" t="s">
        <v>21</v>
      </c>
      <c r="E1224">
        <v>2222222</v>
      </c>
      <c r="F1224" s="8" t="s">
        <v>22</v>
      </c>
      <c r="G1224" s="2">
        <v>98</v>
      </c>
      <c r="H1224" t="s">
        <v>4024</v>
      </c>
      <c r="J1224" s="9" t="s">
        <v>5414</v>
      </c>
      <c r="K1224" t="s">
        <v>5415</v>
      </c>
      <c r="L1224" s="2">
        <v>1</v>
      </c>
      <c r="M1224" s="24" t="s">
        <v>5971</v>
      </c>
      <c r="N1224" s="2" t="s">
        <v>23</v>
      </c>
      <c r="O1224" s="18" t="s">
        <v>1009</v>
      </c>
      <c r="P1224" s="18" t="s">
        <v>3781</v>
      </c>
      <c r="Q1224" s="6" t="s">
        <v>4475</v>
      </c>
      <c r="T1224" s="23">
        <v>45008</v>
      </c>
      <c r="U1224" s="23">
        <v>46468</v>
      </c>
      <c r="X1224" s="20">
        <v>5000</v>
      </c>
      <c r="Z1224" s="6" t="s">
        <v>5978</v>
      </c>
      <c r="AA1224" s="13">
        <f t="shared" ref="AA1224:AA1225" si="155">+(0.56/1000)</f>
        <v>5.6000000000000006E-4</v>
      </c>
      <c r="AB1224">
        <v>1.8846184000000001</v>
      </c>
      <c r="AC1224">
        <v>1.9600031360000003</v>
      </c>
    </row>
    <row r="1225" spans="1:29" x14ac:dyDescent="0.3">
      <c r="A1225">
        <v>139064</v>
      </c>
      <c r="B1225" s="25" t="s">
        <v>5984</v>
      </c>
      <c r="C1225" t="s">
        <v>20</v>
      </c>
      <c r="D1225" t="s">
        <v>21</v>
      </c>
      <c r="E1225">
        <v>2222222</v>
      </c>
      <c r="F1225" s="8" t="s">
        <v>22</v>
      </c>
      <c r="G1225" s="2">
        <v>98</v>
      </c>
      <c r="H1225" t="s">
        <v>4024</v>
      </c>
      <c r="J1225" s="9" t="s">
        <v>5172</v>
      </c>
      <c r="K1225" t="s">
        <v>5160</v>
      </c>
      <c r="L1225" s="2">
        <v>1</v>
      </c>
      <c r="M1225" s="24" t="s">
        <v>5971</v>
      </c>
      <c r="N1225" s="2" t="s">
        <v>23</v>
      </c>
      <c r="O1225" s="18" t="s">
        <v>1010</v>
      </c>
      <c r="P1225" s="18" t="s">
        <v>0</v>
      </c>
      <c r="Q1225" s="6" t="s">
        <v>4475</v>
      </c>
      <c r="T1225" s="23">
        <v>45315</v>
      </c>
      <c r="U1225" s="23">
        <v>46775</v>
      </c>
      <c r="X1225" s="20">
        <v>5000</v>
      </c>
      <c r="Z1225" s="6" t="s">
        <v>5978</v>
      </c>
      <c r="AA1225" s="13">
        <f t="shared" si="155"/>
        <v>5.6000000000000006E-4</v>
      </c>
      <c r="AB1225">
        <v>2.5530456000000004</v>
      </c>
      <c r="AC1225">
        <v>2.6551674240000005</v>
      </c>
    </row>
    <row r="1226" spans="1:29" x14ac:dyDescent="0.3">
      <c r="A1226">
        <v>140508</v>
      </c>
      <c r="B1226" s="25" t="s">
        <v>5984</v>
      </c>
      <c r="C1226" t="s">
        <v>20</v>
      </c>
      <c r="D1226" t="s">
        <v>21</v>
      </c>
      <c r="E1226">
        <v>2222222</v>
      </c>
      <c r="F1226" s="8" t="s">
        <v>22</v>
      </c>
      <c r="G1226" s="2">
        <v>98</v>
      </c>
      <c r="H1226" t="s">
        <v>4024</v>
      </c>
      <c r="J1226" s="9" t="s">
        <v>5414</v>
      </c>
      <c r="K1226" t="s">
        <v>5415</v>
      </c>
      <c r="L1226" s="2">
        <v>1</v>
      </c>
      <c r="M1226" s="24" t="s">
        <v>5971</v>
      </c>
      <c r="N1226" s="2" t="s">
        <v>23</v>
      </c>
      <c r="O1226" s="18" t="s">
        <v>1009</v>
      </c>
      <c r="P1226" s="18" t="s">
        <v>3781</v>
      </c>
      <c r="Q1226" s="6" t="s">
        <v>4475</v>
      </c>
      <c r="T1226" s="23">
        <v>45422</v>
      </c>
      <c r="U1226" s="23">
        <v>47612</v>
      </c>
      <c r="X1226" s="20">
        <v>20000</v>
      </c>
      <c r="Z1226" s="6" t="s">
        <v>5978</v>
      </c>
      <c r="AA1226" s="14">
        <f t="shared" ref="AA1226:AA1231" si="156">+(0.6/1000)</f>
        <v>5.9999999999999995E-4</v>
      </c>
      <c r="AB1226">
        <v>11.595203999999999</v>
      </c>
      <c r="AC1226">
        <v>12.05901216</v>
      </c>
    </row>
    <row r="1227" spans="1:29" x14ac:dyDescent="0.3">
      <c r="A1227">
        <v>144585</v>
      </c>
      <c r="B1227" s="25" t="s">
        <v>5984</v>
      </c>
      <c r="C1227" t="s">
        <v>20</v>
      </c>
      <c r="D1227" t="s">
        <v>21</v>
      </c>
      <c r="E1227">
        <v>2222222</v>
      </c>
      <c r="F1227" s="8" t="s">
        <v>22</v>
      </c>
      <c r="G1227" s="2">
        <v>98</v>
      </c>
      <c r="H1227" t="s">
        <v>4024</v>
      </c>
      <c r="J1227" s="9" t="s">
        <v>4981</v>
      </c>
      <c r="K1227" t="s">
        <v>4861</v>
      </c>
      <c r="L1227" s="2">
        <v>1</v>
      </c>
      <c r="M1227" s="24" t="s">
        <v>5971</v>
      </c>
      <c r="N1227" s="2" t="s">
        <v>23</v>
      </c>
      <c r="O1227" s="18" t="s">
        <v>1011</v>
      </c>
      <c r="P1227" s="18" t="s">
        <v>3781</v>
      </c>
      <c r="Q1227" s="6" t="s">
        <v>4475</v>
      </c>
      <c r="T1227" s="23">
        <v>45682</v>
      </c>
      <c r="U1227" s="23">
        <v>46411</v>
      </c>
      <c r="X1227" s="20">
        <v>10000</v>
      </c>
      <c r="Z1227" s="6" t="s">
        <v>5978</v>
      </c>
      <c r="AA1227" s="14">
        <f t="shared" si="156"/>
        <v>5.9999999999999995E-4</v>
      </c>
      <c r="AB1227">
        <v>1.9475159999999998</v>
      </c>
      <c r="AC1227">
        <v>2.02541664</v>
      </c>
    </row>
    <row r="1228" spans="1:29" x14ac:dyDescent="0.3">
      <c r="A1228">
        <v>150849</v>
      </c>
      <c r="B1228" s="25" t="s">
        <v>5984</v>
      </c>
      <c r="C1228" t="s">
        <v>20</v>
      </c>
      <c r="D1228" t="s">
        <v>21</v>
      </c>
      <c r="E1228">
        <v>2222222</v>
      </c>
      <c r="F1228" s="8" t="s">
        <v>22</v>
      </c>
      <c r="G1228" s="2">
        <v>98</v>
      </c>
      <c r="H1228" t="s">
        <v>4024</v>
      </c>
      <c r="J1228" s="9" t="s">
        <v>5416</v>
      </c>
      <c r="K1228" t="s">
        <v>5417</v>
      </c>
      <c r="L1228" s="2">
        <v>1</v>
      </c>
      <c r="M1228" s="24" t="s">
        <v>5971</v>
      </c>
      <c r="N1228" s="2" t="s">
        <v>23</v>
      </c>
      <c r="O1228" s="18" t="s">
        <v>1012</v>
      </c>
      <c r="P1228" s="18" t="s">
        <v>3781</v>
      </c>
      <c r="Q1228" s="6" t="s">
        <v>4475</v>
      </c>
      <c r="T1228" s="23">
        <v>46127</v>
      </c>
      <c r="U1228" s="23">
        <v>49780</v>
      </c>
      <c r="X1228" s="20">
        <v>20700</v>
      </c>
      <c r="Z1228" s="6" t="s">
        <v>5978</v>
      </c>
      <c r="AA1228" s="14">
        <f t="shared" si="156"/>
        <v>5.9999999999999995E-4</v>
      </c>
      <c r="AB1228">
        <v>12.283313999999999</v>
      </c>
      <c r="AC1228">
        <v>12.774646559999999</v>
      </c>
    </row>
    <row r="1229" spans="1:29" x14ac:dyDescent="0.3">
      <c r="A1229">
        <v>151208</v>
      </c>
      <c r="B1229" s="25" t="s">
        <v>5984</v>
      </c>
      <c r="C1229" t="s">
        <v>20</v>
      </c>
      <c r="D1229" t="s">
        <v>21</v>
      </c>
      <c r="E1229">
        <v>2222222</v>
      </c>
      <c r="F1229" s="8" t="s">
        <v>22</v>
      </c>
      <c r="G1229" s="2">
        <v>98</v>
      </c>
      <c r="H1229" t="s">
        <v>4024</v>
      </c>
      <c r="J1229" s="9" t="s">
        <v>5418</v>
      </c>
      <c r="K1229" t="s">
        <v>4948</v>
      </c>
      <c r="L1229" s="2">
        <v>1</v>
      </c>
      <c r="M1229" s="24" t="s">
        <v>5971</v>
      </c>
      <c r="N1229" s="2" t="s">
        <v>23</v>
      </c>
      <c r="O1229" s="18" t="s">
        <v>1013</v>
      </c>
      <c r="P1229" s="18" t="s">
        <v>0</v>
      </c>
      <c r="Q1229" s="6" t="s">
        <v>4475</v>
      </c>
      <c r="T1229" s="23">
        <v>46154</v>
      </c>
      <c r="U1229" s="23">
        <v>49806</v>
      </c>
      <c r="X1229" s="20">
        <v>25000</v>
      </c>
      <c r="Z1229" s="6" t="s">
        <v>5978</v>
      </c>
      <c r="AA1229" s="14">
        <f t="shared" si="156"/>
        <v>5.9999999999999995E-4</v>
      </c>
      <c r="AB1229">
        <v>14.886455999999997</v>
      </c>
      <c r="AC1229">
        <v>15.481914239999998</v>
      </c>
    </row>
    <row r="1230" spans="1:29" x14ac:dyDescent="0.3">
      <c r="A1230">
        <v>144536</v>
      </c>
      <c r="B1230" s="25" t="s">
        <v>5984</v>
      </c>
      <c r="C1230" t="s">
        <v>20</v>
      </c>
      <c r="D1230" t="s">
        <v>21</v>
      </c>
      <c r="E1230">
        <v>2222222</v>
      </c>
      <c r="F1230" s="8" t="s">
        <v>22</v>
      </c>
      <c r="G1230" s="2">
        <v>98</v>
      </c>
      <c r="H1230" t="s">
        <v>4025</v>
      </c>
      <c r="J1230" s="9" t="s">
        <v>4955</v>
      </c>
      <c r="K1230" t="s">
        <v>5039</v>
      </c>
      <c r="L1230" s="2">
        <v>1</v>
      </c>
      <c r="M1230" s="24" t="s">
        <v>5971</v>
      </c>
      <c r="N1230" s="2" t="s">
        <v>23</v>
      </c>
      <c r="O1230" s="18" t="s">
        <v>1014</v>
      </c>
      <c r="P1230" s="18" t="s">
        <v>3781</v>
      </c>
      <c r="Q1230" s="6" t="s">
        <v>4475</v>
      </c>
      <c r="T1230" s="23">
        <v>45676</v>
      </c>
      <c r="U1230" s="23">
        <v>47501</v>
      </c>
      <c r="X1230" s="20">
        <v>4650</v>
      </c>
      <c r="Z1230" s="6" t="s">
        <v>5978</v>
      </c>
      <c r="AA1230" s="14">
        <f t="shared" si="156"/>
        <v>5.9999999999999995E-4</v>
      </c>
      <c r="AB1230">
        <v>2.6897879999999996</v>
      </c>
      <c r="AC1230">
        <v>2.7973795199999998</v>
      </c>
    </row>
    <row r="1231" spans="1:29" x14ac:dyDescent="0.3">
      <c r="A1231">
        <v>148775</v>
      </c>
      <c r="B1231" s="25" t="s">
        <v>5984</v>
      </c>
      <c r="C1231" t="s">
        <v>20</v>
      </c>
      <c r="D1231" t="s">
        <v>21</v>
      </c>
      <c r="E1231">
        <v>2222222</v>
      </c>
      <c r="F1231" s="8" t="s">
        <v>22</v>
      </c>
      <c r="G1231" s="2">
        <v>98</v>
      </c>
      <c r="H1231" t="s">
        <v>4025</v>
      </c>
      <c r="J1231" s="9" t="s">
        <v>5110</v>
      </c>
      <c r="K1231" t="s">
        <v>5404</v>
      </c>
      <c r="L1231" s="2">
        <v>1</v>
      </c>
      <c r="M1231" s="24" t="s">
        <v>5971</v>
      </c>
      <c r="N1231" s="2" t="s">
        <v>23</v>
      </c>
      <c r="O1231" s="18" t="s">
        <v>1015</v>
      </c>
      <c r="P1231" s="18" t="s">
        <v>3781</v>
      </c>
      <c r="Q1231" s="6" t="s">
        <v>4475</v>
      </c>
      <c r="T1231" s="23">
        <v>45979</v>
      </c>
      <c r="U1231" s="23">
        <v>47440</v>
      </c>
      <c r="X1231" s="20">
        <v>5000</v>
      </c>
      <c r="Z1231" s="6" t="s">
        <v>5978</v>
      </c>
      <c r="AA1231" s="14">
        <f t="shared" si="156"/>
        <v>5.9999999999999995E-4</v>
      </c>
      <c r="AB1231">
        <v>2.6360219999999996</v>
      </c>
      <c r="AC1231">
        <v>2.7414628799999998</v>
      </c>
    </row>
    <row r="1232" spans="1:29" x14ac:dyDescent="0.3">
      <c r="A1232">
        <v>135636</v>
      </c>
      <c r="B1232" s="25" t="s">
        <v>5984</v>
      </c>
      <c r="C1232" t="s">
        <v>20</v>
      </c>
      <c r="D1232" t="s">
        <v>21</v>
      </c>
      <c r="E1232">
        <v>2222222</v>
      </c>
      <c r="F1232" s="8" t="s">
        <v>22</v>
      </c>
      <c r="G1232" s="2">
        <v>98</v>
      </c>
      <c r="H1232" t="s">
        <v>4026</v>
      </c>
      <c r="J1232" s="9" t="s">
        <v>5093</v>
      </c>
      <c r="K1232" t="s">
        <v>4884</v>
      </c>
      <c r="L1232" s="2">
        <v>1</v>
      </c>
      <c r="M1232" s="24" t="s">
        <v>5971</v>
      </c>
      <c r="N1232" s="2" t="s">
        <v>23</v>
      </c>
      <c r="O1232" s="18" t="s">
        <v>1016</v>
      </c>
      <c r="P1232" s="18" t="s">
        <v>3781</v>
      </c>
      <c r="Q1232" s="6" t="s">
        <v>4475</v>
      </c>
      <c r="T1232" s="23">
        <v>45132</v>
      </c>
      <c r="U1232" s="23">
        <v>48784</v>
      </c>
      <c r="X1232" s="20">
        <v>16000</v>
      </c>
      <c r="Z1232" s="6" t="s">
        <v>5978</v>
      </c>
      <c r="AA1232" s="13">
        <f>+(0.56/1000)</f>
        <v>5.6000000000000006E-4</v>
      </c>
      <c r="AB1232">
        <v>7.5724544000000007</v>
      </c>
      <c r="AC1232">
        <v>7.8753525760000009</v>
      </c>
    </row>
    <row r="1233" spans="1:29" x14ac:dyDescent="0.3">
      <c r="A1233">
        <v>148974</v>
      </c>
      <c r="B1233" s="25" t="s">
        <v>5984</v>
      </c>
      <c r="C1233" t="s">
        <v>20</v>
      </c>
      <c r="D1233" t="s">
        <v>21</v>
      </c>
      <c r="E1233">
        <v>2222222</v>
      </c>
      <c r="F1233" s="8" t="s">
        <v>22</v>
      </c>
      <c r="G1233" s="2">
        <v>98</v>
      </c>
      <c r="H1233" t="s">
        <v>4027</v>
      </c>
      <c r="J1233" s="9" t="s">
        <v>5419</v>
      </c>
      <c r="K1233" t="s">
        <v>5420</v>
      </c>
      <c r="L1233" s="2">
        <v>1</v>
      </c>
      <c r="M1233" s="24" t="s">
        <v>5971</v>
      </c>
      <c r="N1233" s="2" t="s">
        <v>23</v>
      </c>
      <c r="O1233" s="18" t="s">
        <v>1017</v>
      </c>
      <c r="P1233" s="18" t="s">
        <v>0</v>
      </c>
      <c r="Q1233" s="6" t="s">
        <v>4475</v>
      </c>
      <c r="T1233" s="23">
        <v>45992</v>
      </c>
      <c r="U1233" s="23">
        <v>47452</v>
      </c>
      <c r="X1233" s="20">
        <v>60000</v>
      </c>
      <c r="Z1233" s="6" t="s">
        <v>5978</v>
      </c>
      <c r="AA1233" s="14">
        <f t="shared" ref="AA1233:AA1234" si="157">+(0.6/1000)</f>
        <v>5.9999999999999995E-4</v>
      </c>
      <c r="AB1233">
        <v>31.382321999999998</v>
      </c>
      <c r="AC1233">
        <v>32.637614880000001</v>
      </c>
    </row>
    <row r="1234" spans="1:29" x14ac:dyDescent="0.3">
      <c r="A1234">
        <v>151952</v>
      </c>
      <c r="B1234" s="25" t="s">
        <v>5984</v>
      </c>
      <c r="C1234" t="s">
        <v>20</v>
      </c>
      <c r="D1234" t="s">
        <v>21</v>
      </c>
      <c r="E1234">
        <v>2222222</v>
      </c>
      <c r="F1234" s="8" t="s">
        <v>22</v>
      </c>
      <c r="G1234" s="2">
        <v>98</v>
      </c>
      <c r="H1234" t="s">
        <v>4027</v>
      </c>
      <c r="J1234" s="9" t="s">
        <v>5053</v>
      </c>
      <c r="K1234" t="s">
        <v>4966</v>
      </c>
      <c r="L1234" s="2">
        <v>1</v>
      </c>
      <c r="M1234" s="24" t="s">
        <v>5971</v>
      </c>
      <c r="N1234" s="2" t="s">
        <v>23</v>
      </c>
      <c r="O1234" s="18" t="s">
        <v>1018</v>
      </c>
      <c r="P1234" s="18" t="s">
        <v>0</v>
      </c>
      <c r="Q1234" s="6" t="s">
        <v>4475</v>
      </c>
      <c r="T1234" s="23">
        <v>46201</v>
      </c>
      <c r="U1234" s="23">
        <v>47297</v>
      </c>
      <c r="X1234" s="20">
        <v>3335</v>
      </c>
      <c r="Z1234" s="6" t="s">
        <v>5978</v>
      </c>
      <c r="AA1234" s="14">
        <f t="shared" si="157"/>
        <v>5.9999999999999995E-4</v>
      </c>
      <c r="AB1234">
        <v>1.9584239999999997</v>
      </c>
      <c r="AC1234">
        <v>2.0367609599999996</v>
      </c>
    </row>
    <row r="1235" spans="1:29" x14ac:dyDescent="0.3">
      <c r="A1235">
        <v>138272</v>
      </c>
      <c r="B1235" s="25" t="s">
        <v>5984</v>
      </c>
      <c r="C1235" t="s">
        <v>20</v>
      </c>
      <c r="D1235" t="s">
        <v>21</v>
      </c>
      <c r="E1235">
        <v>2222222</v>
      </c>
      <c r="F1235" s="8" t="s">
        <v>22</v>
      </c>
      <c r="G1235" s="2">
        <v>98</v>
      </c>
      <c r="H1235" t="s">
        <v>4028</v>
      </c>
      <c r="J1235" s="9" t="s">
        <v>4925</v>
      </c>
      <c r="K1235" t="s">
        <v>5039</v>
      </c>
      <c r="L1235" s="2">
        <v>1</v>
      </c>
      <c r="M1235" s="24" t="s">
        <v>5971</v>
      </c>
      <c r="N1235" s="2" t="s">
        <v>23</v>
      </c>
      <c r="O1235" s="18" t="s">
        <v>1019</v>
      </c>
      <c r="P1235" s="18" t="s">
        <v>3781</v>
      </c>
      <c r="Q1235" s="6" t="s">
        <v>4475</v>
      </c>
      <c r="T1235" s="23">
        <v>45273</v>
      </c>
      <c r="U1235" s="23">
        <v>47829</v>
      </c>
      <c r="X1235" s="20">
        <v>25000</v>
      </c>
      <c r="Z1235" s="6" t="s">
        <v>5978</v>
      </c>
      <c r="AA1235" s="13">
        <f>+(0.56/1000)</f>
        <v>5.6000000000000006E-4</v>
      </c>
      <c r="AB1235">
        <v>4.3385776000000007</v>
      </c>
      <c r="AC1235">
        <v>4.5121207040000009</v>
      </c>
    </row>
    <row r="1236" spans="1:29" x14ac:dyDescent="0.3">
      <c r="A1236">
        <v>143141</v>
      </c>
      <c r="B1236" s="25" t="s">
        <v>5984</v>
      </c>
      <c r="C1236" t="s">
        <v>20</v>
      </c>
      <c r="D1236" t="s">
        <v>21</v>
      </c>
      <c r="E1236">
        <v>2222222</v>
      </c>
      <c r="F1236" s="8" t="s">
        <v>22</v>
      </c>
      <c r="G1236" s="2">
        <v>98</v>
      </c>
      <c r="H1236" t="s">
        <v>4028</v>
      </c>
      <c r="J1236" s="9" t="s">
        <v>4900</v>
      </c>
      <c r="K1236" t="s">
        <v>5421</v>
      </c>
      <c r="L1236" s="2">
        <v>1</v>
      </c>
      <c r="M1236" s="24" t="s">
        <v>5971</v>
      </c>
      <c r="N1236" s="2" t="s">
        <v>23</v>
      </c>
      <c r="O1236" s="18" t="s">
        <v>1020</v>
      </c>
      <c r="P1236" s="18" t="s">
        <v>0</v>
      </c>
      <c r="Q1236" s="6" t="s">
        <v>4475</v>
      </c>
      <c r="T1236" s="23">
        <v>45568</v>
      </c>
      <c r="U1236" s="23">
        <v>46754</v>
      </c>
      <c r="X1236" s="20">
        <v>4000</v>
      </c>
      <c r="Z1236" s="6" t="s">
        <v>5978</v>
      </c>
      <c r="AA1236" s="14">
        <f>+(0.6/1000)</f>
        <v>5.9999999999999995E-4</v>
      </c>
      <c r="AB1236">
        <v>1.3688339999999999</v>
      </c>
      <c r="AC1236">
        <v>1.42358736</v>
      </c>
    </row>
    <row r="1237" spans="1:29" x14ac:dyDescent="0.3">
      <c r="A1237">
        <v>51258</v>
      </c>
      <c r="B1237" s="25" t="s">
        <v>5984</v>
      </c>
      <c r="C1237" t="s">
        <v>20</v>
      </c>
      <c r="D1237" t="s">
        <v>21</v>
      </c>
      <c r="E1237">
        <v>2222222</v>
      </c>
      <c r="F1237" s="8" t="s">
        <v>22</v>
      </c>
      <c r="G1237" s="2">
        <v>98</v>
      </c>
      <c r="H1237" t="s">
        <v>4029</v>
      </c>
      <c r="J1237" s="9" t="s">
        <v>4836</v>
      </c>
      <c r="K1237" t="s">
        <v>5170</v>
      </c>
      <c r="L1237" s="2">
        <v>1</v>
      </c>
      <c r="M1237" s="24" t="s">
        <v>5971</v>
      </c>
      <c r="N1237" s="2" t="s">
        <v>23</v>
      </c>
      <c r="O1237" s="18" t="s">
        <v>1021</v>
      </c>
      <c r="P1237" s="18" t="s">
        <v>3781</v>
      </c>
      <c r="Q1237" s="6" t="s">
        <v>4475</v>
      </c>
      <c r="T1237" s="23">
        <v>40815</v>
      </c>
      <c r="U1237" s="23">
        <v>42276</v>
      </c>
      <c r="X1237" s="20">
        <v>8000</v>
      </c>
      <c r="Z1237" s="6" t="s">
        <v>5978</v>
      </c>
      <c r="AA1237" s="16">
        <f>+(0.36/1000)</f>
        <v>3.5999999999999997E-4</v>
      </c>
      <c r="AB1237">
        <v>2.0317392000000001</v>
      </c>
      <c r="AC1237">
        <v>2.1130087680000003</v>
      </c>
    </row>
    <row r="1238" spans="1:29" x14ac:dyDescent="0.3">
      <c r="A1238">
        <v>122684</v>
      </c>
      <c r="B1238" s="25" t="s">
        <v>5984</v>
      </c>
      <c r="C1238" t="s">
        <v>20</v>
      </c>
      <c r="D1238" t="s">
        <v>21</v>
      </c>
      <c r="E1238">
        <v>2222222</v>
      </c>
      <c r="F1238" s="8" t="s">
        <v>22</v>
      </c>
      <c r="G1238" s="2">
        <v>98</v>
      </c>
      <c r="H1238" t="s">
        <v>4029</v>
      </c>
      <c r="J1238" s="9" t="s">
        <v>5068</v>
      </c>
      <c r="K1238" t="s">
        <v>5085</v>
      </c>
      <c r="L1238" s="2">
        <v>1</v>
      </c>
      <c r="M1238" s="24" t="s">
        <v>5971</v>
      </c>
      <c r="N1238" s="2" t="s">
        <v>23</v>
      </c>
      <c r="O1238" s="18" t="s">
        <v>1022</v>
      </c>
      <c r="P1238" s="18" t="s">
        <v>0</v>
      </c>
      <c r="Q1238" s="6" t="s">
        <v>4475</v>
      </c>
      <c r="T1238" s="23">
        <v>44435</v>
      </c>
      <c r="U1238" s="23">
        <v>46997</v>
      </c>
      <c r="X1238" s="20">
        <v>25000</v>
      </c>
      <c r="Z1238" s="6" t="s">
        <v>5978</v>
      </c>
      <c r="AA1238" s="15">
        <f>+(0.42/1000)</f>
        <v>4.1999999999999996E-4</v>
      </c>
      <c r="AB1238">
        <v>10.2241608</v>
      </c>
      <c r="AC1238">
        <v>10.633127232</v>
      </c>
    </row>
    <row r="1239" spans="1:29" x14ac:dyDescent="0.3">
      <c r="A1239">
        <v>133775</v>
      </c>
      <c r="B1239" s="25" t="s">
        <v>5984</v>
      </c>
      <c r="C1239" t="s">
        <v>20</v>
      </c>
      <c r="D1239" t="s">
        <v>21</v>
      </c>
      <c r="E1239">
        <v>2222222</v>
      </c>
      <c r="F1239" s="8" t="s">
        <v>22</v>
      </c>
      <c r="G1239" s="2">
        <v>98</v>
      </c>
      <c r="H1239" t="s">
        <v>4029</v>
      </c>
      <c r="J1239" s="9" t="s">
        <v>4815</v>
      </c>
      <c r="K1239" t="s">
        <v>4950</v>
      </c>
      <c r="L1239" s="2">
        <v>1</v>
      </c>
      <c r="M1239" s="24" t="s">
        <v>5971</v>
      </c>
      <c r="N1239" s="2" t="s">
        <v>23</v>
      </c>
      <c r="O1239" s="18" t="s">
        <v>1023</v>
      </c>
      <c r="P1239" s="18" t="s">
        <v>0</v>
      </c>
      <c r="Q1239" s="6" t="s">
        <v>4475</v>
      </c>
      <c r="T1239" s="23">
        <v>45016</v>
      </c>
      <c r="U1239" s="23">
        <v>47937</v>
      </c>
      <c r="X1239" s="20">
        <v>20310</v>
      </c>
      <c r="Z1239" s="6" t="s">
        <v>5978</v>
      </c>
      <c r="AA1239" s="13">
        <f>+(0.56/1000)</f>
        <v>5.6000000000000006E-4</v>
      </c>
      <c r="AB1239">
        <v>7.8658272000000009</v>
      </c>
      <c r="AC1239">
        <v>8.1804602880000008</v>
      </c>
    </row>
    <row r="1240" spans="1:29" x14ac:dyDescent="0.3">
      <c r="A1240">
        <v>143696</v>
      </c>
      <c r="B1240" s="25" t="s">
        <v>5984</v>
      </c>
      <c r="C1240" t="s">
        <v>20</v>
      </c>
      <c r="D1240" t="s">
        <v>21</v>
      </c>
      <c r="E1240">
        <v>2222222</v>
      </c>
      <c r="F1240" s="8" t="s">
        <v>22</v>
      </c>
      <c r="G1240" s="2">
        <v>98</v>
      </c>
      <c r="H1240" t="s">
        <v>4029</v>
      </c>
      <c r="J1240" s="9" t="s">
        <v>5095</v>
      </c>
      <c r="K1240" t="s">
        <v>4861</v>
      </c>
      <c r="L1240" s="2">
        <v>1</v>
      </c>
      <c r="M1240" s="24" t="s">
        <v>5971</v>
      </c>
      <c r="N1240" s="2" t="s">
        <v>23</v>
      </c>
      <c r="O1240" s="18" t="s">
        <v>1024</v>
      </c>
      <c r="P1240" s="18" t="s">
        <v>3781</v>
      </c>
      <c r="Q1240" s="6" t="s">
        <v>4475</v>
      </c>
      <c r="T1240" s="23">
        <v>45611</v>
      </c>
      <c r="U1240" s="23">
        <v>47164</v>
      </c>
      <c r="X1240" s="20">
        <v>3000</v>
      </c>
      <c r="Z1240" s="6" t="s">
        <v>5978</v>
      </c>
      <c r="AA1240" s="14">
        <f t="shared" ref="AA1240:AA1248" si="158">+(0.6/1000)</f>
        <v>5.9999999999999995E-4</v>
      </c>
      <c r="AB1240">
        <v>1.343418</v>
      </c>
      <c r="AC1240">
        <v>1.3971547200000001</v>
      </c>
    </row>
    <row r="1241" spans="1:29" x14ac:dyDescent="0.3">
      <c r="A1241">
        <v>144855</v>
      </c>
      <c r="B1241" s="25" t="s">
        <v>5984</v>
      </c>
      <c r="C1241" t="s">
        <v>20</v>
      </c>
      <c r="D1241" t="s">
        <v>21</v>
      </c>
      <c r="E1241">
        <v>2222222</v>
      </c>
      <c r="F1241" s="8" t="s">
        <v>22</v>
      </c>
      <c r="G1241" s="2">
        <v>98</v>
      </c>
      <c r="H1241" t="s">
        <v>4029</v>
      </c>
      <c r="J1241" s="9" t="s">
        <v>4970</v>
      </c>
      <c r="K1241" t="s">
        <v>5090</v>
      </c>
      <c r="L1241" s="2">
        <v>1</v>
      </c>
      <c r="M1241" s="24" t="s">
        <v>5971</v>
      </c>
      <c r="N1241" s="2" t="s">
        <v>23</v>
      </c>
      <c r="O1241" s="18" t="s">
        <v>1025</v>
      </c>
      <c r="P1241" s="18" t="s">
        <v>3781</v>
      </c>
      <c r="Q1241" s="6" t="s">
        <v>4475</v>
      </c>
      <c r="T1241" s="23">
        <v>45692</v>
      </c>
      <c r="U1241" s="23">
        <v>46789</v>
      </c>
      <c r="X1241" s="20">
        <v>3000</v>
      </c>
      <c r="Z1241" s="6" t="s">
        <v>5978</v>
      </c>
      <c r="AA1241" s="14">
        <f t="shared" si="158"/>
        <v>5.9999999999999995E-4</v>
      </c>
      <c r="AB1241">
        <v>1.160226</v>
      </c>
      <c r="AC1241">
        <v>1.2066350400000001</v>
      </c>
    </row>
    <row r="1242" spans="1:29" x14ac:dyDescent="0.3">
      <c r="A1242">
        <v>146226</v>
      </c>
      <c r="B1242" s="25" t="s">
        <v>5984</v>
      </c>
      <c r="C1242" t="s">
        <v>20</v>
      </c>
      <c r="D1242" t="s">
        <v>21</v>
      </c>
      <c r="E1242">
        <v>2222222</v>
      </c>
      <c r="F1242" s="8" t="s">
        <v>22</v>
      </c>
      <c r="G1242" s="2">
        <v>98</v>
      </c>
      <c r="H1242" t="s">
        <v>4029</v>
      </c>
      <c r="J1242" s="9" t="s">
        <v>5422</v>
      </c>
      <c r="K1242" t="s">
        <v>4926</v>
      </c>
      <c r="L1242" s="2">
        <v>1</v>
      </c>
      <c r="M1242" s="24" t="s">
        <v>5971</v>
      </c>
      <c r="N1242" s="2" t="s">
        <v>23</v>
      </c>
      <c r="O1242" s="18" t="s">
        <v>1026</v>
      </c>
      <c r="P1242" s="18" t="s">
        <v>3781</v>
      </c>
      <c r="Q1242" s="6" t="s">
        <v>4475</v>
      </c>
      <c r="T1242" s="23">
        <v>45802</v>
      </c>
      <c r="U1242" s="23">
        <v>46897</v>
      </c>
      <c r="X1242" s="20">
        <v>3380</v>
      </c>
      <c r="Z1242" s="6" t="s">
        <v>5978</v>
      </c>
      <c r="AA1242" s="14">
        <f t="shared" si="158"/>
        <v>5.9999999999999995E-4</v>
      </c>
      <c r="AB1242">
        <v>1.3594919999999999</v>
      </c>
      <c r="AC1242">
        <v>1.41387168</v>
      </c>
    </row>
    <row r="1243" spans="1:29" x14ac:dyDescent="0.3">
      <c r="A1243">
        <v>146732</v>
      </c>
      <c r="B1243" s="25" t="s">
        <v>5984</v>
      </c>
      <c r="C1243" t="s">
        <v>20</v>
      </c>
      <c r="D1243" t="s">
        <v>21</v>
      </c>
      <c r="E1243">
        <v>2222222</v>
      </c>
      <c r="F1243" s="8" t="s">
        <v>22</v>
      </c>
      <c r="G1243" s="2">
        <v>98</v>
      </c>
      <c r="H1243" t="s">
        <v>4029</v>
      </c>
      <c r="J1243" s="9" t="s">
        <v>5362</v>
      </c>
      <c r="K1243" t="s">
        <v>5423</v>
      </c>
      <c r="L1243" s="2">
        <v>1</v>
      </c>
      <c r="M1243" s="24" t="s">
        <v>5971</v>
      </c>
      <c r="N1243" s="2" t="s">
        <v>23</v>
      </c>
      <c r="O1243" s="18" t="s">
        <v>1027</v>
      </c>
      <c r="P1243" s="18" t="s">
        <v>0</v>
      </c>
      <c r="Q1243" s="6" t="s">
        <v>4475</v>
      </c>
      <c r="T1243" s="23">
        <v>45852</v>
      </c>
      <c r="U1243" s="23">
        <v>48408</v>
      </c>
      <c r="X1243" s="20">
        <v>15000</v>
      </c>
      <c r="Z1243" s="6" t="s">
        <v>5978</v>
      </c>
      <c r="AA1243" s="14">
        <f t="shared" si="158"/>
        <v>5.9999999999999995E-4</v>
      </c>
      <c r="AB1243">
        <v>8.2429499999999987</v>
      </c>
      <c r="AC1243">
        <v>8.5726679999999984</v>
      </c>
    </row>
    <row r="1244" spans="1:29" x14ac:dyDescent="0.3">
      <c r="A1244">
        <v>148494</v>
      </c>
      <c r="B1244" s="25" t="s">
        <v>5984</v>
      </c>
      <c r="C1244" t="s">
        <v>20</v>
      </c>
      <c r="D1244" t="s">
        <v>21</v>
      </c>
      <c r="E1244">
        <v>2222222</v>
      </c>
      <c r="F1244" s="8" t="s">
        <v>22</v>
      </c>
      <c r="G1244" s="2">
        <v>98</v>
      </c>
      <c r="H1244" t="s">
        <v>4029</v>
      </c>
      <c r="J1244" s="9" t="s">
        <v>5240</v>
      </c>
      <c r="K1244" t="s">
        <v>4961</v>
      </c>
      <c r="L1244" s="2">
        <v>1</v>
      </c>
      <c r="M1244" s="24" t="s">
        <v>5971</v>
      </c>
      <c r="N1244" s="2" t="s">
        <v>23</v>
      </c>
      <c r="O1244" s="18" t="s">
        <v>1028</v>
      </c>
      <c r="P1244" s="18" t="s">
        <v>0</v>
      </c>
      <c r="Q1244" s="6" t="s">
        <v>4475</v>
      </c>
      <c r="T1244" s="23">
        <v>45827</v>
      </c>
      <c r="U1244" s="23">
        <v>47279</v>
      </c>
      <c r="X1244" s="20">
        <v>6880</v>
      </c>
      <c r="Z1244" s="6" t="s">
        <v>5978</v>
      </c>
      <c r="AA1244" s="14">
        <f t="shared" si="158"/>
        <v>5.9999999999999995E-4</v>
      </c>
      <c r="AB1244">
        <v>3.412134</v>
      </c>
      <c r="AC1244">
        <v>3.54861936</v>
      </c>
    </row>
    <row r="1245" spans="1:29" x14ac:dyDescent="0.3">
      <c r="A1245">
        <v>149795</v>
      </c>
      <c r="B1245" s="25" t="s">
        <v>5984</v>
      </c>
      <c r="C1245" t="s">
        <v>20</v>
      </c>
      <c r="D1245" t="s">
        <v>21</v>
      </c>
      <c r="E1245">
        <v>2222222</v>
      </c>
      <c r="F1245" s="8" t="s">
        <v>22</v>
      </c>
      <c r="G1245" s="2">
        <v>98</v>
      </c>
      <c r="H1245" t="s">
        <v>4029</v>
      </c>
      <c r="J1245" s="9" t="s">
        <v>4903</v>
      </c>
      <c r="K1245" t="s">
        <v>5148</v>
      </c>
      <c r="L1245" s="2">
        <v>1</v>
      </c>
      <c r="M1245" s="24" t="s">
        <v>5971</v>
      </c>
      <c r="N1245" s="2" t="s">
        <v>23</v>
      </c>
      <c r="O1245" s="18" t="s">
        <v>1021</v>
      </c>
      <c r="P1245" s="18" t="s">
        <v>3781</v>
      </c>
      <c r="Q1245" s="6" t="s">
        <v>4475</v>
      </c>
      <c r="T1245" s="23">
        <v>46052</v>
      </c>
      <c r="U1245" s="23">
        <v>47880</v>
      </c>
      <c r="X1245" s="20">
        <v>5700</v>
      </c>
      <c r="Z1245" s="6" t="s">
        <v>5978</v>
      </c>
      <c r="AA1245" s="14">
        <f t="shared" si="158"/>
        <v>5.9999999999999995E-4</v>
      </c>
      <c r="AB1245">
        <v>3.2178299999999997</v>
      </c>
      <c r="AC1245">
        <v>3.3465431999999997</v>
      </c>
    </row>
    <row r="1246" spans="1:29" x14ac:dyDescent="0.3">
      <c r="A1246">
        <v>150208</v>
      </c>
      <c r="B1246" s="25" t="s">
        <v>5984</v>
      </c>
      <c r="C1246" t="s">
        <v>20</v>
      </c>
      <c r="D1246" t="s">
        <v>21</v>
      </c>
      <c r="E1246">
        <v>2222222</v>
      </c>
      <c r="F1246" s="8" t="s">
        <v>22</v>
      </c>
      <c r="G1246" s="2">
        <v>98</v>
      </c>
      <c r="H1246" t="s">
        <v>4029</v>
      </c>
      <c r="J1246" s="9" t="s">
        <v>4903</v>
      </c>
      <c r="K1246" t="s">
        <v>4893</v>
      </c>
      <c r="L1246" s="2">
        <v>1</v>
      </c>
      <c r="M1246" s="24" t="s">
        <v>5971</v>
      </c>
      <c r="N1246" s="2" t="s">
        <v>23</v>
      </c>
      <c r="O1246" s="18" t="s">
        <v>1029</v>
      </c>
      <c r="P1246" s="18" t="s">
        <v>3781</v>
      </c>
      <c r="Q1246" s="6" t="s">
        <v>4475</v>
      </c>
      <c r="T1246" s="23">
        <v>46081</v>
      </c>
      <c r="U1246" s="23">
        <v>46629</v>
      </c>
      <c r="X1246" s="20">
        <v>1500</v>
      </c>
      <c r="Z1246" s="6" t="s">
        <v>5978</v>
      </c>
      <c r="AA1246" s="14">
        <f t="shared" si="158"/>
        <v>5.9999999999999995E-4</v>
      </c>
      <c r="AB1246">
        <v>0.67269000000000001</v>
      </c>
      <c r="AC1246">
        <v>0.69959760000000004</v>
      </c>
    </row>
    <row r="1247" spans="1:29" x14ac:dyDescent="0.3">
      <c r="A1247">
        <v>151408</v>
      </c>
      <c r="B1247" s="25" t="s">
        <v>5984</v>
      </c>
      <c r="C1247" t="s">
        <v>20</v>
      </c>
      <c r="D1247" t="s">
        <v>21</v>
      </c>
      <c r="E1247">
        <v>2222222</v>
      </c>
      <c r="F1247" s="8" t="s">
        <v>22</v>
      </c>
      <c r="G1247" s="2">
        <v>98</v>
      </c>
      <c r="H1247" t="s">
        <v>4029</v>
      </c>
      <c r="J1247" s="9" t="s">
        <v>5424</v>
      </c>
      <c r="K1247" t="s">
        <v>4947</v>
      </c>
      <c r="L1247" s="2">
        <v>1</v>
      </c>
      <c r="M1247" s="24" t="s">
        <v>5971</v>
      </c>
      <c r="N1247" s="2" t="s">
        <v>23</v>
      </c>
      <c r="O1247" s="18" t="s">
        <v>1030</v>
      </c>
      <c r="P1247" s="18" t="s">
        <v>3781</v>
      </c>
      <c r="Q1247" s="6" t="s">
        <v>4475</v>
      </c>
      <c r="T1247" s="23">
        <v>46161</v>
      </c>
      <c r="U1247" s="23">
        <v>47256</v>
      </c>
      <c r="X1247" s="20">
        <v>5000</v>
      </c>
      <c r="Z1247" s="6" t="s">
        <v>5978</v>
      </c>
      <c r="AA1247" s="14">
        <f t="shared" si="158"/>
        <v>5.9999999999999995E-4</v>
      </c>
      <c r="AB1247">
        <v>2.8713719999999996</v>
      </c>
      <c r="AC1247">
        <v>2.9862268799999998</v>
      </c>
    </row>
    <row r="1248" spans="1:29" x14ac:dyDescent="0.3">
      <c r="A1248">
        <v>151890</v>
      </c>
      <c r="B1248" s="25" t="s">
        <v>5984</v>
      </c>
      <c r="C1248" t="s">
        <v>20</v>
      </c>
      <c r="D1248" t="s">
        <v>21</v>
      </c>
      <c r="E1248">
        <v>2222222</v>
      </c>
      <c r="F1248" s="8" t="s">
        <v>22</v>
      </c>
      <c r="G1248" s="2">
        <v>98</v>
      </c>
      <c r="H1248" t="s">
        <v>4029</v>
      </c>
      <c r="J1248" s="9" t="s">
        <v>4871</v>
      </c>
      <c r="K1248" t="s">
        <v>5425</v>
      </c>
      <c r="L1248" s="2">
        <v>1</v>
      </c>
      <c r="M1248" s="24" t="s">
        <v>5971</v>
      </c>
      <c r="N1248" s="2" t="s">
        <v>23</v>
      </c>
      <c r="O1248" s="18" t="s">
        <v>1031</v>
      </c>
      <c r="P1248" s="18" t="s">
        <v>0</v>
      </c>
      <c r="Q1248" s="6" t="s">
        <v>4475</v>
      </c>
      <c r="T1248" s="23">
        <v>46196</v>
      </c>
      <c r="U1248" s="23">
        <v>47292</v>
      </c>
      <c r="X1248" s="20">
        <v>5000</v>
      </c>
      <c r="Z1248" s="6" t="s">
        <v>5978</v>
      </c>
      <c r="AA1248" s="14">
        <f t="shared" si="158"/>
        <v>5.9999999999999995E-4</v>
      </c>
      <c r="AB1248">
        <v>2.9361659999999996</v>
      </c>
      <c r="AC1248">
        <v>3.0536126399999999</v>
      </c>
    </row>
    <row r="1249" spans="1:29" x14ac:dyDescent="0.3">
      <c r="A1249">
        <v>130132</v>
      </c>
      <c r="B1249" s="25" t="s">
        <v>5984</v>
      </c>
      <c r="C1249" t="s">
        <v>20</v>
      </c>
      <c r="D1249" t="s">
        <v>21</v>
      </c>
      <c r="E1249">
        <v>2222222</v>
      </c>
      <c r="F1249" s="8" t="s">
        <v>22</v>
      </c>
      <c r="G1249" s="2">
        <v>98</v>
      </c>
      <c r="H1249" t="s">
        <v>4030</v>
      </c>
      <c r="J1249" s="9" t="s">
        <v>5068</v>
      </c>
      <c r="K1249" t="s">
        <v>4841</v>
      </c>
      <c r="L1249" s="2">
        <v>1</v>
      </c>
      <c r="M1249" s="24" t="s">
        <v>5971</v>
      </c>
      <c r="N1249" s="2" t="s">
        <v>23</v>
      </c>
      <c r="O1249" s="18" t="s">
        <v>1032</v>
      </c>
      <c r="P1249" s="18" t="s">
        <v>0</v>
      </c>
      <c r="Q1249" s="6" t="s">
        <v>4475</v>
      </c>
      <c r="T1249" s="23">
        <v>44818</v>
      </c>
      <c r="U1249" s="23">
        <v>46279</v>
      </c>
      <c r="X1249" s="20">
        <v>5000</v>
      </c>
      <c r="Z1249" s="6" t="s">
        <v>5978</v>
      </c>
      <c r="AA1249" s="13">
        <f t="shared" ref="AA1249:AA1252" si="159">+(0.56/1000)</f>
        <v>5.6000000000000006E-4</v>
      </c>
      <c r="AB1249">
        <v>0.16444960000000003</v>
      </c>
      <c r="AC1249">
        <v>0.17102758400000004</v>
      </c>
    </row>
    <row r="1250" spans="1:29" x14ac:dyDescent="0.3">
      <c r="A1250">
        <v>134609</v>
      </c>
      <c r="B1250" s="25" t="s">
        <v>5984</v>
      </c>
      <c r="C1250" t="s">
        <v>20</v>
      </c>
      <c r="D1250" t="s">
        <v>21</v>
      </c>
      <c r="E1250">
        <v>2222222</v>
      </c>
      <c r="F1250" s="8" t="s">
        <v>22</v>
      </c>
      <c r="G1250" s="2">
        <v>98</v>
      </c>
      <c r="H1250" t="s">
        <v>4030</v>
      </c>
      <c r="J1250" s="9" t="s">
        <v>5281</v>
      </c>
      <c r="K1250" t="s">
        <v>5024</v>
      </c>
      <c r="L1250" s="2">
        <v>1</v>
      </c>
      <c r="M1250" s="24" t="s">
        <v>5971</v>
      </c>
      <c r="N1250" s="2" t="s">
        <v>23</v>
      </c>
      <c r="O1250" s="18" t="s">
        <v>1033</v>
      </c>
      <c r="P1250" s="18" t="s">
        <v>0</v>
      </c>
      <c r="Q1250" s="6" t="s">
        <v>4475</v>
      </c>
      <c r="T1250" s="23">
        <v>45065</v>
      </c>
      <c r="U1250" s="23">
        <v>46525</v>
      </c>
      <c r="X1250" s="20">
        <v>5000</v>
      </c>
      <c r="Z1250" s="6" t="s">
        <v>5978</v>
      </c>
      <c r="AA1250" s="13">
        <f t="shared" si="159"/>
        <v>5.6000000000000006E-4</v>
      </c>
      <c r="AB1250">
        <v>0.69383440000000007</v>
      </c>
      <c r="AC1250">
        <v>0.72158777600000013</v>
      </c>
    </row>
    <row r="1251" spans="1:29" x14ac:dyDescent="0.3">
      <c r="A1251">
        <v>139377</v>
      </c>
      <c r="B1251" s="25" t="s">
        <v>5984</v>
      </c>
      <c r="C1251" t="s">
        <v>20</v>
      </c>
      <c r="D1251" t="s">
        <v>21</v>
      </c>
      <c r="E1251">
        <v>2222222</v>
      </c>
      <c r="F1251" s="8" t="s">
        <v>22</v>
      </c>
      <c r="G1251" s="2">
        <v>98</v>
      </c>
      <c r="H1251" t="s">
        <v>4031</v>
      </c>
      <c r="J1251" s="9" t="s">
        <v>4836</v>
      </c>
      <c r="K1251" t="s">
        <v>5151</v>
      </c>
      <c r="L1251" s="2">
        <v>1</v>
      </c>
      <c r="M1251" s="24" t="s">
        <v>5971</v>
      </c>
      <c r="N1251" s="2" t="s">
        <v>23</v>
      </c>
      <c r="O1251" s="18" t="s">
        <v>1034</v>
      </c>
      <c r="P1251" s="18" t="s">
        <v>3781</v>
      </c>
      <c r="Q1251" s="6" t="s">
        <v>4475</v>
      </c>
      <c r="T1251" s="23">
        <v>45327</v>
      </c>
      <c r="U1251" s="23">
        <v>46424</v>
      </c>
      <c r="X1251" s="20">
        <v>5000</v>
      </c>
      <c r="Z1251" s="6" t="s">
        <v>5978</v>
      </c>
      <c r="AA1251" s="13">
        <f t="shared" si="159"/>
        <v>5.6000000000000006E-4</v>
      </c>
      <c r="AB1251">
        <v>0.67782400000000009</v>
      </c>
      <c r="AC1251">
        <v>0.70493696000000017</v>
      </c>
    </row>
    <row r="1252" spans="1:29" x14ac:dyDescent="0.3">
      <c r="A1252">
        <v>139417</v>
      </c>
      <c r="B1252" s="25" t="s">
        <v>5984</v>
      </c>
      <c r="C1252" t="s">
        <v>20</v>
      </c>
      <c r="D1252" t="s">
        <v>21</v>
      </c>
      <c r="E1252">
        <v>2222222</v>
      </c>
      <c r="F1252" s="8" t="s">
        <v>22</v>
      </c>
      <c r="G1252" s="2">
        <v>98</v>
      </c>
      <c r="H1252" t="s">
        <v>4031</v>
      </c>
      <c r="J1252" s="9" t="s">
        <v>5426</v>
      </c>
      <c r="K1252" t="s">
        <v>4857</v>
      </c>
      <c r="L1252" s="2">
        <v>1</v>
      </c>
      <c r="M1252" s="24" t="s">
        <v>5971</v>
      </c>
      <c r="N1252" s="2" t="s">
        <v>23</v>
      </c>
      <c r="O1252" s="18" t="s">
        <v>1035</v>
      </c>
      <c r="P1252" s="18" t="s">
        <v>0</v>
      </c>
      <c r="Q1252" s="6" t="s">
        <v>4475</v>
      </c>
      <c r="T1252" s="23">
        <v>45329</v>
      </c>
      <c r="U1252" s="23">
        <v>46515</v>
      </c>
      <c r="X1252" s="20">
        <v>5000</v>
      </c>
      <c r="Z1252" s="6" t="s">
        <v>5978</v>
      </c>
      <c r="AA1252" s="13">
        <f t="shared" si="159"/>
        <v>5.6000000000000006E-4</v>
      </c>
      <c r="AB1252">
        <v>1.6348584000000002</v>
      </c>
      <c r="AC1252">
        <v>1.7002527360000002</v>
      </c>
    </row>
    <row r="1253" spans="1:29" x14ac:dyDescent="0.3">
      <c r="A1253">
        <v>149791</v>
      </c>
      <c r="B1253" s="25" t="s">
        <v>5984</v>
      </c>
      <c r="C1253" t="s">
        <v>20</v>
      </c>
      <c r="D1253" t="s">
        <v>21</v>
      </c>
      <c r="E1253">
        <v>2222222</v>
      </c>
      <c r="F1253" s="8" t="s">
        <v>22</v>
      </c>
      <c r="G1253" s="2">
        <v>98</v>
      </c>
      <c r="H1253" t="s">
        <v>4031</v>
      </c>
      <c r="J1253" s="9" t="s">
        <v>4838</v>
      </c>
      <c r="K1253" t="s">
        <v>5089</v>
      </c>
      <c r="L1253" s="2">
        <v>1</v>
      </c>
      <c r="M1253" s="24" t="s">
        <v>5971</v>
      </c>
      <c r="N1253" s="2" t="s">
        <v>23</v>
      </c>
      <c r="O1253" s="18" t="s">
        <v>1036</v>
      </c>
      <c r="P1253" s="18" t="s">
        <v>0</v>
      </c>
      <c r="Q1253" s="6" t="s">
        <v>4475</v>
      </c>
      <c r="T1253" s="23">
        <v>46056</v>
      </c>
      <c r="U1253" s="23">
        <v>47519</v>
      </c>
      <c r="X1253" s="20">
        <v>13500</v>
      </c>
      <c r="Z1253" s="6" t="s">
        <v>5978</v>
      </c>
      <c r="AA1253" s="14">
        <f>+(0.6/1000)</f>
        <v>5.9999999999999995E-4</v>
      </c>
      <c r="AB1253">
        <v>7.4529959999999988</v>
      </c>
      <c r="AC1253">
        <v>7.7511158399999989</v>
      </c>
    </row>
    <row r="1254" spans="1:29" x14ac:dyDescent="0.3">
      <c r="A1254">
        <v>124398</v>
      </c>
      <c r="B1254" s="25" t="s">
        <v>5984</v>
      </c>
      <c r="C1254" t="s">
        <v>20</v>
      </c>
      <c r="D1254" t="s">
        <v>21</v>
      </c>
      <c r="E1254">
        <v>2222222</v>
      </c>
      <c r="F1254" s="8" t="s">
        <v>22</v>
      </c>
      <c r="G1254" s="2">
        <v>98</v>
      </c>
      <c r="H1254" t="s">
        <v>4032</v>
      </c>
      <c r="J1254" s="9" t="s">
        <v>5120</v>
      </c>
      <c r="K1254" t="s">
        <v>5419</v>
      </c>
      <c r="L1254" s="2">
        <v>1</v>
      </c>
      <c r="M1254" s="24" t="s">
        <v>5971</v>
      </c>
      <c r="N1254" s="2" t="s">
        <v>23</v>
      </c>
      <c r="O1254" s="18" t="s">
        <v>1037</v>
      </c>
      <c r="P1254" s="18" t="s">
        <v>0</v>
      </c>
      <c r="Q1254" s="6" t="s">
        <v>4475</v>
      </c>
      <c r="T1254" s="23">
        <v>44518</v>
      </c>
      <c r="U1254" s="23">
        <v>45979</v>
      </c>
      <c r="X1254" s="20">
        <v>5000</v>
      </c>
      <c r="Z1254" s="6" t="s">
        <v>5978</v>
      </c>
      <c r="AA1254" s="15">
        <f>+(0.42/1000)</f>
        <v>4.1999999999999996E-4</v>
      </c>
      <c r="AB1254">
        <v>1.6228212</v>
      </c>
      <c r="AC1254">
        <v>1.687734048</v>
      </c>
    </row>
    <row r="1255" spans="1:29" x14ac:dyDescent="0.3">
      <c r="A1255">
        <v>136838</v>
      </c>
      <c r="B1255" s="25" t="s">
        <v>5984</v>
      </c>
      <c r="C1255" t="s">
        <v>20</v>
      </c>
      <c r="D1255" t="s">
        <v>21</v>
      </c>
      <c r="E1255">
        <v>2222222</v>
      </c>
      <c r="F1255" s="8" t="s">
        <v>22</v>
      </c>
      <c r="G1255" s="2">
        <v>98</v>
      </c>
      <c r="H1255" t="s">
        <v>4032</v>
      </c>
      <c r="J1255" s="9" t="s">
        <v>5093</v>
      </c>
      <c r="K1255" t="s">
        <v>5427</v>
      </c>
      <c r="L1255" s="2">
        <v>1</v>
      </c>
      <c r="M1255" s="24" t="s">
        <v>5971</v>
      </c>
      <c r="N1255" s="2" t="s">
        <v>23</v>
      </c>
      <c r="O1255" s="18" t="s">
        <v>1038</v>
      </c>
      <c r="P1255" s="18" t="s">
        <v>3781</v>
      </c>
      <c r="Q1255" s="6" t="s">
        <v>4475</v>
      </c>
      <c r="T1255" s="23">
        <v>45193</v>
      </c>
      <c r="U1255" s="23">
        <v>46289</v>
      </c>
      <c r="X1255" s="20">
        <v>2000</v>
      </c>
      <c r="Z1255" s="6" t="s">
        <v>5978</v>
      </c>
      <c r="AA1255" s="13">
        <f>+(0.56/1000)</f>
        <v>5.6000000000000006E-4</v>
      </c>
      <c r="AB1255">
        <v>0.11852400000000002</v>
      </c>
      <c r="AC1255">
        <v>0.12326496000000002</v>
      </c>
    </row>
    <row r="1256" spans="1:29" x14ac:dyDescent="0.3">
      <c r="A1256">
        <v>149999</v>
      </c>
      <c r="B1256" s="25" t="s">
        <v>5984</v>
      </c>
      <c r="C1256" t="s">
        <v>20</v>
      </c>
      <c r="D1256" t="s">
        <v>21</v>
      </c>
      <c r="E1256">
        <v>2222222</v>
      </c>
      <c r="F1256" s="8" t="s">
        <v>22</v>
      </c>
      <c r="G1256" s="2">
        <v>98</v>
      </c>
      <c r="H1256" t="s">
        <v>4032</v>
      </c>
      <c r="J1256" s="9" t="s">
        <v>5428</v>
      </c>
      <c r="K1256" t="s">
        <v>4926</v>
      </c>
      <c r="L1256" s="2">
        <v>1</v>
      </c>
      <c r="M1256" s="24" t="s">
        <v>5971</v>
      </c>
      <c r="N1256" s="2" t="s">
        <v>23</v>
      </c>
      <c r="O1256" s="18" t="s">
        <v>1039</v>
      </c>
      <c r="P1256" s="18" t="s">
        <v>3781</v>
      </c>
      <c r="Q1256" s="6" t="s">
        <v>4475</v>
      </c>
      <c r="T1256" s="23">
        <v>46063</v>
      </c>
      <c r="U1256" s="23">
        <v>47342</v>
      </c>
      <c r="X1256" s="20">
        <v>1950</v>
      </c>
      <c r="Z1256" s="6" t="s">
        <v>5978</v>
      </c>
      <c r="AA1256" s="14">
        <f t="shared" ref="AA1256:AA1257" si="160">+(0.6/1000)</f>
        <v>5.9999999999999995E-4</v>
      </c>
      <c r="AB1256">
        <v>1.059024</v>
      </c>
      <c r="AC1256">
        <v>1.1013849600000001</v>
      </c>
    </row>
    <row r="1257" spans="1:29" x14ac:dyDescent="0.3">
      <c r="A1257">
        <v>143587</v>
      </c>
      <c r="B1257" s="25" t="s">
        <v>5984</v>
      </c>
      <c r="C1257" t="s">
        <v>20</v>
      </c>
      <c r="D1257" t="s">
        <v>21</v>
      </c>
      <c r="E1257">
        <v>2222222</v>
      </c>
      <c r="F1257" s="8" t="s">
        <v>22</v>
      </c>
      <c r="G1257" s="2">
        <v>98</v>
      </c>
      <c r="H1257" t="s">
        <v>4033</v>
      </c>
      <c r="J1257" s="9" t="s">
        <v>5132</v>
      </c>
      <c r="K1257" t="s">
        <v>4859</v>
      </c>
      <c r="L1257" s="2">
        <v>1</v>
      </c>
      <c r="M1257" s="24" t="s">
        <v>5971</v>
      </c>
      <c r="N1257" s="2" t="s">
        <v>23</v>
      </c>
      <c r="O1257" s="18" t="s">
        <v>1040</v>
      </c>
      <c r="P1257" s="18" t="s">
        <v>3781</v>
      </c>
      <c r="Q1257" s="6" t="s">
        <v>4475</v>
      </c>
      <c r="T1257" s="23">
        <v>45606</v>
      </c>
      <c r="U1257" s="23">
        <v>46701</v>
      </c>
      <c r="X1257" s="20">
        <v>3000</v>
      </c>
      <c r="Z1257" s="6" t="s">
        <v>5978</v>
      </c>
      <c r="AA1257" s="14">
        <f t="shared" si="160"/>
        <v>5.9999999999999995E-4</v>
      </c>
      <c r="AB1257">
        <v>1.0760460000000001</v>
      </c>
      <c r="AC1257">
        <v>1.1190878400000002</v>
      </c>
    </row>
    <row r="1258" spans="1:29" x14ac:dyDescent="0.3">
      <c r="A1258">
        <v>132372</v>
      </c>
      <c r="B1258" s="25" t="s">
        <v>5984</v>
      </c>
      <c r="C1258" t="s">
        <v>20</v>
      </c>
      <c r="D1258" t="s">
        <v>21</v>
      </c>
      <c r="E1258">
        <v>2222222</v>
      </c>
      <c r="F1258" s="8" t="s">
        <v>22</v>
      </c>
      <c r="G1258" s="2">
        <v>98</v>
      </c>
      <c r="H1258" t="s">
        <v>4034</v>
      </c>
      <c r="J1258" s="9" t="s">
        <v>5429</v>
      </c>
      <c r="K1258" t="s">
        <v>4989</v>
      </c>
      <c r="L1258" s="2">
        <v>1</v>
      </c>
      <c r="M1258" s="24" t="s">
        <v>5971</v>
      </c>
      <c r="N1258" s="2" t="s">
        <v>23</v>
      </c>
      <c r="O1258" s="18" t="s">
        <v>1041</v>
      </c>
      <c r="P1258" s="18" t="s">
        <v>0</v>
      </c>
      <c r="Q1258" s="6" t="s">
        <v>4475</v>
      </c>
      <c r="T1258" s="23">
        <v>44936</v>
      </c>
      <c r="U1258" s="23">
        <v>45666</v>
      </c>
      <c r="X1258" s="20">
        <v>2000</v>
      </c>
      <c r="Z1258" s="6" t="s">
        <v>5978</v>
      </c>
      <c r="AA1258" s="13">
        <f>+(0.56/1000)</f>
        <v>5.6000000000000006E-4</v>
      </c>
      <c r="AB1258">
        <v>0.39981760000000005</v>
      </c>
      <c r="AC1258">
        <v>0.41581030400000007</v>
      </c>
    </row>
    <row r="1259" spans="1:29" x14ac:dyDescent="0.3">
      <c r="A1259">
        <v>151055</v>
      </c>
      <c r="B1259" s="25" t="s">
        <v>5984</v>
      </c>
      <c r="C1259" t="s">
        <v>20</v>
      </c>
      <c r="D1259" t="s">
        <v>21</v>
      </c>
      <c r="E1259">
        <v>2222222</v>
      </c>
      <c r="F1259" s="8" t="s">
        <v>22</v>
      </c>
      <c r="G1259" s="2">
        <v>98</v>
      </c>
      <c r="H1259" t="s">
        <v>4035</v>
      </c>
      <c r="J1259" s="9" t="s">
        <v>4950</v>
      </c>
      <c r="K1259" t="s">
        <v>5430</v>
      </c>
      <c r="L1259" s="2">
        <v>1</v>
      </c>
      <c r="M1259" s="24" t="s">
        <v>5971</v>
      </c>
      <c r="N1259" s="2" t="s">
        <v>23</v>
      </c>
      <c r="O1259" s="18" t="s">
        <v>1042</v>
      </c>
      <c r="P1259" s="18" t="s">
        <v>0</v>
      </c>
      <c r="Q1259" s="6" t="s">
        <v>4475</v>
      </c>
      <c r="T1259" s="23">
        <v>46220</v>
      </c>
      <c r="U1259" s="23">
        <v>47680</v>
      </c>
      <c r="X1259" s="20">
        <v>20000</v>
      </c>
      <c r="Z1259" s="6" t="s">
        <v>5978</v>
      </c>
      <c r="AA1259" s="14">
        <f>+(0.6/1000)</f>
        <v>5.9999999999999995E-4</v>
      </c>
      <c r="AB1259">
        <v>11.999999999999998</v>
      </c>
      <c r="AC1259">
        <v>12.479999999999999</v>
      </c>
    </row>
    <row r="1260" spans="1:29" x14ac:dyDescent="0.3">
      <c r="A1260">
        <v>51824</v>
      </c>
      <c r="B1260" s="25" t="s">
        <v>5984</v>
      </c>
      <c r="C1260" t="s">
        <v>20</v>
      </c>
      <c r="D1260" t="s">
        <v>21</v>
      </c>
      <c r="E1260">
        <v>2222222</v>
      </c>
      <c r="F1260" s="8" t="s">
        <v>22</v>
      </c>
      <c r="G1260" s="2">
        <v>98</v>
      </c>
      <c r="H1260" t="s">
        <v>4036</v>
      </c>
      <c r="J1260" s="9" t="s">
        <v>4182</v>
      </c>
      <c r="K1260" t="s">
        <v>4875</v>
      </c>
      <c r="L1260" s="2">
        <v>1</v>
      </c>
      <c r="M1260" s="24" t="s">
        <v>5971</v>
      </c>
      <c r="N1260" s="2" t="s">
        <v>23</v>
      </c>
      <c r="O1260" s="18" t="s">
        <v>1043</v>
      </c>
      <c r="P1260" s="18" t="s">
        <v>0</v>
      </c>
      <c r="Q1260" s="6" t="s">
        <v>4475</v>
      </c>
      <c r="T1260" s="23">
        <v>41211</v>
      </c>
      <c r="U1260" s="23">
        <v>42124</v>
      </c>
      <c r="X1260" s="20">
        <v>3000</v>
      </c>
      <c r="Z1260" s="6" t="s">
        <v>5978</v>
      </c>
      <c r="AA1260" s="16">
        <f>+(0.36/1000)</f>
        <v>3.5999999999999997E-4</v>
      </c>
      <c r="AB1260">
        <v>0.80476559999999997</v>
      </c>
      <c r="AC1260">
        <v>0.83695622400000003</v>
      </c>
    </row>
    <row r="1261" spans="1:29" x14ac:dyDescent="0.3">
      <c r="A1261">
        <v>129269</v>
      </c>
      <c r="B1261" s="25" t="s">
        <v>5984</v>
      </c>
      <c r="C1261" t="s">
        <v>20</v>
      </c>
      <c r="D1261" t="s">
        <v>21</v>
      </c>
      <c r="E1261">
        <v>2222222</v>
      </c>
      <c r="F1261" s="8" t="s">
        <v>22</v>
      </c>
      <c r="G1261" s="2">
        <v>98</v>
      </c>
      <c r="H1261" t="s">
        <v>4036</v>
      </c>
      <c r="J1261" s="9" t="s">
        <v>4929</v>
      </c>
      <c r="K1261" t="s">
        <v>5010</v>
      </c>
      <c r="L1261" s="2">
        <v>1</v>
      </c>
      <c r="M1261" s="24" t="s">
        <v>5971</v>
      </c>
      <c r="N1261" s="2" t="s">
        <v>23</v>
      </c>
      <c r="O1261" s="18" t="s">
        <v>1044</v>
      </c>
      <c r="P1261" s="18" t="s">
        <v>0</v>
      </c>
      <c r="Q1261" s="6" t="s">
        <v>4475</v>
      </c>
      <c r="T1261" s="23">
        <v>44782</v>
      </c>
      <c r="U1261" s="23">
        <v>46607</v>
      </c>
      <c r="X1261" s="20">
        <v>16320</v>
      </c>
      <c r="Z1261" s="6" t="s">
        <v>5978</v>
      </c>
      <c r="AA1261" s="13">
        <f t="shared" ref="AA1261:AA1264" si="161">+(0.56/1000)</f>
        <v>5.6000000000000006E-4</v>
      </c>
      <c r="AB1261">
        <v>2.5788112000000005</v>
      </c>
      <c r="AC1261">
        <v>2.6819636480000004</v>
      </c>
    </row>
    <row r="1262" spans="1:29" x14ac:dyDescent="0.3">
      <c r="A1262">
        <v>135252</v>
      </c>
      <c r="B1262" s="25" t="s">
        <v>5984</v>
      </c>
      <c r="C1262" t="s">
        <v>20</v>
      </c>
      <c r="D1262" t="s">
        <v>21</v>
      </c>
      <c r="E1262">
        <v>2222222</v>
      </c>
      <c r="F1262" s="8" t="s">
        <v>22</v>
      </c>
      <c r="G1262" s="2">
        <v>98</v>
      </c>
      <c r="H1262" t="s">
        <v>4036</v>
      </c>
      <c r="J1262" s="9" t="s">
        <v>5067</v>
      </c>
      <c r="K1262" t="s">
        <v>4861</v>
      </c>
      <c r="L1262" s="2">
        <v>1</v>
      </c>
      <c r="M1262" s="24" t="s">
        <v>5971</v>
      </c>
      <c r="N1262" s="2" t="s">
        <v>23</v>
      </c>
      <c r="O1262" s="18" t="s">
        <v>1045</v>
      </c>
      <c r="P1262" s="18" t="s">
        <v>3781</v>
      </c>
      <c r="Q1262" s="6" t="s">
        <v>4475</v>
      </c>
      <c r="T1262" s="23">
        <v>45107</v>
      </c>
      <c r="U1262" s="23">
        <v>46935</v>
      </c>
      <c r="X1262" s="20">
        <v>15000</v>
      </c>
      <c r="Z1262" s="6" t="s">
        <v>5978</v>
      </c>
      <c r="AA1262" s="13">
        <f t="shared" si="161"/>
        <v>5.6000000000000006E-4</v>
      </c>
      <c r="AB1262">
        <v>4.1852720000000003</v>
      </c>
      <c r="AC1262">
        <v>4.3526828800000006</v>
      </c>
    </row>
    <row r="1263" spans="1:29" x14ac:dyDescent="0.3">
      <c r="A1263">
        <v>137859</v>
      </c>
      <c r="B1263" s="25" t="s">
        <v>5984</v>
      </c>
      <c r="C1263" t="s">
        <v>20</v>
      </c>
      <c r="D1263" t="s">
        <v>21</v>
      </c>
      <c r="E1263">
        <v>2222222</v>
      </c>
      <c r="F1263" s="8" t="s">
        <v>22</v>
      </c>
      <c r="G1263" s="2">
        <v>98</v>
      </c>
      <c r="H1263" t="s">
        <v>4036</v>
      </c>
      <c r="J1263" s="9" t="s">
        <v>4836</v>
      </c>
      <c r="K1263" t="s">
        <v>4761</v>
      </c>
      <c r="L1263" s="2">
        <v>1</v>
      </c>
      <c r="M1263" s="24" t="s">
        <v>5971</v>
      </c>
      <c r="N1263" s="2" t="s">
        <v>23</v>
      </c>
      <c r="O1263" s="18" t="s">
        <v>1046</v>
      </c>
      <c r="P1263" s="18" t="s">
        <v>3781</v>
      </c>
      <c r="Q1263" s="6" t="s">
        <v>4475</v>
      </c>
      <c r="T1263" s="23">
        <v>45245</v>
      </c>
      <c r="U1263" s="23">
        <v>46706</v>
      </c>
      <c r="X1263" s="20">
        <v>5000</v>
      </c>
      <c r="Z1263" s="6" t="s">
        <v>5978</v>
      </c>
      <c r="AA1263" s="13">
        <f t="shared" si="161"/>
        <v>5.6000000000000006E-4</v>
      </c>
      <c r="AB1263">
        <v>1.1787160000000001</v>
      </c>
      <c r="AC1263">
        <v>1.2258646400000002</v>
      </c>
    </row>
    <row r="1264" spans="1:29" x14ac:dyDescent="0.3">
      <c r="A1264">
        <v>139348</v>
      </c>
      <c r="B1264" s="25" t="s">
        <v>5984</v>
      </c>
      <c r="C1264" t="s">
        <v>20</v>
      </c>
      <c r="D1264" t="s">
        <v>21</v>
      </c>
      <c r="E1264">
        <v>2222222</v>
      </c>
      <c r="F1264" s="8" t="s">
        <v>22</v>
      </c>
      <c r="G1264" s="2">
        <v>98</v>
      </c>
      <c r="H1264" t="s">
        <v>4036</v>
      </c>
      <c r="J1264" s="9" t="s">
        <v>4916</v>
      </c>
      <c r="K1264" t="s">
        <v>4942</v>
      </c>
      <c r="L1264" s="2">
        <v>1</v>
      </c>
      <c r="M1264" s="24" t="s">
        <v>5971</v>
      </c>
      <c r="N1264" s="2" t="s">
        <v>23</v>
      </c>
      <c r="O1264" s="18" t="s">
        <v>1047</v>
      </c>
      <c r="P1264" s="18" t="s">
        <v>3781</v>
      </c>
      <c r="Q1264" s="6" t="s">
        <v>4475</v>
      </c>
      <c r="T1264" s="23">
        <v>45324</v>
      </c>
      <c r="U1264" s="23">
        <v>46421</v>
      </c>
      <c r="X1264" s="20">
        <v>2000</v>
      </c>
      <c r="Z1264" s="6" t="s">
        <v>5978</v>
      </c>
      <c r="AA1264" s="13">
        <f t="shared" si="161"/>
        <v>5.6000000000000006E-4</v>
      </c>
      <c r="AB1264">
        <v>0.27112960000000003</v>
      </c>
      <c r="AC1264">
        <v>0.28197478400000003</v>
      </c>
    </row>
    <row r="1265" spans="1:29" x14ac:dyDescent="0.3">
      <c r="A1265">
        <v>141573</v>
      </c>
      <c r="B1265" s="25" t="s">
        <v>5984</v>
      </c>
      <c r="C1265" t="s">
        <v>20</v>
      </c>
      <c r="D1265" t="s">
        <v>21</v>
      </c>
      <c r="E1265">
        <v>2222222</v>
      </c>
      <c r="F1265" s="8" t="s">
        <v>22</v>
      </c>
      <c r="G1265" s="2">
        <v>98</v>
      </c>
      <c r="H1265" t="s">
        <v>4036</v>
      </c>
      <c r="J1265" s="9" t="s">
        <v>5232</v>
      </c>
      <c r="K1265" t="s">
        <v>4972</v>
      </c>
      <c r="L1265" s="2">
        <v>1</v>
      </c>
      <c r="M1265" s="24" t="s">
        <v>5971</v>
      </c>
      <c r="N1265" s="2" t="s">
        <v>23</v>
      </c>
      <c r="O1265" s="18" t="s">
        <v>1048</v>
      </c>
      <c r="P1265" s="18" t="s">
        <v>3781</v>
      </c>
      <c r="Q1265" s="6" t="s">
        <v>4475</v>
      </c>
      <c r="T1265" s="23">
        <v>45461</v>
      </c>
      <c r="U1265" s="23">
        <v>46556</v>
      </c>
      <c r="X1265" s="20">
        <v>3840</v>
      </c>
      <c r="Z1265" s="6" t="s">
        <v>5978</v>
      </c>
      <c r="AA1265" s="14">
        <f t="shared" ref="AA1265:AA1281" si="162">+(0.6/1000)</f>
        <v>5.9999999999999995E-4</v>
      </c>
      <c r="AB1265">
        <v>0.84873599999999993</v>
      </c>
      <c r="AC1265">
        <v>0.88268543999999993</v>
      </c>
    </row>
    <row r="1266" spans="1:29" x14ac:dyDescent="0.3">
      <c r="A1266">
        <v>141971</v>
      </c>
      <c r="B1266" s="25" t="s">
        <v>5984</v>
      </c>
      <c r="C1266" t="s">
        <v>20</v>
      </c>
      <c r="D1266" t="s">
        <v>21</v>
      </c>
      <c r="E1266">
        <v>2222222</v>
      </c>
      <c r="F1266" s="8" t="s">
        <v>22</v>
      </c>
      <c r="G1266" s="2">
        <v>98</v>
      </c>
      <c r="H1266" t="s">
        <v>4036</v>
      </c>
      <c r="J1266" s="9" t="s">
        <v>5101</v>
      </c>
      <c r="K1266" t="s">
        <v>4861</v>
      </c>
      <c r="L1266" s="2">
        <v>1</v>
      </c>
      <c r="M1266" s="24" t="s">
        <v>5971</v>
      </c>
      <c r="N1266" s="2" t="s">
        <v>23</v>
      </c>
      <c r="O1266" s="18" t="s">
        <v>1049</v>
      </c>
      <c r="P1266" s="18" t="s">
        <v>3781</v>
      </c>
      <c r="Q1266" s="6" t="s">
        <v>4475</v>
      </c>
      <c r="T1266" s="23">
        <v>45488</v>
      </c>
      <c r="U1266" s="23">
        <v>46582</v>
      </c>
      <c r="X1266" s="20">
        <v>3850</v>
      </c>
      <c r="Z1266" s="6" t="s">
        <v>5978</v>
      </c>
      <c r="AA1266" s="14">
        <f t="shared" si="162"/>
        <v>5.9999999999999995E-4</v>
      </c>
      <c r="AB1266">
        <v>0.92007599999999989</v>
      </c>
      <c r="AC1266">
        <v>0.9568790399999999</v>
      </c>
    </row>
    <row r="1267" spans="1:29" x14ac:dyDescent="0.3">
      <c r="A1267">
        <v>144144</v>
      </c>
      <c r="B1267" s="25" t="s">
        <v>5984</v>
      </c>
      <c r="C1267" t="s">
        <v>20</v>
      </c>
      <c r="D1267" t="s">
        <v>21</v>
      </c>
      <c r="E1267">
        <v>2222222</v>
      </c>
      <c r="F1267" s="8" t="s">
        <v>22</v>
      </c>
      <c r="G1267" s="2">
        <v>98</v>
      </c>
      <c r="H1267" t="s">
        <v>4036</v>
      </c>
      <c r="J1267" s="9" t="s">
        <v>5431</v>
      </c>
      <c r="K1267" t="s">
        <v>5260</v>
      </c>
      <c r="L1267" s="2">
        <v>1</v>
      </c>
      <c r="M1267" s="24" t="s">
        <v>5971</v>
      </c>
      <c r="N1267" s="2" t="s">
        <v>23</v>
      </c>
      <c r="O1267" s="18" t="s">
        <v>1050</v>
      </c>
      <c r="P1267" s="18" t="s">
        <v>3781</v>
      </c>
      <c r="Q1267" s="6" t="s">
        <v>4475</v>
      </c>
      <c r="T1267" s="23">
        <v>45645</v>
      </c>
      <c r="U1267" s="23">
        <v>46739</v>
      </c>
      <c r="X1267" s="20">
        <v>3100</v>
      </c>
      <c r="Z1267" s="6" t="s">
        <v>5978</v>
      </c>
      <c r="AA1267" s="14">
        <f t="shared" si="162"/>
        <v>5.9999999999999995E-4</v>
      </c>
      <c r="AB1267">
        <v>0.9954719999999998</v>
      </c>
      <c r="AC1267">
        <v>1.0352908799999998</v>
      </c>
    </row>
    <row r="1268" spans="1:29" x14ac:dyDescent="0.3">
      <c r="A1268">
        <v>144972</v>
      </c>
      <c r="B1268" s="25" t="s">
        <v>5984</v>
      </c>
      <c r="C1268" t="s">
        <v>20</v>
      </c>
      <c r="D1268" t="s">
        <v>21</v>
      </c>
      <c r="E1268">
        <v>2222222</v>
      </c>
      <c r="F1268" s="8" t="s">
        <v>22</v>
      </c>
      <c r="G1268" s="2">
        <v>98</v>
      </c>
      <c r="H1268" t="s">
        <v>4036</v>
      </c>
      <c r="J1268" s="9" t="s">
        <v>5432</v>
      </c>
      <c r="K1268" t="s">
        <v>5085</v>
      </c>
      <c r="L1268" s="2">
        <v>1</v>
      </c>
      <c r="M1268" s="24" t="s">
        <v>5971</v>
      </c>
      <c r="N1268" s="2" t="s">
        <v>23</v>
      </c>
      <c r="O1268" s="18" t="s">
        <v>1051</v>
      </c>
      <c r="P1268" s="18" t="s">
        <v>0</v>
      </c>
      <c r="Q1268" s="6" t="s">
        <v>4475</v>
      </c>
      <c r="T1268" s="23">
        <v>45702</v>
      </c>
      <c r="U1268" s="23">
        <v>46615</v>
      </c>
      <c r="X1268" s="20">
        <v>4000</v>
      </c>
      <c r="Z1268" s="6" t="s">
        <v>5978</v>
      </c>
      <c r="AA1268" s="14">
        <f t="shared" si="162"/>
        <v>5.9999999999999995E-4</v>
      </c>
      <c r="AB1268">
        <v>1.16709</v>
      </c>
      <c r="AC1268">
        <v>1.2137735999999999</v>
      </c>
    </row>
    <row r="1269" spans="1:29" x14ac:dyDescent="0.3">
      <c r="A1269">
        <v>146271</v>
      </c>
      <c r="B1269" s="25" t="s">
        <v>5984</v>
      </c>
      <c r="C1269" t="s">
        <v>20</v>
      </c>
      <c r="D1269" t="s">
        <v>21</v>
      </c>
      <c r="E1269">
        <v>2222222</v>
      </c>
      <c r="F1269" s="8" t="s">
        <v>22</v>
      </c>
      <c r="G1269" s="2">
        <v>98</v>
      </c>
      <c r="H1269" t="s">
        <v>4036</v>
      </c>
      <c r="J1269" s="9" t="s">
        <v>5055</v>
      </c>
      <c r="K1269" t="s">
        <v>4893</v>
      </c>
      <c r="L1269" s="2">
        <v>1</v>
      </c>
      <c r="M1269" s="24" t="s">
        <v>5971</v>
      </c>
      <c r="N1269" s="2" t="s">
        <v>23</v>
      </c>
      <c r="O1269" s="18" t="s">
        <v>1052</v>
      </c>
      <c r="P1269" s="18" t="s">
        <v>3781</v>
      </c>
      <c r="Q1269" s="6" t="s">
        <v>4475</v>
      </c>
      <c r="T1269" s="23">
        <v>45813</v>
      </c>
      <c r="U1269" s="23">
        <v>46909</v>
      </c>
      <c r="X1269" s="20">
        <v>20000</v>
      </c>
      <c r="Z1269" s="6" t="s">
        <v>5978</v>
      </c>
      <c r="AA1269" s="14">
        <f t="shared" si="162"/>
        <v>5.9999999999999995E-4</v>
      </c>
      <c r="AB1269">
        <v>8.317062</v>
      </c>
      <c r="AC1269">
        <v>8.6497444800000007</v>
      </c>
    </row>
    <row r="1270" spans="1:29" x14ac:dyDescent="0.3">
      <c r="A1270">
        <v>146349</v>
      </c>
      <c r="B1270" s="25" t="s">
        <v>5984</v>
      </c>
      <c r="C1270" t="s">
        <v>20</v>
      </c>
      <c r="D1270" t="s">
        <v>21</v>
      </c>
      <c r="E1270">
        <v>2222222</v>
      </c>
      <c r="F1270" s="8" t="s">
        <v>22</v>
      </c>
      <c r="G1270" s="2">
        <v>98</v>
      </c>
      <c r="H1270" t="s">
        <v>4036</v>
      </c>
      <c r="J1270" s="9" t="s">
        <v>5235</v>
      </c>
      <c r="K1270" t="s">
        <v>4836</v>
      </c>
      <c r="L1270" s="2">
        <v>1</v>
      </c>
      <c r="M1270" s="24" t="s">
        <v>5971</v>
      </c>
      <c r="N1270" s="2" t="s">
        <v>23</v>
      </c>
      <c r="O1270" s="18" t="s">
        <v>1053</v>
      </c>
      <c r="P1270" s="18" t="s">
        <v>3781</v>
      </c>
      <c r="Q1270" s="6" t="s">
        <v>4475</v>
      </c>
      <c r="T1270" s="23">
        <v>45811</v>
      </c>
      <c r="U1270" s="23">
        <v>46541</v>
      </c>
      <c r="X1270" s="20">
        <v>1500</v>
      </c>
      <c r="Z1270" s="6" t="s">
        <v>5978</v>
      </c>
      <c r="AA1270" s="14">
        <f t="shared" si="162"/>
        <v>5.9999999999999995E-4</v>
      </c>
      <c r="AB1270">
        <v>0.45083399999999996</v>
      </c>
      <c r="AC1270">
        <v>0.46886735999999996</v>
      </c>
    </row>
    <row r="1271" spans="1:29" x14ac:dyDescent="0.3">
      <c r="A1271">
        <v>147165</v>
      </c>
      <c r="B1271" s="25" t="s">
        <v>5984</v>
      </c>
      <c r="C1271" t="s">
        <v>20</v>
      </c>
      <c r="D1271" t="s">
        <v>21</v>
      </c>
      <c r="E1271">
        <v>2222222</v>
      </c>
      <c r="F1271" s="8" t="s">
        <v>22</v>
      </c>
      <c r="G1271" s="2">
        <v>98</v>
      </c>
      <c r="H1271" t="s">
        <v>4036</v>
      </c>
      <c r="J1271" s="9" t="s">
        <v>5096</v>
      </c>
      <c r="K1271" t="s">
        <v>4893</v>
      </c>
      <c r="L1271" s="2">
        <v>1</v>
      </c>
      <c r="M1271" s="24" t="s">
        <v>5971</v>
      </c>
      <c r="N1271" s="2" t="s">
        <v>23</v>
      </c>
      <c r="O1271" s="18" t="s">
        <v>1054</v>
      </c>
      <c r="P1271" s="18" t="s">
        <v>3781</v>
      </c>
      <c r="Q1271" s="6" t="s">
        <v>4475</v>
      </c>
      <c r="T1271" s="23">
        <v>45869</v>
      </c>
      <c r="U1271" s="23">
        <v>46419</v>
      </c>
      <c r="X1271" s="20">
        <v>4340</v>
      </c>
      <c r="Z1271" s="6" t="s">
        <v>5978</v>
      </c>
      <c r="AA1271" s="14">
        <f t="shared" si="162"/>
        <v>5.9999999999999995E-4</v>
      </c>
      <c r="AB1271">
        <v>1.0958159999999999</v>
      </c>
      <c r="AC1271">
        <v>1.1396486399999999</v>
      </c>
    </row>
    <row r="1272" spans="1:29" x14ac:dyDescent="0.3">
      <c r="A1272">
        <v>147783</v>
      </c>
      <c r="B1272" s="25" t="s">
        <v>5984</v>
      </c>
      <c r="C1272" t="s">
        <v>20</v>
      </c>
      <c r="D1272" t="s">
        <v>21</v>
      </c>
      <c r="E1272">
        <v>2222222</v>
      </c>
      <c r="F1272" s="8" t="s">
        <v>22</v>
      </c>
      <c r="G1272" s="2">
        <v>98</v>
      </c>
      <c r="H1272" t="s">
        <v>4036</v>
      </c>
      <c r="J1272" s="9" t="s">
        <v>4911</v>
      </c>
      <c r="K1272" t="s">
        <v>5433</v>
      </c>
      <c r="L1272" s="2">
        <v>1</v>
      </c>
      <c r="M1272" s="24" t="s">
        <v>5971</v>
      </c>
      <c r="N1272" s="2" t="s">
        <v>23</v>
      </c>
      <c r="O1272" s="18" t="s">
        <v>1055</v>
      </c>
      <c r="P1272" s="18" t="s">
        <v>3781</v>
      </c>
      <c r="Q1272" s="6" t="s">
        <v>4475</v>
      </c>
      <c r="T1272" s="23">
        <v>45912</v>
      </c>
      <c r="U1272" s="23">
        <v>47373</v>
      </c>
      <c r="X1272" s="20">
        <v>3250</v>
      </c>
      <c r="Z1272" s="6" t="s">
        <v>5978</v>
      </c>
      <c r="AA1272" s="14">
        <f t="shared" si="162"/>
        <v>5.9999999999999995E-4</v>
      </c>
      <c r="AB1272">
        <v>1.6502579999999998</v>
      </c>
      <c r="AC1272">
        <v>1.7162683199999997</v>
      </c>
    </row>
    <row r="1273" spans="1:29" x14ac:dyDescent="0.3">
      <c r="A1273">
        <v>147872</v>
      </c>
      <c r="B1273" s="25" t="s">
        <v>5984</v>
      </c>
      <c r="C1273" t="s">
        <v>20</v>
      </c>
      <c r="D1273" t="s">
        <v>21</v>
      </c>
      <c r="E1273">
        <v>2222222</v>
      </c>
      <c r="F1273" s="8" t="s">
        <v>22</v>
      </c>
      <c r="G1273" s="2">
        <v>98</v>
      </c>
      <c r="H1273" t="s">
        <v>4036</v>
      </c>
      <c r="J1273" s="9" t="s">
        <v>5152</v>
      </c>
      <c r="K1273" t="s">
        <v>5310</v>
      </c>
      <c r="L1273" s="2">
        <v>1</v>
      </c>
      <c r="M1273" s="24" t="s">
        <v>5971</v>
      </c>
      <c r="N1273" s="2" t="s">
        <v>23</v>
      </c>
      <c r="O1273" s="18" t="s">
        <v>1056</v>
      </c>
      <c r="P1273" s="18" t="s">
        <v>3781</v>
      </c>
      <c r="Q1273" s="6" t="s">
        <v>4475</v>
      </c>
      <c r="T1273" s="23">
        <v>45922</v>
      </c>
      <c r="U1273" s="23">
        <v>46287</v>
      </c>
      <c r="X1273" s="20">
        <v>5000</v>
      </c>
      <c r="Z1273" s="6" t="s">
        <v>5978</v>
      </c>
      <c r="AA1273" s="14">
        <f t="shared" si="162"/>
        <v>5.9999999999999995E-4</v>
      </c>
      <c r="AB1273">
        <v>0.49997999999999992</v>
      </c>
      <c r="AC1273">
        <v>0.51997919999999997</v>
      </c>
    </row>
    <row r="1274" spans="1:29" x14ac:dyDescent="0.3">
      <c r="A1274">
        <v>148435</v>
      </c>
      <c r="B1274" s="25" t="s">
        <v>5984</v>
      </c>
      <c r="C1274" t="s">
        <v>20</v>
      </c>
      <c r="D1274" t="s">
        <v>21</v>
      </c>
      <c r="E1274">
        <v>2222222</v>
      </c>
      <c r="F1274" s="8" t="s">
        <v>22</v>
      </c>
      <c r="G1274" s="2">
        <v>98</v>
      </c>
      <c r="H1274" t="s">
        <v>4036</v>
      </c>
      <c r="J1274" s="9" t="s">
        <v>5096</v>
      </c>
      <c r="K1274" t="s">
        <v>4893</v>
      </c>
      <c r="L1274" s="2">
        <v>1</v>
      </c>
      <c r="M1274" s="24" t="s">
        <v>5971</v>
      </c>
      <c r="N1274" s="2" t="s">
        <v>23</v>
      </c>
      <c r="O1274" s="18" t="s">
        <v>1057</v>
      </c>
      <c r="P1274" s="18" t="s">
        <v>3781</v>
      </c>
      <c r="Q1274" s="6" t="s">
        <v>4475</v>
      </c>
      <c r="T1274" s="23">
        <v>45961</v>
      </c>
      <c r="U1274" s="23">
        <v>46690</v>
      </c>
      <c r="X1274" s="20">
        <v>3000</v>
      </c>
      <c r="Z1274" s="6" t="s">
        <v>5978</v>
      </c>
      <c r="AA1274" s="14">
        <f t="shared" si="162"/>
        <v>5.9999999999999995E-4</v>
      </c>
      <c r="AB1274">
        <v>1.2545099999999998</v>
      </c>
      <c r="AC1274">
        <v>1.3046903999999999</v>
      </c>
    </row>
    <row r="1275" spans="1:29" x14ac:dyDescent="0.3">
      <c r="A1275">
        <v>149504</v>
      </c>
      <c r="B1275" s="25" t="s">
        <v>5984</v>
      </c>
      <c r="C1275" t="s">
        <v>20</v>
      </c>
      <c r="D1275" t="s">
        <v>21</v>
      </c>
      <c r="E1275">
        <v>2222222</v>
      </c>
      <c r="F1275" s="8" t="s">
        <v>22</v>
      </c>
      <c r="G1275" s="2">
        <v>98</v>
      </c>
      <c r="H1275" t="s">
        <v>4036</v>
      </c>
      <c r="J1275" s="9" t="s">
        <v>5434</v>
      </c>
      <c r="K1275" t="s">
        <v>5056</v>
      </c>
      <c r="L1275" s="2">
        <v>1</v>
      </c>
      <c r="M1275" s="24" t="s">
        <v>5971</v>
      </c>
      <c r="N1275" s="2" t="s">
        <v>23</v>
      </c>
      <c r="O1275" s="18" t="s">
        <v>1058</v>
      </c>
      <c r="P1275" s="18" t="s">
        <v>3781</v>
      </c>
      <c r="Q1275" s="6" t="s">
        <v>4475</v>
      </c>
      <c r="T1275" s="23">
        <v>46030</v>
      </c>
      <c r="U1275" s="23">
        <v>46395</v>
      </c>
      <c r="X1275" s="20">
        <v>1000</v>
      </c>
      <c r="Z1275" s="6" t="s">
        <v>5978</v>
      </c>
      <c r="AA1275" s="14">
        <f t="shared" si="162"/>
        <v>5.9999999999999995E-4</v>
      </c>
      <c r="AB1275">
        <v>0.312114</v>
      </c>
      <c r="AC1275">
        <v>0.32459856000000004</v>
      </c>
    </row>
    <row r="1276" spans="1:29" x14ac:dyDescent="0.3">
      <c r="A1276">
        <v>150695</v>
      </c>
      <c r="B1276" s="25" t="s">
        <v>5984</v>
      </c>
      <c r="C1276" t="s">
        <v>20</v>
      </c>
      <c r="D1276" t="s">
        <v>21</v>
      </c>
      <c r="E1276">
        <v>2222222</v>
      </c>
      <c r="F1276" s="8" t="s">
        <v>22</v>
      </c>
      <c r="G1276" s="2">
        <v>98</v>
      </c>
      <c r="H1276" t="s">
        <v>4036</v>
      </c>
      <c r="J1276" s="9" t="s">
        <v>4885</v>
      </c>
      <c r="K1276" t="s">
        <v>5025</v>
      </c>
      <c r="L1276" s="2">
        <v>1</v>
      </c>
      <c r="M1276" s="24" t="s">
        <v>5971</v>
      </c>
      <c r="N1276" s="2" t="s">
        <v>23</v>
      </c>
      <c r="O1276" s="18" t="s">
        <v>1059</v>
      </c>
      <c r="P1276" s="18" t="s">
        <v>3781</v>
      </c>
      <c r="Q1276" s="6" t="s">
        <v>4475</v>
      </c>
      <c r="T1276" s="23">
        <v>46120</v>
      </c>
      <c r="U1276" s="23">
        <v>47946</v>
      </c>
      <c r="X1276" s="20">
        <v>25000</v>
      </c>
      <c r="Z1276" s="6" t="s">
        <v>5978</v>
      </c>
      <c r="AA1276" s="14">
        <f t="shared" si="162"/>
        <v>5.9999999999999995E-4</v>
      </c>
      <c r="AB1276">
        <v>14.208737999999999</v>
      </c>
      <c r="AC1276">
        <v>14.777087519999998</v>
      </c>
    </row>
    <row r="1277" spans="1:29" x14ac:dyDescent="0.3">
      <c r="A1277">
        <v>151460</v>
      </c>
      <c r="B1277" s="25" t="s">
        <v>5984</v>
      </c>
      <c r="C1277" t="s">
        <v>20</v>
      </c>
      <c r="D1277" t="s">
        <v>21</v>
      </c>
      <c r="E1277">
        <v>2222222</v>
      </c>
      <c r="F1277" s="8" t="s">
        <v>22</v>
      </c>
      <c r="G1277" s="2">
        <v>98</v>
      </c>
      <c r="H1277" t="s">
        <v>4036</v>
      </c>
      <c r="J1277" s="9" t="s">
        <v>5096</v>
      </c>
      <c r="K1277" t="s">
        <v>4893</v>
      </c>
      <c r="L1277" s="2">
        <v>1</v>
      </c>
      <c r="M1277" s="24" t="s">
        <v>5971</v>
      </c>
      <c r="N1277" s="2" t="s">
        <v>23</v>
      </c>
      <c r="O1277" s="18" t="s">
        <v>1054</v>
      </c>
      <c r="P1277" s="18" t="s">
        <v>3781</v>
      </c>
      <c r="Q1277" s="6" t="s">
        <v>4475</v>
      </c>
      <c r="T1277" s="23">
        <v>46166</v>
      </c>
      <c r="U1277" s="23">
        <v>47446</v>
      </c>
      <c r="X1277" s="20">
        <v>4300</v>
      </c>
      <c r="Z1277" s="6" t="s">
        <v>5978</v>
      </c>
      <c r="AA1277" s="14">
        <f t="shared" si="162"/>
        <v>5.9999999999999995E-4</v>
      </c>
      <c r="AB1277">
        <v>2.4830399999999995</v>
      </c>
      <c r="AC1277">
        <v>2.5823615999999996</v>
      </c>
    </row>
    <row r="1278" spans="1:29" x14ac:dyDescent="0.3">
      <c r="A1278">
        <v>151537</v>
      </c>
      <c r="B1278" s="25" t="s">
        <v>5984</v>
      </c>
      <c r="C1278" t="s">
        <v>20</v>
      </c>
      <c r="D1278" t="s">
        <v>21</v>
      </c>
      <c r="E1278">
        <v>2222222</v>
      </c>
      <c r="F1278" s="8" t="s">
        <v>22</v>
      </c>
      <c r="G1278" s="2">
        <v>98</v>
      </c>
      <c r="H1278" t="s">
        <v>4036</v>
      </c>
      <c r="J1278" s="9" t="s">
        <v>4836</v>
      </c>
      <c r="K1278" t="s">
        <v>4972</v>
      </c>
      <c r="L1278" s="2">
        <v>1</v>
      </c>
      <c r="M1278" s="24" t="s">
        <v>5971</v>
      </c>
      <c r="N1278" s="2" t="s">
        <v>23</v>
      </c>
      <c r="O1278" s="18" t="s">
        <v>801</v>
      </c>
      <c r="P1278" s="18" t="s">
        <v>3781</v>
      </c>
      <c r="Q1278" s="6" t="s">
        <v>4475</v>
      </c>
      <c r="T1278" s="23">
        <v>46171</v>
      </c>
      <c r="U1278" s="23">
        <v>46261</v>
      </c>
      <c r="X1278" s="20">
        <v>4420</v>
      </c>
      <c r="Z1278" s="6" t="s">
        <v>5978</v>
      </c>
      <c r="AA1278" s="14">
        <f t="shared" si="162"/>
        <v>5.9999999999999995E-4</v>
      </c>
      <c r="AB1278">
        <v>2.6519999999999997</v>
      </c>
      <c r="AC1278">
        <v>2.7580799999999996</v>
      </c>
    </row>
    <row r="1279" spans="1:29" x14ac:dyDescent="0.3">
      <c r="A1279">
        <v>151804</v>
      </c>
      <c r="B1279" s="25" t="s">
        <v>5984</v>
      </c>
      <c r="C1279" t="s">
        <v>20</v>
      </c>
      <c r="D1279" t="s">
        <v>21</v>
      </c>
      <c r="E1279">
        <v>2222222</v>
      </c>
      <c r="F1279" s="8" t="s">
        <v>22</v>
      </c>
      <c r="G1279" s="2">
        <v>98</v>
      </c>
      <c r="H1279" t="s">
        <v>4036</v>
      </c>
      <c r="J1279" s="9" t="s">
        <v>5055</v>
      </c>
      <c r="K1279" t="s">
        <v>4893</v>
      </c>
      <c r="L1279" s="2">
        <v>1</v>
      </c>
      <c r="M1279" s="24" t="s">
        <v>5971</v>
      </c>
      <c r="N1279" s="2" t="s">
        <v>23</v>
      </c>
      <c r="O1279" s="18" t="s">
        <v>1052</v>
      </c>
      <c r="P1279" s="18" t="s">
        <v>3781</v>
      </c>
      <c r="Q1279" s="6" t="s">
        <v>4475</v>
      </c>
      <c r="T1279" s="23">
        <v>46189</v>
      </c>
      <c r="U1279" s="23">
        <v>46737</v>
      </c>
      <c r="X1279" s="20">
        <v>2000</v>
      </c>
      <c r="Z1279" s="6" t="s">
        <v>5978</v>
      </c>
      <c r="AA1279" s="14">
        <f t="shared" si="162"/>
        <v>5.9999999999999995E-4</v>
      </c>
      <c r="AB1279">
        <v>1.1408699999999998</v>
      </c>
      <c r="AC1279">
        <v>1.1865047999999998</v>
      </c>
    </row>
    <row r="1280" spans="1:29" x14ac:dyDescent="0.3">
      <c r="A1280">
        <v>151922</v>
      </c>
      <c r="B1280" s="25" t="s">
        <v>5984</v>
      </c>
      <c r="C1280" t="s">
        <v>20</v>
      </c>
      <c r="D1280" t="s">
        <v>21</v>
      </c>
      <c r="E1280">
        <v>2222222</v>
      </c>
      <c r="F1280" s="8" t="s">
        <v>22</v>
      </c>
      <c r="G1280" s="2">
        <v>98</v>
      </c>
      <c r="H1280" t="s">
        <v>4036</v>
      </c>
      <c r="J1280" s="9" t="s">
        <v>5435</v>
      </c>
      <c r="K1280" t="s">
        <v>5078</v>
      </c>
      <c r="L1280" s="2">
        <v>1</v>
      </c>
      <c r="M1280" s="24" t="s">
        <v>5971</v>
      </c>
      <c r="N1280" s="2" t="s">
        <v>23</v>
      </c>
      <c r="O1280" s="18" t="s">
        <v>1060</v>
      </c>
      <c r="P1280" s="18" t="s">
        <v>0</v>
      </c>
      <c r="Q1280" s="6" t="s">
        <v>4475</v>
      </c>
      <c r="T1280" s="23">
        <v>46197</v>
      </c>
      <c r="U1280" s="23">
        <v>46562</v>
      </c>
      <c r="X1280" s="20">
        <v>1500</v>
      </c>
      <c r="Z1280" s="6" t="s">
        <v>5978</v>
      </c>
      <c r="AA1280" s="14">
        <f t="shared" si="162"/>
        <v>5.9999999999999995E-4</v>
      </c>
      <c r="AB1280">
        <v>0.83056199999999991</v>
      </c>
      <c r="AC1280">
        <v>0.86378447999999997</v>
      </c>
    </row>
    <row r="1281" spans="1:29" x14ac:dyDescent="0.3">
      <c r="A1281">
        <v>146737</v>
      </c>
      <c r="B1281" s="25" t="s">
        <v>5984</v>
      </c>
      <c r="C1281" t="s">
        <v>20</v>
      </c>
      <c r="D1281" t="s">
        <v>21</v>
      </c>
      <c r="E1281">
        <v>2222222</v>
      </c>
      <c r="F1281" s="8" t="s">
        <v>22</v>
      </c>
      <c r="G1281" s="2">
        <v>98</v>
      </c>
      <c r="H1281" t="s">
        <v>4037</v>
      </c>
      <c r="J1281" s="9" t="s">
        <v>5436</v>
      </c>
      <c r="K1281" t="s">
        <v>5025</v>
      </c>
      <c r="L1281" s="2">
        <v>1</v>
      </c>
      <c r="M1281" s="24" t="s">
        <v>5971</v>
      </c>
      <c r="N1281" s="2" t="s">
        <v>23</v>
      </c>
      <c r="O1281" s="18" t="s">
        <v>33</v>
      </c>
      <c r="P1281" s="18" t="s">
        <v>3781</v>
      </c>
      <c r="Q1281" s="6" t="s">
        <v>4475</v>
      </c>
      <c r="T1281" s="23">
        <v>45839</v>
      </c>
      <c r="U1281" s="23">
        <v>46569</v>
      </c>
      <c r="X1281" s="20">
        <v>1550</v>
      </c>
      <c r="Z1281" s="6" t="s">
        <v>5978</v>
      </c>
      <c r="AA1281" s="14">
        <f t="shared" si="162"/>
        <v>5.9999999999999995E-4</v>
      </c>
      <c r="AB1281">
        <v>0.50438999999999989</v>
      </c>
      <c r="AC1281">
        <v>0.52456559999999985</v>
      </c>
    </row>
    <row r="1282" spans="1:29" x14ac:dyDescent="0.3">
      <c r="A1282">
        <v>124562</v>
      </c>
      <c r="B1282" s="25" t="s">
        <v>5984</v>
      </c>
      <c r="C1282" t="s">
        <v>20</v>
      </c>
      <c r="D1282" t="s">
        <v>21</v>
      </c>
      <c r="E1282">
        <v>2222222</v>
      </c>
      <c r="F1282" s="8" t="s">
        <v>22</v>
      </c>
      <c r="G1282" s="2">
        <v>98</v>
      </c>
      <c r="H1282" t="s">
        <v>4038</v>
      </c>
      <c r="J1282" s="9" t="s">
        <v>4815</v>
      </c>
      <c r="K1282" t="s">
        <v>5437</v>
      </c>
      <c r="L1282" s="2">
        <v>1</v>
      </c>
      <c r="M1282" s="24" t="s">
        <v>5971</v>
      </c>
      <c r="N1282" s="2" t="s">
        <v>23</v>
      </c>
      <c r="O1282" s="18" t="s">
        <v>1061</v>
      </c>
      <c r="P1282" s="18" t="s">
        <v>0</v>
      </c>
      <c r="Q1282" s="6" t="s">
        <v>4475</v>
      </c>
      <c r="T1282" s="23">
        <v>44782</v>
      </c>
      <c r="U1282" s="23">
        <v>47338</v>
      </c>
      <c r="X1282" s="20">
        <v>36000</v>
      </c>
      <c r="Z1282" s="6" t="s">
        <v>5978</v>
      </c>
      <c r="AA1282" s="13">
        <f t="shared" ref="AA1282:AA1285" si="163">+(0.56/1000)</f>
        <v>5.6000000000000006E-4</v>
      </c>
      <c r="AB1282">
        <v>11.664923200000002</v>
      </c>
      <c r="AC1282">
        <v>12.131520128000004</v>
      </c>
    </row>
    <row r="1283" spans="1:29" x14ac:dyDescent="0.3">
      <c r="A1283">
        <v>132105</v>
      </c>
      <c r="B1283" s="25" t="s">
        <v>5984</v>
      </c>
      <c r="C1283" t="s">
        <v>20</v>
      </c>
      <c r="D1283" t="s">
        <v>21</v>
      </c>
      <c r="E1283">
        <v>2222222</v>
      </c>
      <c r="F1283" s="8" t="s">
        <v>22</v>
      </c>
      <c r="G1283" s="2">
        <v>98</v>
      </c>
      <c r="H1283" t="s">
        <v>4038</v>
      </c>
      <c r="J1283" s="9" t="s">
        <v>5143</v>
      </c>
      <c r="K1283" t="s">
        <v>5021</v>
      </c>
      <c r="L1283" s="2">
        <v>1</v>
      </c>
      <c r="M1283" s="24" t="s">
        <v>5971</v>
      </c>
      <c r="N1283" s="2" t="s">
        <v>23</v>
      </c>
      <c r="O1283" s="18" t="s">
        <v>1062</v>
      </c>
      <c r="P1283" s="18" t="s">
        <v>3781</v>
      </c>
      <c r="Q1283" s="6" t="s">
        <v>4475</v>
      </c>
      <c r="T1283" s="23">
        <v>44923</v>
      </c>
      <c r="U1283" s="23">
        <v>46392</v>
      </c>
      <c r="X1283" s="20">
        <v>5000</v>
      </c>
      <c r="Z1283" s="6" t="s">
        <v>5978</v>
      </c>
      <c r="AA1283" s="13">
        <f t="shared" si="163"/>
        <v>5.6000000000000006E-4</v>
      </c>
      <c r="AB1283">
        <v>0.47388320000000006</v>
      </c>
      <c r="AC1283">
        <v>0.49283852800000005</v>
      </c>
    </row>
    <row r="1284" spans="1:29" x14ac:dyDescent="0.3">
      <c r="A1284">
        <v>136541</v>
      </c>
      <c r="B1284" s="25" t="s">
        <v>5984</v>
      </c>
      <c r="C1284" t="s">
        <v>20</v>
      </c>
      <c r="D1284" t="s">
        <v>21</v>
      </c>
      <c r="E1284">
        <v>2222222</v>
      </c>
      <c r="F1284" s="8" t="s">
        <v>22</v>
      </c>
      <c r="G1284" s="2">
        <v>98</v>
      </c>
      <c r="H1284" t="s">
        <v>4038</v>
      </c>
      <c r="J1284" s="9" t="s">
        <v>4964</v>
      </c>
      <c r="K1284" t="s">
        <v>4848</v>
      </c>
      <c r="L1284" s="2">
        <v>1</v>
      </c>
      <c r="M1284" s="24" t="s">
        <v>5971</v>
      </c>
      <c r="N1284" s="2" t="s">
        <v>23</v>
      </c>
      <c r="O1284" s="18" t="s">
        <v>1063</v>
      </c>
      <c r="P1284" s="18" t="s">
        <v>0</v>
      </c>
      <c r="Q1284" s="6" t="s">
        <v>4475</v>
      </c>
      <c r="T1284" s="23">
        <v>45181</v>
      </c>
      <c r="U1284" s="23">
        <v>47008</v>
      </c>
      <c r="X1284" s="20">
        <v>5400</v>
      </c>
      <c r="Z1284" s="6" t="s">
        <v>5978</v>
      </c>
      <c r="AA1284" s="13">
        <f t="shared" si="163"/>
        <v>5.6000000000000006E-4</v>
      </c>
      <c r="AB1284">
        <v>1.6111592000000003</v>
      </c>
      <c r="AC1284">
        <v>1.6756055680000004</v>
      </c>
    </row>
    <row r="1285" spans="1:29" x14ac:dyDescent="0.3">
      <c r="A1285">
        <v>138286</v>
      </c>
      <c r="B1285" s="25" t="s">
        <v>5984</v>
      </c>
      <c r="C1285" t="s">
        <v>20</v>
      </c>
      <c r="D1285" t="s">
        <v>21</v>
      </c>
      <c r="E1285">
        <v>2222222</v>
      </c>
      <c r="F1285" s="8" t="s">
        <v>22</v>
      </c>
      <c r="G1285" s="2">
        <v>98</v>
      </c>
      <c r="H1285" t="s">
        <v>4038</v>
      </c>
      <c r="J1285" s="9" t="s">
        <v>5438</v>
      </c>
      <c r="K1285" t="s">
        <v>4867</v>
      </c>
      <c r="L1285" s="2">
        <v>1</v>
      </c>
      <c r="M1285" s="24" t="s">
        <v>5971</v>
      </c>
      <c r="N1285" s="2" t="s">
        <v>23</v>
      </c>
      <c r="O1285" s="18" t="s">
        <v>1064</v>
      </c>
      <c r="P1285" s="18" t="s">
        <v>3781</v>
      </c>
      <c r="Q1285" s="6" t="s">
        <v>4475</v>
      </c>
      <c r="T1285" s="23">
        <v>45274</v>
      </c>
      <c r="U1285" s="23">
        <v>47527</v>
      </c>
      <c r="X1285" s="20">
        <v>8500</v>
      </c>
      <c r="Z1285" s="6" t="s">
        <v>5978</v>
      </c>
      <c r="AA1285" s="13">
        <f t="shared" si="163"/>
        <v>5.6000000000000006E-4</v>
      </c>
      <c r="AB1285">
        <v>3.3672240000000002</v>
      </c>
      <c r="AC1285">
        <v>3.5019129600000003</v>
      </c>
    </row>
    <row r="1286" spans="1:29" x14ac:dyDescent="0.3">
      <c r="A1286">
        <v>142447</v>
      </c>
      <c r="B1286" s="25" t="s">
        <v>5984</v>
      </c>
      <c r="C1286" t="s">
        <v>20</v>
      </c>
      <c r="D1286" t="s">
        <v>21</v>
      </c>
      <c r="E1286">
        <v>2222222</v>
      </c>
      <c r="F1286" s="8" t="s">
        <v>22</v>
      </c>
      <c r="G1286" s="2">
        <v>98</v>
      </c>
      <c r="H1286" t="s">
        <v>4038</v>
      </c>
      <c r="J1286" s="9" t="s">
        <v>5233</v>
      </c>
      <c r="K1286" t="s">
        <v>5130</v>
      </c>
      <c r="L1286" s="2">
        <v>1</v>
      </c>
      <c r="M1286" s="24" t="s">
        <v>5971</v>
      </c>
      <c r="N1286" s="2" t="s">
        <v>23</v>
      </c>
      <c r="O1286" s="18" t="s">
        <v>1065</v>
      </c>
      <c r="P1286" s="18" t="s">
        <v>0</v>
      </c>
      <c r="Q1286" s="6" t="s">
        <v>4475</v>
      </c>
      <c r="T1286" s="23">
        <v>45521</v>
      </c>
      <c r="U1286" s="23">
        <v>46981</v>
      </c>
      <c r="X1286" s="20">
        <v>5000</v>
      </c>
      <c r="Z1286" s="6" t="s">
        <v>5978</v>
      </c>
      <c r="AA1286" s="14">
        <f t="shared" ref="AA1286:AA1299" si="164">+(0.6/1000)</f>
        <v>5.9999999999999995E-4</v>
      </c>
      <c r="AB1286">
        <v>2.2937819999999998</v>
      </c>
      <c r="AC1286">
        <v>2.3855332799999998</v>
      </c>
    </row>
    <row r="1287" spans="1:29" x14ac:dyDescent="0.3">
      <c r="A1287">
        <v>142893</v>
      </c>
      <c r="B1287" s="25" t="s">
        <v>5984</v>
      </c>
      <c r="C1287" t="s">
        <v>20</v>
      </c>
      <c r="D1287" t="s">
        <v>21</v>
      </c>
      <c r="E1287">
        <v>2222222</v>
      </c>
      <c r="F1287" s="8" t="s">
        <v>22</v>
      </c>
      <c r="G1287" s="2">
        <v>98</v>
      </c>
      <c r="H1287" t="s">
        <v>4038</v>
      </c>
      <c r="J1287" s="9" t="s">
        <v>4969</v>
      </c>
      <c r="K1287" t="s">
        <v>5025</v>
      </c>
      <c r="L1287" s="2">
        <v>1</v>
      </c>
      <c r="M1287" s="24" t="s">
        <v>5971</v>
      </c>
      <c r="N1287" s="2" t="s">
        <v>23</v>
      </c>
      <c r="O1287" s="18" t="s">
        <v>1066</v>
      </c>
      <c r="P1287" s="18" t="s">
        <v>3781</v>
      </c>
      <c r="Q1287" s="6" t="s">
        <v>4475</v>
      </c>
      <c r="T1287" s="23">
        <v>45552</v>
      </c>
      <c r="U1287" s="23">
        <v>46647</v>
      </c>
      <c r="X1287" s="20">
        <v>2700</v>
      </c>
      <c r="Z1287" s="6" t="s">
        <v>5978</v>
      </c>
      <c r="AA1287" s="14">
        <f t="shared" si="164"/>
        <v>5.9999999999999995E-4</v>
      </c>
      <c r="AB1287">
        <v>0.74119199999999985</v>
      </c>
      <c r="AC1287">
        <v>0.77083967999999992</v>
      </c>
    </row>
    <row r="1288" spans="1:29" x14ac:dyDescent="0.3">
      <c r="A1288">
        <v>146153</v>
      </c>
      <c r="B1288" s="25" t="s">
        <v>5984</v>
      </c>
      <c r="C1288" t="s">
        <v>20</v>
      </c>
      <c r="D1288" t="s">
        <v>21</v>
      </c>
      <c r="E1288">
        <v>2222222</v>
      </c>
      <c r="F1288" s="8" t="s">
        <v>22</v>
      </c>
      <c r="G1288" s="2">
        <v>98</v>
      </c>
      <c r="H1288" t="s">
        <v>4038</v>
      </c>
      <c r="J1288" s="9" t="s">
        <v>4908</v>
      </c>
      <c r="K1288" t="s">
        <v>4852</v>
      </c>
      <c r="L1288" s="2">
        <v>1</v>
      </c>
      <c r="M1288" s="24" t="s">
        <v>5971</v>
      </c>
      <c r="N1288" s="2" t="s">
        <v>23</v>
      </c>
      <c r="O1288" s="18" t="s">
        <v>1067</v>
      </c>
      <c r="P1288" s="18" t="s">
        <v>0</v>
      </c>
      <c r="Q1288" s="6" t="s">
        <v>4475</v>
      </c>
      <c r="T1288" s="23">
        <v>45794</v>
      </c>
      <c r="U1288" s="23">
        <v>46523</v>
      </c>
      <c r="X1288" s="20">
        <v>1900</v>
      </c>
      <c r="Z1288" s="6" t="s">
        <v>5978</v>
      </c>
      <c r="AA1288" s="14">
        <f t="shared" si="164"/>
        <v>5.9999999999999995E-4</v>
      </c>
      <c r="AB1288">
        <v>0.52244399999999991</v>
      </c>
      <c r="AC1288">
        <v>0.5433417599999999</v>
      </c>
    </row>
    <row r="1289" spans="1:29" x14ac:dyDescent="0.3">
      <c r="A1289">
        <v>147498</v>
      </c>
      <c r="B1289" s="25" t="s">
        <v>5984</v>
      </c>
      <c r="C1289" t="s">
        <v>20</v>
      </c>
      <c r="D1289" t="s">
        <v>21</v>
      </c>
      <c r="E1289">
        <v>2222222</v>
      </c>
      <c r="F1289" s="8" t="s">
        <v>22</v>
      </c>
      <c r="G1289" s="2">
        <v>98</v>
      </c>
      <c r="H1289" t="s">
        <v>4038</v>
      </c>
      <c r="J1289" s="9" t="s">
        <v>4969</v>
      </c>
      <c r="K1289" t="s">
        <v>5025</v>
      </c>
      <c r="L1289" s="2">
        <v>1</v>
      </c>
      <c r="M1289" s="24" t="s">
        <v>5971</v>
      </c>
      <c r="N1289" s="2" t="s">
        <v>23</v>
      </c>
      <c r="O1289" s="18" t="s">
        <v>1066</v>
      </c>
      <c r="P1289" s="18" t="s">
        <v>3781</v>
      </c>
      <c r="Q1289" s="6" t="s">
        <v>4475</v>
      </c>
      <c r="T1289" s="23">
        <v>45893</v>
      </c>
      <c r="U1289" s="23">
        <v>46622</v>
      </c>
      <c r="X1289" s="20">
        <v>1720</v>
      </c>
      <c r="Z1289" s="6" t="s">
        <v>5978</v>
      </c>
      <c r="AA1289" s="14">
        <f t="shared" si="164"/>
        <v>5.9999999999999995E-4</v>
      </c>
      <c r="AB1289">
        <v>0.60430199999999989</v>
      </c>
      <c r="AC1289">
        <v>0.62847407999999993</v>
      </c>
    </row>
    <row r="1290" spans="1:29" x14ac:dyDescent="0.3">
      <c r="A1290">
        <v>148679</v>
      </c>
      <c r="B1290" s="25" t="s">
        <v>5984</v>
      </c>
      <c r="C1290" t="s">
        <v>20</v>
      </c>
      <c r="D1290" t="s">
        <v>21</v>
      </c>
      <c r="E1290">
        <v>2222222</v>
      </c>
      <c r="F1290" s="8" t="s">
        <v>22</v>
      </c>
      <c r="G1290" s="2">
        <v>98</v>
      </c>
      <c r="H1290" t="s">
        <v>4038</v>
      </c>
      <c r="J1290" s="9" t="s">
        <v>4969</v>
      </c>
      <c r="K1290" t="s">
        <v>4918</v>
      </c>
      <c r="L1290" s="2">
        <v>1</v>
      </c>
      <c r="M1290" s="24" t="s">
        <v>5971</v>
      </c>
      <c r="N1290" s="2" t="s">
        <v>23</v>
      </c>
      <c r="O1290" s="18" t="s">
        <v>1068</v>
      </c>
      <c r="P1290" s="18" t="s">
        <v>3781</v>
      </c>
      <c r="Q1290" s="6" t="s">
        <v>4475</v>
      </c>
      <c r="T1290" s="23">
        <v>45972</v>
      </c>
      <c r="U1290" s="23">
        <v>46337</v>
      </c>
      <c r="X1290" s="20">
        <v>1000</v>
      </c>
      <c r="Z1290" s="6" t="s">
        <v>5978</v>
      </c>
      <c r="AA1290" s="14">
        <f t="shared" si="164"/>
        <v>5.9999999999999995E-4</v>
      </c>
      <c r="AB1290">
        <v>0.21120599999999998</v>
      </c>
      <c r="AC1290">
        <v>0.21965423999999997</v>
      </c>
    </row>
    <row r="1291" spans="1:29" x14ac:dyDescent="0.3">
      <c r="A1291">
        <v>150127</v>
      </c>
      <c r="B1291" s="25" t="s">
        <v>5984</v>
      </c>
      <c r="C1291" t="s">
        <v>20</v>
      </c>
      <c r="D1291" t="s">
        <v>21</v>
      </c>
      <c r="E1291">
        <v>2222222</v>
      </c>
      <c r="F1291" s="8" t="s">
        <v>22</v>
      </c>
      <c r="G1291" s="2">
        <v>98</v>
      </c>
      <c r="H1291" t="s">
        <v>4038</v>
      </c>
      <c r="J1291" s="9" t="s">
        <v>4969</v>
      </c>
      <c r="K1291" t="s">
        <v>4918</v>
      </c>
      <c r="L1291" s="2">
        <v>1</v>
      </c>
      <c r="M1291" s="24" t="s">
        <v>5971</v>
      </c>
      <c r="N1291" s="2" t="s">
        <v>23</v>
      </c>
      <c r="O1291" s="18" t="s">
        <v>1068</v>
      </c>
      <c r="P1291" s="18" t="s">
        <v>3781</v>
      </c>
      <c r="Q1291" s="6" t="s">
        <v>4475</v>
      </c>
      <c r="T1291" s="23">
        <v>46073</v>
      </c>
      <c r="U1291" s="23">
        <v>47540</v>
      </c>
      <c r="X1291" s="20">
        <v>4000</v>
      </c>
      <c r="Z1291" s="6" t="s">
        <v>5978</v>
      </c>
      <c r="AA1291" s="14">
        <f t="shared" si="164"/>
        <v>5.9999999999999995E-4</v>
      </c>
      <c r="AB1291">
        <v>2.223042</v>
      </c>
      <c r="AC1291">
        <v>2.3119636799999999</v>
      </c>
    </row>
    <row r="1292" spans="1:29" x14ac:dyDescent="0.3">
      <c r="A1292">
        <v>151446</v>
      </c>
      <c r="B1292" s="25" t="s">
        <v>5984</v>
      </c>
      <c r="C1292" t="s">
        <v>20</v>
      </c>
      <c r="D1292" t="s">
        <v>21</v>
      </c>
      <c r="E1292">
        <v>2222222</v>
      </c>
      <c r="F1292" s="8" t="s">
        <v>22</v>
      </c>
      <c r="G1292" s="2">
        <v>98</v>
      </c>
      <c r="H1292" t="s">
        <v>4038</v>
      </c>
      <c r="J1292" s="9" t="s">
        <v>4815</v>
      </c>
      <c r="K1292" t="s">
        <v>5437</v>
      </c>
      <c r="L1292" s="2">
        <v>1</v>
      </c>
      <c r="M1292" s="24" t="s">
        <v>5971</v>
      </c>
      <c r="N1292" s="2" t="s">
        <v>23</v>
      </c>
      <c r="O1292" s="18" t="s">
        <v>1061</v>
      </c>
      <c r="P1292" s="18" t="s">
        <v>0</v>
      </c>
      <c r="Q1292" s="6" t="s">
        <v>4475</v>
      </c>
      <c r="T1292" s="23">
        <v>46164</v>
      </c>
      <c r="U1292" s="23">
        <v>46254</v>
      </c>
      <c r="X1292" s="20">
        <v>5000</v>
      </c>
      <c r="Z1292" s="6" t="s">
        <v>5978</v>
      </c>
      <c r="AA1292" s="14">
        <f t="shared" si="164"/>
        <v>5.9999999999999995E-4</v>
      </c>
      <c r="AB1292">
        <v>2.9999999999999996</v>
      </c>
      <c r="AC1292">
        <v>3.1199999999999997</v>
      </c>
    </row>
    <row r="1293" spans="1:29" x14ac:dyDescent="0.3">
      <c r="A1293">
        <v>151812</v>
      </c>
      <c r="B1293" s="25" t="s">
        <v>5984</v>
      </c>
      <c r="C1293" t="s">
        <v>20</v>
      </c>
      <c r="D1293" t="s">
        <v>21</v>
      </c>
      <c r="E1293">
        <v>2222222</v>
      </c>
      <c r="F1293" s="8" t="s">
        <v>22</v>
      </c>
      <c r="G1293" s="2">
        <v>98</v>
      </c>
      <c r="H1293" t="s">
        <v>4038</v>
      </c>
      <c r="J1293" s="9" t="s">
        <v>4981</v>
      </c>
      <c r="K1293" t="s">
        <v>5033</v>
      </c>
      <c r="L1293" s="2">
        <v>1</v>
      </c>
      <c r="M1293" s="24" t="s">
        <v>5971</v>
      </c>
      <c r="N1293" s="2" t="s">
        <v>23</v>
      </c>
      <c r="O1293" s="18" t="s">
        <v>1069</v>
      </c>
      <c r="P1293" s="18" t="s">
        <v>3781</v>
      </c>
      <c r="Q1293" s="6" t="s">
        <v>4475</v>
      </c>
      <c r="T1293" s="23">
        <v>46189</v>
      </c>
      <c r="U1293" s="23">
        <v>46279</v>
      </c>
      <c r="X1293" s="20">
        <v>550</v>
      </c>
      <c r="Z1293" s="6" t="s">
        <v>5978</v>
      </c>
      <c r="AA1293" s="14">
        <f t="shared" si="164"/>
        <v>5.9999999999999995E-4</v>
      </c>
      <c r="AB1293">
        <v>0.32999999999999996</v>
      </c>
      <c r="AC1293">
        <v>0.34319999999999995</v>
      </c>
    </row>
    <row r="1294" spans="1:29" x14ac:dyDescent="0.3">
      <c r="A1294">
        <v>152286</v>
      </c>
      <c r="B1294" s="25" t="s">
        <v>5984</v>
      </c>
      <c r="C1294" t="s">
        <v>20</v>
      </c>
      <c r="D1294" t="s">
        <v>21</v>
      </c>
      <c r="E1294">
        <v>2222222</v>
      </c>
      <c r="F1294" s="8" t="s">
        <v>22</v>
      </c>
      <c r="G1294" s="2">
        <v>98</v>
      </c>
      <c r="H1294" t="s">
        <v>4038</v>
      </c>
      <c r="J1294" s="9" t="s">
        <v>4836</v>
      </c>
      <c r="K1294" t="s">
        <v>5110</v>
      </c>
      <c r="L1294" s="2">
        <v>1</v>
      </c>
      <c r="M1294" s="24" t="s">
        <v>5971</v>
      </c>
      <c r="N1294" s="2" t="s">
        <v>23</v>
      </c>
      <c r="O1294" s="18" t="s">
        <v>1070</v>
      </c>
      <c r="P1294" s="18" t="s">
        <v>3781</v>
      </c>
      <c r="Q1294" s="6" t="s">
        <v>4475</v>
      </c>
      <c r="T1294" s="23">
        <v>46225</v>
      </c>
      <c r="U1294" s="23">
        <v>46439</v>
      </c>
      <c r="X1294" s="20">
        <v>5000</v>
      </c>
      <c r="Z1294" s="6" t="s">
        <v>5978</v>
      </c>
      <c r="AA1294" s="14">
        <f t="shared" si="164"/>
        <v>5.9999999999999995E-4</v>
      </c>
      <c r="AB1294">
        <v>2.9999999999999996</v>
      </c>
      <c r="AC1294">
        <v>3.1199999999999997</v>
      </c>
    </row>
    <row r="1295" spans="1:29" x14ac:dyDescent="0.3">
      <c r="A1295">
        <v>144687</v>
      </c>
      <c r="B1295" s="25" t="s">
        <v>5984</v>
      </c>
      <c r="C1295" t="s">
        <v>20</v>
      </c>
      <c r="D1295" t="s">
        <v>21</v>
      </c>
      <c r="E1295">
        <v>2222222</v>
      </c>
      <c r="F1295" s="8" t="s">
        <v>22</v>
      </c>
      <c r="G1295" s="2">
        <v>98</v>
      </c>
      <c r="H1295" t="s">
        <v>4039</v>
      </c>
      <c r="J1295" s="9"/>
      <c r="K1295" t="s">
        <v>5278</v>
      </c>
      <c r="L1295" s="2">
        <v>1</v>
      </c>
      <c r="M1295" s="24" t="s">
        <v>5971</v>
      </c>
      <c r="N1295" s="2" t="s">
        <v>23</v>
      </c>
      <c r="O1295" s="18" t="s">
        <v>1071</v>
      </c>
      <c r="P1295" s="18" t="s">
        <v>0</v>
      </c>
      <c r="Q1295" s="6" t="s">
        <v>4475</v>
      </c>
      <c r="T1295" s="23">
        <v>45702</v>
      </c>
      <c r="U1295" s="23">
        <v>48260</v>
      </c>
      <c r="X1295" s="20">
        <v>12000</v>
      </c>
      <c r="Z1295" s="6" t="s">
        <v>5978</v>
      </c>
      <c r="AA1295" s="14">
        <f t="shared" si="164"/>
        <v>5.9999999999999995E-4</v>
      </c>
      <c r="AB1295">
        <v>6.3754499999999998</v>
      </c>
      <c r="AC1295">
        <v>6.6304680000000005</v>
      </c>
    </row>
    <row r="1296" spans="1:29" x14ac:dyDescent="0.3">
      <c r="A1296">
        <v>151856</v>
      </c>
      <c r="B1296" s="25" t="s">
        <v>5984</v>
      </c>
      <c r="C1296" t="s">
        <v>20</v>
      </c>
      <c r="D1296" t="s">
        <v>21</v>
      </c>
      <c r="E1296">
        <v>2222222</v>
      </c>
      <c r="F1296" s="8" t="s">
        <v>22</v>
      </c>
      <c r="G1296" s="2">
        <v>98</v>
      </c>
      <c r="H1296" t="s">
        <v>4039</v>
      </c>
      <c r="J1296" s="9" t="s">
        <v>5190</v>
      </c>
      <c r="K1296" t="s">
        <v>5278</v>
      </c>
      <c r="L1296" s="2">
        <v>1</v>
      </c>
      <c r="M1296" s="24" t="s">
        <v>5971</v>
      </c>
      <c r="N1296" s="2" t="s">
        <v>23</v>
      </c>
      <c r="O1296" s="18" t="s">
        <v>1072</v>
      </c>
      <c r="P1296" s="18" t="s">
        <v>0</v>
      </c>
      <c r="Q1296" s="6" t="s">
        <v>4475</v>
      </c>
      <c r="T1296" s="23">
        <v>46194</v>
      </c>
      <c r="U1296" s="23">
        <v>47290</v>
      </c>
      <c r="X1296" s="20">
        <v>4000</v>
      </c>
      <c r="Z1296" s="6" t="s">
        <v>5978</v>
      </c>
      <c r="AA1296" s="14">
        <f t="shared" si="164"/>
        <v>5.9999999999999995E-4</v>
      </c>
      <c r="AB1296">
        <v>2.3481540000000001</v>
      </c>
      <c r="AC1296">
        <v>2.4420801600000002</v>
      </c>
    </row>
    <row r="1297" spans="1:29" x14ac:dyDescent="0.3">
      <c r="A1297">
        <v>152339</v>
      </c>
      <c r="B1297" s="25" t="s">
        <v>5984</v>
      </c>
      <c r="C1297" t="s">
        <v>20</v>
      </c>
      <c r="D1297" t="s">
        <v>21</v>
      </c>
      <c r="E1297">
        <v>2222222</v>
      </c>
      <c r="F1297" s="8" t="s">
        <v>22</v>
      </c>
      <c r="G1297" s="2">
        <v>98</v>
      </c>
      <c r="H1297" t="s">
        <v>4040</v>
      </c>
      <c r="J1297" s="9" t="s">
        <v>4836</v>
      </c>
      <c r="K1297" t="s">
        <v>5439</v>
      </c>
      <c r="L1297" s="2">
        <v>1</v>
      </c>
      <c r="M1297" s="24" t="s">
        <v>5971</v>
      </c>
      <c r="N1297" s="2" t="s">
        <v>23</v>
      </c>
      <c r="O1297" s="18" t="s">
        <v>1073</v>
      </c>
      <c r="P1297" s="18" t="s">
        <v>3781</v>
      </c>
      <c r="Q1297" s="6" t="s">
        <v>4475</v>
      </c>
      <c r="T1297" s="23">
        <v>46231</v>
      </c>
      <c r="U1297" s="23">
        <v>47331</v>
      </c>
      <c r="X1297" s="20">
        <v>5000</v>
      </c>
      <c r="Z1297" s="6" t="s">
        <v>5978</v>
      </c>
      <c r="AA1297" s="14">
        <f t="shared" si="164"/>
        <v>5.9999999999999995E-4</v>
      </c>
      <c r="AB1297">
        <v>2.9999999999999996</v>
      </c>
      <c r="AC1297">
        <v>3.1199999999999997</v>
      </c>
    </row>
    <row r="1298" spans="1:29" x14ac:dyDescent="0.3">
      <c r="A1298">
        <v>147869</v>
      </c>
      <c r="B1298" s="25" t="s">
        <v>5984</v>
      </c>
      <c r="C1298" t="s">
        <v>20</v>
      </c>
      <c r="D1298" t="s">
        <v>21</v>
      </c>
      <c r="E1298">
        <v>2222222</v>
      </c>
      <c r="F1298" s="8" t="s">
        <v>22</v>
      </c>
      <c r="G1298" s="2">
        <v>98</v>
      </c>
      <c r="H1298" t="s">
        <v>4041</v>
      </c>
      <c r="J1298" s="9" t="s">
        <v>4826</v>
      </c>
      <c r="K1298" t="s">
        <v>4871</v>
      </c>
      <c r="L1298" s="2">
        <v>1</v>
      </c>
      <c r="M1298" s="24" t="s">
        <v>5971</v>
      </c>
      <c r="N1298" s="2" t="s">
        <v>23</v>
      </c>
      <c r="O1298" s="18" t="s">
        <v>1074</v>
      </c>
      <c r="P1298" s="18" t="s">
        <v>0</v>
      </c>
      <c r="Q1298" s="6" t="s">
        <v>4475</v>
      </c>
      <c r="T1298" s="23">
        <v>45924</v>
      </c>
      <c r="U1298" s="23">
        <v>48115</v>
      </c>
      <c r="X1298" s="20">
        <v>30000</v>
      </c>
      <c r="Z1298" s="6" t="s">
        <v>5978</v>
      </c>
      <c r="AA1298" s="14">
        <f t="shared" si="164"/>
        <v>5.9999999999999995E-4</v>
      </c>
      <c r="AB1298">
        <v>16.203347999999998</v>
      </c>
      <c r="AC1298">
        <v>16.851481919999998</v>
      </c>
    </row>
    <row r="1299" spans="1:29" x14ac:dyDescent="0.3">
      <c r="A1299">
        <v>147004</v>
      </c>
      <c r="B1299" s="25" t="s">
        <v>5984</v>
      </c>
      <c r="C1299" t="s">
        <v>20</v>
      </c>
      <c r="D1299" t="s">
        <v>21</v>
      </c>
      <c r="E1299">
        <v>2222222</v>
      </c>
      <c r="F1299" s="8" t="s">
        <v>22</v>
      </c>
      <c r="G1299" s="2">
        <v>98</v>
      </c>
      <c r="H1299" t="s">
        <v>4042</v>
      </c>
      <c r="J1299" s="9" t="s">
        <v>4815</v>
      </c>
      <c r="K1299" t="s">
        <v>4908</v>
      </c>
      <c r="L1299" s="2">
        <v>1</v>
      </c>
      <c r="M1299" s="24" t="s">
        <v>5971</v>
      </c>
      <c r="N1299" s="2" t="s">
        <v>23</v>
      </c>
      <c r="O1299" s="18" t="s">
        <v>1075</v>
      </c>
      <c r="P1299" s="18" t="s">
        <v>0</v>
      </c>
      <c r="Q1299" s="6" t="s">
        <v>4475</v>
      </c>
      <c r="T1299" s="23">
        <v>45859</v>
      </c>
      <c r="U1299" s="23">
        <v>47319</v>
      </c>
      <c r="X1299" s="20">
        <v>5000</v>
      </c>
      <c r="Z1299" s="6" t="s">
        <v>5978</v>
      </c>
      <c r="AA1299" s="14">
        <f t="shared" si="164"/>
        <v>5.9999999999999995E-4</v>
      </c>
      <c r="AB1299">
        <v>2.4386099999999997</v>
      </c>
      <c r="AC1299">
        <v>2.5361543999999996</v>
      </c>
    </row>
    <row r="1300" spans="1:29" x14ac:dyDescent="0.3">
      <c r="A1300">
        <v>129374</v>
      </c>
      <c r="B1300" s="25" t="s">
        <v>5984</v>
      </c>
      <c r="C1300" t="s">
        <v>20</v>
      </c>
      <c r="D1300" t="s">
        <v>21</v>
      </c>
      <c r="E1300">
        <v>2222222</v>
      </c>
      <c r="F1300" s="8" t="s">
        <v>22</v>
      </c>
      <c r="G1300" s="2">
        <v>98</v>
      </c>
      <c r="H1300" t="s">
        <v>4043</v>
      </c>
      <c r="J1300" s="9" t="s">
        <v>5297</v>
      </c>
      <c r="K1300" t="s">
        <v>5440</v>
      </c>
      <c r="L1300" s="2">
        <v>1</v>
      </c>
      <c r="M1300" s="24" t="s">
        <v>5971</v>
      </c>
      <c r="N1300" s="2" t="s">
        <v>23</v>
      </c>
      <c r="O1300" s="18" t="s">
        <v>1076</v>
      </c>
      <c r="P1300" s="18" t="s">
        <v>0</v>
      </c>
      <c r="Q1300" s="6" t="s">
        <v>4475</v>
      </c>
      <c r="T1300" s="23">
        <v>44776</v>
      </c>
      <c r="U1300" s="23">
        <v>46236</v>
      </c>
      <c r="X1300" s="20">
        <v>5000</v>
      </c>
      <c r="Z1300" s="6" t="s">
        <v>5978</v>
      </c>
      <c r="AA1300" s="13">
        <f>+(0.56/1000)</f>
        <v>5.6000000000000006E-4</v>
      </c>
      <c r="AB1300">
        <v>2.3770264000000001</v>
      </c>
      <c r="AC1300">
        <v>2.4721074560000003</v>
      </c>
    </row>
    <row r="1301" spans="1:29" x14ac:dyDescent="0.3">
      <c r="A1301">
        <v>144034</v>
      </c>
      <c r="B1301" s="25" t="s">
        <v>5984</v>
      </c>
      <c r="C1301" t="s">
        <v>20</v>
      </c>
      <c r="D1301" t="s">
        <v>21</v>
      </c>
      <c r="E1301">
        <v>2222222</v>
      </c>
      <c r="F1301" s="8" t="s">
        <v>22</v>
      </c>
      <c r="G1301" s="2">
        <v>98</v>
      </c>
      <c r="H1301" t="s">
        <v>4043</v>
      </c>
      <c r="J1301" s="9" t="s">
        <v>4891</v>
      </c>
      <c r="K1301" t="s">
        <v>5025</v>
      </c>
      <c r="L1301" s="2">
        <v>1</v>
      </c>
      <c r="M1301" s="24" t="s">
        <v>5971</v>
      </c>
      <c r="N1301" s="2" t="s">
        <v>23</v>
      </c>
      <c r="O1301" s="18" t="s">
        <v>1077</v>
      </c>
      <c r="P1301" s="18" t="s">
        <v>3781</v>
      </c>
      <c r="Q1301" s="6" t="s">
        <v>4475</v>
      </c>
      <c r="T1301" s="23">
        <v>45632</v>
      </c>
      <c r="U1301" s="23">
        <v>47092</v>
      </c>
      <c r="X1301" s="20">
        <v>5000</v>
      </c>
      <c r="Z1301" s="6" t="s">
        <v>5978</v>
      </c>
      <c r="AA1301" s="14">
        <f t="shared" ref="AA1301:AA1303" si="165">+(0.6/1000)</f>
        <v>5.9999999999999995E-4</v>
      </c>
      <c r="AB1301">
        <v>2.0600999999999998</v>
      </c>
      <c r="AC1301">
        <v>2.1425039999999997</v>
      </c>
    </row>
    <row r="1302" spans="1:29" x14ac:dyDescent="0.3">
      <c r="A1302">
        <v>148879</v>
      </c>
      <c r="B1302" s="25" t="s">
        <v>5984</v>
      </c>
      <c r="C1302" t="s">
        <v>20</v>
      </c>
      <c r="D1302" t="s">
        <v>21</v>
      </c>
      <c r="E1302">
        <v>2222222</v>
      </c>
      <c r="F1302" s="8" t="s">
        <v>22</v>
      </c>
      <c r="G1302" s="2">
        <v>98</v>
      </c>
      <c r="H1302" t="s">
        <v>4043</v>
      </c>
      <c r="J1302" s="9" t="s">
        <v>4826</v>
      </c>
      <c r="K1302" t="s">
        <v>4848</v>
      </c>
      <c r="L1302" s="2">
        <v>1</v>
      </c>
      <c r="M1302" s="24" t="s">
        <v>5971</v>
      </c>
      <c r="N1302" s="2" t="s">
        <v>23</v>
      </c>
      <c r="O1302" s="18" t="s">
        <v>1078</v>
      </c>
      <c r="P1302" s="18" t="s">
        <v>0</v>
      </c>
      <c r="Q1302" s="6" t="s">
        <v>4475</v>
      </c>
      <c r="T1302" s="23">
        <v>45985</v>
      </c>
      <c r="U1302" s="23">
        <v>46715</v>
      </c>
      <c r="X1302" s="20">
        <v>2800</v>
      </c>
      <c r="Z1302" s="6" t="s">
        <v>5978</v>
      </c>
      <c r="AA1302" s="14">
        <f t="shared" si="165"/>
        <v>5.9999999999999995E-4</v>
      </c>
      <c r="AB1302">
        <v>1.1815499999999999</v>
      </c>
      <c r="AC1302">
        <v>1.228812</v>
      </c>
    </row>
    <row r="1303" spans="1:29" x14ac:dyDescent="0.3">
      <c r="A1303">
        <v>150275</v>
      </c>
      <c r="B1303" s="25" t="s">
        <v>5984</v>
      </c>
      <c r="C1303" t="s">
        <v>20</v>
      </c>
      <c r="D1303" t="s">
        <v>21</v>
      </c>
      <c r="E1303">
        <v>2222222</v>
      </c>
      <c r="F1303" s="8" t="s">
        <v>22</v>
      </c>
      <c r="G1303" s="2">
        <v>98</v>
      </c>
      <c r="H1303" t="s">
        <v>4043</v>
      </c>
      <c r="J1303" s="9" t="s">
        <v>4838</v>
      </c>
      <c r="K1303" t="s">
        <v>4848</v>
      </c>
      <c r="L1303" s="2">
        <v>1</v>
      </c>
      <c r="M1303" s="24" t="s">
        <v>5971</v>
      </c>
      <c r="N1303" s="2" t="s">
        <v>23</v>
      </c>
      <c r="O1303" s="18" t="s">
        <v>1079</v>
      </c>
      <c r="P1303" s="18" t="s">
        <v>0</v>
      </c>
      <c r="Q1303" s="6" t="s">
        <v>4475</v>
      </c>
      <c r="T1303" s="23">
        <v>46089</v>
      </c>
      <c r="U1303" s="23">
        <v>46637</v>
      </c>
      <c r="X1303" s="20">
        <v>2100</v>
      </c>
      <c r="Z1303" s="6" t="s">
        <v>5978</v>
      </c>
      <c r="AA1303" s="14">
        <f t="shared" si="165"/>
        <v>5.9999999999999995E-4</v>
      </c>
      <c r="AB1303">
        <v>1.0068599999999999</v>
      </c>
      <c r="AC1303">
        <v>1.0471343999999998</v>
      </c>
    </row>
    <row r="1304" spans="1:29" x14ac:dyDescent="0.3">
      <c r="A1304">
        <v>137145</v>
      </c>
      <c r="B1304" s="25" t="s">
        <v>5984</v>
      </c>
      <c r="C1304" t="s">
        <v>20</v>
      </c>
      <c r="D1304" t="s">
        <v>21</v>
      </c>
      <c r="E1304">
        <v>2222222</v>
      </c>
      <c r="F1304" s="8" t="s">
        <v>22</v>
      </c>
      <c r="G1304" s="2">
        <v>98</v>
      </c>
      <c r="H1304" t="s">
        <v>4044</v>
      </c>
      <c r="J1304" s="9" t="s">
        <v>5441</v>
      </c>
      <c r="K1304" t="s">
        <v>4919</v>
      </c>
      <c r="L1304" s="2">
        <v>1</v>
      </c>
      <c r="M1304" s="24" t="s">
        <v>5971</v>
      </c>
      <c r="N1304" s="2" t="s">
        <v>23</v>
      </c>
      <c r="O1304" s="18" t="s">
        <v>1080</v>
      </c>
      <c r="P1304" s="18" t="s">
        <v>0</v>
      </c>
      <c r="Q1304" s="6" t="s">
        <v>4475</v>
      </c>
      <c r="T1304" s="23">
        <v>45211</v>
      </c>
      <c r="U1304" s="23">
        <v>46306</v>
      </c>
      <c r="X1304" s="20">
        <v>5000</v>
      </c>
      <c r="Z1304" s="6" t="s">
        <v>5978</v>
      </c>
      <c r="AA1304" s="13">
        <f>+(0.56/1000)</f>
        <v>5.6000000000000006E-4</v>
      </c>
      <c r="AB1304">
        <v>0.28440720000000003</v>
      </c>
      <c r="AC1304">
        <v>0.29578348800000004</v>
      </c>
    </row>
    <row r="1305" spans="1:29" x14ac:dyDescent="0.3">
      <c r="A1305">
        <v>147618</v>
      </c>
      <c r="B1305" s="25" t="s">
        <v>5984</v>
      </c>
      <c r="C1305" t="s">
        <v>20</v>
      </c>
      <c r="D1305" t="s">
        <v>21</v>
      </c>
      <c r="E1305">
        <v>2222222</v>
      </c>
      <c r="F1305" s="8" t="s">
        <v>22</v>
      </c>
      <c r="G1305" s="2">
        <v>98</v>
      </c>
      <c r="H1305" t="s">
        <v>4044</v>
      </c>
      <c r="J1305" s="9" t="s">
        <v>4852</v>
      </c>
      <c r="K1305" t="s">
        <v>5442</v>
      </c>
      <c r="L1305" s="2">
        <v>1</v>
      </c>
      <c r="M1305" s="24" t="s">
        <v>5971</v>
      </c>
      <c r="N1305" s="2" t="s">
        <v>23</v>
      </c>
      <c r="O1305" s="18" t="s">
        <v>1081</v>
      </c>
      <c r="P1305" s="18" t="s">
        <v>0</v>
      </c>
      <c r="Q1305" s="6" t="s">
        <v>4475</v>
      </c>
      <c r="T1305" s="23">
        <v>45901</v>
      </c>
      <c r="U1305" s="23">
        <v>46633</v>
      </c>
      <c r="X1305" s="20">
        <v>1000</v>
      </c>
      <c r="Z1305" s="6" t="s">
        <v>5978</v>
      </c>
      <c r="AA1305" s="14">
        <f t="shared" ref="AA1305:AA1310" si="166">+(0.6/1000)</f>
        <v>5.9999999999999995E-4</v>
      </c>
      <c r="AB1305">
        <v>0.37436399999999997</v>
      </c>
      <c r="AC1305">
        <v>0.38933856</v>
      </c>
    </row>
    <row r="1306" spans="1:29" x14ac:dyDescent="0.3">
      <c r="A1306">
        <v>149127</v>
      </c>
      <c r="B1306" s="25" t="s">
        <v>5984</v>
      </c>
      <c r="C1306" t="s">
        <v>20</v>
      </c>
      <c r="D1306" t="s">
        <v>21</v>
      </c>
      <c r="E1306">
        <v>2222222</v>
      </c>
      <c r="F1306" s="8" t="s">
        <v>22</v>
      </c>
      <c r="G1306" s="2">
        <v>98</v>
      </c>
      <c r="H1306" t="s">
        <v>4044</v>
      </c>
      <c r="J1306" s="9" t="s">
        <v>5011</v>
      </c>
      <c r="K1306" t="s">
        <v>5101</v>
      </c>
      <c r="L1306" s="2">
        <v>1</v>
      </c>
      <c r="M1306" s="24" t="s">
        <v>5971</v>
      </c>
      <c r="N1306" s="2" t="s">
        <v>23</v>
      </c>
      <c r="O1306" s="18" t="s">
        <v>434</v>
      </c>
      <c r="P1306" s="18" t="s">
        <v>3781</v>
      </c>
      <c r="Q1306" s="6" t="s">
        <v>4475</v>
      </c>
      <c r="T1306" s="23">
        <v>46000</v>
      </c>
      <c r="U1306" s="23">
        <v>47460</v>
      </c>
      <c r="X1306" s="20">
        <v>5000</v>
      </c>
      <c r="Z1306" s="6" t="s">
        <v>5978</v>
      </c>
      <c r="AA1306" s="14">
        <f t="shared" si="166"/>
        <v>5.9999999999999995E-4</v>
      </c>
      <c r="AB1306">
        <v>2.6827320000000001</v>
      </c>
      <c r="AC1306">
        <v>2.7900412800000001</v>
      </c>
    </row>
    <row r="1307" spans="1:29" x14ac:dyDescent="0.3">
      <c r="A1307">
        <v>150455</v>
      </c>
      <c r="B1307" s="25" t="s">
        <v>5984</v>
      </c>
      <c r="C1307" t="s">
        <v>20</v>
      </c>
      <c r="D1307" t="s">
        <v>21</v>
      </c>
      <c r="E1307">
        <v>2222222</v>
      </c>
      <c r="F1307" s="8" t="s">
        <v>22</v>
      </c>
      <c r="G1307" s="2">
        <v>98</v>
      </c>
      <c r="H1307" t="s">
        <v>4044</v>
      </c>
      <c r="J1307" s="9" t="s">
        <v>5045</v>
      </c>
      <c r="K1307" t="s">
        <v>4832</v>
      </c>
      <c r="L1307" s="2">
        <v>1</v>
      </c>
      <c r="M1307" s="24" t="s">
        <v>5971</v>
      </c>
      <c r="N1307" s="2" t="s">
        <v>23</v>
      </c>
      <c r="O1307" s="18" t="s">
        <v>1082</v>
      </c>
      <c r="P1307" s="18" t="s">
        <v>3781</v>
      </c>
      <c r="Q1307" s="6" t="s">
        <v>4475</v>
      </c>
      <c r="T1307" s="23">
        <v>46094</v>
      </c>
      <c r="U1307" s="23">
        <v>46458</v>
      </c>
      <c r="X1307" s="20">
        <v>885</v>
      </c>
      <c r="Z1307" s="6" t="s">
        <v>5978</v>
      </c>
      <c r="AA1307" s="14">
        <f t="shared" si="166"/>
        <v>5.9999999999999995E-4</v>
      </c>
      <c r="AB1307">
        <v>0.36382199999999998</v>
      </c>
      <c r="AC1307">
        <v>0.37837487999999997</v>
      </c>
    </row>
    <row r="1308" spans="1:29" x14ac:dyDescent="0.3">
      <c r="A1308">
        <v>150730</v>
      </c>
      <c r="B1308" s="25" t="s">
        <v>5984</v>
      </c>
      <c r="C1308" t="s">
        <v>20</v>
      </c>
      <c r="D1308" t="s">
        <v>21</v>
      </c>
      <c r="E1308">
        <v>2222222</v>
      </c>
      <c r="F1308" s="8" t="s">
        <v>22</v>
      </c>
      <c r="G1308" s="2">
        <v>98</v>
      </c>
      <c r="H1308" t="s">
        <v>4044</v>
      </c>
      <c r="J1308" s="9" t="s">
        <v>4900</v>
      </c>
      <c r="K1308" t="s">
        <v>4901</v>
      </c>
      <c r="L1308" s="2">
        <v>1</v>
      </c>
      <c r="M1308" s="24" t="s">
        <v>5971</v>
      </c>
      <c r="N1308" s="2" t="s">
        <v>23</v>
      </c>
      <c r="O1308" s="18" t="s">
        <v>1083</v>
      </c>
      <c r="P1308" s="18" t="s">
        <v>0</v>
      </c>
      <c r="Q1308" s="6" t="s">
        <v>4475</v>
      </c>
      <c r="T1308" s="23">
        <v>46111</v>
      </c>
      <c r="U1308" s="23">
        <v>47571</v>
      </c>
      <c r="X1308" s="20">
        <v>5000</v>
      </c>
      <c r="Z1308" s="6" t="s">
        <v>5978</v>
      </c>
      <c r="AA1308" s="14">
        <f t="shared" si="166"/>
        <v>5.9999999999999995E-4</v>
      </c>
      <c r="AB1308">
        <v>2.8234439999999998</v>
      </c>
      <c r="AC1308">
        <v>2.9363817599999997</v>
      </c>
    </row>
    <row r="1309" spans="1:29" x14ac:dyDescent="0.3">
      <c r="A1309">
        <v>151588</v>
      </c>
      <c r="B1309" s="25" t="s">
        <v>5984</v>
      </c>
      <c r="C1309" t="s">
        <v>20</v>
      </c>
      <c r="D1309" t="s">
        <v>21</v>
      </c>
      <c r="E1309">
        <v>2222222</v>
      </c>
      <c r="F1309" s="8" t="s">
        <v>22</v>
      </c>
      <c r="G1309" s="2">
        <v>98</v>
      </c>
      <c r="H1309" t="s">
        <v>4044</v>
      </c>
      <c r="J1309" s="9" t="s">
        <v>5206</v>
      </c>
      <c r="K1309" t="s">
        <v>4924</v>
      </c>
      <c r="L1309" s="2">
        <v>1</v>
      </c>
      <c r="M1309" s="24" t="s">
        <v>5971</v>
      </c>
      <c r="N1309" s="2" t="s">
        <v>23</v>
      </c>
      <c r="O1309" s="18" t="s">
        <v>1084</v>
      </c>
      <c r="P1309" s="18" t="s">
        <v>3781</v>
      </c>
      <c r="Q1309" s="6" t="s">
        <v>4475</v>
      </c>
      <c r="T1309" s="23">
        <v>46176</v>
      </c>
      <c r="U1309" s="23">
        <v>46266</v>
      </c>
      <c r="X1309" s="20">
        <v>1440</v>
      </c>
      <c r="Z1309" s="6" t="s">
        <v>5978</v>
      </c>
      <c r="AA1309" s="14">
        <f t="shared" si="166"/>
        <v>5.9999999999999995E-4</v>
      </c>
      <c r="AB1309">
        <v>0.86399999999999988</v>
      </c>
      <c r="AC1309">
        <v>0.89855999999999991</v>
      </c>
    </row>
    <row r="1310" spans="1:29" x14ac:dyDescent="0.3">
      <c r="A1310">
        <v>151927</v>
      </c>
      <c r="B1310" s="25" t="s">
        <v>5984</v>
      </c>
      <c r="C1310" t="s">
        <v>20</v>
      </c>
      <c r="D1310" t="s">
        <v>21</v>
      </c>
      <c r="E1310">
        <v>2222222</v>
      </c>
      <c r="F1310" s="8" t="s">
        <v>22</v>
      </c>
      <c r="G1310" s="2">
        <v>98</v>
      </c>
      <c r="H1310" t="s">
        <v>4044</v>
      </c>
      <c r="J1310" s="9" t="s">
        <v>5161</v>
      </c>
      <c r="K1310" t="s">
        <v>5097</v>
      </c>
      <c r="L1310" s="2">
        <v>1</v>
      </c>
      <c r="M1310" s="24" t="s">
        <v>5971</v>
      </c>
      <c r="N1310" s="2" t="s">
        <v>23</v>
      </c>
      <c r="O1310" s="18" t="s">
        <v>682</v>
      </c>
      <c r="P1310" s="18" t="s">
        <v>3781</v>
      </c>
      <c r="Q1310" s="6" t="s">
        <v>4475</v>
      </c>
      <c r="T1310" s="23">
        <v>46202</v>
      </c>
      <c r="U1310" s="23">
        <v>46292</v>
      </c>
      <c r="X1310" s="20">
        <v>500</v>
      </c>
      <c r="Z1310" s="6" t="s">
        <v>5978</v>
      </c>
      <c r="AA1310" s="14">
        <f t="shared" si="166"/>
        <v>5.9999999999999995E-4</v>
      </c>
      <c r="AB1310">
        <v>0.3</v>
      </c>
      <c r="AC1310">
        <v>0.312</v>
      </c>
    </row>
    <row r="1311" spans="1:29" x14ac:dyDescent="0.3">
      <c r="A1311">
        <v>136099</v>
      </c>
      <c r="B1311" s="25" t="s">
        <v>5984</v>
      </c>
      <c r="C1311" t="s">
        <v>20</v>
      </c>
      <c r="D1311" t="s">
        <v>21</v>
      </c>
      <c r="E1311">
        <v>2222222</v>
      </c>
      <c r="F1311" s="8" t="s">
        <v>22</v>
      </c>
      <c r="G1311" s="2">
        <v>98</v>
      </c>
      <c r="H1311" t="s">
        <v>4045</v>
      </c>
      <c r="J1311" s="9" t="s">
        <v>4836</v>
      </c>
      <c r="K1311" t="s">
        <v>5443</v>
      </c>
      <c r="L1311" s="2">
        <v>1</v>
      </c>
      <c r="M1311" s="24" t="s">
        <v>5971</v>
      </c>
      <c r="N1311" s="2" t="s">
        <v>23</v>
      </c>
      <c r="O1311" s="18" t="s">
        <v>1085</v>
      </c>
      <c r="P1311" s="18" t="s">
        <v>3781</v>
      </c>
      <c r="Q1311" s="6" t="s">
        <v>4475</v>
      </c>
      <c r="T1311" s="23">
        <v>45154</v>
      </c>
      <c r="U1311" s="23">
        <v>46249</v>
      </c>
      <c r="X1311" s="20">
        <v>2150</v>
      </c>
      <c r="Z1311" s="6" t="s">
        <v>5978</v>
      </c>
      <c r="AA1311" s="13">
        <f>+(0.56/1000)</f>
        <v>5.6000000000000006E-4</v>
      </c>
      <c r="AB1311">
        <v>4.2884800000000001E-2</v>
      </c>
      <c r="AC1311">
        <v>4.4600192000000004E-2</v>
      </c>
    </row>
    <row r="1312" spans="1:29" x14ac:dyDescent="0.3">
      <c r="A1312">
        <v>146877</v>
      </c>
      <c r="B1312" s="25" t="s">
        <v>5984</v>
      </c>
      <c r="C1312" t="s">
        <v>20</v>
      </c>
      <c r="D1312" t="s">
        <v>21</v>
      </c>
      <c r="E1312">
        <v>2222222</v>
      </c>
      <c r="F1312" s="8" t="s">
        <v>22</v>
      </c>
      <c r="G1312" s="2">
        <v>98</v>
      </c>
      <c r="H1312" t="s">
        <v>4046</v>
      </c>
      <c r="J1312" s="9" t="s">
        <v>4962</v>
      </c>
      <c r="K1312" t="s">
        <v>4942</v>
      </c>
      <c r="L1312" s="2">
        <v>1</v>
      </c>
      <c r="M1312" s="24" t="s">
        <v>5971</v>
      </c>
      <c r="N1312" s="2" t="s">
        <v>23</v>
      </c>
      <c r="O1312" s="18" t="s">
        <v>1086</v>
      </c>
      <c r="P1312" s="18" t="s">
        <v>3781</v>
      </c>
      <c r="Q1312" s="6" t="s">
        <v>4475</v>
      </c>
      <c r="T1312" s="23">
        <v>45849</v>
      </c>
      <c r="U1312" s="23">
        <v>47309</v>
      </c>
      <c r="X1312" s="20">
        <v>3000</v>
      </c>
      <c r="Z1312" s="6" t="s">
        <v>5978</v>
      </c>
      <c r="AA1312" s="14">
        <f t="shared" ref="AA1312:AA1315" si="167">+(0.6/1000)</f>
        <v>5.9999999999999995E-4</v>
      </c>
      <c r="AB1312">
        <v>1.4631540000000001</v>
      </c>
      <c r="AC1312">
        <v>1.5216801600000001</v>
      </c>
    </row>
    <row r="1313" spans="1:29" x14ac:dyDescent="0.3">
      <c r="A1313">
        <v>151265</v>
      </c>
      <c r="B1313" s="25" t="s">
        <v>5984</v>
      </c>
      <c r="C1313" t="s">
        <v>20</v>
      </c>
      <c r="D1313" t="s">
        <v>21</v>
      </c>
      <c r="E1313">
        <v>2222222</v>
      </c>
      <c r="F1313" s="8" t="s">
        <v>22</v>
      </c>
      <c r="G1313" s="2">
        <v>98</v>
      </c>
      <c r="H1313" t="s">
        <v>4046</v>
      </c>
      <c r="J1313" s="9" t="s">
        <v>4962</v>
      </c>
      <c r="K1313" t="s">
        <v>4942</v>
      </c>
      <c r="L1313" s="2">
        <v>1</v>
      </c>
      <c r="M1313" s="24" t="s">
        <v>5971</v>
      </c>
      <c r="N1313" s="2" t="s">
        <v>23</v>
      </c>
      <c r="O1313" s="18" t="s">
        <v>1086</v>
      </c>
      <c r="P1313" s="18" t="s">
        <v>3781</v>
      </c>
      <c r="Q1313" s="6" t="s">
        <v>4475</v>
      </c>
      <c r="T1313" s="23">
        <v>46150</v>
      </c>
      <c r="U1313" s="23">
        <v>46489</v>
      </c>
      <c r="X1313" s="20">
        <v>1000</v>
      </c>
      <c r="Z1313" s="6" t="s">
        <v>5978</v>
      </c>
      <c r="AA1313" s="14">
        <f t="shared" si="167"/>
        <v>5.9999999999999995E-4</v>
      </c>
      <c r="AB1313">
        <v>0.6</v>
      </c>
      <c r="AC1313">
        <v>0.624</v>
      </c>
    </row>
    <row r="1314" spans="1:29" x14ac:dyDescent="0.3">
      <c r="A1314">
        <v>151698</v>
      </c>
      <c r="B1314" s="25" t="s">
        <v>5984</v>
      </c>
      <c r="C1314" t="s">
        <v>20</v>
      </c>
      <c r="D1314" t="s">
        <v>21</v>
      </c>
      <c r="E1314">
        <v>2222222</v>
      </c>
      <c r="F1314" s="8" t="s">
        <v>22</v>
      </c>
      <c r="G1314" s="2">
        <v>98</v>
      </c>
      <c r="H1314" t="s">
        <v>4046</v>
      </c>
      <c r="J1314" s="9" t="s">
        <v>4962</v>
      </c>
      <c r="K1314" t="s">
        <v>4942</v>
      </c>
      <c r="L1314" s="2">
        <v>1</v>
      </c>
      <c r="M1314" s="24" t="s">
        <v>5971</v>
      </c>
      <c r="N1314" s="2" t="s">
        <v>23</v>
      </c>
      <c r="O1314" s="18" t="s">
        <v>1086</v>
      </c>
      <c r="P1314" s="18" t="s">
        <v>3781</v>
      </c>
      <c r="Q1314" s="6" t="s">
        <v>4475</v>
      </c>
      <c r="T1314" s="23">
        <v>46181</v>
      </c>
      <c r="U1314" s="23">
        <v>46489</v>
      </c>
      <c r="X1314" s="20">
        <v>1000</v>
      </c>
      <c r="Z1314" s="6" t="s">
        <v>5978</v>
      </c>
      <c r="AA1314" s="14">
        <f t="shared" si="167"/>
        <v>5.9999999999999995E-4</v>
      </c>
      <c r="AB1314">
        <v>0.6</v>
      </c>
      <c r="AC1314">
        <v>0.624</v>
      </c>
    </row>
    <row r="1315" spans="1:29" x14ac:dyDescent="0.3">
      <c r="A1315">
        <v>152238</v>
      </c>
      <c r="B1315" s="25" t="s">
        <v>5984</v>
      </c>
      <c r="C1315" t="s">
        <v>20</v>
      </c>
      <c r="D1315" t="s">
        <v>21</v>
      </c>
      <c r="E1315">
        <v>2222222</v>
      </c>
      <c r="F1315" s="8" t="s">
        <v>22</v>
      </c>
      <c r="G1315" s="2">
        <v>98</v>
      </c>
      <c r="H1315" t="s">
        <v>4046</v>
      </c>
      <c r="J1315" s="9" t="s">
        <v>4962</v>
      </c>
      <c r="K1315" t="s">
        <v>4942</v>
      </c>
      <c r="L1315" s="2">
        <v>1</v>
      </c>
      <c r="M1315" s="24" t="s">
        <v>5971</v>
      </c>
      <c r="N1315" s="2" t="s">
        <v>23</v>
      </c>
      <c r="O1315" s="18" t="s">
        <v>1086</v>
      </c>
      <c r="P1315" s="18" t="s">
        <v>3781</v>
      </c>
      <c r="Q1315" s="6" t="s">
        <v>4475</v>
      </c>
      <c r="T1315" s="23">
        <v>46220</v>
      </c>
      <c r="U1315" s="23">
        <v>46489</v>
      </c>
      <c r="X1315" s="20">
        <v>1000</v>
      </c>
      <c r="Z1315" s="6" t="s">
        <v>5978</v>
      </c>
      <c r="AA1315" s="14">
        <f t="shared" si="167"/>
        <v>5.9999999999999995E-4</v>
      </c>
      <c r="AB1315">
        <v>0.6</v>
      </c>
      <c r="AC1315">
        <v>0.624</v>
      </c>
    </row>
    <row r="1316" spans="1:29" x14ac:dyDescent="0.3">
      <c r="A1316">
        <v>139480</v>
      </c>
      <c r="B1316" s="25" t="s">
        <v>5984</v>
      </c>
      <c r="C1316" t="s">
        <v>20</v>
      </c>
      <c r="D1316" t="s">
        <v>21</v>
      </c>
      <c r="E1316">
        <v>2222222</v>
      </c>
      <c r="F1316" s="8" t="s">
        <v>22</v>
      </c>
      <c r="G1316" s="2">
        <v>98</v>
      </c>
      <c r="H1316" t="s">
        <v>4047</v>
      </c>
      <c r="J1316" s="9" t="s">
        <v>5444</v>
      </c>
      <c r="K1316" t="s">
        <v>5129</v>
      </c>
      <c r="L1316" s="2">
        <v>1</v>
      </c>
      <c r="M1316" s="24" t="s">
        <v>5971</v>
      </c>
      <c r="N1316" s="2" t="s">
        <v>23</v>
      </c>
      <c r="O1316" s="18" t="s">
        <v>1087</v>
      </c>
      <c r="P1316" s="18" t="s">
        <v>0</v>
      </c>
      <c r="Q1316" s="6" t="s">
        <v>4475</v>
      </c>
      <c r="T1316" s="23">
        <v>45336</v>
      </c>
      <c r="U1316" s="23">
        <v>46798</v>
      </c>
      <c r="X1316" s="20">
        <v>5000</v>
      </c>
      <c r="Z1316" s="6" t="s">
        <v>5978</v>
      </c>
      <c r="AA1316" s="13">
        <f t="shared" ref="AA1316:AA1319" si="168">+(0.56/1000)</f>
        <v>5.6000000000000006E-4</v>
      </c>
      <c r="AB1316">
        <v>1.3687016000000003</v>
      </c>
      <c r="AC1316">
        <v>1.4234496640000003</v>
      </c>
    </row>
    <row r="1317" spans="1:29" x14ac:dyDescent="0.3">
      <c r="A1317">
        <v>139742</v>
      </c>
      <c r="B1317" s="25" t="s">
        <v>5984</v>
      </c>
      <c r="C1317" t="s">
        <v>20</v>
      </c>
      <c r="D1317" t="s">
        <v>21</v>
      </c>
      <c r="E1317">
        <v>2222222</v>
      </c>
      <c r="F1317" s="8" t="s">
        <v>22</v>
      </c>
      <c r="G1317" s="2">
        <v>98</v>
      </c>
      <c r="H1317" t="s">
        <v>4047</v>
      </c>
      <c r="J1317" s="9" t="s">
        <v>4876</v>
      </c>
      <c r="K1317" t="s">
        <v>5023</v>
      </c>
      <c r="L1317" s="2">
        <v>1</v>
      </c>
      <c r="M1317" s="24" t="s">
        <v>5971</v>
      </c>
      <c r="N1317" s="2" t="s">
        <v>23</v>
      </c>
      <c r="O1317" s="18" t="s">
        <v>441</v>
      </c>
      <c r="P1317" s="18" t="s">
        <v>0</v>
      </c>
      <c r="Q1317" s="6" t="s">
        <v>4475</v>
      </c>
      <c r="T1317" s="23">
        <v>45348</v>
      </c>
      <c r="U1317" s="23">
        <v>46626</v>
      </c>
      <c r="X1317" s="20">
        <v>5000</v>
      </c>
      <c r="Z1317" s="6" t="s">
        <v>5978</v>
      </c>
      <c r="AA1317" s="13">
        <f t="shared" si="168"/>
        <v>5.6000000000000006E-4</v>
      </c>
      <c r="AB1317">
        <v>1.0745392</v>
      </c>
      <c r="AC1317">
        <v>1.1175207680000001</v>
      </c>
    </row>
    <row r="1318" spans="1:29" x14ac:dyDescent="0.3">
      <c r="A1318">
        <v>136177</v>
      </c>
      <c r="B1318" s="25" t="s">
        <v>5984</v>
      </c>
      <c r="C1318" t="s">
        <v>20</v>
      </c>
      <c r="D1318" t="s">
        <v>21</v>
      </c>
      <c r="E1318">
        <v>2222222</v>
      </c>
      <c r="F1318" s="8" t="s">
        <v>22</v>
      </c>
      <c r="G1318" s="2">
        <v>98</v>
      </c>
      <c r="H1318" t="s">
        <v>4048</v>
      </c>
      <c r="J1318" s="9" t="s">
        <v>4836</v>
      </c>
      <c r="K1318" t="s">
        <v>5445</v>
      </c>
      <c r="L1318" s="2">
        <v>1</v>
      </c>
      <c r="M1318" s="24" t="s">
        <v>5971</v>
      </c>
      <c r="N1318" s="2" t="s">
        <v>23</v>
      </c>
      <c r="O1318" s="18" t="s">
        <v>1088</v>
      </c>
      <c r="P1318" s="18" t="s">
        <v>3781</v>
      </c>
      <c r="Q1318" s="6" t="s">
        <v>4475</v>
      </c>
      <c r="T1318" s="23">
        <v>45163</v>
      </c>
      <c r="U1318" s="23">
        <v>47081</v>
      </c>
      <c r="X1318" s="20">
        <v>18000</v>
      </c>
      <c r="Z1318" s="6" t="s">
        <v>5978</v>
      </c>
      <c r="AA1318" s="13">
        <f t="shared" si="168"/>
        <v>5.6000000000000006E-4</v>
      </c>
      <c r="AB1318">
        <v>5.7092224000000007</v>
      </c>
      <c r="AC1318">
        <v>5.9375912960000008</v>
      </c>
    </row>
    <row r="1319" spans="1:29" x14ac:dyDescent="0.3">
      <c r="A1319">
        <v>137194</v>
      </c>
      <c r="B1319" s="25" t="s">
        <v>5984</v>
      </c>
      <c r="C1319" t="s">
        <v>20</v>
      </c>
      <c r="D1319" t="s">
        <v>21</v>
      </c>
      <c r="E1319">
        <v>2222222</v>
      </c>
      <c r="F1319" s="8" t="s">
        <v>22</v>
      </c>
      <c r="G1319" s="2">
        <v>98</v>
      </c>
      <c r="H1319" t="s">
        <v>4048</v>
      </c>
      <c r="J1319" s="9" t="s">
        <v>4935</v>
      </c>
      <c r="K1319" t="s">
        <v>5298</v>
      </c>
      <c r="L1319" s="2">
        <v>1</v>
      </c>
      <c r="M1319" s="24" t="s">
        <v>5971</v>
      </c>
      <c r="N1319" s="2" t="s">
        <v>23</v>
      </c>
      <c r="O1319" s="18" t="s">
        <v>1089</v>
      </c>
      <c r="P1319" s="18" t="s">
        <v>0</v>
      </c>
      <c r="Q1319" s="6" t="s">
        <v>4475</v>
      </c>
      <c r="T1319" s="23">
        <v>45231</v>
      </c>
      <c r="U1319" s="23">
        <v>47063</v>
      </c>
      <c r="X1319" s="20">
        <v>7900</v>
      </c>
      <c r="Z1319" s="6" t="s">
        <v>5978</v>
      </c>
      <c r="AA1319" s="13">
        <f t="shared" si="168"/>
        <v>5.6000000000000006E-4</v>
      </c>
      <c r="AB1319">
        <v>2.8524048000000004</v>
      </c>
      <c r="AC1319">
        <v>2.9665009920000007</v>
      </c>
    </row>
    <row r="1320" spans="1:29" x14ac:dyDescent="0.3">
      <c r="A1320">
        <v>149240</v>
      </c>
      <c r="B1320" s="25" t="s">
        <v>5984</v>
      </c>
      <c r="C1320" t="s">
        <v>20</v>
      </c>
      <c r="D1320" t="s">
        <v>21</v>
      </c>
      <c r="E1320">
        <v>2222222</v>
      </c>
      <c r="F1320" s="8" t="s">
        <v>22</v>
      </c>
      <c r="G1320" s="2">
        <v>98</v>
      </c>
      <c r="H1320" t="s">
        <v>4049</v>
      </c>
      <c r="J1320" s="9" t="s">
        <v>4953</v>
      </c>
      <c r="K1320" t="s">
        <v>5446</v>
      </c>
      <c r="L1320" s="2">
        <v>1</v>
      </c>
      <c r="M1320" s="24" t="s">
        <v>5971</v>
      </c>
      <c r="N1320" s="2" t="s">
        <v>23</v>
      </c>
      <c r="O1320" s="18" t="s">
        <v>1090</v>
      </c>
      <c r="P1320" s="18" t="s">
        <v>0</v>
      </c>
      <c r="Q1320" s="6" t="s">
        <v>4475</v>
      </c>
      <c r="T1320" s="23">
        <v>46007</v>
      </c>
      <c r="U1320" s="23">
        <v>47284</v>
      </c>
      <c r="X1320" s="20">
        <v>4500</v>
      </c>
      <c r="Z1320" s="6" t="s">
        <v>5978</v>
      </c>
      <c r="AA1320" s="14">
        <f t="shared" ref="AA1320:AA1321" si="169">+(0.6/1000)</f>
        <v>5.9999999999999995E-4</v>
      </c>
      <c r="AB1320">
        <v>2.4580379999999997</v>
      </c>
      <c r="AC1320">
        <v>2.55635952</v>
      </c>
    </row>
    <row r="1321" spans="1:29" x14ac:dyDescent="0.3">
      <c r="A1321">
        <v>141563</v>
      </c>
      <c r="B1321" s="25" t="s">
        <v>5984</v>
      </c>
      <c r="C1321" t="s">
        <v>20</v>
      </c>
      <c r="D1321" t="s">
        <v>21</v>
      </c>
      <c r="E1321">
        <v>2222222</v>
      </c>
      <c r="F1321" s="8" t="s">
        <v>22</v>
      </c>
      <c r="G1321" s="2">
        <v>98</v>
      </c>
      <c r="H1321" t="s">
        <v>4050</v>
      </c>
      <c r="J1321" s="9" t="s">
        <v>5098</v>
      </c>
      <c r="K1321" t="s">
        <v>5447</v>
      </c>
      <c r="L1321" s="2">
        <v>1</v>
      </c>
      <c r="M1321" s="24" t="s">
        <v>5971</v>
      </c>
      <c r="N1321" s="2" t="s">
        <v>23</v>
      </c>
      <c r="O1321" s="18" t="s">
        <v>1091</v>
      </c>
      <c r="P1321" s="18" t="s">
        <v>3781</v>
      </c>
      <c r="Q1321" s="6" t="s">
        <v>4475</v>
      </c>
      <c r="T1321" s="23">
        <v>45461</v>
      </c>
      <c r="U1321" s="23">
        <v>46556</v>
      </c>
      <c r="X1321" s="20">
        <v>3210</v>
      </c>
      <c r="Z1321" s="6" t="s">
        <v>5978</v>
      </c>
      <c r="AA1321" s="14">
        <f t="shared" si="169"/>
        <v>5.9999999999999995E-4</v>
      </c>
      <c r="AB1321">
        <v>0.70301999999999998</v>
      </c>
      <c r="AC1321">
        <v>0.73114080000000004</v>
      </c>
    </row>
    <row r="1322" spans="1:29" x14ac:dyDescent="0.3">
      <c r="A1322">
        <v>115039</v>
      </c>
      <c r="B1322" s="25" t="s">
        <v>5984</v>
      </c>
      <c r="C1322" t="s">
        <v>20</v>
      </c>
      <c r="D1322" t="s">
        <v>21</v>
      </c>
      <c r="E1322">
        <v>2222222</v>
      </c>
      <c r="F1322" s="8" t="s">
        <v>22</v>
      </c>
      <c r="G1322" s="2">
        <v>98</v>
      </c>
      <c r="H1322" t="s">
        <v>4051</v>
      </c>
      <c r="J1322" s="9" t="s">
        <v>5045</v>
      </c>
      <c r="K1322" t="s">
        <v>4872</v>
      </c>
      <c r="L1322" s="2">
        <v>1</v>
      </c>
      <c r="M1322" s="24" t="s">
        <v>5971</v>
      </c>
      <c r="N1322" s="2" t="s">
        <v>23</v>
      </c>
      <c r="O1322" s="18" t="s">
        <v>1092</v>
      </c>
      <c r="P1322" s="18" t="s">
        <v>3781</v>
      </c>
      <c r="Q1322" s="6" t="s">
        <v>4475</v>
      </c>
      <c r="T1322" s="23">
        <v>44076</v>
      </c>
      <c r="U1322" s="23">
        <v>46632</v>
      </c>
      <c r="X1322" s="20">
        <v>9705</v>
      </c>
      <c r="Z1322" s="6" t="s">
        <v>5978</v>
      </c>
      <c r="AA1322" s="15">
        <f>+(0.42/1000)</f>
        <v>4.1999999999999996E-4</v>
      </c>
      <c r="AB1322">
        <v>1.1125631999999999</v>
      </c>
      <c r="AC1322">
        <v>1.1570657279999998</v>
      </c>
    </row>
    <row r="1323" spans="1:29" x14ac:dyDescent="0.3">
      <c r="A1323">
        <v>138213</v>
      </c>
      <c r="B1323" s="25" t="s">
        <v>5984</v>
      </c>
      <c r="C1323" t="s">
        <v>20</v>
      </c>
      <c r="D1323" t="s">
        <v>21</v>
      </c>
      <c r="E1323">
        <v>2222222</v>
      </c>
      <c r="F1323" s="8" t="s">
        <v>22</v>
      </c>
      <c r="G1323" s="2">
        <v>98</v>
      </c>
      <c r="H1323" t="s">
        <v>4051</v>
      </c>
      <c r="J1323" s="9" t="s">
        <v>5045</v>
      </c>
      <c r="K1323" t="s">
        <v>5118</v>
      </c>
      <c r="L1323" s="2">
        <v>1</v>
      </c>
      <c r="M1323" s="24" t="s">
        <v>5971</v>
      </c>
      <c r="N1323" s="2" t="s">
        <v>23</v>
      </c>
      <c r="O1323" s="18" t="s">
        <v>1093</v>
      </c>
      <c r="P1323" s="18" t="s">
        <v>3781</v>
      </c>
      <c r="Q1323" s="6" t="s">
        <v>4475</v>
      </c>
      <c r="T1323" s="23">
        <v>45265</v>
      </c>
      <c r="U1323" s="23">
        <v>46725</v>
      </c>
      <c r="X1323" s="20">
        <v>2000</v>
      </c>
      <c r="Z1323" s="6" t="s">
        <v>5978</v>
      </c>
      <c r="AA1323" s="13">
        <f>+(0.56/1000)</f>
        <v>5.6000000000000006E-4</v>
      </c>
      <c r="AB1323">
        <v>0.49661920000000009</v>
      </c>
      <c r="AC1323">
        <v>0.51648396800000007</v>
      </c>
    </row>
    <row r="1324" spans="1:29" x14ac:dyDescent="0.3">
      <c r="A1324">
        <v>140907</v>
      </c>
      <c r="B1324" s="25" t="s">
        <v>5984</v>
      </c>
      <c r="C1324" t="s">
        <v>20</v>
      </c>
      <c r="D1324" t="s">
        <v>21</v>
      </c>
      <c r="E1324">
        <v>2222222</v>
      </c>
      <c r="F1324" s="8" t="s">
        <v>22</v>
      </c>
      <c r="G1324" s="2">
        <v>98</v>
      </c>
      <c r="H1324" t="s">
        <v>4051</v>
      </c>
      <c r="J1324" s="9" t="s">
        <v>5045</v>
      </c>
      <c r="K1324" t="s">
        <v>4872</v>
      </c>
      <c r="L1324" s="2">
        <v>1</v>
      </c>
      <c r="M1324" s="24" t="s">
        <v>5971</v>
      </c>
      <c r="N1324" s="2" t="s">
        <v>23</v>
      </c>
      <c r="O1324" s="18" t="s">
        <v>1092</v>
      </c>
      <c r="P1324" s="18" t="s">
        <v>3781</v>
      </c>
      <c r="Q1324" s="6" t="s">
        <v>4475</v>
      </c>
      <c r="T1324" s="23">
        <v>45419</v>
      </c>
      <c r="U1324" s="23">
        <v>46879</v>
      </c>
      <c r="X1324" s="20">
        <v>5000</v>
      </c>
      <c r="Z1324" s="6" t="s">
        <v>5978</v>
      </c>
      <c r="AA1324" s="14">
        <f t="shared" ref="AA1324:AA1326" si="170">+(0.6/1000)</f>
        <v>5.9999999999999995E-4</v>
      </c>
      <c r="AB1324">
        <v>1.6582680000000001</v>
      </c>
      <c r="AC1324">
        <v>1.7245987200000001</v>
      </c>
    </row>
    <row r="1325" spans="1:29" x14ac:dyDescent="0.3">
      <c r="A1325">
        <v>150604</v>
      </c>
      <c r="B1325" s="25" t="s">
        <v>5984</v>
      </c>
      <c r="C1325" t="s">
        <v>20</v>
      </c>
      <c r="D1325" t="s">
        <v>21</v>
      </c>
      <c r="E1325">
        <v>2222222</v>
      </c>
      <c r="F1325" s="8" t="s">
        <v>22</v>
      </c>
      <c r="G1325" s="2">
        <v>98</v>
      </c>
      <c r="H1325" t="s">
        <v>4051</v>
      </c>
      <c r="J1325" s="9" t="s">
        <v>5373</v>
      </c>
      <c r="K1325" t="s">
        <v>4884</v>
      </c>
      <c r="L1325" s="2">
        <v>1</v>
      </c>
      <c r="M1325" s="24" t="s">
        <v>5971</v>
      </c>
      <c r="N1325" s="2" t="s">
        <v>23</v>
      </c>
      <c r="O1325" s="18" t="s">
        <v>1094</v>
      </c>
      <c r="P1325" s="18" t="s">
        <v>3781</v>
      </c>
      <c r="Q1325" s="6" t="s">
        <v>4475</v>
      </c>
      <c r="T1325" s="23">
        <v>46104</v>
      </c>
      <c r="U1325" s="23">
        <v>46194</v>
      </c>
      <c r="X1325" s="20">
        <v>5000</v>
      </c>
      <c r="Z1325" s="6" t="s">
        <v>5978</v>
      </c>
      <c r="AA1325" s="14">
        <f t="shared" si="170"/>
        <v>5.9999999999999995E-4</v>
      </c>
      <c r="AB1325">
        <v>2.9999999999999996</v>
      </c>
      <c r="AC1325">
        <v>3.1199999999999997</v>
      </c>
    </row>
    <row r="1326" spans="1:29" x14ac:dyDescent="0.3">
      <c r="A1326">
        <v>150747</v>
      </c>
      <c r="B1326" s="25" t="s">
        <v>5984</v>
      </c>
      <c r="C1326" t="s">
        <v>20</v>
      </c>
      <c r="D1326" t="s">
        <v>21</v>
      </c>
      <c r="E1326">
        <v>2222222</v>
      </c>
      <c r="F1326" s="8" t="s">
        <v>22</v>
      </c>
      <c r="G1326" s="2">
        <v>98</v>
      </c>
      <c r="H1326" t="s">
        <v>4051</v>
      </c>
      <c r="J1326" s="9" t="s">
        <v>4836</v>
      </c>
      <c r="K1326" t="s">
        <v>5098</v>
      </c>
      <c r="L1326" s="2">
        <v>1</v>
      </c>
      <c r="M1326" s="24" t="s">
        <v>5971</v>
      </c>
      <c r="N1326" s="2" t="s">
        <v>23</v>
      </c>
      <c r="O1326" s="18" t="s">
        <v>731</v>
      </c>
      <c r="P1326" s="18" t="s">
        <v>3781</v>
      </c>
      <c r="Q1326" s="6" t="s">
        <v>4475</v>
      </c>
      <c r="T1326" s="23">
        <v>46112</v>
      </c>
      <c r="U1326" s="23">
        <v>47027</v>
      </c>
      <c r="X1326" s="20">
        <v>2790</v>
      </c>
      <c r="Z1326" s="6" t="s">
        <v>5978</v>
      </c>
      <c r="AA1326" s="14">
        <f t="shared" si="170"/>
        <v>5.9999999999999995E-4</v>
      </c>
      <c r="AB1326">
        <v>1.536762</v>
      </c>
      <c r="AC1326">
        <v>1.5982324800000001</v>
      </c>
    </row>
    <row r="1327" spans="1:29" x14ac:dyDescent="0.3">
      <c r="A1327">
        <v>113529</v>
      </c>
      <c r="B1327" s="25" t="s">
        <v>5984</v>
      </c>
      <c r="C1327" t="s">
        <v>20</v>
      </c>
      <c r="D1327" t="s">
        <v>21</v>
      </c>
      <c r="E1327">
        <v>2222222</v>
      </c>
      <c r="F1327" s="8" t="s">
        <v>22</v>
      </c>
      <c r="G1327" s="2">
        <v>98</v>
      </c>
      <c r="H1327" t="s">
        <v>4052</v>
      </c>
      <c r="J1327" s="9" t="s">
        <v>5295</v>
      </c>
      <c r="K1327" t="s">
        <v>4960</v>
      </c>
      <c r="L1327" s="2">
        <v>1</v>
      </c>
      <c r="M1327" s="24" t="s">
        <v>5971</v>
      </c>
      <c r="N1327" s="2" t="s">
        <v>23</v>
      </c>
      <c r="O1327" s="18" t="s">
        <v>1095</v>
      </c>
      <c r="P1327" s="18" t="s">
        <v>3781</v>
      </c>
      <c r="Q1327" s="6" t="s">
        <v>4475</v>
      </c>
      <c r="T1327" s="23">
        <v>44013</v>
      </c>
      <c r="U1327" s="23">
        <v>45843</v>
      </c>
      <c r="X1327" s="20">
        <v>20054</v>
      </c>
      <c r="Z1327" s="6" t="s">
        <v>5978</v>
      </c>
      <c r="AA1327" s="15">
        <f t="shared" ref="AA1327:AA1328" si="171">+(0.42/1000)</f>
        <v>4.1999999999999996E-4</v>
      </c>
      <c r="AB1327">
        <v>6.081133799999999</v>
      </c>
      <c r="AC1327">
        <v>6.3243791519999988</v>
      </c>
    </row>
    <row r="1328" spans="1:29" x14ac:dyDescent="0.3">
      <c r="A1328">
        <v>126102</v>
      </c>
      <c r="B1328" s="25" t="s">
        <v>5984</v>
      </c>
      <c r="C1328" t="s">
        <v>20</v>
      </c>
      <c r="D1328" t="s">
        <v>21</v>
      </c>
      <c r="E1328">
        <v>2222222</v>
      </c>
      <c r="F1328" s="8" t="s">
        <v>22</v>
      </c>
      <c r="G1328" s="2">
        <v>98</v>
      </c>
      <c r="H1328" t="s">
        <v>4052</v>
      </c>
      <c r="J1328" s="9" t="s">
        <v>5061</v>
      </c>
      <c r="K1328" t="s">
        <v>5078</v>
      </c>
      <c r="L1328" s="2">
        <v>1</v>
      </c>
      <c r="M1328" s="24" t="s">
        <v>5971</v>
      </c>
      <c r="N1328" s="2" t="s">
        <v>23</v>
      </c>
      <c r="O1328" s="18" t="s">
        <v>1096</v>
      </c>
      <c r="P1328" s="18" t="s">
        <v>0</v>
      </c>
      <c r="Q1328" s="6" t="s">
        <v>4475</v>
      </c>
      <c r="T1328" s="23">
        <v>44601</v>
      </c>
      <c r="U1328" s="23">
        <v>44691</v>
      </c>
      <c r="X1328" s="20">
        <v>4560</v>
      </c>
      <c r="Z1328" s="6" t="s">
        <v>5978</v>
      </c>
      <c r="AA1328" s="15">
        <f t="shared" si="171"/>
        <v>4.1999999999999996E-4</v>
      </c>
      <c r="AB1328">
        <v>1.9151999999999998</v>
      </c>
      <c r="AC1328">
        <v>1.9918079999999998</v>
      </c>
    </row>
    <row r="1329" spans="1:29" x14ac:dyDescent="0.3">
      <c r="A1329">
        <v>141396</v>
      </c>
      <c r="B1329" s="25" t="s">
        <v>5984</v>
      </c>
      <c r="C1329" t="s">
        <v>20</v>
      </c>
      <c r="D1329" t="s">
        <v>21</v>
      </c>
      <c r="E1329">
        <v>2222222</v>
      </c>
      <c r="F1329" s="8" t="s">
        <v>22</v>
      </c>
      <c r="G1329" s="2">
        <v>98</v>
      </c>
      <c r="H1329" t="s">
        <v>4052</v>
      </c>
      <c r="J1329" s="9" t="s">
        <v>5038</v>
      </c>
      <c r="K1329" t="s">
        <v>4845</v>
      </c>
      <c r="L1329" s="2">
        <v>1</v>
      </c>
      <c r="M1329" s="24" t="s">
        <v>5971</v>
      </c>
      <c r="N1329" s="2" t="s">
        <v>23</v>
      </c>
      <c r="O1329" s="18" t="s">
        <v>1097</v>
      </c>
      <c r="P1329" s="18" t="s">
        <v>3781</v>
      </c>
      <c r="Q1329" s="6" t="s">
        <v>4475</v>
      </c>
      <c r="T1329" s="23">
        <v>45455</v>
      </c>
      <c r="U1329" s="23">
        <v>46916</v>
      </c>
      <c r="X1329" s="20">
        <v>14000</v>
      </c>
      <c r="Z1329" s="6" t="s">
        <v>5978</v>
      </c>
      <c r="AA1329" s="14">
        <f t="shared" ref="AA1329:AA1332" si="172">+(0.6/1000)</f>
        <v>5.9999999999999995E-4</v>
      </c>
      <c r="AB1329">
        <v>4.6977779999999996</v>
      </c>
      <c r="AC1329">
        <v>4.8856891199999994</v>
      </c>
    </row>
    <row r="1330" spans="1:29" x14ac:dyDescent="0.3">
      <c r="A1330">
        <v>146970</v>
      </c>
      <c r="B1330" s="25" t="s">
        <v>5984</v>
      </c>
      <c r="C1330" t="s">
        <v>20</v>
      </c>
      <c r="D1330" t="s">
        <v>21</v>
      </c>
      <c r="E1330">
        <v>2222222</v>
      </c>
      <c r="F1330" s="8" t="s">
        <v>22</v>
      </c>
      <c r="G1330" s="2">
        <v>98</v>
      </c>
      <c r="H1330" t="s">
        <v>4052</v>
      </c>
      <c r="J1330" s="9" t="s">
        <v>5038</v>
      </c>
      <c r="K1330" t="s">
        <v>4845</v>
      </c>
      <c r="L1330" s="2">
        <v>1</v>
      </c>
      <c r="M1330" s="24" t="s">
        <v>5971</v>
      </c>
      <c r="N1330" s="2" t="s">
        <v>23</v>
      </c>
      <c r="O1330" s="18" t="s">
        <v>1097</v>
      </c>
      <c r="P1330" s="18" t="s">
        <v>3781</v>
      </c>
      <c r="Q1330" s="6" t="s">
        <v>4475</v>
      </c>
      <c r="T1330" s="23">
        <v>45855</v>
      </c>
      <c r="U1330" s="23">
        <v>46584</v>
      </c>
      <c r="X1330" s="20">
        <v>1500</v>
      </c>
      <c r="Z1330" s="6" t="s">
        <v>5978</v>
      </c>
      <c r="AA1330" s="14">
        <f t="shared" si="172"/>
        <v>5.9999999999999995E-4</v>
      </c>
      <c r="AB1330">
        <v>0.4881359999999999</v>
      </c>
      <c r="AC1330">
        <v>0.50766143999999991</v>
      </c>
    </row>
    <row r="1331" spans="1:29" x14ac:dyDescent="0.3">
      <c r="A1331">
        <v>143597</v>
      </c>
      <c r="B1331" s="25" t="s">
        <v>5984</v>
      </c>
      <c r="C1331" t="s">
        <v>20</v>
      </c>
      <c r="D1331" t="s">
        <v>21</v>
      </c>
      <c r="E1331">
        <v>2222222</v>
      </c>
      <c r="F1331" s="8" t="s">
        <v>22</v>
      </c>
      <c r="G1331" s="2">
        <v>98</v>
      </c>
      <c r="H1331" t="s">
        <v>4053</v>
      </c>
      <c r="J1331" s="9" t="s">
        <v>4877</v>
      </c>
      <c r="K1331" t="s">
        <v>4949</v>
      </c>
      <c r="L1331" s="2">
        <v>1</v>
      </c>
      <c r="M1331" s="24" t="s">
        <v>5971</v>
      </c>
      <c r="N1331" s="2" t="s">
        <v>23</v>
      </c>
      <c r="O1331" s="18" t="s">
        <v>1098</v>
      </c>
      <c r="P1331" s="18" t="s">
        <v>0</v>
      </c>
      <c r="Q1331" s="6" t="s">
        <v>4475</v>
      </c>
      <c r="T1331" s="23">
        <v>45603</v>
      </c>
      <c r="U1331" s="23">
        <v>46698</v>
      </c>
      <c r="X1331" s="20">
        <v>4070</v>
      </c>
      <c r="Z1331" s="6" t="s">
        <v>5978</v>
      </c>
      <c r="AA1331" s="14">
        <f t="shared" si="172"/>
        <v>5.9999999999999995E-4</v>
      </c>
      <c r="AB1331">
        <v>1.258014</v>
      </c>
      <c r="AC1331">
        <v>1.30833456</v>
      </c>
    </row>
    <row r="1332" spans="1:29" x14ac:dyDescent="0.3">
      <c r="A1332">
        <v>142405</v>
      </c>
      <c r="B1332" s="25" t="s">
        <v>5984</v>
      </c>
      <c r="C1332" t="s">
        <v>20</v>
      </c>
      <c r="D1332" t="s">
        <v>21</v>
      </c>
      <c r="E1332">
        <v>2222222</v>
      </c>
      <c r="F1332" s="8" t="s">
        <v>22</v>
      </c>
      <c r="G1332" s="2">
        <v>98</v>
      </c>
      <c r="H1332" t="s">
        <v>4054</v>
      </c>
      <c r="J1332" s="9" t="s">
        <v>5083</v>
      </c>
      <c r="K1332" t="s">
        <v>4932</v>
      </c>
      <c r="L1332" s="2">
        <v>1</v>
      </c>
      <c r="M1332" s="24" t="s">
        <v>5971</v>
      </c>
      <c r="N1332" s="2" t="s">
        <v>23</v>
      </c>
      <c r="O1332" s="18" t="s">
        <v>1099</v>
      </c>
      <c r="P1332" s="18" t="s">
        <v>3781</v>
      </c>
      <c r="Q1332" s="6" t="s">
        <v>4475</v>
      </c>
      <c r="T1332" s="23">
        <v>45518</v>
      </c>
      <c r="U1332" s="23">
        <v>46612</v>
      </c>
      <c r="X1332" s="20">
        <v>4000</v>
      </c>
      <c r="Z1332" s="6" t="s">
        <v>5978</v>
      </c>
      <c r="AA1332" s="14">
        <f t="shared" si="172"/>
        <v>5.9999999999999995E-4</v>
      </c>
      <c r="AB1332">
        <v>1.026624</v>
      </c>
      <c r="AC1332">
        <v>1.0676889599999999</v>
      </c>
    </row>
    <row r="1333" spans="1:29" x14ac:dyDescent="0.3">
      <c r="A1333">
        <v>574</v>
      </c>
      <c r="B1333" s="25" t="s">
        <v>5984</v>
      </c>
      <c r="C1333" t="s">
        <v>20</v>
      </c>
      <c r="D1333" t="s">
        <v>21</v>
      </c>
      <c r="E1333">
        <v>2222222</v>
      </c>
      <c r="F1333" s="8" t="s">
        <v>22</v>
      </c>
      <c r="G1333" s="2">
        <v>98</v>
      </c>
      <c r="H1333" t="s">
        <v>4055</v>
      </c>
      <c r="J1333" s="9" t="s">
        <v>4969</v>
      </c>
      <c r="K1333" t="s">
        <v>4836</v>
      </c>
      <c r="L1333" s="2">
        <v>1</v>
      </c>
      <c r="M1333" s="24" t="s">
        <v>5971</v>
      </c>
      <c r="N1333" s="2" t="s">
        <v>23</v>
      </c>
      <c r="O1333" s="18" t="s">
        <v>1100</v>
      </c>
      <c r="P1333" s="18" t="s">
        <v>3781</v>
      </c>
      <c r="Q1333" s="6" t="s">
        <v>4475</v>
      </c>
      <c r="T1333" s="23">
        <v>40924</v>
      </c>
      <c r="U1333" s="23">
        <v>42385</v>
      </c>
      <c r="X1333" s="20">
        <v>5000</v>
      </c>
      <c r="Z1333" s="6" t="s">
        <v>5978</v>
      </c>
      <c r="AA1333" s="16">
        <f>+(0.36/1000)</f>
        <v>3.5999999999999997E-4</v>
      </c>
      <c r="AB1333">
        <v>1.2402468</v>
      </c>
      <c r="AC1333">
        <v>1.289856672</v>
      </c>
    </row>
    <row r="1334" spans="1:29" x14ac:dyDescent="0.3">
      <c r="A1334">
        <v>125451</v>
      </c>
      <c r="B1334" s="25" t="s">
        <v>5984</v>
      </c>
      <c r="C1334" t="s">
        <v>20</v>
      </c>
      <c r="D1334" t="s">
        <v>21</v>
      </c>
      <c r="E1334">
        <v>2222222</v>
      </c>
      <c r="F1334" s="8" t="s">
        <v>22</v>
      </c>
      <c r="G1334" s="2">
        <v>98</v>
      </c>
      <c r="H1334" t="s">
        <v>4055</v>
      </c>
      <c r="J1334" s="9" t="s">
        <v>4851</v>
      </c>
      <c r="K1334" t="s">
        <v>4861</v>
      </c>
      <c r="L1334" s="2">
        <v>1</v>
      </c>
      <c r="M1334" s="24" t="s">
        <v>5971</v>
      </c>
      <c r="N1334" s="2" t="s">
        <v>23</v>
      </c>
      <c r="O1334" s="18" t="s">
        <v>1101</v>
      </c>
      <c r="P1334" s="18" t="s">
        <v>3781</v>
      </c>
      <c r="Q1334" s="6" t="s">
        <v>4475</v>
      </c>
      <c r="T1334" s="23">
        <v>44565</v>
      </c>
      <c r="U1334" s="23">
        <v>46025</v>
      </c>
      <c r="X1334" s="20">
        <v>5000</v>
      </c>
      <c r="Z1334" s="6" t="s">
        <v>5978</v>
      </c>
      <c r="AA1334" s="15">
        <f>+(0.42/1000)</f>
        <v>4.1999999999999996E-4</v>
      </c>
      <c r="AB1334">
        <v>0.29756159999999998</v>
      </c>
      <c r="AC1334">
        <v>0.30946406399999998</v>
      </c>
    </row>
    <row r="1335" spans="1:29" x14ac:dyDescent="0.3">
      <c r="A1335">
        <v>136032</v>
      </c>
      <c r="B1335" s="25" t="s">
        <v>5984</v>
      </c>
      <c r="C1335" t="s">
        <v>20</v>
      </c>
      <c r="D1335" t="s">
        <v>21</v>
      </c>
      <c r="E1335">
        <v>2222222</v>
      </c>
      <c r="F1335" s="8" t="s">
        <v>22</v>
      </c>
      <c r="G1335" s="2">
        <v>98</v>
      </c>
      <c r="H1335" t="s">
        <v>4055</v>
      </c>
      <c r="J1335" s="9" t="s">
        <v>5011</v>
      </c>
      <c r="K1335" t="s">
        <v>5075</v>
      </c>
      <c r="L1335" s="2">
        <v>1</v>
      </c>
      <c r="M1335" s="24" t="s">
        <v>5971</v>
      </c>
      <c r="N1335" s="2" t="s">
        <v>23</v>
      </c>
      <c r="O1335" s="18" t="s">
        <v>1102</v>
      </c>
      <c r="P1335" s="18" t="s">
        <v>3781</v>
      </c>
      <c r="Q1335" s="6" t="s">
        <v>4475</v>
      </c>
      <c r="T1335" s="23">
        <v>45154</v>
      </c>
      <c r="U1335" s="23">
        <v>46990</v>
      </c>
      <c r="X1335" s="20">
        <v>25000</v>
      </c>
      <c r="Z1335" s="6" t="s">
        <v>5978</v>
      </c>
      <c r="AA1335" s="13">
        <f>+(0.56/1000)</f>
        <v>5.6000000000000006E-4</v>
      </c>
      <c r="AB1335">
        <v>7.2141328000000007</v>
      </c>
      <c r="AC1335">
        <v>7.5026981120000009</v>
      </c>
    </row>
    <row r="1336" spans="1:29" x14ac:dyDescent="0.3">
      <c r="A1336">
        <v>147895</v>
      </c>
      <c r="B1336" s="25" t="s">
        <v>5984</v>
      </c>
      <c r="C1336" t="s">
        <v>20</v>
      </c>
      <c r="D1336" t="s">
        <v>21</v>
      </c>
      <c r="E1336">
        <v>2222222</v>
      </c>
      <c r="F1336" s="8" t="s">
        <v>22</v>
      </c>
      <c r="G1336" s="2">
        <v>98</v>
      </c>
      <c r="H1336" t="s">
        <v>4055</v>
      </c>
      <c r="J1336" s="9" t="s">
        <v>5041</v>
      </c>
      <c r="K1336" t="s">
        <v>4949</v>
      </c>
      <c r="L1336" s="2">
        <v>1</v>
      </c>
      <c r="M1336" s="24" t="s">
        <v>5971</v>
      </c>
      <c r="N1336" s="2" t="s">
        <v>23</v>
      </c>
      <c r="O1336" s="18" t="s">
        <v>1103</v>
      </c>
      <c r="P1336" s="18" t="s">
        <v>0</v>
      </c>
      <c r="Q1336" s="6" t="s">
        <v>4475</v>
      </c>
      <c r="T1336" s="23">
        <v>45920</v>
      </c>
      <c r="U1336" s="23">
        <v>47381</v>
      </c>
      <c r="X1336" s="20">
        <v>5000</v>
      </c>
      <c r="Z1336" s="6" t="s">
        <v>5978</v>
      </c>
      <c r="AA1336" s="14">
        <f t="shared" ref="AA1336:AA1341" si="173">+(0.6/1000)</f>
        <v>5.9999999999999995E-4</v>
      </c>
      <c r="AB1336">
        <v>2.5388099999999998</v>
      </c>
      <c r="AC1336">
        <v>2.6403623999999999</v>
      </c>
    </row>
    <row r="1337" spans="1:29" x14ac:dyDescent="0.3">
      <c r="A1337">
        <v>148122</v>
      </c>
      <c r="B1337" s="25" t="s">
        <v>5984</v>
      </c>
      <c r="C1337" t="s">
        <v>20</v>
      </c>
      <c r="D1337" t="s">
        <v>21</v>
      </c>
      <c r="E1337">
        <v>2222222</v>
      </c>
      <c r="F1337" s="8" t="s">
        <v>22</v>
      </c>
      <c r="G1337" s="2">
        <v>98</v>
      </c>
      <c r="H1337" t="s">
        <v>4055</v>
      </c>
      <c r="J1337" s="9" t="s">
        <v>4911</v>
      </c>
      <c r="K1337" t="s">
        <v>5448</v>
      </c>
      <c r="L1337" s="2">
        <v>1</v>
      </c>
      <c r="M1337" s="24" t="s">
        <v>5971</v>
      </c>
      <c r="N1337" s="2" t="s">
        <v>23</v>
      </c>
      <c r="O1337" s="18" t="s">
        <v>1104</v>
      </c>
      <c r="P1337" s="18" t="s">
        <v>3781</v>
      </c>
      <c r="Q1337" s="6" t="s">
        <v>4475</v>
      </c>
      <c r="T1337" s="23">
        <v>45937</v>
      </c>
      <c r="U1337" s="23">
        <v>47397</v>
      </c>
      <c r="X1337" s="20">
        <v>4610</v>
      </c>
      <c r="Z1337" s="6" t="s">
        <v>5978</v>
      </c>
      <c r="AA1337" s="14">
        <f t="shared" si="173"/>
        <v>5.9999999999999995E-4</v>
      </c>
      <c r="AB1337">
        <v>2.3851859999999996</v>
      </c>
      <c r="AC1337">
        <v>2.4805934399999998</v>
      </c>
    </row>
    <row r="1338" spans="1:29" x14ac:dyDescent="0.3">
      <c r="A1338">
        <v>150074</v>
      </c>
      <c r="B1338" s="25" t="s">
        <v>5984</v>
      </c>
      <c r="C1338" t="s">
        <v>20</v>
      </c>
      <c r="D1338" t="s">
        <v>21</v>
      </c>
      <c r="E1338">
        <v>2222222</v>
      </c>
      <c r="F1338" s="8" t="s">
        <v>22</v>
      </c>
      <c r="G1338" s="2">
        <v>98</v>
      </c>
      <c r="H1338" t="s">
        <v>4055</v>
      </c>
      <c r="J1338" s="9" t="s">
        <v>5073</v>
      </c>
      <c r="K1338" t="s">
        <v>4893</v>
      </c>
      <c r="L1338" s="2">
        <v>1</v>
      </c>
      <c r="M1338" s="24" t="s">
        <v>5971</v>
      </c>
      <c r="N1338" s="2" t="s">
        <v>23</v>
      </c>
      <c r="O1338" s="18" t="s">
        <v>1105</v>
      </c>
      <c r="P1338" s="18" t="s">
        <v>3781</v>
      </c>
      <c r="Q1338" s="6" t="s">
        <v>4475</v>
      </c>
      <c r="T1338" s="23">
        <v>46071</v>
      </c>
      <c r="U1338" s="23">
        <v>46376</v>
      </c>
      <c r="X1338" s="20">
        <v>2000</v>
      </c>
      <c r="Z1338" s="6" t="s">
        <v>5978</v>
      </c>
      <c r="AA1338" s="14">
        <f t="shared" si="173"/>
        <v>5.9999999999999995E-4</v>
      </c>
      <c r="AB1338">
        <v>0.62257799999999996</v>
      </c>
      <c r="AC1338">
        <v>0.64748112000000002</v>
      </c>
    </row>
    <row r="1339" spans="1:29" x14ac:dyDescent="0.3">
      <c r="A1339">
        <v>150938</v>
      </c>
      <c r="B1339" s="25" t="s">
        <v>5984</v>
      </c>
      <c r="C1339" t="s">
        <v>20</v>
      </c>
      <c r="D1339" t="s">
        <v>21</v>
      </c>
      <c r="E1339">
        <v>2222222</v>
      </c>
      <c r="F1339" s="8" t="s">
        <v>22</v>
      </c>
      <c r="G1339" s="2">
        <v>98</v>
      </c>
      <c r="H1339" t="s">
        <v>4055</v>
      </c>
      <c r="J1339" s="9" t="s">
        <v>5049</v>
      </c>
      <c r="K1339" t="s">
        <v>4935</v>
      </c>
      <c r="L1339" s="2">
        <v>1</v>
      </c>
      <c r="M1339" s="24" t="s">
        <v>5971</v>
      </c>
      <c r="N1339" s="2" t="s">
        <v>23</v>
      </c>
      <c r="O1339" s="18" t="s">
        <v>1106</v>
      </c>
      <c r="P1339" s="18" t="s">
        <v>0</v>
      </c>
      <c r="Q1339" s="6" t="s">
        <v>4475</v>
      </c>
      <c r="T1339" s="23">
        <v>46139</v>
      </c>
      <c r="U1339" s="23">
        <v>49792</v>
      </c>
      <c r="X1339" s="20">
        <v>15000</v>
      </c>
      <c r="Z1339" s="6" t="s">
        <v>5978</v>
      </c>
      <c r="AA1339" s="14">
        <f t="shared" si="173"/>
        <v>5.9999999999999995E-4</v>
      </c>
      <c r="AB1339">
        <v>8.9067240000000005</v>
      </c>
      <c r="AC1339">
        <v>9.2629929600000001</v>
      </c>
    </row>
    <row r="1340" spans="1:29" x14ac:dyDescent="0.3">
      <c r="A1340">
        <v>151277</v>
      </c>
      <c r="B1340" s="25" t="s">
        <v>5984</v>
      </c>
      <c r="C1340" t="s">
        <v>20</v>
      </c>
      <c r="D1340" t="s">
        <v>21</v>
      </c>
      <c r="E1340">
        <v>2222222</v>
      </c>
      <c r="F1340" s="8" t="s">
        <v>22</v>
      </c>
      <c r="G1340" s="2">
        <v>98</v>
      </c>
      <c r="H1340" t="s">
        <v>4055</v>
      </c>
      <c r="J1340" s="9" t="s">
        <v>4828</v>
      </c>
      <c r="L1340" s="2">
        <v>1</v>
      </c>
      <c r="M1340" s="24" t="s">
        <v>5971</v>
      </c>
      <c r="N1340" s="2" t="s">
        <v>23</v>
      </c>
      <c r="O1340" s="18" t="s">
        <v>1107</v>
      </c>
      <c r="P1340" s="18" t="s">
        <v>0</v>
      </c>
      <c r="Q1340" s="6" t="s">
        <v>4475</v>
      </c>
      <c r="T1340" s="23">
        <v>46153</v>
      </c>
      <c r="U1340" s="23">
        <v>46305</v>
      </c>
      <c r="X1340" s="20">
        <v>5000</v>
      </c>
      <c r="Z1340" s="6" t="s">
        <v>5978</v>
      </c>
      <c r="AA1340" s="14">
        <f t="shared" si="173"/>
        <v>5.9999999999999995E-4</v>
      </c>
      <c r="AB1340">
        <v>1.8259619999999999</v>
      </c>
      <c r="AC1340">
        <v>1.89900048</v>
      </c>
    </row>
    <row r="1341" spans="1:29" x14ac:dyDescent="0.3">
      <c r="A1341">
        <v>151744</v>
      </c>
      <c r="B1341" s="25" t="s">
        <v>5984</v>
      </c>
      <c r="C1341" t="s">
        <v>20</v>
      </c>
      <c r="D1341" t="s">
        <v>21</v>
      </c>
      <c r="E1341">
        <v>2222222</v>
      </c>
      <c r="F1341" s="8" t="s">
        <v>22</v>
      </c>
      <c r="G1341" s="2">
        <v>98</v>
      </c>
      <c r="H1341" t="s">
        <v>4055</v>
      </c>
      <c r="J1341" s="9" t="s">
        <v>4891</v>
      </c>
      <c r="K1341" t="s">
        <v>4873</v>
      </c>
      <c r="L1341" s="2">
        <v>1</v>
      </c>
      <c r="M1341" s="24" t="s">
        <v>5971</v>
      </c>
      <c r="N1341" s="2" t="s">
        <v>23</v>
      </c>
      <c r="O1341" s="18" t="s">
        <v>1108</v>
      </c>
      <c r="P1341" s="18" t="s">
        <v>3781</v>
      </c>
      <c r="Q1341" s="6" t="s">
        <v>4475</v>
      </c>
      <c r="T1341" s="23">
        <v>46184</v>
      </c>
      <c r="U1341" s="23">
        <v>46549</v>
      </c>
      <c r="X1341" s="20">
        <v>1000</v>
      </c>
      <c r="Z1341" s="6" t="s">
        <v>5978</v>
      </c>
      <c r="AA1341" s="14">
        <f t="shared" si="173"/>
        <v>5.9999999999999995E-4</v>
      </c>
      <c r="AB1341">
        <v>0.55370999999999992</v>
      </c>
      <c r="AC1341">
        <v>0.57585839999999999</v>
      </c>
    </row>
    <row r="1342" spans="1:29" x14ac:dyDescent="0.3">
      <c r="A1342">
        <v>125742</v>
      </c>
      <c r="B1342" s="25" t="s">
        <v>5984</v>
      </c>
      <c r="C1342" t="s">
        <v>20</v>
      </c>
      <c r="D1342" t="s">
        <v>21</v>
      </c>
      <c r="E1342">
        <v>2222222</v>
      </c>
      <c r="F1342" s="8" t="s">
        <v>22</v>
      </c>
      <c r="G1342" s="2">
        <v>98</v>
      </c>
      <c r="H1342" t="s">
        <v>4056</v>
      </c>
      <c r="J1342" s="9" t="s">
        <v>4182</v>
      </c>
      <c r="K1342" t="s">
        <v>5199</v>
      </c>
      <c r="L1342" s="2">
        <v>1</v>
      </c>
      <c r="M1342" s="24" t="s">
        <v>5971</v>
      </c>
      <c r="N1342" s="2" t="s">
        <v>23</v>
      </c>
      <c r="O1342" s="18" t="s">
        <v>1109</v>
      </c>
      <c r="P1342" s="18" t="s">
        <v>0</v>
      </c>
      <c r="Q1342" s="6" t="s">
        <v>4475</v>
      </c>
      <c r="T1342" s="23">
        <v>44582</v>
      </c>
      <c r="U1342" s="23">
        <v>46407</v>
      </c>
      <c r="X1342" s="20">
        <v>5455</v>
      </c>
      <c r="Z1342" s="6" t="s">
        <v>5978</v>
      </c>
      <c r="AA1342" s="15">
        <f>+(0.42/1000)</f>
        <v>4.1999999999999996E-4</v>
      </c>
      <c r="AB1342">
        <v>0.6423816</v>
      </c>
      <c r="AC1342">
        <v>0.66807686399999999</v>
      </c>
    </row>
    <row r="1343" spans="1:29" x14ac:dyDescent="0.3">
      <c r="A1343">
        <v>140154</v>
      </c>
      <c r="B1343" s="25" t="s">
        <v>5984</v>
      </c>
      <c r="C1343" t="s">
        <v>20</v>
      </c>
      <c r="D1343" t="s">
        <v>21</v>
      </c>
      <c r="E1343">
        <v>2222222</v>
      </c>
      <c r="F1343" s="8" t="s">
        <v>22</v>
      </c>
      <c r="G1343" s="2">
        <v>98</v>
      </c>
      <c r="H1343" t="s">
        <v>4056</v>
      </c>
      <c r="J1343" s="9" t="s">
        <v>4891</v>
      </c>
      <c r="K1343" t="s">
        <v>4941</v>
      </c>
      <c r="L1343" s="2">
        <v>1</v>
      </c>
      <c r="M1343" s="24" t="s">
        <v>5971</v>
      </c>
      <c r="N1343" s="2" t="s">
        <v>23</v>
      </c>
      <c r="O1343" s="18" t="s">
        <v>1110</v>
      </c>
      <c r="P1343" s="18" t="s">
        <v>3781</v>
      </c>
      <c r="Q1343" s="6" t="s">
        <v>4475</v>
      </c>
      <c r="T1343" s="23">
        <v>45366</v>
      </c>
      <c r="U1343" s="23">
        <v>45456</v>
      </c>
      <c r="X1343" s="20">
        <v>3730</v>
      </c>
      <c r="Z1343" s="6" t="s">
        <v>5978</v>
      </c>
      <c r="AA1343" s="13">
        <f>+(0.56/1000)</f>
        <v>5.6000000000000006E-4</v>
      </c>
      <c r="AB1343">
        <v>2.0888000000000004</v>
      </c>
      <c r="AC1343">
        <v>2.1723520000000005</v>
      </c>
    </row>
    <row r="1344" spans="1:29" x14ac:dyDescent="0.3">
      <c r="A1344">
        <v>152011</v>
      </c>
      <c r="B1344" s="25" t="s">
        <v>5984</v>
      </c>
      <c r="C1344" t="s">
        <v>20</v>
      </c>
      <c r="D1344" t="s">
        <v>21</v>
      </c>
      <c r="E1344">
        <v>2222222</v>
      </c>
      <c r="F1344" s="8" t="s">
        <v>22</v>
      </c>
      <c r="G1344" s="2">
        <v>98</v>
      </c>
      <c r="H1344" t="s">
        <v>4056</v>
      </c>
      <c r="J1344" s="9" t="s">
        <v>4836</v>
      </c>
      <c r="K1344" t="s">
        <v>5103</v>
      </c>
      <c r="L1344" s="2">
        <v>1</v>
      </c>
      <c r="M1344" s="24" t="s">
        <v>5971</v>
      </c>
      <c r="N1344" s="2" t="s">
        <v>23</v>
      </c>
      <c r="O1344" s="18" t="s">
        <v>1111</v>
      </c>
      <c r="P1344" s="18" t="s">
        <v>3781</v>
      </c>
      <c r="Q1344" s="6" t="s">
        <v>4475</v>
      </c>
      <c r="T1344" s="23">
        <v>46204</v>
      </c>
      <c r="U1344" s="23">
        <v>48760</v>
      </c>
      <c r="X1344" s="20">
        <v>3750</v>
      </c>
      <c r="Z1344" s="6" t="s">
        <v>5978</v>
      </c>
      <c r="AA1344" s="14">
        <f t="shared" ref="AA1344:AA1347" si="174">+(0.6/1000)</f>
        <v>5.9999999999999995E-4</v>
      </c>
      <c r="AB1344">
        <v>2.242848</v>
      </c>
      <c r="AC1344">
        <v>2.3325619199999998</v>
      </c>
    </row>
    <row r="1345" spans="1:29" x14ac:dyDescent="0.3">
      <c r="A1345">
        <v>144680</v>
      </c>
      <c r="B1345" s="25" t="s">
        <v>5984</v>
      </c>
      <c r="C1345" t="s">
        <v>20</v>
      </c>
      <c r="D1345" t="s">
        <v>21</v>
      </c>
      <c r="E1345">
        <v>2222222</v>
      </c>
      <c r="F1345" s="8" t="s">
        <v>22</v>
      </c>
      <c r="G1345" s="2">
        <v>98</v>
      </c>
      <c r="H1345" t="s">
        <v>4057</v>
      </c>
      <c r="J1345" s="9" t="s">
        <v>5390</v>
      </c>
      <c r="K1345" t="s">
        <v>4875</v>
      </c>
      <c r="L1345" s="2">
        <v>1</v>
      </c>
      <c r="M1345" s="24" t="s">
        <v>5971</v>
      </c>
      <c r="N1345" s="2" t="s">
        <v>23</v>
      </c>
      <c r="O1345" s="18" t="s">
        <v>1112</v>
      </c>
      <c r="P1345" s="18" t="s">
        <v>0</v>
      </c>
      <c r="Q1345" s="6" t="s">
        <v>4475</v>
      </c>
      <c r="T1345" s="23">
        <v>45686</v>
      </c>
      <c r="U1345" s="23">
        <v>47146</v>
      </c>
      <c r="X1345" s="20">
        <v>5000</v>
      </c>
      <c r="Z1345" s="6" t="s">
        <v>5978</v>
      </c>
      <c r="AA1345" s="14">
        <f t="shared" si="174"/>
        <v>5.9999999999999995E-4</v>
      </c>
      <c r="AB1345">
        <v>2.6824919999999994</v>
      </c>
      <c r="AC1345">
        <v>2.7897916799999996</v>
      </c>
    </row>
    <row r="1346" spans="1:29" x14ac:dyDescent="0.3">
      <c r="A1346">
        <v>146780</v>
      </c>
      <c r="B1346" s="25" t="s">
        <v>5984</v>
      </c>
      <c r="C1346" t="s">
        <v>20</v>
      </c>
      <c r="D1346" t="s">
        <v>21</v>
      </c>
      <c r="E1346">
        <v>2222222</v>
      </c>
      <c r="F1346" s="8" t="s">
        <v>22</v>
      </c>
      <c r="G1346" s="2">
        <v>98</v>
      </c>
      <c r="H1346" t="s">
        <v>4057</v>
      </c>
      <c r="J1346" s="9" t="s">
        <v>5023</v>
      </c>
      <c r="K1346" t="s">
        <v>5449</v>
      </c>
      <c r="L1346" s="2">
        <v>1</v>
      </c>
      <c r="M1346" s="24" t="s">
        <v>5971</v>
      </c>
      <c r="N1346" s="2" t="s">
        <v>23</v>
      </c>
      <c r="O1346" s="18" t="s">
        <v>1113</v>
      </c>
      <c r="P1346" s="18" t="s">
        <v>0</v>
      </c>
      <c r="Q1346" s="6" t="s">
        <v>4475</v>
      </c>
      <c r="T1346" s="23">
        <v>45862</v>
      </c>
      <c r="U1346" s="23">
        <v>49513</v>
      </c>
      <c r="X1346" s="20">
        <v>80000</v>
      </c>
      <c r="Z1346" s="6" t="s">
        <v>5978</v>
      </c>
      <c r="AA1346" s="14">
        <f t="shared" si="174"/>
        <v>5.9999999999999995E-4</v>
      </c>
      <c r="AB1346">
        <v>45.598919999999993</v>
      </c>
      <c r="AC1346">
        <v>47.422876799999997</v>
      </c>
    </row>
    <row r="1347" spans="1:29" x14ac:dyDescent="0.3">
      <c r="A1347">
        <v>150407</v>
      </c>
      <c r="B1347" s="25" t="s">
        <v>5984</v>
      </c>
      <c r="C1347" t="s">
        <v>20</v>
      </c>
      <c r="D1347" t="s">
        <v>21</v>
      </c>
      <c r="E1347">
        <v>2222222</v>
      </c>
      <c r="F1347" s="8" t="s">
        <v>22</v>
      </c>
      <c r="G1347" s="2">
        <v>98</v>
      </c>
      <c r="H1347" t="s">
        <v>4058</v>
      </c>
      <c r="J1347" s="9" t="s">
        <v>4864</v>
      </c>
      <c r="K1347" t="s">
        <v>5272</v>
      </c>
      <c r="L1347" s="2">
        <v>1</v>
      </c>
      <c r="M1347" s="24" t="s">
        <v>5971</v>
      </c>
      <c r="N1347" s="2" t="s">
        <v>23</v>
      </c>
      <c r="O1347" s="18" t="s">
        <v>1114</v>
      </c>
      <c r="P1347" s="18" t="s">
        <v>0</v>
      </c>
      <c r="Q1347" s="6" t="s">
        <v>4475</v>
      </c>
      <c r="T1347" s="23">
        <v>46093</v>
      </c>
      <c r="U1347" s="23">
        <v>47188</v>
      </c>
      <c r="X1347" s="20">
        <v>3490</v>
      </c>
      <c r="Z1347" s="6" t="s">
        <v>5978</v>
      </c>
      <c r="AA1347" s="14">
        <f t="shared" si="174"/>
        <v>5.9999999999999995E-4</v>
      </c>
      <c r="AB1347">
        <v>1.9127459999999998</v>
      </c>
      <c r="AC1347">
        <v>1.98925584</v>
      </c>
    </row>
    <row r="1348" spans="1:29" x14ac:dyDescent="0.3">
      <c r="A1348">
        <v>139197</v>
      </c>
      <c r="B1348" s="25" t="s">
        <v>5984</v>
      </c>
      <c r="C1348" t="s">
        <v>20</v>
      </c>
      <c r="D1348" t="s">
        <v>21</v>
      </c>
      <c r="E1348">
        <v>2222222</v>
      </c>
      <c r="F1348" s="8" t="s">
        <v>22</v>
      </c>
      <c r="G1348" s="2">
        <v>98</v>
      </c>
      <c r="H1348" t="s">
        <v>4059</v>
      </c>
      <c r="J1348" s="9" t="s">
        <v>5173</v>
      </c>
      <c r="K1348" t="s">
        <v>5121</v>
      </c>
      <c r="L1348" s="2">
        <v>1</v>
      </c>
      <c r="M1348" s="24" t="s">
        <v>5971</v>
      </c>
      <c r="N1348" s="2" t="s">
        <v>23</v>
      </c>
      <c r="O1348" s="18" t="s">
        <v>1115</v>
      </c>
      <c r="P1348" s="18" t="s">
        <v>0</v>
      </c>
      <c r="Q1348" s="6" t="s">
        <v>4475</v>
      </c>
      <c r="T1348" s="23">
        <v>45320</v>
      </c>
      <c r="U1348" s="23">
        <v>46780</v>
      </c>
      <c r="X1348" s="20">
        <v>1600</v>
      </c>
      <c r="Z1348" s="6" t="s">
        <v>5978</v>
      </c>
      <c r="AA1348" s="13">
        <f>+(0.56/1000)</f>
        <v>5.6000000000000006E-4</v>
      </c>
      <c r="AB1348">
        <v>0.41713280000000003</v>
      </c>
      <c r="AC1348">
        <v>0.43381811200000003</v>
      </c>
    </row>
    <row r="1349" spans="1:29" x14ac:dyDescent="0.3">
      <c r="A1349">
        <v>150005</v>
      </c>
      <c r="B1349" s="25" t="s">
        <v>5984</v>
      </c>
      <c r="C1349" t="s">
        <v>20</v>
      </c>
      <c r="D1349" t="s">
        <v>21</v>
      </c>
      <c r="E1349">
        <v>2222222</v>
      </c>
      <c r="F1349" s="8" t="s">
        <v>22</v>
      </c>
      <c r="G1349" s="2">
        <v>98</v>
      </c>
      <c r="H1349" t="s">
        <v>4060</v>
      </c>
      <c r="J1349" s="9" t="s">
        <v>5172</v>
      </c>
      <c r="K1349" t="s">
        <v>5450</v>
      </c>
      <c r="L1349" s="2">
        <v>1</v>
      </c>
      <c r="M1349" s="24" t="s">
        <v>5971</v>
      </c>
      <c r="N1349" s="2" t="s">
        <v>23</v>
      </c>
      <c r="O1349" s="18" t="s">
        <v>1116</v>
      </c>
      <c r="P1349" s="18" t="s">
        <v>0</v>
      </c>
      <c r="Q1349" s="6" t="s">
        <v>4475</v>
      </c>
      <c r="T1349" s="23">
        <v>46064</v>
      </c>
      <c r="U1349" s="23">
        <v>46796</v>
      </c>
      <c r="X1349" s="20">
        <v>2280</v>
      </c>
      <c r="Z1349" s="6" t="s">
        <v>5978</v>
      </c>
      <c r="AA1349" s="14">
        <f>+(0.6/1000)</f>
        <v>5.9999999999999995E-4</v>
      </c>
      <c r="AB1349">
        <v>1.120212</v>
      </c>
      <c r="AC1349">
        <v>1.1650204799999999</v>
      </c>
    </row>
    <row r="1350" spans="1:29" x14ac:dyDescent="0.3">
      <c r="A1350">
        <v>55371</v>
      </c>
      <c r="B1350" s="25" t="s">
        <v>5984</v>
      </c>
      <c r="C1350" t="s">
        <v>20</v>
      </c>
      <c r="D1350" t="s">
        <v>21</v>
      </c>
      <c r="E1350">
        <v>2222222</v>
      </c>
      <c r="F1350" s="8" t="s">
        <v>22</v>
      </c>
      <c r="G1350" s="2">
        <v>98</v>
      </c>
      <c r="H1350" t="s">
        <v>4061</v>
      </c>
      <c r="J1350" s="9" t="s">
        <v>4969</v>
      </c>
      <c r="K1350" t="s">
        <v>5451</v>
      </c>
      <c r="L1350" s="2">
        <v>1</v>
      </c>
      <c r="M1350" s="24" t="s">
        <v>5971</v>
      </c>
      <c r="N1350" s="2" t="s">
        <v>23</v>
      </c>
      <c r="O1350" s="18" t="s">
        <v>1117</v>
      </c>
      <c r="P1350" s="18" t="s">
        <v>3781</v>
      </c>
      <c r="Q1350" s="6" t="s">
        <v>4475</v>
      </c>
      <c r="T1350" s="23">
        <v>41638</v>
      </c>
      <c r="U1350" s="23">
        <v>44196</v>
      </c>
      <c r="X1350" s="20">
        <v>10245.08</v>
      </c>
      <c r="Z1350" s="6" t="s">
        <v>5978</v>
      </c>
      <c r="AA1350" s="16">
        <f>+(0.36/1000)</f>
        <v>3.5999999999999997E-4</v>
      </c>
      <c r="AB1350">
        <v>3.2789915999999995</v>
      </c>
      <c r="AC1350">
        <v>3.4101512639999996</v>
      </c>
    </row>
    <row r="1351" spans="1:29" x14ac:dyDescent="0.3">
      <c r="A1351">
        <v>131322</v>
      </c>
      <c r="B1351" s="25" t="s">
        <v>5984</v>
      </c>
      <c r="C1351" t="s">
        <v>20</v>
      </c>
      <c r="D1351" t="s">
        <v>21</v>
      </c>
      <c r="E1351">
        <v>2222222</v>
      </c>
      <c r="F1351" s="8" t="s">
        <v>22</v>
      </c>
      <c r="G1351" s="2">
        <v>98</v>
      </c>
      <c r="H1351" t="s">
        <v>4061</v>
      </c>
      <c r="J1351" s="9" t="s">
        <v>5045</v>
      </c>
      <c r="K1351" t="s">
        <v>5301</v>
      </c>
      <c r="L1351" s="2">
        <v>1</v>
      </c>
      <c r="M1351" s="24" t="s">
        <v>5971</v>
      </c>
      <c r="N1351" s="2" t="s">
        <v>23</v>
      </c>
      <c r="O1351" s="18" t="s">
        <v>1118</v>
      </c>
      <c r="P1351" s="18" t="s">
        <v>3781</v>
      </c>
      <c r="Q1351" s="6" t="s">
        <v>4475</v>
      </c>
      <c r="T1351" s="23">
        <v>44883</v>
      </c>
      <c r="U1351" s="23">
        <v>47513</v>
      </c>
      <c r="X1351" s="20">
        <v>18701.48</v>
      </c>
      <c r="Z1351" s="6" t="s">
        <v>5978</v>
      </c>
      <c r="AA1351" s="13">
        <f t="shared" ref="AA1351:AA1355" si="175">+(0.56/1000)</f>
        <v>5.6000000000000006E-4</v>
      </c>
      <c r="AB1351">
        <v>6.6704512000000014</v>
      </c>
      <c r="AC1351">
        <v>6.9372692480000016</v>
      </c>
    </row>
    <row r="1352" spans="1:29" x14ac:dyDescent="0.3">
      <c r="A1352">
        <v>134312</v>
      </c>
      <c r="B1352" s="25" t="s">
        <v>5984</v>
      </c>
      <c r="C1352" t="s">
        <v>20</v>
      </c>
      <c r="D1352" t="s">
        <v>21</v>
      </c>
      <c r="E1352">
        <v>2222222</v>
      </c>
      <c r="F1352" s="8" t="s">
        <v>22</v>
      </c>
      <c r="G1352" s="2">
        <v>98</v>
      </c>
      <c r="H1352" t="s">
        <v>4061</v>
      </c>
      <c r="J1352" s="9" t="s">
        <v>4929</v>
      </c>
      <c r="K1352" t="s">
        <v>4512</v>
      </c>
      <c r="L1352" s="2">
        <v>1</v>
      </c>
      <c r="M1352" s="24" t="s">
        <v>5971</v>
      </c>
      <c r="N1352" s="2" t="s">
        <v>23</v>
      </c>
      <c r="O1352" s="18" t="s">
        <v>1119</v>
      </c>
      <c r="P1352" s="18" t="s">
        <v>0</v>
      </c>
      <c r="Q1352" s="6" t="s">
        <v>4475</v>
      </c>
      <c r="T1352" s="23">
        <v>45049</v>
      </c>
      <c r="U1352" s="23">
        <v>46236</v>
      </c>
      <c r="X1352" s="20">
        <v>1500</v>
      </c>
      <c r="Z1352" s="6" t="s">
        <v>5978</v>
      </c>
      <c r="AA1352" s="13">
        <f t="shared" si="175"/>
        <v>5.6000000000000006E-4</v>
      </c>
      <c r="AB1352">
        <v>3.0329600000000002E-2</v>
      </c>
      <c r="AC1352">
        <v>3.1542784000000004E-2</v>
      </c>
    </row>
    <row r="1353" spans="1:29" x14ac:dyDescent="0.3">
      <c r="A1353">
        <v>136509</v>
      </c>
      <c r="B1353" s="25" t="s">
        <v>5984</v>
      </c>
      <c r="C1353" t="s">
        <v>20</v>
      </c>
      <c r="D1353" t="s">
        <v>21</v>
      </c>
      <c r="E1353">
        <v>2222222</v>
      </c>
      <c r="F1353" s="8" t="s">
        <v>22</v>
      </c>
      <c r="G1353" s="2">
        <v>98</v>
      </c>
      <c r="H1353" t="s">
        <v>4061</v>
      </c>
      <c r="J1353" s="9" t="s">
        <v>4967</v>
      </c>
      <c r="K1353" t="s">
        <v>5452</v>
      </c>
      <c r="L1353" s="2">
        <v>1</v>
      </c>
      <c r="M1353" s="24" t="s">
        <v>5971</v>
      </c>
      <c r="N1353" s="2" t="s">
        <v>23</v>
      </c>
      <c r="O1353" s="18" t="s">
        <v>1120</v>
      </c>
      <c r="P1353" s="18" t="s">
        <v>3781</v>
      </c>
      <c r="Q1353" s="6" t="s">
        <v>4475</v>
      </c>
      <c r="T1353" s="23">
        <v>45175</v>
      </c>
      <c r="U1353" s="23">
        <v>46271</v>
      </c>
      <c r="X1353" s="20">
        <v>4000</v>
      </c>
      <c r="Z1353" s="6" t="s">
        <v>5978</v>
      </c>
      <c r="AA1353" s="13">
        <f t="shared" si="175"/>
        <v>5.6000000000000006E-4</v>
      </c>
      <c r="AB1353">
        <v>0.15957760000000001</v>
      </c>
      <c r="AC1353">
        <v>0.16596070400000001</v>
      </c>
    </row>
    <row r="1354" spans="1:29" x14ac:dyDescent="0.3">
      <c r="A1354">
        <v>136738</v>
      </c>
      <c r="B1354" s="25" t="s">
        <v>5984</v>
      </c>
      <c r="C1354" t="s">
        <v>20</v>
      </c>
      <c r="D1354" t="s">
        <v>21</v>
      </c>
      <c r="E1354">
        <v>2222222</v>
      </c>
      <c r="F1354" s="8" t="s">
        <v>22</v>
      </c>
      <c r="G1354" s="2">
        <v>98</v>
      </c>
      <c r="H1354" t="s">
        <v>4061</v>
      </c>
      <c r="J1354" s="9" t="s">
        <v>5453</v>
      </c>
      <c r="K1354" t="s">
        <v>4854</v>
      </c>
      <c r="L1354" s="2">
        <v>1</v>
      </c>
      <c r="M1354" s="24" t="s">
        <v>5971</v>
      </c>
      <c r="N1354" s="2" t="s">
        <v>23</v>
      </c>
      <c r="O1354" s="18" t="s">
        <v>1121</v>
      </c>
      <c r="P1354" s="18" t="s">
        <v>3781</v>
      </c>
      <c r="Q1354" s="6" t="s">
        <v>4475</v>
      </c>
      <c r="T1354" s="23">
        <v>45188</v>
      </c>
      <c r="U1354" s="23">
        <v>46740</v>
      </c>
      <c r="X1354" s="20">
        <v>4600</v>
      </c>
      <c r="Z1354" s="6" t="s">
        <v>5978</v>
      </c>
      <c r="AA1354" s="13">
        <f t="shared" si="175"/>
        <v>5.6000000000000006E-4</v>
      </c>
      <c r="AB1354">
        <v>1.1440184000000002</v>
      </c>
      <c r="AC1354">
        <v>1.1897791360000003</v>
      </c>
    </row>
    <row r="1355" spans="1:29" x14ac:dyDescent="0.3">
      <c r="A1355">
        <v>139568</v>
      </c>
      <c r="B1355" s="25" t="s">
        <v>5984</v>
      </c>
      <c r="C1355" t="s">
        <v>20</v>
      </c>
      <c r="D1355" t="s">
        <v>21</v>
      </c>
      <c r="E1355">
        <v>2222222</v>
      </c>
      <c r="F1355" s="8" t="s">
        <v>22</v>
      </c>
      <c r="G1355" s="2">
        <v>98</v>
      </c>
      <c r="H1355" t="s">
        <v>4061</v>
      </c>
      <c r="J1355" s="9" t="s">
        <v>4891</v>
      </c>
      <c r="K1355" t="s">
        <v>5411</v>
      </c>
      <c r="L1355" s="2">
        <v>1</v>
      </c>
      <c r="M1355" s="24" t="s">
        <v>5971</v>
      </c>
      <c r="N1355" s="2" t="s">
        <v>23</v>
      </c>
      <c r="O1355" s="18" t="s">
        <v>1122</v>
      </c>
      <c r="P1355" s="18" t="s">
        <v>3781</v>
      </c>
      <c r="Q1355" s="6" t="s">
        <v>4475</v>
      </c>
      <c r="T1355" s="23">
        <v>45340</v>
      </c>
      <c r="U1355" s="23">
        <v>46802</v>
      </c>
      <c r="X1355" s="20">
        <v>5000</v>
      </c>
      <c r="Z1355" s="6" t="s">
        <v>5978</v>
      </c>
      <c r="AA1355" s="13">
        <f t="shared" si="175"/>
        <v>5.6000000000000006E-4</v>
      </c>
      <c r="AB1355">
        <v>1.3687016000000003</v>
      </c>
      <c r="AC1355">
        <v>1.4234496640000003</v>
      </c>
    </row>
    <row r="1356" spans="1:29" x14ac:dyDescent="0.3">
      <c r="A1356">
        <v>141008</v>
      </c>
      <c r="B1356" s="25" t="s">
        <v>5984</v>
      </c>
      <c r="C1356" t="s">
        <v>20</v>
      </c>
      <c r="D1356" t="s">
        <v>21</v>
      </c>
      <c r="E1356">
        <v>2222222</v>
      </c>
      <c r="F1356" s="8" t="s">
        <v>22</v>
      </c>
      <c r="G1356" s="2">
        <v>98</v>
      </c>
      <c r="H1356" t="s">
        <v>4061</v>
      </c>
      <c r="J1356" s="9" t="s">
        <v>5023</v>
      </c>
      <c r="K1356" t="s">
        <v>4826</v>
      </c>
      <c r="L1356" s="2">
        <v>1</v>
      </c>
      <c r="M1356" s="24" t="s">
        <v>5971</v>
      </c>
      <c r="N1356" s="2" t="s">
        <v>23</v>
      </c>
      <c r="O1356" s="18" t="s">
        <v>1123</v>
      </c>
      <c r="P1356" s="18" t="s">
        <v>0</v>
      </c>
      <c r="Q1356" s="6" t="s">
        <v>4475</v>
      </c>
      <c r="T1356" s="23">
        <v>45430</v>
      </c>
      <c r="U1356" s="23">
        <v>46708</v>
      </c>
      <c r="X1356" s="20">
        <v>15000</v>
      </c>
      <c r="Z1356" s="6" t="s">
        <v>5978</v>
      </c>
      <c r="AA1356" s="14">
        <f t="shared" ref="AA1356:AA1378" si="176">+(0.6/1000)</f>
        <v>5.9999999999999995E-4</v>
      </c>
      <c r="AB1356">
        <v>4.0345800000000001</v>
      </c>
      <c r="AC1356">
        <v>4.1959632000000004</v>
      </c>
    </row>
    <row r="1357" spans="1:29" x14ac:dyDescent="0.3">
      <c r="A1357">
        <v>144491</v>
      </c>
      <c r="B1357" s="25" t="s">
        <v>5984</v>
      </c>
      <c r="C1357" t="s">
        <v>20</v>
      </c>
      <c r="D1357" t="s">
        <v>21</v>
      </c>
      <c r="E1357">
        <v>2222222</v>
      </c>
      <c r="F1357" s="8" t="s">
        <v>22</v>
      </c>
      <c r="G1357" s="2">
        <v>98</v>
      </c>
      <c r="H1357" t="s">
        <v>4061</v>
      </c>
      <c r="J1357" s="9" t="s">
        <v>4852</v>
      </c>
      <c r="K1357" t="s">
        <v>5160</v>
      </c>
      <c r="L1357" s="2">
        <v>1</v>
      </c>
      <c r="M1357" s="24" t="s">
        <v>5971</v>
      </c>
      <c r="N1357" s="2" t="s">
        <v>23</v>
      </c>
      <c r="O1357" s="18" t="s">
        <v>1124</v>
      </c>
      <c r="P1357" s="18" t="s">
        <v>0</v>
      </c>
      <c r="Q1357" s="6" t="s">
        <v>4475</v>
      </c>
      <c r="T1357" s="23">
        <v>45667</v>
      </c>
      <c r="U1357" s="23">
        <v>47127</v>
      </c>
      <c r="X1357" s="20">
        <v>5000</v>
      </c>
      <c r="Z1357" s="6" t="s">
        <v>5978</v>
      </c>
      <c r="AA1357" s="14">
        <f t="shared" si="176"/>
        <v>5.9999999999999995E-4</v>
      </c>
      <c r="AB1357">
        <v>2.1152279999999997</v>
      </c>
      <c r="AC1357">
        <v>2.1998371199999998</v>
      </c>
    </row>
    <row r="1358" spans="1:29" x14ac:dyDescent="0.3">
      <c r="A1358">
        <v>144700</v>
      </c>
      <c r="B1358" s="25" t="s">
        <v>5984</v>
      </c>
      <c r="C1358" t="s">
        <v>20</v>
      </c>
      <c r="D1358" t="s">
        <v>21</v>
      </c>
      <c r="E1358">
        <v>2222222</v>
      </c>
      <c r="F1358" s="8" t="s">
        <v>22</v>
      </c>
      <c r="G1358" s="2">
        <v>98</v>
      </c>
      <c r="H1358" t="s">
        <v>4061</v>
      </c>
      <c r="J1358" s="9" t="s">
        <v>5270</v>
      </c>
      <c r="K1358" t="s">
        <v>4841</v>
      </c>
      <c r="L1358" s="2">
        <v>1</v>
      </c>
      <c r="M1358" s="24" t="s">
        <v>5971</v>
      </c>
      <c r="N1358" s="2" t="s">
        <v>23</v>
      </c>
      <c r="O1358" s="18" t="s">
        <v>1125</v>
      </c>
      <c r="P1358" s="18" t="s">
        <v>0</v>
      </c>
      <c r="Q1358" s="6" t="s">
        <v>4475</v>
      </c>
      <c r="T1358" s="23">
        <v>45692</v>
      </c>
      <c r="U1358" s="23">
        <v>46424</v>
      </c>
      <c r="X1358" s="20">
        <v>5000</v>
      </c>
      <c r="Z1358" s="6" t="s">
        <v>5978</v>
      </c>
      <c r="AA1358" s="14">
        <f t="shared" si="176"/>
        <v>5.9999999999999995E-4</v>
      </c>
      <c r="AB1358">
        <v>0.99043199999999998</v>
      </c>
      <c r="AC1358">
        <v>1.0300492800000001</v>
      </c>
    </row>
    <row r="1359" spans="1:29" x14ac:dyDescent="0.3">
      <c r="A1359">
        <v>145610</v>
      </c>
      <c r="B1359" s="25" t="s">
        <v>5984</v>
      </c>
      <c r="C1359" t="s">
        <v>20</v>
      </c>
      <c r="D1359" t="s">
        <v>21</v>
      </c>
      <c r="E1359">
        <v>2222222</v>
      </c>
      <c r="F1359" s="8" t="s">
        <v>22</v>
      </c>
      <c r="G1359" s="2">
        <v>98</v>
      </c>
      <c r="H1359" t="s">
        <v>4061</v>
      </c>
      <c r="J1359" s="9" t="s">
        <v>4981</v>
      </c>
      <c r="K1359" t="s">
        <v>4883</v>
      </c>
      <c r="L1359" s="2">
        <v>1</v>
      </c>
      <c r="M1359" s="24" t="s">
        <v>5971</v>
      </c>
      <c r="N1359" s="2" t="s">
        <v>23</v>
      </c>
      <c r="O1359" s="18" t="s">
        <v>1126</v>
      </c>
      <c r="P1359" s="18" t="s">
        <v>3781</v>
      </c>
      <c r="Q1359" s="6" t="s">
        <v>4475</v>
      </c>
      <c r="T1359" s="23">
        <v>45755</v>
      </c>
      <c r="U1359" s="23">
        <v>46303</v>
      </c>
      <c r="X1359" s="20">
        <v>2500</v>
      </c>
      <c r="Z1359" s="6" t="s">
        <v>5978</v>
      </c>
      <c r="AA1359" s="14">
        <f t="shared" si="176"/>
        <v>5.9999999999999995E-4</v>
      </c>
      <c r="AB1359">
        <v>0.27764999999999995</v>
      </c>
      <c r="AC1359">
        <v>0.28875599999999996</v>
      </c>
    </row>
    <row r="1360" spans="1:29" x14ac:dyDescent="0.3">
      <c r="A1360">
        <v>145829</v>
      </c>
      <c r="B1360" s="25" t="s">
        <v>5984</v>
      </c>
      <c r="C1360" t="s">
        <v>20</v>
      </c>
      <c r="D1360" t="s">
        <v>21</v>
      </c>
      <c r="E1360">
        <v>2222222</v>
      </c>
      <c r="F1360" s="8" t="s">
        <v>22</v>
      </c>
      <c r="G1360" s="2">
        <v>98</v>
      </c>
      <c r="H1360" t="s">
        <v>4061</v>
      </c>
      <c r="J1360" s="9" t="s">
        <v>4970</v>
      </c>
      <c r="K1360" t="s">
        <v>5070</v>
      </c>
      <c r="L1360" s="2">
        <v>1</v>
      </c>
      <c r="M1360" s="24" t="s">
        <v>5971</v>
      </c>
      <c r="N1360" s="2" t="s">
        <v>23</v>
      </c>
      <c r="O1360" s="18" t="s">
        <v>1127</v>
      </c>
      <c r="P1360" s="18" t="s">
        <v>3781</v>
      </c>
      <c r="Q1360" s="6" t="s">
        <v>4475</v>
      </c>
      <c r="T1360" s="23">
        <v>45791</v>
      </c>
      <c r="U1360" s="23">
        <v>46704</v>
      </c>
      <c r="X1360" s="20">
        <v>72000</v>
      </c>
      <c r="Z1360" s="6" t="s">
        <v>5978</v>
      </c>
      <c r="AA1360" s="14">
        <f t="shared" si="176"/>
        <v>5.9999999999999995E-4</v>
      </c>
      <c r="AB1360">
        <v>24.583769999999998</v>
      </c>
      <c r="AC1360">
        <v>25.567120799999998</v>
      </c>
    </row>
    <row r="1361" spans="1:29" x14ac:dyDescent="0.3">
      <c r="A1361">
        <v>145983</v>
      </c>
      <c r="B1361" s="25" t="s">
        <v>5984</v>
      </c>
      <c r="C1361" t="s">
        <v>20</v>
      </c>
      <c r="D1361" t="s">
        <v>21</v>
      </c>
      <c r="E1361">
        <v>2222222</v>
      </c>
      <c r="F1361" s="8" t="s">
        <v>22</v>
      </c>
      <c r="G1361" s="2">
        <v>98</v>
      </c>
      <c r="H1361" t="s">
        <v>4061</v>
      </c>
      <c r="J1361" s="9" t="s">
        <v>5454</v>
      </c>
      <c r="K1361" t="s">
        <v>4845</v>
      </c>
      <c r="L1361" s="2">
        <v>1</v>
      </c>
      <c r="M1361" s="24" t="s">
        <v>5971</v>
      </c>
      <c r="N1361" s="2" t="s">
        <v>23</v>
      </c>
      <c r="O1361" s="18" t="s">
        <v>1128</v>
      </c>
      <c r="P1361" s="18" t="s">
        <v>3781</v>
      </c>
      <c r="Q1361" s="6" t="s">
        <v>4475</v>
      </c>
      <c r="T1361" s="23">
        <v>45778</v>
      </c>
      <c r="U1361" s="23">
        <v>46327</v>
      </c>
      <c r="X1361" s="20">
        <v>1430</v>
      </c>
      <c r="Z1361" s="6" t="s">
        <v>5978</v>
      </c>
      <c r="AA1361" s="14">
        <f t="shared" si="176"/>
        <v>5.9999999999999995E-4</v>
      </c>
      <c r="AB1361">
        <v>0.21000599999999997</v>
      </c>
      <c r="AC1361">
        <v>0.21840623999999997</v>
      </c>
    </row>
    <row r="1362" spans="1:29" x14ac:dyDescent="0.3">
      <c r="A1362">
        <v>146117</v>
      </c>
      <c r="B1362" s="25" t="s">
        <v>5984</v>
      </c>
      <c r="C1362" t="s">
        <v>20</v>
      </c>
      <c r="D1362" t="s">
        <v>21</v>
      </c>
      <c r="E1362">
        <v>2222222</v>
      </c>
      <c r="F1362" s="8" t="s">
        <v>22</v>
      </c>
      <c r="G1362" s="2">
        <v>98</v>
      </c>
      <c r="H1362" t="s">
        <v>4061</v>
      </c>
      <c r="J1362" s="9" t="s">
        <v>4830</v>
      </c>
      <c r="K1362" t="s">
        <v>5455</v>
      </c>
      <c r="L1362" s="2">
        <v>1</v>
      </c>
      <c r="M1362" s="24" t="s">
        <v>5971</v>
      </c>
      <c r="N1362" s="2" t="s">
        <v>23</v>
      </c>
      <c r="O1362" s="18" t="s">
        <v>1129</v>
      </c>
      <c r="P1362" s="18" t="s">
        <v>3781</v>
      </c>
      <c r="Q1362" s="6" t="s">
        <v>4475</v>
      </c>
      <c r="T1362" s="23">
        <v>45806</v>
      </c>
      <c r="U1362" s="23">
        <v>47266</v>
      </c>
      <c r="X1362" s="20">
        <v>9800</v>
      </c>
      <c r="Z1362" s="6" t="s">
        <v>5978</v>
      </c>
      <c r="AA1362" s="14">
        <f t="shared" si="176"/>
        <v>5.9999999999999995E-4</v>
      </c>
      <c r="AB1362">
        <v>4.4910059999999996</v>
      </c>
      <c r="AC1362">
        <v>4.6706462399999999</v>
      </c>
    </row>
    <row r="1363" spans="1:29" x14ac:dyDescent="0.3">
      <c r="A1363">
        <v>147412</v>
      </c>
      <c r="B1363" s="25" t="s">
        <v>5984</v>
      </c>
      <c r="C1363" t="s">
        <v>20</v>
      </c>
      <c r="D1363" t="s">
        <v>21</v>
      </c>
      <c r="E1363">
        <v>2222222</v>
      </c>
      <c r="F1363" s="8" t="s">
        <v>22</v>
      </c>
      <c r="G1363" s="2">
        <v>98</v>
      </c>
      <c r="H1363" t="s">
        <v>4061</v>
      </c>
      <c r="J1363" s="9" t="s">
        <v>4836</v>
      </c>
      <c r="K1363" t="s">
        <v>4918</v>
      </c>
      <c r="L1363" s="2">
        <v>1</v>
      </c>
      <c r="M1363" s="24" t="s">
        <v>5971</v>
      </c>
      <c r="N1363" s="2" t="s">
        <v>23</v>
      </c>
      <c r="O1363" s="18" t="s">
        <v>1130</v>
      </c>
      <c r="P1363" s="18" t="s">
        <v>3781</v>
      </c>
      <c r="Q1363" s="6" t="s">
        <v>4475</v>
      </c>
      <c r="T1363" s="23">
        <v>45887</v>
      </c>
      <c r="U1363" s="23">
        <v>47347</v>
      </c>
      <c r="X1363" s="20">
        <v>4550</v>
      </c>
      <c r="Z1363" s="6" t="s">
        <v>5978</v>
      </c>
      <c r="AA1363" s="14">
        <f t="shared" si="176"/>
        <v>5.9999999999999995E-4</v>
      </c>
      <c r="AB1363">
        <v>2.2642979999999997</v>
      </c>
      <c r="AC1363">
        <v>2.3548699199999996</v>
      </c>
    </row>
    <row r="1364" spans="1:29" x14ac:dyDescent="0.3">
      <c r="A1364">
        <v>147945</v>
      </c>
      <c r="B1364" s="25" t="s">
        <v>5984</v>
      </c>
      <c r="C1364" t="s">
        <v>20</v>
      </c>
      <c r="D1364" t="s">
        <v>21</v>
      </c>
      <c r="E1364">
        <v>2222222</v>
      </c>
      <c r="F1364" s="8" t="s">
        <v>22</v>
      </c>
      <c r="G1364" s="2">
        <v>98</v>
      </c>
      <c r="H1364" t="s">
        <v>4061</v>
      </c>
      <c r="J1364" s="9" t="s">
        <v>5391</v>
      </c>
      <c r="K1364" t="s">
        <v>4937</v>
      </c>
      <c r="L1364" s="2">
        <v>1</v>
      </c>
      <c r="M1364" s="24" t="s">
        <v>5971</v>
      </c>
      <c r="N1364" s="2" t="s">
        <v>23</v>
      </c>
      <c r="O1364" s="18" t="s">
        <v>1131</v>
      </c>
      <c r="P1364" s="18" t="s">
        <v>0</v>
      </c>
      <c r="Q1364" s="6" t="s">
        <v>4475</v>
      </c>
      <c r="T1364" s="23">
        <v>45930</v>
      </c>
      <c r="U1364" s="23">
        <v>47392</v>
      </c>
      <c r="X1364" s="20">
        <v>50000</v>
      </c>
      <c r="Z1364" s="6" t="s">
        <v>5978</v>
      </c>
      <c r="AA1364" s="14">
        <f t="shared" si="176"/>
        <v>5.9999999999999995E-4</v>
      </c>
      <c r="AB1364">
        <v>25.563977999999995</v>
      </c>
      <c r="AC1364">
        <v>26.586537119999996</v>
      </c>
    </row>
    <row r="1365" spans="1:29" x14ac:dyDescent="0.3">
      <c r="A1365">
        <v>148132</v>
      </c>
      <c r="B1365" s="25" t="s">
        <v>5984</v>
      </c>
      <c r="C1365" t="s">
        <v>20</v>
      </c>
      <c r="D1365" t="s">
        <v>21</v>
      </c>
      <c r="E1365">
        <v>2222222</v>
      </c>
      <c r="F1365" s="8" t="s">
        <v>22</v>
      </c>
      <c r="G1365" s="2">
        <v>98</v>
      </c>
      <c r="H1365" t="s">
        <v>4061</v>
      </c>
      <c r="J1365" s="9" t="s">
        <v>5045</v>
      </c>
      <c r="K1365" t="s">
        <v>5056</v>
      </c>
      <c r="L1365" s="2">
        <v>1</v>
      </c>
      <c r="M1365" s="24" t="s">
        <v>5971</v>
      </c>
      <c r="N1365" s="2" t="s">
        <v>23</v>
      </c>
      <c r="O1365" s="18" t="s">
        <v>1132</v>
      </c>
      <c r="P1365" s="18" t="s">
        <v>3781</v>
      </c>
      <c r="Q1365" s="6" t="s">
        <v>4475</v>
      </c>
      <c r="T1365" s="23">
        <v>45937</v>
      </c>
      <c r="U1365" s="23">
        <v>47762</v>
      </c>
      <c r="X1365" s="20">
        <v>5000</v>
      </c>
      <c r="Z1365" s="6" t="s">
        <v>5978</v>
      </c>
      <c r="AA1365" s="14">
        <f t="shared" si="176"/>
        <v>5.9999999999999995E-4</v>
      </c>
      <c r="AB1365">
        <v>2.6954939999999996</v>
      </c>
      <c r="AC1365">
        <v>2.8033137599999995</v>
      </c>
    </row>
    <row r="1366" spans="1:29" x14ac:dyDescent="0.3">
      <c r="A1366">
        <v>148383</v>
      </c>
      <c r="B1366" s="25" t="s">
        <v>5984</v>
      </c>
      <c r="C1366" t="s">
        <v>20</v>
      </c>
      <c r="D1366" t="s">
        <v>21</v>
      </c>
      <c r="E1366">
        <v>2222222</v>
      </c>
      <c r="F1366" s="8" t="s">
        <v>22</v>
      </c>
      <c r="G1366" s="2">
        <v>98</v>
      </c>
      <c r="H1366" t="s">
        <v>4061</v>
      </c>
      <c r="J1366" s="9" t="s">
        <v>5456</v>
      </c>
      <c r="K1366" t="s">
        <v>4947</v>
      </c>
      <c r="L1366" s="2">
        <v>1</v>
      </c>
      <c r="M1366" s="24" t="s">
        <v>5971</v>
      </c>
      <c r="N1366" s="2" t="s">
        <v>23</v>
      </c>
      <c r="O1366" s="18" t="s">
        <v>1133</v>
      </c>
      <c r="P1366" s="18" t="s">
        <v>3781</v>
      </c>
      <c r="Q1366" s="6" t="s">
        <v>4475</v>
      </c>
      <c r="T1366" s="23">
        <v>45957</v>
      </c>
      <c r="U1366" s="23">
        <v>47052</v>
      </c>
      <c r="X1366" s="20">
        <v>2640</v>
      </c>
      <c r="Z1366" s="6" t="s">
        <v>5978</v>
      </c>
      <c r="AA1366" s="14">
        <f t="shared" si="176"/>
        <v>5.9999999999999995E-4</v>
      </c>
      <c r="AB1366">
        <v>1.2474179999999999</v>
      </c>
      <c r="AC1366">
        <v>1.2973147199999999</v>
      </c>
    </row>
    <row r="1367" spans="1:29" x14ac:dyDescent="0.3">
      <c r="A1367">
        <v>149401</v>
      </c>
      <c r="B1367" s="25" t="s">
        <v>5984</v>
      </c>
      <c r="C1367" t="s">
        <v>20</v>
      </c>
      <c r="D1367" t="s">
        <v>21</v>
      </c>
      <c r="E1367">
        <v>2222222</v>
      </c>
      <c r="F1367" s="8" t="s">
        <v>22</v>
      </c>
      <c r="G1367" s="2">
        <v>98</v>
      </c>
      <c r="H1367" t="s">
        <v>4061</v>
      </c>
      <c r="J1367" s="9" t="s">
        <v>5110</v>
      </c>
      <c r="K1367" t="s">
        <v>5245</v>
      </c>
      <c r="L1367" s="2">
        <v>1</v>
      </c>
      <c r="M1367" s="24" t="s">
        <v>5971</v>
      </c>
      <c r="N1367" s="2" t="s">
        <v>23</v>
      </c>
      <c r="O1367" s="18" t="s">
        <v>1134</v>
      </c>
      <c r="P1367" s="18" t="s">
        <v>3781</v>
      </c>
      <c r="Q1367" s="6" t="s">
        <v>4475</v>
      </c>
      <c r="T1367" s="23">
        <v>46020</v>
      </c>
      <c r="U1367" s="23">
        <v>46844</v>
      </c>
      <c r="X1367" s="20">
        <v>2240</v>
      </c>
      <c r="Z1367" s="6" t="s">
        <v>5978</v>
      </c>
      <c r="AA1367" s="14">
        <f t="shared" si="176"/>
        <v>5.9999999999999995E-4</v>
      </c>
      <c r="AB1367">
        <v>1.1250659999999999</v>
      </c>
      <c r="AC1367">
        <v>1.17006864</v>
      </c>
    </row>
    <row r="1368" spans="1:29" x14ac:dyDescent="0.3">
      <c r="A1368">
        <v>149477</v>
      </c>
      <c r="B1368" s="25" t="s">
        <v>5984</v>
      </c>
      <c r="C1368" t="s">
        <v>20</v>
      </c>
      <c r="D1368" t="s">
        <v>21</v>
      </c>
      <c r="E1368">
        <v>2222222</v>
      </c>
      <c r="F1368" s="8" t="s">
        <v>22</v>
      </c>
      <c r="G1368" s="2">
        <v>98</v>
      </c>
      <c r="H1368" t="s">
        <v>4061</v>
      </c>
      <c r="J1368" s="9" t="s">
        <v>4901</v>
      </c>
      <c r="K1368" t="s">
        <v>5457</v>
      </c>
      <c r="L1368" s="2">
        <v>1</v>
      </c>
      <c r="M1368" s="24" t="s">
        <v>5971</v>
      </c>
      <c r="N1368" s="2" t="s">
        <v>23</v>
      </c>
      <c r="O1368" s="18" t="s">
        <v>1135</v>
      </c>
      <c r="P1368" s="18" t="s">
        <v>0</v>
      </c>
      <c r="Q1368" s="6" t="s">
        <v>4475</v>
      </c>
      <c r="T1368" s="23">
        <v>46028</v>
      </c>
      <c r="U1368" s="23">
        <v>46397</v>
      </c>
      <c r="X1368" s="20">
        <v>500</v>
      </c>
      <c r="Z1368" s="6" t="s">
        <v>5978</v>
      </c>
      <c r="AA1368" s="14">
        <f t="shared" si="176"/>
        <v>5.9999999999999995E-4</v>
      </c>
      <c r="AB1368">
        <v>0.15606</v>
      </c>
      <c r="AC1368">
        <v>0.16230240000000001</v>
      </c>
    </row>
    <row r="1369" spans="1:29" x14ac:dyDescent="0.3">
      <c r="A1369">
        <v>149527</v>
      </c>
      <c r="B1369" s="25" t="s">
        <v>5984</v>
      </c>
      <c r="C1369" t="s">
        <v>20</v>
      </c>
      <c r="D1369" t="s">
        <v>21</v>
      </c>
      <c r="E1369">
        <v>2222222</v>
      </c>
      <c r="F1369" s="8" t="s">
        <v>22</v>
      </c>
      <c r="G1369" s="2">
        <v>98</v>
      </c>
      <c r="H1369" t="s">
        <v>4061</v>
      </c>
      <c r="J1369" s="9" t="s">
        <v>5120</v>
      </c>
      <c r="K1369" t="s">
        <v>4856</v>
      </c>
      <c r="L1369" s="2">
        <v>1</v>
      </c>
      <c r="M1369" s="24" t="s">
        <v>5971</v>
      </c>
      <c r="N1369" s="2" t="s">
        <v>23</v>
      </c>
      <c r="O1369" s="18" t="s">
        <v>1136</v>
      </c>
      <c r="P1369" s="18" t="s">
        <v>0</v>
      </c>
      <c r="Q1369" s="6" t="s">
        <v>4475</v>
      </c>
      <c r="T1369" s="23">
        <v>46033</v>
      </c>
      <c r="U1369" s="23">
        <v>46762</v>
      </c>
      <c r="X1369" s="20">
        <v>2500</v>
      </c>
      <c r="Z1369" s="6" t="s">
        <v>5978</v>
      </c>
      <c r="AA1369" s="14">
        <f t="shared" si="176"/>
        <v>5.9999999999999995E-4</v>
      </c>
      <c r="AB1369">
        <v>1.1698679999999999</v>
      </c>
      <c r="AC1369">
        <v>1.21666272</v>
      </c>
    </row>
    <row r="1370" spans="1:29" x14ac:dyDescent="0.3">
      <c r="A1370">
        <v>149637</v>
      </c>
      <c r="B1370" s="25" t="s">
        <v>5984</v>
      </c>
      <c r="C1370" t="s">
        <v>20</v>
      </c>
      <c r="D1370" t="s">
        <v>21</v>
      </c>
      <c r="E1370">
        <v>2222222</v>
      </c>
      <c r="F1370" s="8" t="s">
        <v>22</v>
      </c>
      <c r="G1370" s="2">
        <v>98</v>
      </c>
      <c r="H1370" t="s">
        <v>4061</v>
      </c>
      <c r="J1370" s="9" t="s">
        <v>4852</v>
      </c>
      <c r="K1370" t="s">
        <v>4953</v>
      </c>
      <c r="L1370" s="2">
        <v>1</v>
      </c>
      <c r="M1370" s="24" t="s">
        <v>5971</v>
      </c>
      <c r="N1370" s="2" t="s">
        <v>23</v>
      </c>
      <c r="O1370" s="18" t="s">
        <v>1137</v>
      </c>
      <c r="P1370" s="18" t="s">
        <v>0</v>
      </c>
      <c r="Q1370" s="6" t="s">
        <v>4475</v>
      </c>
      <c r="T1370" s="23">
        <v>46037</v>
      </c>
      <c r="U1370" s="23">
        <v>46217</v>
      </c>
      <c r="X1370" s="20">
        <v>5000</v>
      </c>
      <c r="Z1370" s="6" t="s">
        <v>5978</v>
      </c>
      <c r="AA1370" s="14">
        <f t="shared" si="176"/>
        <v>5.9999999999999995E-4</v>
      </c>
      <c r="AB1370">
        <v>0.37673399999999996</v>
      </c>
      <c r="AC1370">
        <v>0.39180335999999999</v>
      </c>
    </row>
    <row r="1371" spans="1:29" x14ac:dyDescent="0.3">
      <c r="A1371">
        <v>150732</v>
      </c>
      <c r="B1371" s="25" t="s">
        <v>5984</v>
      </c>
      <c r="C1371" t="s">
        <v>20</v>
      </c>
      <c r="D1371" t="s">
        <v>21</v>
      </c>
      <c r="E1371">
        <v>2222222</v>
      </c>
      <c r="F1371" s="8" t="s">
        <v>22</v>
      </c>
      <c r="G1371" s="2">
        <v>98</v>
      </c>
      <c r="H1371" t="s">
        <v>4061</v>
      </c>
      <c r="J1371" s="9" t="s">
        <v>4942</v>
      </c>
      <c r="K1371" t="s">
        <v>5103</v>
      </c>
      <c r="L1371" s="2">
        <v>1</v>
      </c>
      <c r="M1371" s="24" t="s">
        <v>5971</v>
      </c>
      <c r="N1371" s="2" t="s">
        <v>23</v>
      </c>
      <c r="O1371" s="18" t="s">
        <v>1138</v>
      </c>
      <c r="P1371" s="18" t="s">
        <v>3781</v>
      </c>
      <c r="Q1371" s="6" t="s">
        <v>4475</v>
      </c>
      <c r="T1371" s="23">
        <v>46112</v>
      </c>
      <c r="U1371" s="23">
        <v>46296</v>
      </c>
      <c r="X1371" s="20">
        <v>5000</v>
      </c>
      <c r="Z1371" s="6" t="s">
        <v>5978</v>
      </c>
      <c r="AA1371" s="14">
        <f t="shared" si="176"/>
        <v>5.9999999999999995E-4</v>
      </c>
      <c r="AB1371">
        <v>1.53363</v>
      </c>
      <c r="AC1371">
        <v>1.5949752000000001</v>
      </c>
    </row>
    <row r="1372" spans="1:29" x14ac:dyDescent="0.3">
      <c r="A1372">
        <v>150823</v>
      </c>
      <c r="B1372" s="25" t="s">
        <v>5984</v>
      </c>
      <c r="C1372" t="s">
        <v>20</v>
      </c>
      <c r="D1372" t="s">
        <v>21</v>
      </c>
      <c r="E1372">
        <v>2222222</v>
      </c>
      <c r="F1372" s="8" t="s">
        <v>22</v>
      </c>
      <c r="G1372" s="2">
        <v>98</v>
      </c>
      <c r="H1372" t="s">
        <v>4061</v>
      </c>
      <c r="J1372" s="9" t="s">
        <v>5453</v>
      </c>
      <c r="K1372" t="s">
        <v>4854</v>
      </c>
      <c r="L1372" s="2">
        <v>1</v>
      </c>
      <c r="M1372" s="24" t="s">
        <v>5971</v>
      </c>
      <c r="N1372" s="2" t="s">
        <v>23</v>
      </c>
      <c r="O1372" s="18" t="s">
        <v>1121</v>
      </c>
      <c r="P1372" s="18" t="s">
        <v>3781</v>
      </c>
      <c r="Q1372" s="6" t="s">
        <v>4475</v>
      </c>
      <c r="T1372" s="23">
        <v>46119</v>
      </c>
      <c r="U1372" s="23">
        <v>46489</v>
      </c>
      <c r="X1372" s="20">
        <v>1000</v>
      </c>
      <c r="Z1372" s="6" t="s">
        <v>5978</v>
      </c>
      <c r="AA1372" s="14">
        <f t="shared" si="176"/>
        <v>5.9999999999999995E-4</v>
      </c>
      <c r="AB1372">
        <v>0.45941399999999999</v>
      </c>
      <c r="AC1372">
        <v>0.47779056000000003</v>
      </c>
    </row>
    <row r="1373" spans="1:29" x14ac:dyDescent="0.3">
      <c r="A1373">
        <v>151436</v>
      </c>
      <c r="B1373" s="25" t="s">
        <v>5984</v>
      </c>
      <c r="C1373" t="s">
        <v>20</v>
      </c>
      <c r="D1373" t="s">
        <v>21</v>
      </c>
      <c r="E1373">
        <v>2222222</v>
      </c>
      <c r="F1373" s="8" t="s">
        <v>22</v>
      </c>
      <c r="G1373" s="2">
        <v>98</v>
      </c>
      <c r="H1373" t="s">
        <v>4061</v>
      </c>
      <c r="J1373" s="9" t="s">
        <v>5371</v>
      </c>
      <c r="K1373" t="s">
        <v>5377</v>
      </c>
      <c r="L1373" s="2">
        <v>1</v>
      </c>
      <c r="M1373" s="24" t="s">
        <v>5971</v>
      </c>
      <c r="N1373" s="2" t="s">
        <v>23</v>
      </c>
      <c r="O1373" s="18" t="s">
        <v>1139</v>
      </c>
      <c r="P1373" s="18" t="s">
        <v>0</v>
      </c>
      <c r="Q1373" s="6" t="s">
        <v>4475</v>
      </c>
      <c r="T1373" s="23">
        <v>46174</v>
      </c>
      <c r="U1373" s="23">
        <v>49827</v>
      </c>
      <c r="X1373" s="20">
        <v>26000</v>
      </c>
      <c r="Z1373" s="6" t="s">
        <v>5978</v>
      </c>
      <c r="AA1373" s="14">
        <f t="shared" si="176"/>
        <v>5.9999999999999995E-4</v>
      </c>
      <c r="AB1373">
        <v>15.541325999999998</v>
      </c>
      <c r="AC1373">
        <v>16.16297904</v>
      </c>
    </row>
    <row r="1374" spans="1:29" x14ac:dyDescent="0.3">
      <c r="A1374">
        <v>151705</v>
      </c>
      <c r="B1374" s="25" t="s">
        <v>5984</v>
      </c>
      <c r="C1374" t="s">
        <v>20</v>
      </c>
      <c r="D1374" t="s">
        <v>21</v>
      </c>
      <c r="E1374">
        <v>2222222</v>
      </c>
      <c r="F1374" s="8" t="s">
        <v>22</v>
      </c>
      <c r="G1374" s="2">
        <v>98</v>
      </c>
      <c r="H1374" t="s">
        <v>4061</v>
      </c>
      <c r="J1374" s="9" t="s">
        <v>4911</v>
      </c>
      <c r="K1374" t="s">
        <v>5019</v>
      </c>
      <c r="L1374" s="2">
        <v>1</v>
      </c>
      <c r="M1374" s="24" t="s">
        <v>5971</v>
      </c>
      <c r="N1374" s="2" t="s">
        <v>23</v>
      </c>
      <c r="O1374" s="18" t="s">
        <v>1140</v>
      </c>
      <c r="P1374" s="18" t="s">
        <v>3781</v>
      </c>
      <c r="Q1374" s="6" t="s">
        <v>4475</v>
      </c>
      <c r="T1374" s="23">
        <v>46182</v>
      </c>
      <c r="U1374" s="23">
        <v>46552</v>
      </c>
      <c r="X1374" s="20">
        <v>1000</v>
      </c>
      <c r="Z1374" s="6" t="s">
        <v>5978</v>
      </c>
      <c r="AA1374" s="14">
        <f t="shared" si="176"/>
        <v>5.9999999999999995E-4</v>
      </c>
      <c r="AB1374">
        <v>0.55370999999999992</v>
      </c>
      <c r="AC1374">
        <v>0.57585839999999999</v>
      </c>
    </row>
    <row r="1375" spans="1:29" x14ac:dyDescent="0.3">
      <c r="A1375">
        <v>151721</v>
      </c>
      <c r="B1375" s="25" t="s">
        <v>5984</v>
      </c>
      <c r="C1375" t="s">
        <v>20</v>
      </c>
      <c r="D1375" t="s">
        <v>21</v>
      </c>
      <c r="E1375">
        <v>2222222</v>
      </c>
      <c r="F1375" s="8" t="s">
        <v>22</v>
      </c>
      <c r="G1375" s="2">
        <v>98</v>
      </c>
      <c r="H1375" t="s">
        <v>4061</v>
      </c>
      <c r="J1375" s="9" t="s">
        <v>5004</v>
      </c>
      <c r="K1375" t="s">
        <v>4928</v>
      </c>
      <c r="L1375" s="2">
        <v>1</v>
      </c>
      <c r="M1375" s="24" t="s">
        <v>5971</v>
      </c>
      <c r="N1375" s="2" t="s">
        <v>23</v>
      </c>
      <c r="O1375" s="18" t="s">
        <v>353</v>
      </c>
      <c r="P1375" s="18" t="s">
        <v>3781</v>
      </c>
      <c r="Q1375" s="6" t="s">
        <v>4475</v>
      </c>
      <c r="T1375" s="23">
        <v>46182</v>
      </c>
      <c r="U1375" s="23">
        <v>47643</v>
      </c>
      <c r="X1375" s="20">
        <v>5000</v>
      </c>
      <c r="Z1375" s="6" t="s">
        <v>5978</v>
      </c>
      <c r="AA1375" s="14">
        <f t="shared" si="176"/>
        <v>5.9999999999999995E-4</v>
      </c>
      <c r="AB1375">
        <v>2.9564819999999998</v>
      </c>
      <c r="AC1375">
        <v>3.07474128</v>
      </c>
    </row>
    <row r="1376" spans="1:29" x14ac:dyDescent="0.3">
      <c r="A1376">
        <v>151808</v>
      </c>
      <c r="B1376" s="25" t="s">
        <v>5984</v>
      </c>
      <c r="C1376" t="s">
        <v>20</v>
      </c>
      <c r="D1376" t="s">
        <v>21</v>
      </c>
      <c r="E1376">
        <v>2222222</v>
      </c>
      <c r="F1376" s="8" t="s">
        <v>22</v>
      </c>
      <c r="G1376" s="2">
        <v>98</v>
      </c>
      <c r="H1376" t="s">
        <v>4061</v>
      </c>
      <c r="J1376" s="9" t="s">
        <v>4877</v>
      </c>
      <c r="K1376" t="s">
        <v>5270</v>
      </c>
      <c r="L1376" s="2">
        <v>1</v>
      </c>
      <c r="M1376" s="24" t="s">
        <v>5971</v>
      </c>
      <c r="N1376" s="2" t="s">
        <v>23</v>
      </c>
      <c r="O1376" s="18" t="s">
        <v>1141</v>
      </c>
      <c r="P1376" s="18" t="s">
        <v>0</v>
      </c>
      <c r="Q1376" s="6" t="s">
        <v>4475</v>
      </c>
      <c r="T1376" s="23">
        <v>46197</v>
      </c>
      <c r="U1376" s="23">
        <v>49850</v>
      </c>
      <c r="X1376" s="20">
        <v>66000</v>
      </c>
      <c r="Z1376" s="6" t="s">
        <v>5978</v>
      </c>
      <c r="AA1376" s="14">
        <f t="shared" si="176"/>
        <v>5.9999999999999995E-4</v>
      </c>
      <c r="AB1376">
        <v>39.424031999999997</v>
      </c>
      <c r="AC1376">
        <v>41.000993279999996</v>
      </c>
    </row>
    <row r="1377" spans="1:29" x14ac:dyDescent="0.3">
      <c r="A1377">
        <v>151895</v>
      </c>
      <c r="B1377" s="25" t="s">
        <v>5984</v>
      </c>
      <c r="C1377" t="s">
        <v>20</v>
      </c>
      <c r="D1377" t="s">
        <v>21</v>
      </c>
      <c r="E1377">
        <v>2222222</v>
      </c>
      <c r="F1377" s="8" t="s">
        <v>22</v>
      </c>
      <c r="G1377" s="2">
        <v>98</v>
      </c>
      <c r="H1377" t="s">
        <v>4061</v>
      </c>
      <c r="J1377" s="9" t="s">
        <v>4901</v>
      </c>
      <c r="K1377" t="s">
        <v>5457</v>
      </c>
      <c r="L1377" s="2">
        <v>1</v>
      </c>
      <c r="M1377" s="24" t="s">
        <v>5971</v>
      </c>
      <c r="N1377" s="2" t="s">
        <v>23</v>
      </c>
      <c r="O1377" s="18" t="s">
        <v>1135</v>
      </c>
      <c r="P1377" s="18" t="s">
        <v>0</v>
      </c>
      <c r="Q1377" s="6" t="s">
        <v>4475</v>
      </c>
      <c r="T1377" s="23">
        <v>46196</v>
      </c>
      <c r="U1377" s="23">
        <v>46349</v>
      </c>
      <c r="X1377" s="20">
        <v>200</v>
      </c>
      <c r="Z1377" s="6" t="s">
        <v>5978</v>
      </c>
      <c r="AA1377" s="14">
        <f t="shared" si="176"/>
        <v>5.9999999999999995E-4</v>
      </c>
      <c r="AB1377">
        <v>0.12</v>
      </c>
      <c r="AC1377">
        <v>0.12479999999999999</v>
      </c>
    </row>
    <row r="1378" spans="1:29" x14ac:dyDescent="0.3">
      <c r="A1378">
        <v>145241</v>
      </c>
      <c r="B1378" s="25" t="s">
        <v>5984</v>
      </c>
      <c r="C1378" t="s">
        <v>20</v>
      </c>
      <c r="D1378" t="s">
        <v>21</v>
      </c>
      <c r="E1378">
        <v>2222222</v>
      </c>
      <c r="F1378" s="8" t="s">
        <v>22</v>
      </c>
      <c r="G1378" s="2">
        <v>98</v>
      </c>
      <c r="H1378" t="s">
        <v>4062</v>
      </c>
      <c r="J1378" s="9" t="s">
        <v>4836</v>
      </c>
      <c r="K1378" t="s">
        <v>5019</v>
      </c>
      <c r="L1378" s="2">
        <v>1</v>
      </c>
      <c r="M1378" s="24" t="s">
        <v>5971</v>
      </c>
      <c r="N1378" s="2" t="s">
        <v>23</v>
      </c>
      <c r="O1378" s="18" t="s">
        <v>1142</v>
      </c>
      <c r="P1378" s="18" t="s">
        <v>3781</v>
      </c>
      <c r="Q1378" s="6" t="s">
        <v>4475</v>
      </c>
      <c r="T1378" s="23">
        <v>45726</v>
      </c>
      <c r="U1378" s="23">
        <v>46821</v>
      </c>
      <c r="X1378" s="20">
        <v>3000</v>
      </c>
      <c r="Z1378" s="6" t="s">
        <v>5978</v>
      </c>
      <c r="AA1378" s="14">
        <f t="shared" si="176"/>
        <v>5.9999999999999995E-4</v>
      </c>
      <c r="AB1378">
        <v>1.112028</v>
      </c>
      <c r="AC1378">
        <v>1.1565091199999999</v>
      </c>
    </row>
    <row r="1379" spans="1:29" x14ac:dyDescent="0.3">
      <c r="A1379">
        <v>133763</v>
      </c>
      <c r="B1379" s="25" t="s">
        <v>5984</v>
      </c>
      <c r="C1379" t="s">
        <v>20</v>
      </c>
      <c r="D1379" t="s">
        <v>21</v>
      </c>
      <c r="E1379">
        <v>2222222</v>
      </c>
      <c r="F1379" s="8" t="s">
        <v>22</v>
      </c>
      <c r="G1379" s="2">
        <v>98</v>
      </c>
      <c r="H1379" t="s">
        <v>4063</v>
      </c>
      <c r="J1379" s="9" t="s">
        <v>5458</v>
      </c>
      <c r="K1379" t="s">
        <v>5459</v>
      </c>
      <c r="L1379" s="2">
        <v>1</v>
      </c>
      <c r="M1379" s="24" t="s">
        <v>5971</v>
      </c>
      <c r="N1379" s="2" t="s">
        <v>23</v>
      </c>
      <c r="O1379" s="18" t="s">
        <v>1143</v>
      </c>
      <c r="P1379" s="18" t="s">
        <v>0</v>
      </c>
      <c r="Q1379" s="6" t="s">
        <v>4475</v>
      </c>
      <c r="T1379" s="23">
        <v>45015</v>
      </c>
      <c r="U1379" s="23">
        <v>45931</v>
      </c>
      <c r="X1379" s="20">
        <v>12000</v>
      </c>
      <c r="Z1379" s="6" t="s">
        <v>5978</v>
      </c>
      <c r="AA1379" s="13">
        <f t="shared" ref="AA1379:AA1380" si="177">+(0.56/1000)</f>
        <v>5.6000000000000006E-4</v>
      </c>
      <c r="AB1379">
        <v>4.9830816000000011</v>
      </c>
      <c r="AC1379">
        <v>5.1824048640000013</v>
      </c>
    </row>
    <row r="1380" spans="1:29" x14ac:dyDescent="0.3">
      <c r="A1380">
        <v>139157</v>
      </c>
      <c r="B1380" s="25" t="s">
        <v>5984</v>
      </c>
      <c r="C1380" t="s">
        <v>20</v>
      </c>
      <c r="D1380" t="s">
        <v>21</v>
      </c>
      <c r="E1380">
        <v>2222222</v>
      </c>
      <c r="F1380" s="8" t="s">
        <v>22</v>
      </c>
      <c r="G1380" s="2">
        <v>98</v>
      </c>
      <c r="H1380" t="s">
        <v>4064</v>
      </c>
      <c r="J1380" s="9" t="s">
        <v>4826</v>
      </c>
      <c r="K1380" t="s">
        <v>5089</v>
      </c>
      <c r="L1380" s="2">
        <v>1</v>
      </c>
      <c r="M1380" s="24" t="s">
        <v>5971</v>
      </c>
      <c r="N1380" s="2" t="s">
        <v>23</v>
      </c>
      <c r="O1380" s="18" t="s">
        <v>1144</v>
      </c>
      <c r="P1380" s="18" t="s">
        <v>0</v>
      </c>
      <c r="Q1380" s="6" t="s">
        <v>4475</v>
      </c>
      <c r="T1380" s="23">
        <v>45319</v>
      </c>
      <c r="U1380" s="23">
        <v>48971</v>
      </c>
      <c r="X1380" s="20">
        <v>18150</v>
      </c>
      <c r="Z1380" s="6" t="s">
        <v>5978</v>
      </c>
      <c r="AA1380" s="13">
        <f t="shared" si="177"/>
        <v>5.6000000000000006E-4</v>
      </c>
      <c r="AB1380">
        <v>1.8941272000000002</v>
      </c>
      <c r="AC1380">
        <v>1.9698922880000003</v>
      </c>
    </row>
    <row r="1381" spans="1:29" x14ac:dyDescent="0.3">
      <c r="A1381">
        <v>143926</v>
      </c>
      <c r="B1381" s="25" t="s">
        <v>5984</v>
      </c>
      <c r="C1381" t="s">
        <v>20</v>
      </c>
      <c r="D1381" t="s">
        <v>21</v>
      </c>
      <c r="E1381">
        <v>2222222</v>
      </c>
      <c r="F1381" s="8" t="s">
        <v>22</v>
      </c>
      <c r="G1381" s="2">
        <v>98</v>
      </c>
      <c r="H1381" t="s">
        <v>4065</v>
      </c>
      <c r="J1381" s="9" t="s">
        <v>5055</v>
      </c>
      <c r="K1381" t="s">
        <v>5056</v>
      </c>
      <c r="L1381" s="2">
        <v>1</v>
      </c>
      <c r="M1381" s="24" t="s">
        <v>5971</v>
      </c>
      <c r="N1381" s="2" t="s">
        <v>23</v>
      </c>
      <c r="O1381" s="18" t="s">
        <v>1145</v>
      </c>
      <c r="P1381" s="18" t="s">
        <v>3781</v>
      </c>
      <c r="Q1381" s="6" t="s">
        <v>4475</v>
      </c>
      <c r="T1381" s="23">
        <v>45625</v>
      </c>
      <c r="U1381" s="23">
        <v>47177</v>
      </c>
      <c r="X1381" s="20">
        <v>5000</v>
      </c>
      <c r="Z1381" s="6" t="s">
        <v>5978</v>
      </c>
      <c r="AA1381" s="14">
        <f t="shared" ref="AA1381:AA1385" si="178">+(0.6/1000)</f>
        <v>5.9999999999999995E-4</v>
      </c>
      <c r="AB1381">
        <v>2.1234419999999998</v>
      </c>
      <c r="AC1381">
        <v>2.2083796799999997</v>
      </c>
    </row>
    <row r="1382" spans="1:29" x14ac:dyDescent="0.3">
      <c r="A1382">
        <v>146369</v>
      </c>
      <c r="B1382" s="25" t="s">
        <v>5984</v>
      </c>
      <c r="C1382" t="s">
        <v>20</v>
      </c>
      <c r="D1382" t="s">
        <v>21</v>
      </c>
      <c r="E1382">
        <v>2222222</v>
      </c>
      <c r="F1382" s="8" t="s">
        <v>22</v>
      </c>
      <c r="G1382" s="2">
        <v>98</v>
      </c>
      <c r="H1382" t="s">
        <v>4065</v>
      </c>
      <c r="J1382" s="9" t="s">
        <v>4936</v>
      </c>
      <c r="K1382" t="s">
        <v>5460</v>
      </c>
      <c r="L1382" s="2">
        <v>1</v>
      </c>
      <c r="M1382" s="24" t="s">
        <v>5971</v>
      </c>
      <c r="N1382" s="2" t="s">
        <v>23</v>
      </c>
      <c r="O1382" s="18" t="s">
        <v>1146</v>
      </c>
      <c r="P1382" s="18" t="s">
        <v>0</v>
      </c>
      <c r="Q1382" s="6" t="s">
        <v>4475</v>
      </c>
      <c r="T1382" s="23">
        <v>45812</v>
      </c>
      <c r="U1382" s="23">
        <v>47091</v>
      </c>
      <c r="X1382" s="20">
        <v>3330</v>
      </c>
      <c r="Z1382" s="6" t="s">
        <v>5978</v>
      </c>
      <c r="AA1382" s="14">
        <f t="shared" si="178"/>
        <v>5.9999999999999995E-4</v>
      </c>
      <c r="AB1382">
        <v>1.5083459999999997</v>
      </c>
      <c r="AC1382">
        <v>1.5686798399999997</v>
      </c>
    </row>
    <row r="1383" spans="1:29" x14ac:dyDescent="0.3">
      <c r="A1383">
        <v>147649</v>
      </c>
      <c r="B1383" s="25" t="s">
        <v>5984</v>
      </c>
      <c r="C1383" t="s">
        <v>20</v>
      </c>
      <c r="D1383" t="s">
        <v>21</v>
      </c>
      <c r="E1383">
        <v>2222222</v>
      </c>
      <c r="F1383" s="8" t="s">
        <v>22</v>
      </c>
      <c r="G1383" s="2">
        <v>98</v>
      </c>
      <c r="H1383" t="s">
        <v>4065</v>
      </c>
      <c r="J1383" s="9" t="s">
        <v>4901</v>
      </c>
      <c r="K1383" t="s">
        <v>4902</v>
      </c>
      <c r="L1383" s="2">
        <v>1</v>
      </c>
      <c r="M1383" s="24" t="s">
        <v>5971</v>
      </c>
      <c r="N1383" s="2" t="s">
        <v>23</v>
      </c>
      <c r="O1383" s="18" t="s">
        <v>1147</v>
      </c>
      <c r="P1383" s="18" t="s">
        <v>0</v>
      </c>
      <c r="Q1383" s="6" t="s">
        <v>4475</v>
      </c>
      <c r="T1383" s="23">
        <v>45903</v>
      </c>
      <c r="U1383" s="23">
        <v>46633</v>
      </c>
      <c r="X1383" s="20">
        <v>5000</v>
      </c>
      <c r="Z1383" s="6" t="s">
        <v>5978</v>
      </c>
      <c r="AA1383" s="14">
        <f t="shared" si="178"/>
        <v>5.9999999999999995E-4</v>
      </c>
      <c r="AB1383">
        <v>1.8789719999999999</v>
      </c>
      <c r="AC1383">
        <v>1.9541308799999999</v>
      </c>
    </row>
    <row r="1384" spans="1:29" x14ac:dyDescent="0.3">
      <c r="A1384">
        <v>148675</v>
      </c>
      <c r="B1384" s="25" t="s">
        <v>5984</v>
      </c>
      <c r="C1384" t="s">
        <v>20</v>
      </c>
      <c r="D1384" t="s">
        <v>21</v>
      </c>
      <c r="E1384">
        <v>2222222</v>
      </c>
      <c r="F1384" s="8" t="s">
        <v>22</v>
      </c>
      <c r="G1384" s="2">
        <v>98</v>
      </c>
      <c r="H1384" t="s">
        <v>4065</v>
      </c>
      <c r="J1384" s="9" t="s">
        <v>5067</v>
      </c>
      <c r="K1384" t="s">
        <v>5461</v>
      </c>
      <c r="L1384" s="2">
        <v>1</v>
      </c>
      <c r="M1384" s="24" t="s">
        <v>5971</v>
      </c>
      <c r="N1384" s="2" t="s">
        <v>23</v>
      </c>
      <c r="O1384" s="18" t="s">
        <v>1148</v>
      </c>
      <c r="P1384" s="18" t="s">
        <v>3781</v>
      </c>
      <c r="Q1384" s="6" t="s">
        <v>4475</v>
      </c>
      <c r="T1384" s="23">
        <v>45973</v>
      </c>
      <c r="U1384" s="23">
        <v>47069</v>
      </c>
      <c r="X1384" s="20">
        <v>1500</v>
      </c>
      <c r="Z1384" s="6" t="s">
        <v>5978</v>
      </c>
      <c r="AA1384" s="14">
        <f t="shared" si="178"/>
        <v>5.9999999999999995E-4</v>
      </c>
      <c r="AB1384">
        <v>0.73732199999999992</v>
      </c>
      <c r="AC1384">
        <v>0.76681487999999998</v>
      </c>
    </row>
    <row r="1385" spans="1:29" x14ac:dyDescent="0.3">
      <c r="A1385">
        <v>151875</v>
      </c>
      <c r="B1385" s="25" t="s">
        <v>5984</v>
      </c>
      <c r="C1385" t="s">
        <v>20</v>
      </c>
      <c r="D1385" t="s">
        <v>21</v>
      </c>
      <c r="E1385">
        <v>2222222</v>
      </c>
      <c r="F1385" s="8" t="s">
        <v>22</v>
      </c>
      <c r="G1385" s="2">
        <v>98</v>
      </c>
      <c r="H1385" t="s">
        <v>4066</v>
      </c>
      <c r="J1385" s="9" t="s">
        <v>4815</v>
      </c>
      <c r="K1385" t="s">
        <v>4852</v>
      </c>
      <c r="L1385" s="2">
        <v>1</v>
      </c>
      <c r="M1385" s="24" t="s">
        <v>5971</v>
      </c>
      <c r="N1385" s="2" t="s">
        <v>23</v>
      </c>
      <c r="O1385" s="18" t="s">
        <v>1129</v>
      </c>
      <c r="P1385" s="18" t="s">
        <v>0</v>
      </c>
      <c r="Q1385" s="6" t="s">
        <v>4475</v>
      </c>
      <c r="T1385" s="23">
        <v>46192</v>
      </c>
      <c r="U1385" s="23">
        <v>47654</v>
      </c>
      <c r="X1385" s="20">
        <v>2390</v>
      </c>
      <c r="Z1385" s="6" t="s">
        <v>5978</v>
      </c>
      <c r="AA1385" s="14">
        <f t="shared" si="178"/>
        <v>5.9999999999999995E-4</v>
      </c>
      <c r="AB1385">
        <v>1.4131979999999997</v>
      </c>
      <c r="AC1385">
        <v>1.4697259199999997</v>
      </c>
    </row>
    <row r="1386" spans="1:29" x14ac:dyDescent="0.3">
      <c r="A1386">
        <v>54650</v>
      </c>
      <c r="B1386" s="25" t="s">
        <v>5984</v>
      </c>
      <c r="C1386" t="s">
        <v>20</v>
      </c>
      <c r="D1386" t="s">
        <v>21</v>
      </c>
      <c r="E1386">
        <v>2222222</v>
      </c>
      <c r="F1386" s="8" t="s">
        <v>22</v>
      </c>
      <c r="G1386" s="2">
        <v>98</v>
      </c>
      <c r="H1386" t="s">
        <v>4067</v>
      </c>
      <c r="J1386" s="9" t="s">
        <v>5137</v>
      </c>
      <c r="K1386" t="s">
        <v>4836</v>
      </c>
      <c r="L1386" s="2">
        <v>1</v>
      </c>
      <c r="M1386" s="24" t="s">
        <v>5971</v>
      </c>
      <c r="N1386" s="2" t="s">
        <v>23</v>
      </c>
      <c r="O1386" s="18" t="s">
        <v>1149</v>
      </c>
      <c r="P1386" s="18" t="s">
        <v>3781</v>
      </c>
      <c r="Q1386" s="6" t="s">
        <v>4475</v>
      </c>
      <c r="T1386" s="23">
        <v>41599</v>
      </c>
      <c r="U1386" s="23">
        <v>43790</v>
      </c>
      <c r="X1386" s="20">
        <v>25000</v>
      </c>
      <c r="Z1386" s="6" t="s">
        <v>5978</v>
      </c>
      <c r="AA1386" s="16">
        <f>+(0.36/1000)</f>
        <v>3.5999999999999997E-4</v>
      </c>
      <c r="AB1386">
        <v>6.3474407999999993</v>
      </c>
      <c r="AC1386">
        <v>6.6013384319999995</v>
      </c>
    </row>
    <row r="1387" spans="1:29" x14ac:dyDescent="0.3">
      <c r="A1387">
        <v>138296</v>
      </c>
      <c r="B1387" s="25" t="s">
        <v>5984</v>
      </c>
      <c r="C1387" t="s">
        <v>20</v>
      </c>
      <c r="D1387" t="s">
        <v>21</v>
      </c>
      <c r="E1387">
        <v>2222222</v>
      </c>
      <c r="F1387" s="8" t="s">
        <v>22</v>
      </c>
      <c r="G1387" s="2">
        <v>98</v>
      </c>
      <c r="H1387" t="s">
        <v>4067</v>
      </c>
      <c r="J1387" s="9" t="s">
        <v>5422</v>
      </c>
      <c r="K1387" t="s">
        <v>5025</v>
      </c>
      <c r="L1387" s="2">
        <v>1</v>
      </c>
      <c r="M1387" s="24" t="s">
        <v>5971</v>
      </c>
      <c r="N1387" s="2" t="s">
        <v>23</v>
      </c>
      <c r="O1387" s="18" t="s">
        <v>1150</v>
      </c>
      <c r="P1387" s="18" t="s">
        <v>3781</v>
      </c>
      <c r="Q1387" s="6" t="s">
        <v>4475</v>
      </c>
      <c r="T1387" s="23">
        <v>45279</v>
      </c>
      <c r="U1387" s="23">
        <v>47105</v>
      </c>
      <c r="X1387" s="20">
        <v>8250</v>
      </c>
      <c r="Z1387" s="6" t="s">
        <v>5978</v>
      </c>
      <c r="AA1387" s="13">
        <f t="shared" ref="AA1387:AA1388" si="179">+(0.56/1000)</f>
        <v>5.6000000000000006E-4</v>
      </c>
      <c r="AB1387">
        <v>2.6919200000000001</v>
      </c>
      <c r="AC1387">
        <v>2.7995968000000002</v>
      </c>
    </row>
    <row r="1388" spans="1:29" x14ac:dyDescent="0.3">
      <c r="A1388">
        <v>139004</v>
      </c>
      <c r="B1388" s="25" t="s">
        <v>5984</v>
      </c>
      <c r="C1388" t="s">
        <v>20</v>
      </c>
      <c r="D1388" t="s">
        <v>21</v>
      </c>
      <c r="E1388">
        <v>2222222</v>
      </c>
      <c r="F1388" s="8" t="s">
        <v>22</v>
      </c>
      <c r="G1388" s="2">
        <v>98</v>
      </c>
      <c r="H1388" t="s">
        <v>4067</v>
      </c>
      <c r="J1388" s="9" t="s">
        <v>4981</v>
      </c>
      <c r="K1388" t="s">
        <v>4991</v>
      </c>
      <c r="L1388" s="2">
        <v>1</v>
      </c>
      <c r="M1388" s="24" t="s">
        <v>5971</v>
      </c>
      <c r="N1388" s="2" t="s">
        <v>23</v>
      </c>
      <c r="O1388" s="18" t="s">
        <v>1151</v>
      </c>
      <c r="P1388" s="18" t="s">
        <v>3781</v>
      </c>
      <c r="Q1388" s="6" t="s">
        <v>4475</v>
      </c>
      <c r="T1388" s="23">
        <v>45310</v>
      </c>
      <c r="U1388" s="23">
        <v>46770</v>
      </c>
      <c r="X1388" s="20">
        <v>2000</v>
      </c>
      <c r="Z1388" s="6" t="s">
        <v>5978</v>
      </c>
      <c r="AA1388" s="13">
        <f t="shared" si="179"/>
        <v>5.6000000000000006E-4</v>
      </c>
      <c r="AB1388">
        <v>0.52134320000000012</v>
      </c>
      <c r="AC1388">
        <v>0.54219692800000019</v>
      </c>
    </row>
    <row r="1389" spans="1:29" x14ac:dyDescent="0.3">
      <c r="A1389">
        <v>142526</v>
      </c>
      <c r="B1389" s="25" t="s">
        <v>5984</v>
      </c>
      <c r="C1389" t="s">
        <v>20</v>
      </c>
      <c r="D1389" t="s">
        <v>21</v>
      </c>
      <c r="E1389">
        <v>2222222</v>
      </c>
      <c r="F1389" s="8" t="s">
        <v>22</v>
      </c>
      <c r="G1389" s="2">
        <v>98</v>
      </c>
      <c r="H1389" t="s">
        <v>4067</v>
      </c>
      <c r="J1389" s="9" t="s">
        <v>5081</v>
      </c>
      <c r="K1389" t="s">
        <v>5151</v>
      </c>
      <c r="L1389" s="2">
        <v>1</v>
      </c>
      <c r="M1389" s="24" t="s">
        <v>5971</v>
      </c>
      <c r="N1389" s="2" t="s">
        <v>23</v>
      </c>
      <c r="O1389" s="18" t="s">
        <v>1152</v>
      </c>
      <c r="P1389" s="18" t="s">
        <v>3781</v>
      </c>
      <c r="Q1389" s="6" t="s">
        <v>4475</v>
      </c>
      <c r="T1389" s="23">
        <v>45526</v>
      </c>
      <c r="U1389" s="23">
        <v>46986</v>
      </c>
      <c r="X1389" s="20">
        <v>5000</v>
      </c>
      <c r="Z1389" s="6" t="s">
        <v>5978</v>
      </c>
      <c r="AA1389" s="14">
        <f t="shared" ref="AA1389:AA1401" si="180">+(0.6/1000)</f>
        <v>5.9999999999999995E-4</v>
      </c>
      <c r="AB1389">
        <v>1.8410879999999998</v>
      </c>
      <c r="AC1389">
        <v>1.9147315199999999</v>
      </c>
    </row>
    <row r="1390" spans="1:29" x14ac:dyDescent="0.3">
      <c r="A1390">
        <v>143469</v>
      </c>
      <c r="B1390" s="25" t="s">
        <v>5984</v>
      </c>
      <c r="C1390" t="s">
        <v>20</v>
      </c>
      <c r="D1390" t="s">
        <v>21</v>
      </c>
      <c r="E1390">
        <v>2222222</v>
      </c>
      <c r="F1390" s="8" t="s">
        <v>22</v>
      </c>
      <c r="G1390" s="2">
        <v>98</v>
      </c>
      <c r="H1390" t="s">
        <v>4067</v>
      </c>
      <c r="J1390" s="9" t="s">
        <v>4815</v>
      </c>
      <c r="K1390" t="s">
        <v>4976</v>
      </c>
      <c r="L1390" s="2">
        <v>1</v>
      </c>
      <c r="M1390" s="24" t="s">
        <v>5971</v>
      </c>
      <c r="N1390" s="2" t="s">
        <v>23</v>
      </c>
      <c r="O1390" s="18" t="s">
        <v>1153</v>
      </c>
      <c r="P1390" s="18" t="s">
        <v>0</v>
      </c>
      <c r="Q1390" s="6" t="s">
        <v>4475</v>
      </c>
      <c r="T1390" s="23">
        <v>45595</v>
      </c>
      <c r="U1390" s="23">
        <v>47055</v>
      </c>
      <c r="X1390" s="20">
        <v>5000</v>
      </c>
      <c r="Z1390" s="6" t="s">
        <v>5978</v>
      </c>
      <c r="AA1390" s="14">
        <f t="shared" si="180"/>
        <v>5.9999999999999995E-4</v>
      </c>
      <c r="AB1390">
        <v>2.8269899999999994</v>
      </c>
      <c r="AC1390">
        <v>2.9400695999999997</v>
      </c>
    </row>
    <row r="1391" spans="1:29" x14ac:dyDescent="0.3">
      <c r="A1391">
        <v>145353</v>
      </c>
      <c r="B1391" s="25" t="s">
        <v>5984</v>
      </c>
      <c r="C1391" t="s">
        <v>20</v>
      </c>
      <c r="D1391" t="s">
        <v>21</v>
      </c>
      <c r="E1391">
        <v>2222222</v>
      </c>
      <c r="F1391" s="8" t="s">
        <v>22</v>
      </c>
      <c r="G1391" s="2">
        <v>98</v>
      </c>
      <c r="H1391" t="s">
        <v>4067</v>
      </c>
      <c r="J1391" s="9" t="s">
        <v>5035</v>
      </c>
      <c r="K1391" t="s">
        <v>4875</v>
      </c>
      <c r="L1391" s="2">
        <v>1</v>
      </c>
      <c r="M1391" s="24" t="s">
        <v>5971</v>
      </c>
      <c r="N1391" s="2" t="s">
        <v>23</v>
      </c>
      <c r="O1391" s="18" t="s">
        <v>1154</v>
      </c>
      <c r="P1391" s="18" t="s">
        <v>0</v>
      </c>
      <c r="Q1391" s="6" t="s">
        <v>4475</v>
      </c>
      <c r="T1391" s="23">
        <v>45733</v>
      </c>
      <c r="U1391" s="23">
        <v>47193</v>
      </c>
      <c r="X1391" s="20">
        <v>4875</v>
      </c>
      <c r="Z1391" s="6" t="s">
        <v>5978</v>
      </c>
      <c r="AA1391" s="14">
        <f t="shared" si="180"/>
        <v>5.9999999999999995E-4</v>
      </c>
      <c r="AB1391">
        <v>2.1730739999999997</v>
      </c>
      <c r="AC1391">
        <v>2.2599969599999996</v>
      </c>
    </row>
    <row r="1392" spans="1:29" x14ac:dyDescent="0.3">
      <c r="A1392">
        <v>145427</v>
      </c>
      <c r="B1392" s="25" t="s">
        <v>5984</v>
      </c>
      <c r="C1392" t="s">
        <v>20</v>
      </c>
      <c r="D1392" t="s">
        <v>21</v>
      </c>
      <c r="E1392">
        <v>2222222</v>
      </c>
      <c r="F1392" s="8" t="s">
        <v>22</v>
      </c>
      <c r="G1392" s="2">
        <v>98</v>
      </c>
      <c r="H1392" t="s">
        <v>4067</v>
      </c>
      <c r="J1392" s="9" t="s">
        <v>4901</v>
      </c>
      <c r="K1392" t="s">
        <v>4841</v>
      </c>
      <c r="L1392" s="2">
        <v>1</v>
      </c>
      <c r="M1392" s="24" t="s">
        <v>5971</v>
      </c>
      <c r="N1392" s="2" t="s">
        <v>23</v>
      </c>
      <c r="O1392" s="18" t="s">
        <v>1155</v>
      </c>
      <c r="P1392" s="18" t="s">
        <v>0</v>
      </c>
      <c r="Q1392" s="6" t="s">
        <v>4475</v>
      </c>
      <c r="T1392" s="23">
        <v>45737</v>
      </c>
      <c r="U1392" s="23">
        <v>47197</v>
      </c>
      <c r="X1392" s="20">
        <v>5000</v>
      </c>
      <c r="Z1392" s="6" t="s">
        <v>5978</v>
      </c>
      <c r="AA1392" s="14">
        <f t="shared" si="180"/>
        <v>5.9999999999999995E-4</v>
      </c>
      <c r="AB1392">
        <v>2.2287719999999998</v>
      </c>
      <c r="AC1392">
        <v>2.3179228799999998</v>
      </c>
    </row>
    <row r="1393" spans="1:29" x14ac:dyDescent="0.3">
      <c r="A1393">
        <v>147661</v>
      </c>
      <c r="B1393" s="25" t="s">
        <v>5984</v>
      </c>
      <c r="C1393" t="s">
        <v>20</v>
      </c>
      <c r="D1393" t="s">
        <v>21</v>
      </c>
      <c r="E1393">
        <v>2222222</v>
      </c>
      <c r="F1393" s="8" t="s">
        <v>22</v>
      </c>
      <c r="G1393" s="2">
        <v>98</v>
      </c>
      <c r="H1393" t="s">
        <v>4067</v>
      </c>
      <c r="J1393" s="9" t="s">
        <v>4839</v>
      </c>
      <c r="K1393" t="s">
        <v>5421</v>
      </c>
      <c r="L1393" s="2">
        <v>1</v>
      </c>
      <c r="M1393" s="24" t="s">
        <v>5971</v>
      </c>
      <c r="N1393" s="2" t="s">
        <v>23</v>
      </c>
      <c r="O1393" s="18" t="s">
        <v>1156</v>
      </c>
      <c r="P1393" s="18" t="s">
        <v>0</v>
      </c>
      <c r="Q1393" s="6" t="s">
        <v>4475</v>
      </c>
      <c r="T1393" s="23">
        <v>45904</v>
      </c>
      <c r="U1393" s="23">
        <v>47000</v>
      </c>
      <c r="X1393" s="20">
        <v>5000</v>
      </c>
      <c r="Z1393" s="6" t="s">
        <v>5978</v>
      </c>
      <c r="AA1393" s="14">
        <f t="shared" si="180"/>
        <v>5.9999999999999995E-4</v>
      </c>
      <c r="AB1393">
        <v>2.3212379999999997</v>
      </c>
      <c r="AC1393">
        <v>2.4140875199999998</v>
      </c>
    </row>
    <row r="1394" spans="1:29" x14ac:dyDescent="0.3">
      <c r="A1394">
        <v>148335</v>
      </c>
      <c r="B1394" s="25" t="s">
        <v>5984</v>
      </c>
      <c r="C1394" t="s">
        <v>20</v>
      </c>
      <c r="D1394" t="s">
        <v>21</v>
      </c>
      <c r="E1394">
        <v>2222222</v>
      </c>
      <c r="F1394" s="8" t="s">
        <v>22</v>
      </c>
      <c r="G1394" s="2">
        <v>98</v>
      </c>
      <c r="H1394" t="s">
        <v>4067</v>
      </c>
      <c r="J1394" s="9" t="s">
        <v>5165</v>
      </c>
      <c r="K1394" t="s">
        <v>5033</v>
      </c>
      <c r="L1394" s="2">
        <v>1</v>
      </c>
      <c r="M1394" s="24" t="s">
        <v>5971</v>
      </c>
      <c r="N1394" s="2" t="s">
        <v>23</v>
      </c>
      <c r="O1394" s="18" t="s">
        <v>1157</v>
      </c>
      <c r="P1394" s="18" t="s">
        <v>3781</v>
      </c>
      <c r="Q1394" s="6" t="s">
        <v>4475</v>
      </c>
      <c r="T1394" s="23">
        <v>45954</v>
      </c>
      <c r="U1394" s="23">
        <v>46683</v>
      </c>
      <c r="X1394" s="20">
        <v>3000</v>
      </c>
      <c r="Z1394" s="6" t="s">
        <v>5978</v>
      </c>
      <c r="AA1394" s="14">
        <f t="shared" si="180"/>
        <v>5.9999999999999995E-4</v>
      </c>
      <c r="AB1394">
        <v>1.1946059999999998</v>
      </c>
      <c r="AC1394">
        <v>1.24239024</v>
      </c>
    </row>
    <row r="1395" spans="1:29" x14ac:dyDescent="0.3">
      <c r="A1395">
        <v>149103</v>
      </c>
      <c r="B1395" s="25" t="s">
        <v>5984</v>
      </c>
      <c r="C1395" t="s">
        <v>20</v>
      </c>
      <c r="D1395" t="s">
        <v>21</v>
      </c>
      <c r="E1395">
        <v>2222222</v>
      </c>
      <c r="F1395" s="8" t="s">
        <v>22</v>
      </c>
      <c r="G1395" s="2">
        <v>98</v>
      </c>
      <c r="H1395" t="s">
        <v>4067</v>
      </c>
      <c r="J1395" s="9" t="s">
        <v>4929</v>
      </c>
      <c r="K1395" t="s">
        <v>5270</v>
      </c>
      <c r="L1395" s="2">
        <v>1</v>
      </c>
      <c r="M1395" s="24" t="s">
        <v>5971</v>
      </c>
      <c r="N1395" s="2" t="s">
        <v>23</v>
      </c>
      <c r="O1395" s="18" t="s">
        <v>1158</v>
      </c>
      <c r="P1395" s="18" t="s">
        <v>0</v>
      </c>
      <c r="Q1395" s="6" t="s">
        <v>4475</v>
      </c>
      <c r="T1395" s="23">
        <v>45999</v>
      </c>
      <c r="U1395" s="23">
        <v>46363</v>
      </c>
      <c r="X1395" s="20">
        <v>4000</v>
      </c>
      <c r="Z1395" s="6" t="s">
        <v>5978</v>
      </c>
      <c r="AA1395" s="14">
        <f t="shared" si="180"/>
        <v>5.9999999999999995E-4</v>
      </c>
      <c r="AB1395">
        <v>1.048152</v>
      </c>
      <c r="AC1395">
        <v>1.0900780800000001</v>
      </c>
    </row>
    <row r="1396" spans="1:29" x14ac:dyDescent="0.3">
      <c r="A1396">
        <v>149769</v>
      </c>
      <c r="B1396" s="25" t="s">
        <v>5984</v>
      </c>
      <c r="C1396" t="s">
        <v>20</v>
      </c>
      <c r="D1396" t="s">
        <v>21</v>
      </c>
      <c r="E1396">
        <v>2222222</v>
      </c>
      <c r="F1396" s="8" t="s">
        <v>22</v>
      </c>
      <c r="G1396" s="2">
        <v>98</v>
      </c>
      <c r="H1396" t="s">
        <v>4067</v>
      </c>
      <c r="J1396" s="9" t="s">
        <v>5081</v>
      </c>
      <c r="K1396" t="s">
        <v>5151</v>
      </c>
      <c r="L1396" s="2">
        <v>1</v>
      </c>
      <c r="M1396" s="24" t="s">
        <v>5971</v>
      </c>
      <c r="N1396" s="2" t="s">
        <v>23</v>
      </c>
      <c r="O1396" s="18" t="s">
        <v>1152</v>
      </c>
      <c r="P1396" s="18" t="s">
        <v>3781</v>
      </c>
      <c r="Q1396" s="6" t="s">
        <v>4475</v>
      </c>
      <c r="T1396" s="23">
        <v>46048</v>
      </c>
      <c r="U1396" s="23">
        <v>46778</v>
      </c>
      <c r="X1396" s="20">
        <v>3000</v>
      </c>
      <c r="Z1396" s="6" t="s">
        <v>5978</v>
      </c>
      <c r="AA1396" s="14">
        <f t="shared" si="180"/>
        <v>5.9999999999999995E-4</v>
      </c>
      <c r="AB1396">
        <v>1.4038139999999999</v>
      </c>
      <c r="AC1396">
        <v>1.45996656</v>
      </c>
    </row>
    <row r="1397" spans="1:29" x14ac:dyDescent="0.3">
      <c r="A1397">
        <v>151885</v>
      </c>
      <c r="B1397" s="25" t="s">
        <v>5984</v>
      </c>
      <c r="C1397" t="s">
        <v>20</v>
      </c>
      <c r="D1397" t="s">
        <v>21</v>
      </c>
      <c r="E1397">
        <v>2222222</v>
      </c>
      <c r="F1397" s="8" t="s">
        <v>22</v>
      </c>
      <c r="G1397" s="2">
        <v>98</v>
      </c>
      <c r="H1397" t="s">
        <v>4067</v>
      </c>
      <c r="J1397" s="9" t="s">
        <v>4901</v>
      </c>
      <c r="K1397" t="s">
        <v>5024</v>
      </c>
      <c r="L1397" s="2">
        <v>1</v>
      </c>
      <c r="M1397" s="24" t="s">
        <v>5971</v>
      </c>
      <c r="N1397" s="2" t="s">
        <v>23</v>
      </c>
      <c r="O1397" s="18" t="s">
        <v>1159</v>
      </c>
      <c r="P1397" s="18" t="s">
        <v>0</v>
      </c>
      <c r="Q1397" s="6" t="s">
        <v>4475</v>
      </c>
      <c r="T1397" s="23">
        <v>46196</v>
      </c>
      <c r="U1397" s="23">
        <v>47292</v>
      </c>
      <c r="X1397" s="20">
        <v>3000</v>
      </c>
      <c r="Z1397" s="6" t="s">
        <v>5978</v>
      </c>
      <c r="AA1397" s="14">
        <f t="shared" si="180"/>
        <v>5.9999999999999995E-4</v>
      </c>
      <c r="AB1397">
        <v>1.7611139999999998</v>
      </c>
      <c r="AC1397">
        <v>1.8315585599999999</v>
      </c>
    </row>
    <row r="1398" spans="1:29" x14ac:dyDescent="0.3">
      <c r="A1398">
        <v>152006</v>
      </c>
      <c r="B1398" s="25" t="s">
        <v>5984</v>
      </c>
      <c r="C1398" t="s">
        <v>20</v>
      </c>
      <c r="D1398" t="s">
        <v>21</v>
      </c>
      <c r="E1398">
        <v>2222222</v>
      </c>
      <c r="F1398" s="8" t="s">
        <v>22</v>
      </c>
      <c r="G1398" s="2">
        <v>98</v>
      </c>
      <c r="H1398" t="s">
        <v>4067</v>
      </c>
      <c r="J1398" s="9" t="s">
        <v>4836</v>
      </c>
      <c r="K1398" t="s">
        <v>4924</v>
      </c>
      <c r="L1398" s="2">
        <v>1</v>
      </c>
      <c r="M1398" s="24" t="s">
        <v>5971</v>
      </c>
      <c r="N1398" s="2" t="s">
        <v>23</v>
      </c>
      <c r="O1398" s="18" t="s">
        <v>1160</v>
      </c>
      <c r="P1398" s="18" t="s">
        <v>3781</v>
      </c>
      <c r="Q1398" s="6" t="s">
        <v>4475</v>
      </c>
      <c r="T1398" s="23">
        <v>46206</v>
      </c>
      <c r="U1398" s="23">
        <v>47120</v>
      </c>
      <c r="X1398" s="20">
        <v>3000</v>
      </c>
      <c r="Z1398" s="6" t="s">
        <v>5978</v>
      </c>
      <c r="AA1398" s="14">
        <f t="shared" si="180"/>
        <v>5.9999999999999995E-4</v>
      </c>
      <c r="AB1398">
        <v>1.7999999999999998</v>
      </c>
      <c r="AC1398">
        <v>1.8719999999999999</v>
      </c>
    </row>
    <row r="1399" spans="1:29" x14ac:dyDescent="0.3">
      <c r="A1399">
        <v>152160</v>
      </c>
      <c r="B1399" s="25" t="s">
        <v>5984</v>
      </c>
      <c r="C1399" t="s">
        <v>20</v>
      </c>
      <c r="D1399" t="s">
        <v>21</v>
      </c>
      <c r="E1399">
        <v>2222222</v>
      </c>
      <c r="F1399" s="8" t="s">
        <v>22</v>
      </c>
      <c r="G1399" s="2">
        <v>98</v>
      </c>
      <c r="H1399" t="s">
        <v>4067</v>
      </c>
      <c r="J1399" s="9" t="s">
        <v>4852</v>
      </c>
      <c r="K1399" t="s">
        <v>4870</v>
      </c>
      <c r="L1399" s="2">
        <v>1</v>
      </c>
      <c r="M1399" s="24" t="s">
        <v>5971</v>
      </c>
      <c r="N1399" s="2" t="s">
        <v>23</v>
      </c>
      <c r="O1399" s="18" t="s">
        <v>1161</v>
      </c>
      <c r="P1399" s="18" t="s">
        <v>0</v>
      </c>
      <c r="Q1399" s="6" t="s">
        <v>4475</v>
      </c>
      <c r="T1399" s="23">
        <v>46216</v>
      </c>
      <c r="U1399" s="23">
        <v>46399</v>
      </c>
      <c r="X1399" s="20">
        <v>600</v>
      </c>
      <c r="Z1399" s="6" t="s">
        <v>5978</v>
      </c>
      <c r="AA1399" s="14">
        <f t="shared" si="180"/>
        <v>5.9999999999999995E-4</v>
      </c>
      <c r="AB1399">
        <v>0.36</v>
      </c>
      <c r="AC1399">
        <v>0.37440000000000001</v>
      </c>
    </row>
    <row r="1400" spans="1:29" x14ac:dyDescent="0.3">
      <c r="A1400">
        <v>151640</v>
      </c>
      <c r="B1400" s="25" t="s">
        <v>5984</v>
      </c>
      <c r="C1400" t="s">
        <v>20</v>
      </c>
      <c r="D1400" t="s">
        <v>21</v>
      </c>
      <c r="E1400">
        <v>2222222</v>
      </c>
      <c r="F1400" s="8" t="s">
        <v>22</v>
      </c>
      <c r="G1400" s="2">
        <v>98</v>
      </c>
      <c r="H1400" t="s">
        <v>4068</v>
      </c>
      <c r="J1400" s="9" t="s">
        <v>5273</v>
      </c>
      <c r="K1400" t="s">
        <v>4993</v>
      </c>
      <c r="L1400" s="2">
        <v>1</v>
      </c>
      <c r="M1400" s="24" t="s">
        <v>5971</v>
      </c>
      <c r="N1400" s="2" t="s">
        <v>23</v>
      </c>
      <c r="O1400" s="18" t="s">
        <v>1162</v>
      </c>
      <c r="P1400" s="18" t="s">
        <v>3781</v>
      </c>
      <c r="Q1400" s="6" t="s">
        <v>4475</v>
      </c>
      <c r="T1400" s="23">
        <v>46182</v>
      </c>
      <c r="U1400" s="23">
        <v>47641</v>
      </c>
      <c r="X1400" s="20">
        <v>15000</v>
      </c>
      <c r="Z1400" s="6" t="s">
        <v>5978</v>
      </c>
      <c r="AA1400" s="14">
        <f t="shared" si="180"/>
        <v>5.9999999999999995E-4</v>
      </c>
      <c r="AB1400">
        <v>9</v>
      </c>
      <c r="AC1400">
        <v>9.36</v>
      </c>
    </row>
    <row r="1401" spans="1:29" x14ac:dyDescent="0.3">
      <c r="A1401">
        <v>150412</v>
      </c>
      <c r="B1401" s="25" t="s">
        <v>5984</v>
      </c>
      <c r="C1401" t="s">
        <v>20</v>
      </c>
      <c r="D1401" t="s">
        <v>21</v>
      </c>
      <c r="E1401">
        <v>2222222</v>
      </c>
      <c r="F1401" s="8" t="s">
        <v>22</v>
      </c>
      <c r="G1401" s="2">
        <v>98</v>
      </c>
      <c r="H1401" t="s">
        <v>4069</v>
      </c>
      <c r="J1401" s="9" t="s">
        <v>4948</v>
      </c>
      <c r="K1401" t="s">
        <v>5462</v>
      </c>
      <c r="L1401" s="2">
        <v>1</v>
      </c>
      <c r="M1401" s="24" t="s">
        <v>5971</v>
      </c>
      <c r="N1401" s="2" t="s">
        <v>23</v>
      </c>
      <c r="O1401" s="18" t="s">
        <v>1163</v>
      </c>
      <c r="P1401" s="18" t="s">
        <v>0</v>
      </c>
      <c r="Q1401" s="6" t="s">
        <v>4475</v>
      </c>
      <c r="T1401" s="23">
        <v>46097</v>
      </c>
      <c r="U1401" s="23">
        <v>47011</v>
      </c>
      <c r="X1401" s="20">
        <v>31000</v>
      </c>
      <c r="Z1401" s="6" t="s">
        <v>5978</v>
      </c>
      <c r="AA1401" s="14">
        <f t="shared" si="180"/>
        <v>5.9999999999999995E-4</v>
      </c>
      <c r="AB1401">
        <v>16.501571999999999</v>
      </c>
      <c r="AC1401">
        <v>17.161634880000001</v>
      </c>
    </row>
    <row r="1402" spans="1:29" x14ac:dyDescent="0.3">
      <c r="A1402">
        <v>136641</v>
      </c>
      <c r="B1402" s="25" t="s">
        <v>5984</v>
      </c>
      <c r="C1402" t="s">
        <v>20</v>
      </c>
      <c r="D1402" t="s">
        <v>21</v>
      </c>
      <c r="E1402">
        <v>2222222</v>
      </c>
      <c r="F1402" s="8" t="s">
        <v>22</v>
      </c>
      <c r="G1402" s="2">
        <v>98</v>
      </c>
      <c r="H1402" t="s">
        <v>4070</v>
      </c>
      <c r="J1402" s="9" t="s">
        <v>4911</v>
      </c>
      <c r="K1402" t="s">
        <v>5345</v>
      </c>
      <c r="L1402" s="2">
        <v>1</v>
      </c>
      <c r="M1402" s="24" t="s">
        <v>5971</v>
      </c>
      <c r="N1402" s="2" t="s">
        <v>23</v>
      </c>
      <c r="O1402" s="18" t="s">
        <v>1164</v>
      </c>
      <c r="P1402" s="18" t="s">
        <v>3781</v>
      </c>
      <c r="Q1402" s="6" t="s">
        <v>4475</v>
      </c>
      <c r="T1402" s="23">
        <v>45182</v>
      </c>
      <c r="U1402" s="23">
        <v>46643</v>
      </c>
      <c r="X1402" s="20">
        <v>5000</v>
      </c>
      <c r="Z1402" s="6" t="s">
        <v>5978</v>
      </c>
      <c r="AA1402" s="13">
        <f t="shared" ref="AA1402:AA1403" si="181">+(0.56/1000)</f>
        <v>5.6000000000000006E-4</v>
      </c>
      <c r="AB1402">
        <v>1.0476872000000002</v>
      </c>
      <c r="AC1402">
        <v>1.0895946880000003</v>
      </c>
    </row>
    <row r="1403" spans="1:29" x14ac:dyDescent="0.3">
      <c r="A1403">
        <v>138919</v>
      </c>
      <c r="B1403" s="25" t="s">
        <v>5984</v>
      </c>
      <c r="C1403" t="s">
        <v>20</v>
      </c>
      <c r="D1403" t="s">
        <v>21</v>
      </c>
      <c r="E1403">
        <v>2222222</v>
      </c>
      <c r="F1403" s="8" t="s">
        <v>22</v>
      </c>
      <c r="G1403" s="2">
        <v>98</v>
      </c>
      <c r="H1403" t="s">
        <v>4070</v>
      </c>
      <c r="J1403" s="9" t="s">
        <v>4911</v>
      </c>
      <c r="K1403" t="s">
        <v>5345</v>
      </c>
      <c r="L1403" s="2">
        <v>1</v>
      </c>
      <c r="M1403" s="24" t="s">
        <v>5971</v>
      </c>
      <c r="N1403" s="2" t="s">
        <v>23</v>
      </c>
      <c r="O1403" s="18" t="s">
        <v>1164</v>
      </c>
      <c r="P1403" s="18" t="s">
        <v>3781</v>
      </c>
      <c r="Q1403" s="6" t="s">
        <v>4475</v>
      </c>
      <c r="T1403" s="23">
        <v>45306</v>
      </c>
      <c r="U1403" s="23">
        <v>46401</v>
      </c>
      <c r="X1403" s="20">
        <v>3500</v>
      </c>
      <c r="Z1403" s="6" t="s">
        <v>5978</v>
      </c>
      <c r="AA1403" s="13">
        <f t="shared" si="181"/>
        <v>5.6000000000000006E-4</v>
      </c>
      <c r="AB1403">
        <v>0.39008480000000006</v>
      </c>
      <c r="AC1403">
        <v>0.40568819200000006</v>
      </c>
    </row>
    <row r="1404" spans="1:29" x14ac:dyDescent="0.3">
      <c r="A1404">
        <v>148055</v>
      </c>
      <c r="B1404" s="25" t="s">
        <v>5984</v>
      </c>
      <c r="C1404" t="s">
        <v>20</v>
      </c>
      <c r="D1404" t="s">
        <v>21</v>
      </c>
      <c r="E1404">
        <v>2222222</v>
      </c>
      <c r="F1404" s="8" t="s">
        <v>22</v>
      </c>
      <c r="G1404" s="2">
        <v>98</v>
      </c>
      <c r="H1404" t="s">
        <v>4070</v>
      </c>
      <c r="J1404" s="9" t="s">
        <v>4911</v>
      </c>
      <c r="K1404" t="s">
        <v>5345</v>
      </c>
      <c r="L1404" s="2">
        <v>1</v>
      </c>
      <c r="M1404" s="24" t="s">
        <v>5971</v>
      </c>
      <c r="N1404" s="2" t="s">
        <v>23</v>
      </c>
      <c r="O1404" s="18" t="s">
        <v>1164</v>
      </c>
      <c r="P1404" s="18" t="s">
        <v>3781</v>
      </c>
      <c r="Q1404" s="6" t="s">
        <v>4475</v>
      </c>
      <c r="T1404" s="23">
        <v>45931</v>
      </c>
      <c r="U1404" s="23">
        <v>47026</v>
      </c>
      <c r="X1404" s="20">
        <v>4000</v>
      </c>
      <c r="Z1404" s="6" t="s">
        <v>5978</v>
      </c>
      <c r="AA1404" s="14">
        <f t="shared" ref="AA1404:AA1405" si="182">+(0.6/1000)</f>
        <v>5.9999999999999995E-4</v>
      </c>
      <c r="AB1404">
        <v>1.9081739999999998</v>
      </c>
      <c r="AC1404">
        <v>1.9845009599999999</v>
      </c>
    </row>
    <row r="1405" spans="1:29" x14ac:dyDescent="0.3">
      <c r="A1405">
        <v>150741</v>
      </c>
      <c r="B1405" s="25" t="s">
        <v>5984</v>
      </c>
      <c r="C1405" t="s">
        <v>20</v>
      </c>
      <c r="D1405" t="s">
        <v>21</v>
      </c>
      <c r="E1405">
        <v>2222222</v>
      </c>
      <c r="F1405" s="8" t="s">
        <v>22</v>
      </c>
      <c r="G1405" s="2">
        <v>98</v>
      </c>
      <c r="H1405" t="s">
        <v>4070</v>
      </c>
      <c r="J1405" s="9" t="s">
        <v>5463</v>
      </c>
      <c r="K1405" t="s">
        <v>5464</v>
      </c>
      <c r="L1405" s="2">
        <v>1</v>
      </c>
      <c r="M1405" s="24" t="s">
        <v>5971</v>
      </c>
      <c r="N1405" s="2" t="s">
        <v>23</v>
      </c>
      <c r="O1405" s="18" t="s">
        <v>1165</v>
      </c>
      <c r="P1405" s="18" t="s">
        <v>3781</v>
      </c>
      <c r="Q1405" s="6" t="s">
        <v>4475</v>
      </c>
      <c r="T1405" s="23">
        <v>46112</v>
      </c>
      <c r="U1405" s="23">
        <v>46204</v>
      </c>
      <c r="X1405" s="20">
        <v>10700</v>
      </c>
      <c r="Z1405" s="6" t="s">
        <v>5978</v>
      </c>
      <c r="AA1405" s="14">
        <f t="shared" si="182"/>
        <v>5.9999999999999995E-4</v>
      </c>
      <c r="AB1405">
        <v>6.419999999999999</v>
      </c>
      <c r="AC1405">
        <v>6.6767999999999992</v>
      </c>
    </row>
    <row r="1406" spans="1:29" x14ac:dyDescent="0.3">
      <c r="A1406">
        <v>120546</v>
      </c>
      <c r="B1406" s="25" t="s">
        <v>5984</v>
      </c>
      <c r="C1406" t="s">
        <v>20</v>
      </c>
      <c r="D1406" t="s">
        <v>21</v>
      </c>
      <c r="E1406">
        <v>2222222</v>
      </c>
      <c r="F1406" s="8" t="s">
        <v>22</v>
      </c>
      <c r="G1406" s="2">
        <v>98</v>
      </c>
      <c r="H1406" t="s">
        <v>4071</v>
      </c>
      <c r="J1406" s="9" t="s">
        <v>4836</v>
      </c>
      <c r="K1406" t="s">
        <v>5004</v>
      </c>
      <c r="L1406" s="2">
        <v>1</v>
      </c>
      <c r="M1406" s="24" t="s">
        <v>5971</v>
      </c>
      <c r="N1406" s="2" t="s">
        <v>23</v>
      </c>
      <c r="O1406" s="18" t="s">
        <v>1166</v>
      </c>
      <c r="P1406" s="18" t="s">
        <v>3781</v>
      </c>
      <c r="Q1406" s="6" t="s">
        <v>4475</v>
      </c>
      <c r="T1406" s="23">
        <v>44336</v>
      </c>
      <c r="U1406" s="23">
        <v>46892</v>
      </c>
      <c r="X1406" s="20">
        <v>20000</v>
      </c>
      <c r="Z1406" s="6" t="s">
        <v>5978</v>
      </c>
      <c r="AA1406" s="15">
        <f>+(0.42/1000)</f>
        <v>4.1999999999999996E-4</v>
      </c>
      <c r="AB1406">
        <v>3.1785641999999998</v>
      </c>
      <c r="AC1406">
        <v>3.3057067679999999</v>
      </c>
    </row>
    <row r="1407" spans="1:29" x14ac:dyDescent="0.3">
      <c r="A1407">
        <v>135363</v>
      </c>
      <c r="B1407" s="25" t="s">
        <v>5984</v>
      </c>
      <c r="C1407" t="s">
        <v>20</v>
      </c>
      <c r="D1407" t="s">
        <v>21</v>
      </c>
      <c r="E1407">
        <v>2222222</v>
      </c>
      <c r="F1407" s="8" t="s">
        <v>22</v>
      </c>
      <c r="G1407" s="2">
        <v>98</v>
      </c>
      <c r="H1407" t="s">
        <v>4071</v>
      </c>
      <c r="J1407" s="9" t="s">
        <v>4982</v>
      </c>
      <c r="K1407" t="s">
        <v>4983</v>
      </c>
      <c r="L1407" s="2">
        <v>1</v>
      </c>
      <c r="M1407" s="24" t="s">
        <v>5971</v>
      </c>
      <c r="N1407" s="2" t="s">
        <v>23</v>
      </c>
      <c r="O1407" s="18" t="s">
        <v>1167</v>
      </c>
      <c r="P1407" s="18" t="s">
        <v>0</v>
      </c>
      <c r="Q1407" s="6" t="s">
        <v>4475</v>
      </c>
      <c r="T1407" s="23">
        <v>45107</v>
      </c>
      <c r="U1407" s="23">
        <v>45200</v>
      </c>
      <c r="X1407" s="20">
        <v>3215</v>
      </c>
      <c r="Z1407" s="6" t="s">
        <v>5978</v>
      </c>
      <c r="AA1407" s="13">
        <f t="shared" ref="AA1407:AA1408" si="183">+(0.56/1000)</f>
        <v>5.6000000000000006E-4</v>
      </c>
      <c r="AB1407">
        <v>1.8004000000000002</v>
      </c>
      <c r="AC1407">
        <v>1.8724160000000003</v>
      </c>
    </row>
    <row r="1408" spans="1:29" x14ac:dyDescent="0.3">
      <c r="A1408">
        <v>138526</v>
      </c>
      <c r="B1408" s="25" t="s">
        <v>5984</v>
      </c>
      <c r="C1408" t="s">
        <v>20</v>
      </c>
      <c r="D1408" t="s">
        <v>21</v>
      </c>
      <c r="E1408">
        <v>2222222</v>
      </c>
      <c r="F1408" s="8" t="s">
        <v>22</v>
      </c>
      <c r="G1408" s="2">
        <v>98</v>
      </c>
      <c r="H1408" t="s">
        <v>4071</v>
      </c>
      <c r="J1408" s="9" t="s">
        <v>5234</v>
      </c>
      <c r="K1408" t="s">
        <v>5144</v>
      </c>
      <c r="L1408" s="2">
        <v>1</v>
      </c>
      <c r="M1408" s="24" t="s">
        <v>5971</v>
      </c>
      <c r="N1408" s="2" t="s">
        <v>23</v>
      </c>
      <c r="O1408" s="18" t="s">
        <v>1168</v>
      </c>
      <c r="P1408" s="18" t="s">
        <v>0</v>
      </c>
      <c r="Q1408" s="6" t="s">
        <v>4475</v>
      </c>
      <c r="T1408" s="23">
        <v>45281</v>
      </c>
      <c r="U1408" s="23">
        <v>46741</v>
      </c>
      <c r="X1408" s="20">
        <v>5000</v>
      </c>
      <c r="Z1408" s="6" t="s">
        <v>5978</v>
      </c>
      <c r="AA1408" s="13">
        <f t="shared" si="183"/>
        <v>5.6000000000000006E-4</v>
      </c>
      <c r="AB1408">
        <v>1.2415088000000001</v>
      </c>
      <c r="AC1408">
        <v>1.2911691520000002</v>
      </c>
    </row>
    <row r="1409" spans="1:29" x14ac:dyDescent="0.3">
      <c r="A1409">
        <v>143824</v>
      </c>
      <c r="B1409" s="25" t="s">
        <v>5984</v>
      </c>
      <c r="C1409" t="s">
        <v>20</v>
      </c>
      <c r="D1409" t="s">
        <v>21</v>
      </c>
      <c r="E1409">
        <v>2222222</v>
      </c>
      <c r="F1409" s="8" t="s">
        <v>22</v>
      </c>
      <c r="G1409" s="2">
        <v>98</v>
      </c>
      <c r="H1409" t="s">
        <v>4071</v>
      </c>
      <c r="J1409" s="9" t="s">
        <v>4911</v>
      </c>
      <c r="K1409" t="s">
        <v>5345</v>
      </c>
      <c r="L1409" s="2">
        <v>1</v>
      </c>
      <c r="M1409" s="24" t="s">
        <v>5971</v>
      </c>
      <c r="N1409" s="2" t="s">
        <v>23</v>
      </c>
      <c r="O1409" s="18" t="s">
        <v>1169</v>
      </c>
      <c r="P1409" s="18" t="s">
        <v>3781</v>
      </c>
      <c r="Q1409" s="6" t="s">
        <v>4475</v>
      </c>
      <c r="T1409" s="23">
        <v>45618</v>
      </c>
      <c r="U1409" s="23">
        <v>46713</v>
      </c>
      <c r="X1409" s="20">
        <v>5000</v>
      </c>
      <c r="Z1409" s="6" t="s">
        <v>5978</v>
      </c>
      <c r="AA1409" s="14">
        <f t="shared" ref="AA1409:AA1418" si="184">+(0.6/1000)</f>
        <v>5.9999999999999995E-4</v>
      </c>
      <c r="AB1409">
        <v>1.5335579999999998</v>
      </c>
      <c r="AC1409">
        <v>1.5949003199999998</v>
      </c>
    </row>
    <row r="1410" spans="1:29" x14ac:dyDescent="0.3">
      <c r="A1410">
        <v>144239</v>
      </c>
      <c r="B1410" s="25" t="s">
        <v>5984</v>
      </c>
      <c r="C1410" t="s">
        <v>20</v>
      </c>
      <c r="D1410" t="s">
        <v>21</v>
      </c>
      <c r="E1410">
        <v>2222222</v>
      </c>
      <c r="F1410" s="8" t="s">
        <v>22</v>
      </c>
      <c r="G1410" s="2">
        <v>98</v>
      </c>
      <c r="H1410" t="s">
        <v>4071</v>
      </c>
      <c r="J1410" s="9" t="s">
        <v>4911</v>
      </c>
      <c r="K1410" t="s">
        <v>5169</v>
      </c>
      <c r="L1410" s="2">
        <v>1</v>
      </c>
      <c r="M1410" s="24" t="s">
        <v>5971</v>
      </c>
      <c r="N1410" s="2" t="s">
        <v>23</v>
      </c>
      <c r="O1410" s="18" t="s">
        <v>302</v>
      </c>
      <c r="P1410" s="18" t="s">
        <v>0</v>
      </c>
      <c r="Q1410" s="6" t="s">
        <v>4475</v>
      </c>
      <c r="T1410" s="23">
        <v>45649</v>
      </c>
      <c r="U1410" s="23">
        <v>47199</v>
      </c>
      <c r="X1410" s="20">
        <v>1530</v>
      </c>
      <c r="Z1410" s="6" t="s">
        <v>5978</v>
      </c>
      <c r="AA1410" s="14">
        <f t="shared" si="184"/>
        <v>5.9999999999999995E-4</v>
      </c>
      <c r="AB1410">
        <v>0.68145599999999995</v>
      </c>
      <c r="AC1410">
        <v>0.70871423999999994</v>
      </c>
    </row>
    <row r="1411" spans="1:29" x14ac:dyDescent="0.3">
      <c r="A1411">
        <v>144246</v>
      </c>
      <c r="B1411" s="25" t="s">
        <v>5984</v>
      </c>
      <c r="C1411" t="s">
        <v>20</v>
      </c>
      <c r="D1411" t="s">
        <v>21</v>
      </c>
      <c r="E1411">
        <v>2222222</v>
      </c>
      <c r="F1411" s="8" t="s">
        <v>22</v>
      </c>
      <c r="G1411" s="2">
        <v>98</v>
      </c>
      <c r="H1411" t="s">
        <v>4071</v>
      </c>
      <c r="J1411" s="9" t="s">
        <v>5240</v>
      </c>
      <c r="K1411" t="s">
        <v>4953</v>
      </c>
      <c r="L1411" s="2">
        <v>1</v>
      </c>
      <c r="M1411" s="24" t="s">
        <v>5971</v>
      </c>
      <c r="N1411" s="2" t="s">
        <v>23</v>
      </c>
      <c r="O1411" s="18" t="s">
        <v>1170</v>
      </c>
      <c r="P1411" s="18" t="s">
        <v>0</v>
      </c>
      <c r="Q1411" s="6" t="s">
        <v>4475</v>
      </c>
      <c r="T1411" s="23">
        <v>45649</v>
      </c>
      <c r="U1411" s="23">
        <v>46743</v>
      </c>
      <c r="X1411" s="20">
        <v>1430</v>
      </c>
      <c r="Z1411" s="6" t="s">
        <v>5978</v>
      </c>
      <c r="AA1411" s="14">
        <f t="shared" si="184"/>
        <v>5.9999999999999995E-4</v>
      </c>
      <c r="AB1411">
        <v>0.45923999999999993</v>
      </c>
      <c r="AC1411">
        <v>0.47760959999999991</v>
      </c>
    </row>
    <row r="1412" spans="1:29" x14ac:dyDescent="0.3">
      <c r="A1412">
        <v>144500</v>
      </c>
      <c r="B1412" s="25" t="s">
        <v>5984</v>
      </c>
      <c r="C1412" t="s">
        <v>20</v>
      </c>
      <c r="D1412" t="s">
        <v>21</v>
      </c>
      <c r="E1412">
        <v>2222222</v>
      </c>
      <c r="F1412" s="8" t="s">
        <v>22</v>
      </c>
      <c r="G1412" s="2">
        <v>98</v>
      </c>
      <c r="H1412" t="s">
        <v>4071</v>
      </c>
      <c r="J1412" s="9" t="s">
        <v>4903</v>
      </c>
      <c r="K1412" t="s">
        <v>4893</v>
      </c>
      <c r="L1412" s="2">
        <v>1</v>
      </c>
      <c r="M1412" s="24" t="s">
        <v>5971</v>
      </c>
      <c r="N1412" s="2" t="s">
        <v>23</v>
      </c>
      <c r="O1412" s="18" t="s">
        <v>1171</v>
      </c>
      <c r="P1412" s="18" t="s">
        <v>3781</v>
      </c>
      <c r="Q1412" s="6" t="s">
        <v>4475</v>
      </c>
      <c r="T1412" s="23">
        <v>45667</v>
      </c>
      <c r="U1412" s="23">
        <v>47127</v>
      </c>
      <c r="X1412" s="20">
        <v>5000</v>
      </c>
      <c r="Z1412" s="6" t="s">
        <v>5978</v>
      </c>
      <c r="AA1412" s="14">
        <f t="shared" si="184"/>
        <v>5.9999999999999995E-4</v>
      </c>
      <c r="AB1412">
        <v>2.2795319999999997</v>
      </c>
      <c r="AC1412">
        <v>2.3707132799999999</v>
      </c>
    </row>
    <row r="1413" spans="1:29" x14ac:dyDescent="0.3">
      <c r="A1413">
        <v>148726</v>
      </c>
      <c r="B1413" s="25" t="s">
        <v>5984</v>
      </c>
      <c r="C1413" t="s">
        <v>20</v>
      </c>
      <c r="D1413" t="s">
        <v>21</v>
      </c>
      <c r="E1413">
        <v>2222222</v>
      </c>
      <c r="F1413" s="8" t="s">
        <v>22</v>
      </c>
      <c r="G1413" s="2">
        <v>98</v>
      </c>
      <c r="H1413" t="s">
        <v>4071</v>
      </c>
      <c r="J1413" s="9" t="s">
        <v>5283</v>
      </c>
      <c r="K1413" t="s">
        <v>5465</v>
      </c>
      <c r="L1413" s="2">
        <v>1</v>
      </c>
      <c r="M1413" s="24" t="s">
        <v>5971</v>
      </c>
      <c r="N1413" s="2" t="s">
        <v>23</v>
      </c>
      <c r="O1413" s="18" t="s">
        <v>1172</v>
      </c>
      <c r="P1413" s="18" t="s">
        <v>3781</v>
      </c>
      <c r="Q1413" s="6" t="s">
        <v>4475</v>
      </c>
      <c r="T1413" s="23">
        <v>45974</v>
      </c>
      <c r="U1413" s="23">
        <v>46709</v>
      </c>
      <c r="X1413" s="20">
        <v>5000</v>
      </c>
      <c r="Z1413" s="6" t="s">
        <v>5978</v>
      </c>
      <c r="AA1413" s="14">
        <f t="shared" si="184"/>
        <v>5.9999999999999995E-4</v>
      </c>
      <c r="AB1413">
        <v>2.116212</v>
      </c>
      <c r="AC1413">
        <v>2.2008604800000002</v>
      </c>
    </row>
    <row r="1414" spans="1:29" x14ac:dyDescent="0.3">
      <c r="A1414">
        <v>149797</v>
      </c>
      <c r="B1414" s="25" t="s">
        <v>5984</v>
      </c>
      <c r="C1414" t="s">
        <v>20</v>
      </c>
      <c r="D1414" t="s">
        <v>21</v>
      </c>
      <c r="E1414">
        <v>2222222</v>
      </c>
      <c r="F1414" s="8" t="s">
        <v>22</v>
      </c>
      <c r="G1414" s="2">
        <v>98</v>
      </c>
      <c r="H1414" t="s">
        <v>4071</v>
      </c>
      <c r="J1414" s="9" t="s">
        <v>5277</v>
      </c>
      <c r="K1414" t="s">
        <v>5179</v>
      </c>
      <c r="L1414" s="2">
        <v>1</v>
      </c>
      <c r="M1414" s="24" t="s">
        <v>5971</v>
      </c>
      <c r="N1414" s="2" t="s">
        <v>23</v>
      </c>
      <c r="O1414" s="18" t="s">
        <v>1173</v>
      </c>
      <c r="P1414" s="18" t="s">
        <v>3781</v>
      </c>
      <c r="Q1414" s="6" t="s">
        <v>4475</v>
      </c>
      <c r="T1414" s="23">
        <v>46049</v>
      </c>
      <c r="U1414" s="23">
        <v>46778</v>
      </c>
      <c r="X1414" s="20">
        <v>1000</v>
      </c>
      <c r="Z1414" s="6" t="s">
        <v>5978</v>
      </c>
      <c r="AA1414" s="14">
        <f t="shared" si="184"/>
        <v>5.9999999999999995E-4</v>
      </c>
      <c r="AB1414">
        <v>0.46792199999999995</v>
      </c>
      <c r="AC1414">
        <v>0.48663887999999994</v>
      </c>
    </row>
    <row r="1415" spans="1:29" x14ac:dyDescent="0.3">
      <c r="A1415">
        <v>149951</v>
      </c>
      <c r="B1415" s="25" t="s">
        <v>5984</v>
      </c>
      <c r="C1415" t="s">
        <v>20</v>
      </c>
      <c r="D1415" t="s">
        <v>21</v>
      </c>
      <c r="E1415">
        <v>2222222</v>
      </c>
      <c r="F1415" s="8" t="s">
        <v>22</v>
      </c>
      <c r="G1415" s="2">
        <v>98</v>
      </c>
      <c r="H1415" t="s">
        <v>4071</v>
      </c>
      <c r="J1415" s="9" t="s">
        <v>4936</v>
      </c>
      <c r="K1415" t="s">
        <v>4853</v>
      </c>
      <c r="L1415" s="2">
        <v>1</v>
      </c>
      <c r="M1415" s="24" t="s">
        <v>5971</v>
      </c>
      <c r="N1415" s="2" t="s">
        <v>23</v>
      </c>
      <c r="O1415" s="18" t="s">
        <v>1174</v>
      </c>
      <c r="P1415" s="18" t="s">
        <v>0</v>
      </c>
      <c r="Q1415" s="6" t="s">
        <v>4475</v>
      </c>
      <c r="T1415" s="23">
        <v>46060</v>
      </c>
      <c r="U1415" s="23">
        <v>47158</v>
      </c>
      <c r="X1415" s="20">
        <v>5000</v>
      </c>
      <c r="Z1415" s="6" t="s">
        <v>5978</v>
      </c>
      <c r="AA1415" s="14">
        <f t="shared" si="184"/>
        <v>5.9999999999999995E-4</v>
      </c>
      <c r="AB1415">
        <v>2.6740679999999997</v>
      </c>
      <c r="AC1415">
        <v>2.78103072</v>
      </c>
    </row>
    <row r="1416" spans="1:29" x14ac:dyDescent="0.3">
      <c r="A1416">
        <v>150969</v>
      </c>
      <c r="B1416" s="25" t="s">
        <v>5984</v>
      </c>
      <c r="C1416" t="s">
        <v>20</v>
      </c>
      <c r="D1416" t="s">
        <v>21</v>
      </c>
      <c r="E1416">
        <v>2222222</v>
      </c>
      <c r="F1416" s="8" t="s">
        <v>22</v>
      </c>
      <c r="G1416" s="2">
        <v>98</v>
      </c>
      <c r="H1416" t="s">
        <v>4071</v>
      </c>
      <c r="J1416" s="9" t="s">
        <v>4911</v>
      </c>
      <c r="K1416" t="s">
        <v>5345</v>
      </c>
      <c r="L1416" s="2">
        <v>1</v>
      </c>
      <c r="M1416" s="24" t="s">
        <v>5971</v>
      </c>
      <c r="N1416" s="2" t="s">
        <v>23</v>
      </c>
      <c r="O1416" s="18" t="s">
        <v>1169</v>
      </c>
      <c r="P1416" s="18" t="s">
        <v>3781</v>
      </c>
      <c r="Q1416" s="6" t="s">
        <v>4475</v>
      </c>
      <c r="T1416" s="23">
        <v>46129</v>
      </c>
      <c r="U1416" s="23">
        <v>47225</v>
      </c>
      <c r="X1416" s="20">
        <v>4000</v>
      </c>
      <c r="Z1416" s="6" t="s">
        <v>5978</v>
      </c>
      <c r="AA1416" s="14">
        <f t="shared" si="184"/>
        <v>5.9999999999999995E-4</v>
      </c>
      <c r="AB1416">
        <v>2.2433699999999996</v>
      </c>
      <c r="AC1416">
        <v>2.3331047999999996</v>
      </c>
    </row>
    <row r="1417" spans="1:29" x14ac:dyDescent="0.3">
      <c r="A1417">
        <v>152118</v>
      </c>
      <c r="B1417" s="25" t="s">
        <v>5984</v>
      </c>
      <c r="C1417" t="s">
        <v>20</v>
      </c>
      <c r="D1417" t="s">
        <v>21</v>
      </c>
      <c r="E1417">
        <v>2222222</v>
      </c>
      <c r="F1417" s="8" t="s">
        <v>22</v>
      </c>
      <c r="G1417" s="2">
        <v>98</v>
      </c>
      <c r="H1417" t="s">
        <v>4071</v>
      </c>
      <c r="J1417" s="9" t="s">
        <v>5045</v>
      </c>
      <c r="K1417" t="s">
        <v>4836</v>
      </c>
      <c r="L1417" s="2">
        <v>1</v>
      </c>
      <c r="M1417" s="24" t="s">
        <v>5971</v>
      </c>
      <c r="N1417" s="2" t="s">
        <v>23</v>
      </c>
      <c r="O1417" s="18" t="s">
        <v>1175</v>
      </c>
      <c r="P1417" s="18" t="s">
        <v>3781</v>
      </c>
      <c r="Q1417" s="6" t="s">
        <v>4475</v>
      </c>
      <c r="T1417" s="23">
        <v>46212</v>
      </c>
      <c r="U1417" s="23">
        <v>46302</v>
      </c>
      <c r="X1417" s="20">
        <v>400</v>
      </c>
      <c r="Z1417" s="6" t="s">
        <v>5978</v>
      </c>
      <c r="AA1417" s="14">
        <f t="shared" si="184"/>
        <v>5.9999999999999995E-4</v>
      </c>
      <c r="AB1417">
        <v>0.24</v>
      </c>
      <c r="AC1417">
        <v>0.24959999999999999</v>
      </c>
    </row>
    <row r="1418" spans="1:29" x14ac:dyDescent="0.3">
      <c r="A1418">
        <v>152300</v>
      </c>
      <c r="B1418" s="25" t="s">
        <v>5984</v>
      </c>
      <c r="C1418" t="s">
        <v>20</v>
      </c>
      <c r="D1418" t="s">
        <v>21</v>
      </c>
      <c r="E1418">
        <v>2222222</v>
      </c>
      <c r="F1418" s="8" t="s">
        <v>22</v>
      </c>
      <c r="G1418" s="2">
        <v>98</v>
      </c>
      <c r="H1418" t="s">
        <v>4071</v>
      </c>
      <c r="J1418" s="9" t="s">
        <v>4836</v>
      </c>
      <c r="K1418" t="s">
        <v>5004</v>
      </c>
      <c r="L1418" s="2">
        <v>1</v>
      </c>
      <c r="M1418" s="24" t="s">
        <v>5971</v>
      </c>
      <c r="N1418" s="2" t="s">
        <v>23</v>
      </c>
      <c r="O1418" s="18" t="s">
        <v>1166</v>
      </c>
      <c r="P1418" s="18" t="s">
        <v>3781</v>
      </c>
      <c r="Q1418" s="6" t="s">
        <v>4475</v>
      </c>
      <c r="T1418" s="23">
        <v>46226</v>
      </c>
      <c r="U1418" s="23">
        <v>47686</v>
      </c>
      <c r="X1418" s="20">
        <v>5000</v>
      </c>
      <c r="Z1418" s="6" t="s">
        <v>5978</v>
      </c>
      <c r="AA1418" s="14">
        <f t="shared" si="184"/>
        <v>5.9999999999999995E-4</v>
      </c>
      <c r="AB1418">
        <v>2.9999999999999996</v>
      </c>
      <c r="AC1418">
        <v>3.1199999999999997</v>
      </c>
    </row>
    <row r="1419" spans="1:29" x14ac:dyDescent="0.3">
      <c r="A1419">
        <v>130527</v>
      </c>
      <c r="B1419" s="25" t="s">
        <v>5984</v>
      </c>
      <c r="C1419" t="s">
        <v>20</v>
      </c>
      <c r="D1419" t="s">
        <v>21</v>
      </c>
      <c r="E1419">
        <v>2222222</v>
      </c>
      <c r="F1419" s="8" t="s">
        <v>22</v>
      </c>
      <c r="G1419" s="2">
        <v>98</v>
      </c>
      <c r="H1419" t="s">
        <v>4072</v>
      </c>
      <c r="J1419" s="9" t="s">
        <v>4929</v>
      </c>
      <c r="K1419" t="s">
        <v>4827</v>
      </c>
      <c r="L1419" s="2">
        <v>1</v>
      </c>
      <c r="M1419" s="24" t="s">
        <v>5971</v>
      </c>
      <c r="N1419" s="2" t="s">
        <v>23</v>
      </c>
      <c r="O1419" s="18" t="s">
        <v>1176</v>
      </c>
      <c r="P1419" s="18" t="s">
        <v>0</v>
      </c>
      <c r="Q1419" s="6" t="s">
        <v>4475</v>
      </c>
      <c r="T1419" s="23">
        <v>44855</v>
      </c>
      <c r="U1419" s="23">
        <v>47411</v>
      </c>
      <c r="X1419" s="20">
        <v>8700</v>
      </c>
      <c r="Z1419" s="6" t="s">
        <v>5978</v>
      </c>
      <c r="AA1419" s="13">
        <f>+(0.56/1000)</f>
        <v>5.6000000000000006E-4</v>
      </c>
      <c r="AB1419">
        <v>2.9346856000000003</v>
      </c>
      <c r="AC1419">
        <v>3.0520730240000002</v>
      </c>
    </row>
    <row r="1420" spans="1:29" x14ac:dyDescent="0.3">
      <c r="A1420">
        <v>152247</v>
      </c>
      <c r="B1420" s="25" t="s">
        <v>5984</v>
      </c>
      <c r="C1420" t="s">
        <v>20</v>
      </c>
      <c r="D1420" t="s">
        <v>21</v>
      </c>
      <c r="E1420">
        <v>2222222</v>
      </c>
      <c r="F1420" s="8" t="s">
        <v>22</v>
      </c>
      <c r="G1420" s="2">
        <v>98</v>
      </c>
      <c r="H1420" t="s">
        <v>4072</v>
      </c>
      <c r="J1420" s="9" t="s">
        <v>4889</v>
      </c>
      <c r="K1420" t="s">
        <v>4972</v>
      </c>
      <c r="L1420" s="2">
        <v>1</v>
      </c>
      <c r="M1420" s="24" t="s">
        <v>5971</v>
      </c>
      <c r="N1420" s="2" t="s">
        <v>23</v>
      </c>
      <c r="O1420" s="18" t="s">
        <v>1177</v>
      </c>
      <c r="P1420" s="18" t="s">
        <v>3781</v>
      </c>
      <c r="Q1420" s="6" t="s">
        <v>4475</v>
      </c>
      <c r="T1420" s="23">
        <v>46223</v>
      </c>
      <c r="U1420" s="23">
        <v>46953</v>
      </c>
      <c r="X1420" s="20">
        <v>2500</v>
      </c>
      <c r="Z1420" s="6" t="s">
        <v>5978</v>
      </c>
      <c r="AA1420" s="14">
        <f t="shared" ref="AA1420:AA1424" si="185">+(0.6/1000)</f>
        <v>5.9999999999999995E-4</v>
      </c>
      <c r="AB1420">
        <v>1.4999999999999998</v>
      </c>
      <c r="AC1420">
        <v>1.5599999999999998</v>
      </c>
    </row>
    <row r="1421" spans="1:29" x14ac:dyDescent="0.3">
      <c r="A1421">
        <v>144112</v>
      </c>
      <c r="B1421" s="25" t="s">
        <v>5984</v>
      </c>
      <c r="C1421" t="s">
        <v>20</v>
      </c>
      <c r="D1421" t="s">
        <v>21</v>
      </c>
      <c r="E1421">
        <v>2222222</v>
      </c>
      <c r="F1421" s="8" t="s">
        <v>22</v>
      </c>
      <c r="G1421" s="2">
        <v>98</v>
      </c>
      <c r="H1421" t="s">
        <v>4073</v>
      </c>
      <c r="J1421" s="9" t="s">
        <v>5024</v>
      </c>
      <c r="K1421" t="s">
        <v>4964</v>
      </c>
      <c r="L1421" s="2">
        <v>1</v>
      </c>
      <c r="M1421" s="24" t="s">
        <v>5971</v>
      </c>
      <c r="N1421" s="2" t="s">
        <v>23</v>
      </c>
      <c r="O1421" s="18" t="s">
        <v>1178</v>
      </c>
      <c r="P1421" s="18" t="s">
        <v>0</v>
      </c>
      <c r="Q1421" s="6" t="s">
        <v>4475</v>
      </c>
      <c r="T1421" s="23">
        <v>45645</v>
      </c>
      <c r="U1421" s="23">
        <v>47560</v>
      </c>
      <c r="X1421" s="20">
        <v>40300</v>
      </c>
      <c r="Z1421" s="6" t="s">
        <v>5978</v>
      </c>
      <c r="AA1421" s="14">
        <f t="shared" si="185"/>
        <v>5.9999999999999995E-4</v>
      </c>
      <c r="AB1421">
        <v>19.363355999999996</v>
      </c>
      <c r="AC1421">
        <v>20.137890239999997</v>
      </c>
    </row>
    <row r="1422" spans="1:29" x14ac:dyDescent="0.3">
      <c r="A1422">
        <v>147272</v>
      </c>
      <c r="B1422" s="25" t="s">
        <v>5984</v>
      </c>
      <c r="C1422" t="s">
        <v>20</v>
      </c>
      <c r="D1422" t="s">
        <v>21</v>
      </c>
      <c r="E1422">
        <v>2222222</v>
      </c>
      <c r="F1422" s="8" t="s">
        <v>22</v>
      </c>
      <c r="G1422" s="2">
        <v>98</v>
      </c>
      <c r="H1422" t="s">
        <v>4073</v>
      </c>
      <c r="J1422" s="9" t="s">
        <v>5136</v>
      </c>
      <c r="K1422" t="s">
        <v>5466</v>
      </c>
      <c r="L1422" s="2">
        <v>1</v>
      </c>
      <c r="M1422" s="24" t="s">
        <v>5971</v>
      </c>
      <c r="N1422" s="2" t="s">
        <v>23</v>
      </c>
      <c r="O1422" s="18" t="s">
        <v>1179</v>
      </c>
      <c r="P1422" s="18" t="s">
        <v>0</v>
      </c>
      <c r="Q1422" s="6" t="s">
        <v>4475</v>
      </c>
      <c r="T1422" s="23">
        <v>45884</v>
      </c>
      <c r="U1422" s="23">
        <v>46618</v>
      </c>
      <c r="X1422" s="20">
        <v>6200</v>
      </c>
      <c r="Z1422" s="6" t="s">
        <v>5978</v>
      </c>
      <c r="AA1422" s="14">
        <f t="shared" si="185"/>
        <v>5.9999999999999995E-4</v>
      </c>
      <c r="AB1422">
        <v>2.1245879999999997</v>
      </c>
      <c r="AC1422">
        <v>2.2095715199999999</v>
      </c>
    </row>
    <row r="1423" spans="1:29" x14ac:dyDescent="0.3">
      <c r="A1423">
        <v>147438</v>
      </c>
      <c r="B1423" s="25" t="s">
        <v>5984</v>
      </c>
      <c r="C1423" t="s">
        <v>20</v>
      </c>
      <c r="D1423" t="s">
        <v>21</v>
      </c>
      <c r="E1423">
        <v>2222222</v>
      </c>
      <c r="F1423" s="8" t="s">
        <v>22</v>
      </c>
      <c r="G1423" s="2">
        <v>98</v>
      </c>
      <c r="H1423" t="s">
        <v>4074</v>
      </c>
      <c r="J1423" s="9" t="s">
        <v>4779</v>
      </c>
      <c r="K1423" t="s">
        <v>5191</v>
      </c>
      <c r="L1423" s="2">
        <v>1</v>
      </c>
      <c r="M1423" s="24" t="s">
        <v>5971</v>
      </c>
      <c r="N1423" s="2" t="s">
        <v>23</v>
      </c>
      <c r="O1423" s="18" t="s">
        <v>1180</v>
      </c>
      <c r="P1423" s="18" t="s">
        <v>0</v>
      </c>
      <c r="Q1423" s="6" t="s">
        <v>4475</v>
      </c>
      <c r="T1423" s="23">
        <v>45888</v>
      </c>
      <c r="U1423" s="23">
        <v>46252</v>
      </c>
      <c r="X1423" s="20">
        <v>5000</v>
      </c>
      <c r="Z1423" s="6" t="s">
        <v>5978</v>
      </c>
      <c r="AA1423" s="14">
        <f t="shared" si="185"/>
        <v>5.9999999999999995E-4</v>
      </c>
      <c r="AB1423">
        <v>0.26966999999999997</v>
      </c>
      <c r="AC1423">
        <v>0.28045679999999995</v>
      </c>
    </row>
    <row r="1424" spans="1:29" x14ac:dyDescent="0.3">
      <c r="A1424">
        <v>151836</v>
      </c>
      <c r="B1424" s="25" t="s">
        <v>5984</v>
      </c>
      <c r="C1424" t="s">
        <v>20</v>
      </c>
      <c r="D1424" t="s">
        <v>21</v>
      </c>
      <c r="E1424">
        <v>2222222</v>
      </c>
      <c r="F1424" s="8" t="s">
        <v>22</v>
      </c>
      <c r="G1424" s="2">
        <v>98</v>
      </c>
      <c r="H1424" t="s">
        <v>4075</v>
      </c>
      <c r="J1424" s="9" t="s">
        <v>4900</v>
      </c>
      <c r="K1424" t="s">
        <v>4901</v>
      </c>
      <c r="L1424" s="2">
        <v>1</v>
      </c>
      <c r="M1424" s="24" t="s">
        <v>5971</v>
      </c>
      <c r="N1424" s="2" t="s">
        <v>23</v>
      </c>
      <c r="O1424" s="18" t="s">
        <v>1181</v>
      </c>
      <c r="P1424" s="18" t="s">
        <v>0</v>
      </c>
      <c r="Q1424" s="6" t="s">
        <v>4475</v>
      </c>
      <c r="T1424" s="23">
        <v>46191</v>
      </c>
      <c r="U1424" s="23">
        <v>46281</v>
      </c>
      <c r="X1424" s="20">
        <v>990</v>
      </c>
      <c r="Z1424" s="6" t="s">
        <v>5978</v>
      </c>
      <c r="AA1424" s="14">
        <f t="shared" si="185"/>
        <v>5.9999999999999995E-4</v>
      </c>
      <c r="AB1424">
        <v>0.59399999999999997</v>
      </c>
      <c r="AC1424">
        <v>0.61775999999999998</v>
      </c>
    </row>
    <row r="1425" spans="1:29" x14ac:dyDescent="0.3">
      <c r="A1425">
        <v>119805</v>
      </c>
      <c r="B1425" s="25" t="s">
        <v>5984</v>
      </c>
      <c r="C1425" t="s">
        <v>20</v>
      </c>
      <c r="D1425" t="s">
        <v>21</v>
      </c>
      <c r="E1425">
        <v>2222222</v>
      </c>
      <c r="F1425" s="8" t="s">
        <v>22</v>
      </c>
      <c r="G1425" s="2">
        <v>98</v>
      </c>
      <c r="H1425" t="s">
        <v>4076</v>
      </c>
      <c r="J1425" s="9" t="s">
        <v>4852</v>
      </c>
      <c r="K1425" t="s">
        <v>5189</v>
      </c>
      <c r="L1425" s="2">
        <v>1</v>
      </c>
      <c r="M1425" s="24" t="s">
        <v>5971</v>
      </c>
      <c r="N1425" s="2" t="s">
        <v>23</v>
      </c>
      <c r="O1425" s="18" t="s">
        <v>1182</v>
      </c>
      <c r="P1425" s="18" t="s">
        <v>0</v>
      </c>
      <c r="Q1425" s="6" t="s">
        <v>4475</v>
      </c>
      <c r="T1425" s="23">
        <v>44287</v>
      </c>
      <c r="U1425" s="23">
        <v>46116</v>
      </c>
      <c r="X1425" s="20">
        <v>7750</v>
      </c>
      <c r="Z1425" s="6" t="s">
        <v>5978</v>
      </c>
      <c r="AA1425" s="15">
        <f t="shared" ref="AA1425:AA1427" si="186">+(0.42/1000)</f>
        <v>4.1999999999999996E-4</v>
      </c>
      <c r="AB1425">
        <v>2.7117089999999995</v>
      </c>
      <c r="AC1425">
        <v>2.8201773599999997</v>
      </c>
    </row>
    <row r="1426" spans="1:29" x14ac:dyDescent="0.3">
      <c r="A1426">
        <v>122271</v>
      </c>
      <c r="B1426" s="25" t="s">
        <v>5984</v>
      </c>
      <c r="C1426" t="s">
        <v>20</v>
      </c>
      <c r="D1426" t="s">
        <v>21</v>
      </c>
      <c r="E1426">
        <v>2222222</v>
      </c>
      <c r="F1426" s="8" t="s">
        <v>22</v>
      </c>
      <c r="G1426" s="2">
        <v>98</v>
      </c>
      <c r="H1426" t="s">
        <v>4076</v>
      </c>
      <c r="J1426" s="9" t="s">
        <v>4936</v>
      </c>
      <c r="K1426" t="s">
        <v>4965</v>
      </c>
      <c r="L1426" s="2">
        <v>1</v>
      </c>
      <c r="M1426" s="24" t="s">
        <v>5971</v>
      </c>
      <c r="N1426" s="2" t="s">
        <v>23</v>
      </c>
      <c r="O1426" s="18" t="s">
        <v>1183</v>
      </c>
      <c r="P1426" s="18" t="s">
        <v>0</v>
      </c>
      <c r="Q1426" s="6" t="s">
        <v>4475</v>
      </c>
      <c r="T1426" s="23">
        <v>44431</v>
      </c>
      <c r="U1426" s="23">
        <v>47109</v>
      </c>
      <c r="X1426" s="20">
        <v>50000</v>
      </c>
      <c r="Z1426" s="6" t="s">
        <v>5978</v>
      </c>
      <c r="AA1426" s="15">
        <f t="shared" si="186"/>
        <v>4.1999999999999996E-4</v>
      </c>
      <c r="AB1426">
        <v>10.2960858</v>
      </c>
      <c r="AC1426">
        <v>10.707929232</v>
      </c>
    </row>
    <row r="1427" spans="1:29" x14ac:dyDescent="0.3">
      <c r="A1427">
        <v>128742</v>
      </c>
      <c r="B1427" s="25" t="s">
        <v>5984</v>
      </c>
      <c r="C1427" t="s">
        <v>20</v>
      </c>
      <c r="D1427" t="s">
        <v>21</v>
      </c>
      <c r="E1427">
        <v>2222222</v>
      </c>
      <c r="F1427" s="8" t="s">
        <v>22</v>
      </c>
      <c r="G1427" s="2">
        <v>98</v>
      </c>
      <c r="H1427" t="s">
        <v>4076</v>
      </c>
      <c r="J1427" s="9" t="s">
        <v>4836</v>
      </c>
      <c r="K1427" t="s">
        <v>4924</v>
      </c>
      <c r="L1427" s="2">
        <v>1</v>
      </c>
      <c r="M1427" s="24" t="s">
        <v>5971</v>
      </c>
      <c r="N1427" s="2" t="s">
        <v>23</v>
      </c>
      <c r="O1427" s="18" t="s">
        <v>1184</v>
      </c>
      <c r="P1427" s="18" t="s">
        <v>3781</v>
      </c>
      <c r="Q1427" s="6" t="s">
        <v>4475</v>
      </c>
      <c r="T1427" s="23">
        <v>44741</v>
      </c>
      <c r="U1427" s="23">
        <v>46937</v>
      </c>
      <c r="X1427" s="20">
        <v>9625</v>
      </c>
      <c r="Z1427" s="6" t="s">
        <v>5978</v>
      </c>
      <c r="AA1427" s="15">
        <f t="shared" si="186"/>
        <v>4.1999999999999996E-4</v>
      </c>
      <c r="AB1427">
        <v>1.7978771999999998</v>
      </c>
      <c r="AC1427">
        <v>1.869792288</v>
      </c>
    </row>
    <row r="1428" spans="1:29" x14ac:dyDescent="0.3">
      <c r="A1428">
        <v>143816</v>
      </c>
      <c r="B1428" s="25" t="s">
        <v>5984</v>
      </c>
      <c r="C1428" t="s">
        <v>20</v>
      </c>
      <c r="D1428" t="s">
        <v>21</v>
      </c>
      <c r="E1428">
        <v>2222222</v>
      </c>
      <c r="F1428" s="8" t="s">
        <v>22</v>
      </c>
      <c r="G1428" s="2">
        <v>98</v>
      </c>
      <c r="H1428" t="s">
        <v>4076</v>
      </c>
      <c r="J1428" s="9" t="s">
        <v>5467</v>
      </c>
      <c r="K1428" t="s">
        <v>4846</v>
      </c>
      <c r="L1428" s="2">
        <v>1</v>
      </c>
      <c r="M1428" s="24" t="s">
        <v>5971</v>
      </c>
      <c r="N1428" s="2" t="s">
        <v>23</v>
      </c>
      <c r="O1428" s="18" t="s">
        <v>1185</v>
      </c>
      <c r="P1428" s="18" t="s">
        <v>0</v>
      </c>
      <c r="Q1428" s="6" t="s">
        <v>4475</v>
      </c>
      <c r="T1428" s="23">
        <v>45625</v>
      </c>
      <c r="U1428" s="23">
        <v>48187</v>
      </c>
      <c r="X1428" s="20">
        <v>9330</v>
      </c>
      <c r="Z1428" s="6" t="s">
        <v>5978</v>
      </c>
      <c r="AA1428" s="14">
        <f t="shared" ref="AA1428:AA1433" si="187">+(0.6/1000)</f>
        <v>5.9999999999999995E-4</v>
      </c>
      <c r="AB1428">
        <v>5.0433719999999997</v>
      </c>
      <c r="AC1428">
        <v>5.2451068799999998</v>
      </c>
    </row>
    <row r="1429" spans="1:29" x14ac:dyDescent="0.3">
      <c r="A1429">
        <v>143825</v>
      </c>
      <c r="B1429" s="25" t="s">
        <v>5984</v>
      </c>
      <c r="C1429" t="s">
        <v>20</v>
      </c>
      <c r="D1429" t="s">
        <v>21</v>
      </c>
      <c r="E1429">
        <v>2222222</v>
      </c>
      <c r="F1429" s="8" t="s">
        <v>22</v>
      </c>
      <c r="G1429" s="2">
        <v>98</v>
      </c>
      <c r="H1429" t="s">
        <v>4076</v>
      </c>
      <c r="J1429" s="9" t="s">
        <v>4981</v>
      </c>
      <c r="K1429" t="s">
        <v>4858</v>
      </c>
      <c r="L1429" s="2">
        <v>1</v>
      </c>
      <c r="M1429" s="24" t="s">
        <v>5971</v>
      </c>
      <c r="N1429" s="2" t="s">
        <v>23</v>
      </c>
      <c r="O1429" s="18" t="s">
        <v>1186</v>
      </c>
      <c r="P1429" s="18" t="s">
        <v>3781</v>
      </c>
      <c r="Q1429" s="6" t="s">
        <v>4475</v>
      </c>
      <c r="T1429" s="23">
        <v>45618</v>
      </c>
      <c r="U1429" s="23">
        <v>47079</v>
      </c>
      <c r="X1429" s="20">
        <v>4360</v>
      </c>
      <c r="Z1429" s="6" t="s">
        <v>5978</v>
      </c>
      <c r="AA1429" s="14">
        <f t="shared" si="187"/>
        <v>5.9999999999999995E-4</v>
      </c>
      <c r="AB1429">
        <v>1.6118579999999998</v>
      </c>
      <c r="AC1429">
        <v>1.6763323199999998</v>
      </c>
    </row>
    <row r="1430" spans="1:29" x14ac:dyDescent="0.3">
      <c r="A1430">
        <v>145959</v>
      </c>
      <c r="B1430" s="25" t="s">
        <v>5984</v>
      </c>
      <c r="C1430" t="s">
        <v>20</v>
      </c>
      <c r="D1430" t="s">
        <v>21</v>
      </c>
      <c r="E1430">
        <v>2222222</v>
      </c>
      <c r="F1430" s="8" t="s">
        <v>22</v>
      </c>
      <c r="G1430" s="2">
        <v>98</v>
      </c>
      <c r="H1430" t="s">
        <v>4076</v>
      </c>
      <c r="J1430" s="9" t="s">
        <v>4911</v>
      </c>
      <c r="K1430" t="s">
        <v>5169</v>
      </c>
      <c r="L1430" s="2">
        <v>1</v>
      </c>
      <c r="M1430" s="24" t="s">
        <v>5971</v>
      </c>
      <c r="N1430" s="2" t="s">
        <v>23</v>
      </c>
      <c r="O1430" s="18" t="s">
        <v>1187</v>
      </c>
      <c r="P1430" s="18" t="s">
        <v>3781</v>
      </c>
      <c r="Q1430" s="6" t="s">
        <v>4475</v>
      </c>
      <c r="T1430" s="23">
        <v>45777</v>
      </c>
      <c r="U1430" s="23">
        <v>47238</v>
      </c>
      <c r="X1430" s="20">
        <v>5000</v>
      </c>
      <c r="Z1430" s="6" t="s">
        <v>5978</v>
      </c>
      <c r="AA1430" s="14">
        <f t="shared" si="187"/>
        <v>5.9999999999999995E-4</v>
      </c>
      <c r="AB1430">
        <v>2.2832579999999996</v>
      </c>
      <c r="AC1430">
        <v>2.3745883199999995</v>
      </c>
    </row>
    <row r="1431" spans="1:29" x14ac:dyDescent="0.3">
      <c r="A1431">
        <v>146517</v>
      </c>
      <c r="B1431" s="25" t="s">
        <v>5984</v>
      </c>
      <c r="C1431" t="s">
        <v>20</v>
      </c>
      <c r="D1431" t="s">
        <v>21</v>
      </c>
      <c r="E1431">
        <v>2222222</v>
      </c>
      <c r="F1431" s="8" t="s">
        <v>22</v>
      </c>
      <c r="G1431" s="2">
        <v>98</v>
      </c>
      <c r="H1431" t="s">
        <v>4076</v>
      </c>
      <c r="J1431" s="9" t="s">
        <v>5096</v>
      </c>
      <c r="K1431" t="s">
        <v>4942</v>
      </c>
      <c r="L1431" s="2">
        <v>1</v>
      </c>
      <c r="M1431" s="24" t="s">
        <v>5971</v>
      </c>
      <c r="N1431" s="2" t="s">
        <v>23</v>
      </c>
      <c r="O1431" s="18" t="s">
        <v>1188</v>
      </c>
      <c r="P1431" s="18" t="s">
        <v>3781</v>
      </c>
      <c r="Q1431" s="6" t="s">
        <v>4475</v>
      </c>
      <c r="T1431" s="23">
        <v>45822</v>
      </c>
      <c r="U1431" s="23">
        <v>46918</v>
      </c>
      <c r="X1431" s="20">
        <v>1965</v>
      </c>
      <c r="Z1431" s="6" t="s">
        <v>5978</v>
      </c>
      <c r="AA1431" s="14">
        <f t="shared" si="187"/>
        <v>5.9999999999999995E-4</v>
      </c>
      <c r="AB1431">
        <v>0.80947199999999986</v>
      </c>
      <c r="AC1431">
        <v>0.84185087999999986</v>
      </c>
    </row>
    <row r="1432" spans="1:29" x14ac:dyDescent="0.3">
      <c r="A1432">
        <v>147707</v>
      </c>
      <c r="B1432" s="25" t="s">
        <v>5984</v>
      </c>
      <c r="C1432" t="s">
        <v>20</v>
      </c>
      <c r="D1432" t="s">
        <v>21</v>
      </c>
      <c r="E1432">
        <v>2222222</v>
      </c>
      <c r="F1432" s="8" t="s">
        <v>22</v>
      </c>
      <c r="G1432" s="2">
        <v>98</v>
      </c>
      <c r="H1432" t="s">
        <v>4076</v>
      </c>
      <c r="J1432" s="9" t="s">
        <v>4911</v>
      </c>
      <c r="K1432" t="s">
        <v>5169</v>
      </c>
      <c r="L1432" s="2">
        <v>1</v>
      </c>
      <c r="M1432" s="24" t="s">
        <v>5971</v>
      </c>
      <c r="N1432" s="2" t="s">
        <v>23</v>
      </c>
      <c r="O1432" s="18" t="s">
        <v>1187</v>
      </c>
      <c r="P1432" s="18" t="s">
        <v>3781</v>
      </c>
      <c r="Q1432" s="6" t="s">
        <v>4475</v>
      </c>
      <c r="T1432" s="23">
        <v>45908</v>
      </c>
      <c r="U1432" s="23">
        <v>47004</v>
      </c>
      <c r="X1432" s="20">
        <v>4000</v>
      </c>
      <c r="Z1432" s="6" t="s">
        <v>5978</v>
      </c>
      <c r="AA1432" s="14">
        <f t="shared" si="187"/>
        <v>5.9999999999999995E-4</v>
      </c>
      <c r="AB1432">
        <v>1.8505199999999997</v>
      </c>
      <c r="AC1432">
        <v>1.9245407999999997</v>
      </c>
    </row>
    <row r="1433" spans="1:29" x14ac:dyDescent="0.3">
      <c r="A1433">
        <v>148488</v>
      </c>
      <c r="B1433" s="25" t="s">
        <v>5984</v>
      </c>
      <c r="C1433" t="s">
        <v>20</v>
      </c>
      <c r="D1433" t="s">
        <v>21</v>
      </c>
      <c r="E1433">
        <v>2222222</v>
      </c>
      <c r="F1433" s="8" t="s">
        <v>22</v>
      </c>
      <c r="G1433" s="2">
        <v>98</v>
      </c>
      <c r="H1433" t="s">
        <v>4076</v>
      </c>
      <c r="J1433" s="9" t="s">
        <v>5408</v>
      </c>
      <c r="K1433" t="s">
        <v>5245</v>
      </c>
      <c r="L1433" s="2">
        <v>1</v>
      </c>
      <c r="M1433" s="24" t="s">
        <v>5971</v>
      </c>
      <c r="N1433" s="2" t="s">
        <v>23</v>
      </c>
      <c r="O1433" s="18" t="s">
        <v>1189</v>
      </c>
      <c r="P1433" s="18" t="s">
        <v>3781</v>
      </c>
      <c r="Q1433" s="6" t="s">
        <v>4475</v>
      </c>
      <c r="T1433" s="23">
        <v>45818</v>
      </c>
      <c r="U1433" s="23">
        <v>46914</v>
      </c>
      <c r="X1433" s="20">
        <v>4098</v>
      </c>
      <c r="Z1433" s="6" t="s">
        <v>5978</v>
      </c>
      <c r="AA1433" s="14">
        <f t="shared" si="187"/>
        <v>5.9999999999999995E-4</v>
      </c>
      <c r="AB1433">
        <v>1.6392239999999998</v>
      </c>
      <c r="AC1433">
        <v>1.7047929599999998</v>
      </c>
    </row>
    <row r="1434" spans="1:29" x14ac:dyDescent="0.3">
      <c r="A1434">
        <v>148515</v>
      </c>
      <c r="B1434" s="25" t="s">
        <v>5984</v>
      </c>
      <c r="C1434" t="s">
        <v>20</v>
      </c>
      <c r="D1434" t="s">
        <v>21</v>
      </c>
      <c r="E1434">
        <v>2222222</v>
      </c>
      <c r="F1434" s="8" t="s">
        <v>22</v>
      </c>
      <c r="G1434" s="2">
        <v>98</v>
      </c>
      <c r="H1434" t="s">
        <v>4076</v>
      </c>
      <c r="J1434" s="9" t="s">
        <v>4815</v>
      </c>
      <c r="K1434" t="s">
        <v>4485</v>
      </c>
      <c r="L1434" s="2">
        <v>1</v>
      </c>
      <c r="M1434" s="24" t="s">
        <v>5971</v>
      </c>
      <c r="N1434" s="2" t="s">
        <v>23</v>
      </c>
      <c r="O1434" s="18" t="s">
        <v>1190</v>
      </c>
      <c r="P1434" s="18" t="s">
        <v>0</v>
      </c>
      <c r="Q1434" s="6" t="s">
        <v>4475</v>
      </c>
      <c r="T1434" s="23">
        <v>44512</v>
      </c>
      <c r="U1434" s="23">
        <v>46423</v>
      </c>
      <c r="X1434" s="20">
        <v>18000</v>
      </c>
      <c r="Z1434" s="6" t="s">
        <v>5978</v>
      </c>
      <c r="AA1434" s="15">
        <f>+(0.42/1000)</f>
        <v>4.1999999999999996E-4</v>
      </c>
      <c r="AB1434">
        <v>2.8569491999999999</v>
      </c>
      <c r="AC1434">
        <v>2.971227168</v>
      </c>
    </row>
    <row r="1435" spans="1:29" x14ac:dyDescent="0.3">
      <c r="A1435">
        <v>148828</v>
      </c>
      <c r="B1435" s="25" t="s">
        <v>5984</v>
      </c>
      <c r="C1435" t="s">
        <v>20</v>
      </c>
      <c r="D1435" t="s">
        <v>21</v>
      </c>
      <c r="E1435">
        <v>2222222</v>
      </c>
      <c r="F1435" s="8" t="s">
        <v>22</v>
      </c>
      <c r="G1435" s="2">
        <v>98</v>
      </c>
      <c r="H1435" t="s">
        <v>4076</v>
      </c>
      <c r="J1435" s="9" t="s">
        <v>4891</v>
      </c>
      <c r="K1435" t="s">
        <v>5153</v>
      </c>
      <c r="L1435" s="2">
        <v>1</v>
      </c>
      <c r="M1435" s="24" t="s">
        <v>5971</v>
      </c>
      <c r="N1435" s="2" t="s">
        <v>23</v>
      </c>
      <c r="O1435" s="18" t="s">
        <v>1191</v>
      </c>
      <c r="P1435" s="18" t="s">
        <v>3781</v>
      </c>
      <c r="Q1435" s="6" t="s">
        <v>4475</v>
      </c>
      <c r="T1435" s="23">
        <v>45981</v>
      </c>
      <c r="U1435" s="23">
        <v>46346</v>
      </c>
      <c r="X1435" s="20">
        <v>2000</v>
      </c>
      <c r="Z1435" s="6" t="s">
        <v>5978</v>
      </c>
      <c r="AA1435" s="14">
        <f t="shared" ref="AA1435:AA1441" si="188">+(0.6/1000)</f>
        <v>5.9999999999999995E-4</v>
      </c>
      <c r="AB1435">
        <v>0.42246</v>
      </c>
      <c r="AC1435">
        <v>0.43935840000000004</v>
      </c>
    </row>
    <row r="1436" spans="1:29" x14ac:dyDescent="0.3">
      <c r="A1436">
        <v>149717</v>
      </c>
      <c r="B1436" s="25" t="s">
        <v>5984</v>
      </c>
      <c r="C1436" t="s">
        <v>20</v>
      </c>
      <c r="D1436" t="s">
        <v>21</v>
      </c>
      <c r="E1436">
        <v>2222222</v>
      </c>
      <c r="F1436" s="8" t="s">
        <v>22</v>
      </c>
      <c r="G1436" s="2">
        <v>98</v>
      </c>
      <c r="H1436" t="s">
        <v>4076</v>
      </c>
      <c r="J1436" s="9" t="s">
        <v>4911</v>
      </c>
      <c r="K1436" t="s">
        <v>5169</v>
      </c>
      <c r="L1436" s="2">
        <v>1</v>
      </c>
      <c r="M1436" s="24" t="s">
        <v>5971</v>
      </c>
      <c r="N1436" s="2" t="s">
        <v>23</v>
      </c>
      <c r="O1436" s="18" t="s">
        <v>1187</v>
      </c>
      <c r="P1436" s="18" t="s">
        <v>3781</v>
      </c>
      <c r="Q1436" s="6" t="s">
        <v>4475</v>
      </c>
      <c r="T1436" s="23">
        <v>46044</v>
      </c>
      <c r="U1436" s="23">
        <v>47505</v>
      </c>
      <c r="X1436" s="20">
        <v>5000</v>
      </c>
      <c r="Z1436" s="6" t="s">
        <v>5978</v>
      </c>
      <c r="AA1436" s="14">
        <f t="shared" si="188"/>
        <v>5.9999999999999995E-4</v>
      </c>
      <c r="AB1436">
        <v>2.7078359999999999</v>
      </c>
      <c r="AC1436">
        <v>2.8161494399999998</v>
      </c>
    </row>
    <row r="1437" spans="1:29" x14ac:dyDescent="0.3">
      <c r="A1437">
        <v>150882</v>
      </c>
      <c r="B1437" s="25" t="s">
        <v>5984</v>
      </c>
      <c r="C1437" t="s">
        <v>20</v>
      </c>
      <c r="D1437" t="s">
        <v>21</v>
      </c>
      <c r="E1437">
        <v>2222222</v>
      </c>
      <c r="F1437" s="8" t="s">
        <v>22</v>
      </c>
      <c r="G1437" s="2">
        <v>98</v>
      </c>
      <c r="H1437" t="s">
        <v>4076</v>
      </c>
      <c r="J1437" s="9" t="s">
        <v>4968</v>
      </c>
      <c r="K1437" t="s">
        <v>4937</v>
      </c>
      <c r="L1437" s="2">
        <v>1</v>
      </c>
      <c r="M1437" s="24" t="s">
        <v>5971</v>
      </c>
      <c r="N1437" s="2" t="s">
        <v>23</v>
      </c>
      <c r="O1437" s="18" t="s">
        <v>1192</v>
      </c>
      <c r="P1437" s="18" t="s">
        <v>0</v>
      </c>
      <c r="Q1437" s="6" t="s">
        <v>4475</v>
      </c>
      <c r="T1437" s="23">
        <v>46130</v>
      </c>
      <c r="U1437" s="23">
        <v>49783</v>
      </c>
      <c r="X1437" s="20">
        <v>35000</v>
      </c>
      <c r="Z1437" s="6" t="s">
        <v>5978</v>
      </c>
      <c r="AA1437" s="14">
        <f t="shared" si="188"/>
        <v>5.9999999999999995E-4</v>
      </c>
      <c r="AB1437">
        <v>20.768879999999999</v>
      </c>
      <c r="AC1437">
        <v>21.599635200000002</v>
      </c>
    </row>
    <row r="1438" spans="1:29" x14ac:dyDescent="0.3">
      <c r="A1438">
        <v>151409</v>
      </c>
      <c r="B1438" s="25" t="s">
        <v>5984</v>
      </c>
      <c r="C1438" t="s">
        <v>20</v>
      </c>
      <c r="D1438" t="s">
        <v>21</v>
      </c>
      <c r="E1438">
        <v>2222222</v>
      </c>
      <c r="F1438" s="8" t="s">
        <v>22</v>
      </c>
      <c r="G1438" s="2">
        <v>98</v>
      </c>
      <c r="H1438" t="s">
        <v>4076</v>
      </c>
      <c r="J1438" s="9" t="s">
        <v>4891</v>
      </c>
      <c r="K1438" t="s">
        <v>5153</v>
      </c>
      <c r="L1438" s="2">
        <v>1</v>
      </c>
      <c r="M1438" s="24" t="s">
        <v>5971</v>
      </c>
      <c r="N1438" s="2" t="s">
        <v>23</v>
      </c>
      <c r="O1438" s="18" t="s">
        <v>1191</v>
      </c>
      <c r="P1438" s="18" t="s">
        <v>3781</v>
      </c>
      <c r="Q1438" s="6" t="s">
        <v>4475</v>
      </c>
      <c r="T1438" s="23">
        <v>46161</v>
      </c>
      <c r="U1438" s="23">
        <v>47986</v>
      </c>
      <c r="X1438" s="20">
        <v>5000</v>
      </c>
      <c r="Z1438" s="6" t="s">
        <v>5978</v>
      </c>
      <c r="AA1438" s="14">
        <f t="shared" si="188"/>
        <v>5.9999999999999995E-4</v>
      </c>
      <c r="AB1438">
        <v>2.9293679999999997</v>
      </c>
      <c r="AC1438">
        <v>3.0465427199999997</v>
      </c>
    </row>
    <row r="1439" spans="1:29" x14ac:dyDescent="0.3">
      <c r="A1439">
        <v>151831</v>
      </c>
      <c r="B1439" s="25" t="s">
        <v>5984</v>
      </c>
      <c r="C1439" t="s">
        <v>20</v>
      </c>
      <c r="D1439" t="s">
        <v>21</v>
      </c>
      <c r="E1439">
        <v>2222222</v>
      </c>
      <c r="F1439" s="8" t="s">
        <v>22</v>
      </c>
      <c r="G1439" s="2">
        <v>98</v>
      </c>
      <c r="H1439" t="s">
        <v>4076</v>
      </c>
      <c r="J1439" s="9" t="s">
        <v>4981</v>
      </c>
      <c r="K1439" t="s">
        <v>4858</v>
      </c>
      <c r="L1439" s="2">
        <v>1</v>
      </c>
      <c r="M1439" s="24" t="s">
        <v>5971</v>
      </c>
      <c r="N1439" s="2" t="s">
        <v>23</v>
      </c>
      <c r="O1439" s="18" t="s">
        <v>1186</v>
      </c>
      <c r="P1439" s="18" t="s">
        <v>3781</v>
      </c>
      <c r="Q1439" s="6" t="s">
        <v>4475</v>
      </c>
      <c r="T1439" s="23">
        <v>46193</v>
      </c>
      <c r="U1439" s="23">
        <v>47107</v>
      </c>
      <c r="X1439" s="20">
        <v>1500</v>
      </c>
      <c r="Z1439" s="6" t="s">
        <v>5978</v>
      </c>
      <c r="AA1439" s="14">
        <f t="shared" si="188"/>
        <v>5.9999999999999995E-4</v>
      </c>
      <c r="AB1439">
        <v>0.849414</v>
      </c>
      <c r="AC1439">
        <v>0.88339056000000005</v>
      </c>
    </row>
    <row r="1440" spans="1:29" x14ac:dyDescent="0.3">
      <c r="A1440">
        <v>152092</v>
      </c>
      <c r="B1440" s="25" t="s">
        <v>5984</v>
      </c>
      <c r="C1440" t="s">
        <v>20</v>
      </c>
      <c r="D1440" t="s">
        <v>21</v>
      </c>
      <c r="E1440">
        <v>2222222</v>
      </c>
      <c r="F1440" s="8" t="s">
        <v>22</v>
      </c>
      <c r="G1440" s="2">
        <v>98</v>
      </c>
      <c r="H1440" t="s">
        <v>4077</v>
      </c>
      <c r="J1440" s="9" t="s">
        <v>4829</v>
      </c>
      <c r="L1440" s="2">
        <v>1</v>
      </c>
      <c r="M1440" s="24" t="s">
        <v>5971</v>
      </c>
      <c r="N1440" s="2" t="s">
        <v>23</v>
      </c>
      <c r="O1440" s="18" t="s">
        <v>1193</v>
      </c>
      <c r="P1440" s="18" t="s">
        <v>3781</v>
      </c>
      <c r="Q1440" s="6" t="s">
        <v>4475</v>
      </c>
      <c r="T1440" s="23">
        <v>46210</v>
      </c>
      <c r="U1440" s="23">
        <v>46300</v>
      </c>
      <c r="X1440" s="20">
        <v>2980</v>
      </c>
      <c r="Z1440" s="6" t="s">
        <v>5978</v>
      </c>
      <c r="AA1440" s="14">
        <f t="shared" si="188"/>
        <v>5.9999999999999995E-4</v>
      </c>
      <c r="AB1440">
        <v>1.7879999999999998</v>
      </c>
      <c r="AC1440">
        <v>1.8595199999999998</v>
      </c>
    </row>
    <row r="1441" spans="1:29" x14ac:dyDescent="0.3">
      <c r="A1441">
        <v>151192</v>
      </c>
      <c r="B1441" s="25" t="s">
        <v>5984</v>
      </c>
      <c r="C1441" t="s">
        <v>20</v>
      </c>
      <c r="D1441" t="s">
        <v>21</v>
      </c>
      <c r="E1441">
        <v>2222222</v>
      </c>
      <c r="F1441" s="8" t="s">
        <v>22</v>
      </c>
      <c r="G1441" s="2">
        <v>98</v>
      </c>
      <c r="H1441" t="s">
        <v>4078</v>
      </c>
      <c r="J1441" s="9" t="s">
        <v>4988</v>
      </c>
      <c r="K1441" t="s">
        <v>5064</v>
      </c>
      <c r="L1441" s="2">
        <v>1</v>
      </c>
      <c r="M1441" s="24" t="s">
        <v>5971</v>
      </c>
      <c r="N1441" s="2" t="s">
        <v>23</v>
      </c>
      <c r="O1441" s="18" t="s">
        <v>1194</v>
      </c>
      <c r="P1441" s="18" t="s">
        <v>0</v>
      </c>
      <c r="Q1441" s="6" t="s">
        <v>4475</v>
      </c>
      <c r="T1441" s="23">
        <v>46146</v>
      </c>
      <c r="U1441" s="23">
        <v>47606</v>
      </c>
      <c r="X1441" s="20">
        <v>5000</v>
      </c>
      <c r="Z1441" s="6" t="s">
        <v>5978</v>
      </c>
      <c r="AA1441" s="14">
        <f t="shared" si="188"/>
        <v>5.9999999999999995E-4</v>
      </c>
      <c r="AB1441">
        <v>2.9123100000000002</v>
      </c>
      <c r="AC1441">
        <v>3.0288024000000004</v>
      </c>
    </row>
    <row r="1442" spans="1:29" x14ac:dyDescent="0.3">
      <c r="A1442">
        <v>135960</v>
      </c>
      <c r="B1442" s="25" t="s">
        <v>5984</v>
      </c>
      <c r="C1442" t="s">
        <v>20</v>
      </c>
      <c r="D1442" t="s">
        <v>21</v>
      </c>
      <c r="E1442">
        <v>2222222</v>
      </c>
      <c r="F1442" s="8" t="s">
        <v>22</v>
      </c>
      <c r="G1442" s="2">
        <v>98</v>
      </c>
      <c r="H1442" t="s">
        <v>4079</v>
      </c>
      <c r="J1442" s="9" t="s">
        <v>5128</v>
      </c>
      <c r="K1442" t="s">
        <v>4913</v>
      </c>
      <c r="L1442" s="2">
        <v>1</v>
      </c>
      <c r="M1442" s="24" t="s">
        <v>5971</v>
      </c>
      <c r="N1442" s="2" t="s">
        <v>23</v>
      </c>
      <c r="O1442" s="18" t="s">
        <v>1195</v>
      </c>
      <c r="P1442" s="18" t="s">
        <v>0</v>
      </c>
      <c r="Q1442" s="6" t="s">
        <v>4475</v>
      </c>
      <c r="T1442" s="23">
        <v>45146</v>
      </c>
      <c r="U1442" s="23">
        <v>47064</v>
      </c>
      <c r="X1442" s="20">
        <v>16000</v>
      </c>
      <c r="Z1442" s="6" t="s">
        <v>5978</v>
      </c>
      <c r="AA1442" s="13">
        <f>+(0.56/1000)</f>
        <v>5.6000000000000006E-4</v>
      </c>
      <c r="AB1442">
        <v>5.0748152000000006</v>
      </c>
      <c r="AC1442">
        <v>5.2778078080000013</v>
      </c>
    </row>
    <row r="1443" spans="1:29" x14ac:dyDescent="0.3">
      <c r="A1443">
        <v>148904</v>
      </c>
      <c r="B1443" s="25" t="s">
        <v>5984</v>
      </c>
      <c r="C1443" t="s">
        <v>20</v>
      </c>
      <c r="D1443" t="s">
        <v>21</v>
      </c>
      <c r="E1443">
        <v>2222222</v>
      </c>
      <c r="F1443" s="8" t="s">
        <v>22</v>
      </c>
      <c r="G1443" s="2">
        <v>98</v>
      </c>
      <c r="H1443" t="s">
        <v>4080</v>
      </c>
      <c r="J1443" s="9" t="s">
        <v>5468</v>
      </c>
      <c r="K1443" t="s">
        <v>5460</v>
      </c>
      <c r="L1443" s="2">
        <v>1</v>
      </c>
      <c r="M1443" s="24" t="s">
        <v>5971</v>
      </c>
      <c r="N1443" s="2" t="s">
        <v>23</v>
      </c>
      <c r="O1443" s="18" t="s">
        <v>1196</v>
      </c>
      <c r="P1443" s="18" t="s">
        <v>0</v>
      </c>
      <c r="Q1443" s="6" t="s">
        <v>4475</v>
      </c>
      <c r="T1443" s="23">
        <v>45989</v>
      </c>
      <c r="U1443" s="23">
        <v>47815</v>
      </c>
      <c r="X1443" s="20">
        <v>9800</v>
      </c>
      <c r="Z1443" s="6" t="s">
        <v>5978</v>
      </c>
      <c r="AA1443" s="14">
        <f>+(0.6/1000)</f>
        <v>5.9999999999999995E-4</v>
      </c>
      <c r="AB1443">
        <v>5.3110559999999998</v>
      </c>
      <c r="AC1443">
        <v>5.5234982400000003</v>
      </c>
    </row>
    <row r="1444" spans="1:29" x14ac:dyDescent="0.3">
      <c r="A1444">
        <v>110236</v>
      </c>
      <c r="B1444" s="25" t="s">
        <v>5984</v>
      </c>
      <c r="C1444" t="s">
        <v>20</v>
      </c>
      <c r="D1444" t="s">
        <v>21</v>
      </c>
      <c r="E1444">
        <v>2222222</v>
      </c>
      <c r="F1444" s="8" t="s">
        <v>22</v>
      </c>
      <c r="G1444" s="2">
        <v>98</v>
      </c>
      <c r="H1444" t="s">
        <v>4081</v>
      </c>
      <c r="J1444" s="9" t="s">
        <v>4836</v>
      </c>
      <c r="K1444" t="s">
        <v>4837</v>
      </c>
      <c r="L1444" s="2">
        <v>1</v>
      </c>
      <c r="M1444" s="24" t="s">
        <v>5971</v>
      </c>
      <c r="N1444" s="2" t="s">
        <v>23</v>
      </c>
      <c r="O1444" s="18" t="s">
        <v>1197</v>
      </c>
      <c r="P1444" s="18" t="s">
        <v>3781</v>
      </c>
      <c r="Q1444" s="6" t="s">
        <v>4475</v>
      </c>
      <c r="T1444" s="23">
        <v>43845</v>
      </c>
      <c r="U1444" s="23">
        <v>44453</v>
      </c>
      <c r="X1444" s="20">
        <v>3000</v>
      </c>
      <c r="Z1444" s="6" t="s">
        <v>5978</v>
      </c>
      <c r="AA1444" s="15">
        <f t="shared" ref="AA1444:AA1446" si="189">+(0.42/1000)</f>
        <v>4.1999999999999996E-4</v>
      </c>
      <c r="AB1444">
        <v>0.6790098</v>
      </c>
      <c r="AC1444">
        <v>0.70617019199999997</v>
      </c>
    </row>
    <row r="1445" spans="1:29" x14ac:dyDescent="0.3">
      <c r="A1445">
        <v>124461</v>
      </c>
      <c r="B1445" s="25" t="s">
        <v>5984</v>
      </c>
      <c r="C1445" t="s">
        <v>20</v>
      </c>
      <c r="D1445" t="s">
        <v>21</v>
      </c>
      <c r="E1445">
        <v>2222222</v>
      </c>
      <c r="F1445" s="8" t="s">
        <v>22</v>
      </c>
      <c r="G1445" s="2">
        <v>98</v>
      </c>
      <c r="H1445" t="s">
        <v>4082</v>
      </c>
      <c r="J1445" s="9" t="s">
        <v>4887</v>
      </c>
      <c r="K1445" t="s">
        <v>4924</v>
      </c>
      <c r="L1445" s="2">
        <v>1</v>
      </c>
      <c r="M1445" s="24" t="s">
        <v>5971</v>
      </c>
      <c r="N1445" s="2" t="s">
        <v>23</v>
      </c>
      <c r="O1445" s="18" t="s">
        <v>414</v>
      </c>
      <c r="P1445" s="18" t="s">
        <v>3781</v>
      </c>
      <c r="Q1445" s="6" t="s">
        <v>4475</v>
      </c>
      <c r="T1445" s="23">
        <v>44526</v>
      </c>
      <c r="U1445" s="23">
        <v>46352</v>
      </c>
      <c r="X1445" s="20">
        <v>16500</v>
      </c>
      <c r="Z1445" s="6" t="s">
        <v>5978</v>
      </c>
      <c r="AA1445" s="15">
        <f t="shared" si="189"/>
        <v>4.1999999999999996E-4</v>
      </c>
      <c r="AB1445">
        <v>0.64708559999999993</v>
      </c>
      <c r="AC1445">
        <v>0.67296902399999992</v>
      </c>
    </row>
    <row r="1446" spans="1:29" x14ac:dyDescent="0.3">
      <c r="A1446">
        <v>127715</v>
      </c>
      <c r="B1446" s="25" t="s">
        <v>5984</v>
      </c>
      <c r="C1446" t="s">
        <v>20</v>
      </c>
      <c r="D1446" t="s">
        <v>21</v>
      </c>
      <c r="E1446">
        <v>2222222</v>
      </c>
      <c r="F1446" s="8" t="s">
        <v>22</v>
      </c>
      <c r="G1446" s="2">
        <v>98</v>
      </c>
      <c r="H1446" t="s">
        <v>4083</v>
      </c>
      <c r="J1446" s="9" t="s">
        <v>4852</v>
      </c>
      <c r="K1446" t="s">
        <v>4875</v>
      </c>
      <c r="L1446" s="2">
        <v>1</v>
      </c>
      <c r="M1446" s="24" t="s">
        <v>5971</v>
      </c>
      <c r="N1446" s="2" t="s">
        <v>23</v>
      </c>
      <c r="O1446" s="18" t="s">
        <v>1198</v>
      </c>
      <c r="P1446" s="18" t="s">
        <v>0</v>
      </c>
      <c r="Q1446" s="6" t="s">
        <v>4475</v>
      </c>
      <c r="T1446" s="23">
        <v>44686</v>
      </c>
      <c r="U1446" s="23">
        <v>46511</v>
      </c>
      <c r="X1446" s="20">
        <v>4800</v>
      </c>
      <c r="Z1446" s="6" t="s">
        <v>5978</v>
      </c>
      <c r="AA1446" s="15">
        <f t="shared" si="189"/>
        <v>4.1999999999999996E-4</v>
      </c>
      <c r="AB1446">
        <v>0.48813239999999997</v>
      </c>
      <c r="AC1446">
        <v>0.50765769599999999</v>
      </c>
    </row>
    <row r="1447" spans="1:29" x14ac:dyDescent="0.3">
      <c r="A1447">
        <v>144303</v>
      </c>
      <c r="B1447" s="25" t="s">
        <v>5984</v>
      </c>
      <c r="C1447" t="s">
        <v>20</v>
      </c>
      <c r="D1447" t="s">
        <v>21</v>
      </c>
      <c r="E1447">
        <v>2222222</v>
      </c>
      <c r="F1447" s="8" t="s">
        <v>22</v>
      </c>
      <c r="G1447" s="2">
        <v>98</v>
      </c>
      <c r="H1447" t="s">
        <v>4084</v>
      </c>
      <c r="J1447" s="9" t="s">
        <v>5381</v>
      </c>
      <c r="K1447" t="s">
        <v>5469</v>
      </c>
      <c r="L1447" s="2">
        <v>1</v>
      </c>
      <c r="M1447" s="24" t="s">
        <v>5971</v>
      </c>
      <c r="N1447" s="2" t="s">
        <v>23</v>
      </c>
      <c r="O1447" s="18" t="s">
        <v>1199</v>
      </c>
      <c r="P1447" s="18" t="s">
        <v>0</v>
      </c>
      <c r="Q1447" s="6" t="s">
        <v>4475</v>
      </c>
      <c r="T1447" s="23">
        <v>45654</v>
      </c>
      <c r="U1447" s="23">
        <v>47114</v>
      </c>
      <c r="X1447" s="20">
        <v>5000</v>
      </c>
      <c r="Z1447" s="6" t="s">
        <v>5978</v>
      </c>
      <c r="AA1447" s="14">
        <f t="shared" ref="AA1447:AA1448" si="190">+(0.6/1000)</f>
        <v>5.9999999999999995E-4</v>
      </c>
      <c r="AB1447">
        <v>2.1168659999999999</v>
      </c>
      <c r="AC1447">
        <v>2.2015406400000002</v>
      </c>
    </row>
    <row r="1448" spans="1:29" x14ac:dyDescent="0.3">
      <c r="A1448">
        <v>150578</v>
      </c>
      <c r="B1448" s="25" t="s">
        <v>5984</v>
      </c>
      <c r="C1448" t="s">
        <v>20</v>
      </c>
      <c r="D1448" t="s">
        <v>21</v>
      </c>
      <c r="E1448">
        <v>2222222</v>
      </c>
      <c r="F1448" s="8" t="s">
        <v>22</v>
      </c>
      <c r="G1448" s="2">
        <v>98</v>
      </c>
      <c r="H1448" t="s">
        <v>4084</v>
      </c>
      <c r="J1448" s="9" t="s">
        <v>5470</v>
      </c>
      <c r="K1448" t="s">
        <v>5374</v>
      </c>
      <c r="L1448" s="2">
        <v>1</v>
      </c>
      <c r="M1448" s="24" t="s">
        <v>5971</v>
      </c>
      <c r="N1448" s="2" t="s">
        <v>23</v>
      </c>
      <c r="O1448" s="18" t="s">
        <v>1200</v>
      </c>
      <c r="P1448" s="18" t="s">
        <v>0</v>
      </c>
      <c r="Q1448" s="6" t="s">
        <v>4475</v>
      </c>
      <c r="T1448" s="23">
        <v>46105</v>
      </c>
      <c r="U1448" s="23">
        <v>49391</v>
      </c>
      <c r="X1448" s="20">
        <v>12600</v>
      </c>
      <c r="Z1448" s="6" t="s">
        <v>5978</v>
      </c>
      <c r="AA1448" s="14">
        <f t="shared" si="190"/>
        <v>5.9999999999999995E-4</v>
      </c>
      <c r="AB1448">
        <v>7.4004839999999987</v>
      </c>
      <c r="AC1448">
        <v>7.6965033599999986</v>
      </c>
    </row>
    <row r="1449" spans="1:29" x14ac:dyDescent="0.3">
      <c r="A1449">
        <v>116330</v>
      </c>
      <c r="B1449" s="25" t="s">
        <v>5984</v>
      </c>
      <c r="C1449" t="s">
        <v>20</v>
      </c>
      <c r="D1449" t="s">
        <v>21</v>
      </c>
      <c r="E1449">
        <v>2222222</v>
      </c>
      <c r="F1449" s="8" t="s">
        <v>22</v>
      </c>
      <c r="G1449" s="2">
        <v>98</v>
      </c>
      <c r="H1449" t="s">
        <v>4085</v>
      </c>
      <c r="J1449" s="9" t="s">
        <v>4950</v>
      </c>
      <c r="K1449" t="s">
        <v>4894</v>
      </c>
      <c r="L1449" s="2">
        <v>1</v>
      </c>
      <c r="M1449" s="24" t="s">
        <v>5971</v>
      </c>
      <c r="N1449" s="2" t="s">
        <v>23</v>
      </c>
      <c r="O1449" s="18" t="s">
        <v>1201</v>
      </c>
      <c r="P1449" s="18" t="s">
        <v>0</v>
      </c>
      <c r="Q1449" s="6" t="s">
        <v>4475</v>
      </c>
      <c r="T1449" s="23">
        <v>44132</v>
      </c>
      <c r="U1449" s="23">
        <v>44228</v>
      </c>
      <c r="X1449" s="20">
        <v>3375</v>
      </c>
      <c r="Z1449" s="6" t="s">
        <v>5978</v>
      </c>
      <c r="AA1449" s="15">
        <f>+(0.42/1000)</f>
        <v>4.1999999999999996E-4</v>
      </c>
      <c r="AB1449">
        <v>1.4175</v>
      </c>
      <c r="AC1449">
        <v>1.4742</v>
      </c>
    </row>
    <row r="1450" spans="1:29" x14ac:dyDescent="0.3">
      <c r="A1450">
        <v>147477</v>
      </c>
      <c r="B1450" s="25" t="s">
        <v>5984</v>
      </c>
      <c r="C1450" t="s">
        <v>20</v>
      </c>
      <c r="D1450" t="s">
        <v>21</v>
      </c>
      <c r="E1450">
        <v>2222222</v>
      </c>
      <c r="F1450" s="8" t="s">
        <v>22</v>
      </c>
      <c r="G1450" s="2">
        <v>98</v>
      </c>
      <c r="H1450" t="s">
        <v>4086</v>
      </c>
      <c r="J1450" s="9" t="s">
        <v>4838</v>
      </c>
      <c r="K1450" t="s">
        <v>5160</v>
      </c>
      <c r="L1450" s="2">
        <v>1</v>
      </c>
      <c r="M1450" s="24" t="s">
        <v>5971</v>
      </c>
      <c r="N1450" s="2" t="s">
        <v>23</v>
      </c>
      <c r="O1450" s="18" t="s">
        <v>1202</v>
      </c>
      <c r="P1450" s="18" t="s">
        <v>0</v>
      </c>
      <c r="Q1450" s="6" t="s">
        <v>4475</v>
      </c>
      <c r="T1450" s="23">
        <v>45891</v>
      </c>
      <c r="U1450" s="23">
        <v>46255</v>
      </c>
      <c r="X1450" s="20">
        <v>1370</v>
      </c>
      <c r="Z1450" s="6" t="s">
        <v>5978</v>
      </c>
      <c r="AA1450" s="14">
        <f t="shared" ref="AA1450:AA1475" si="191">+(0.6/1000)</f>
        <v>5.9999999999999995E-4</v>
      </c>
      <c r="AB1450">
        <v>0.21923999999999996</v>
      </c>
      <c r="AC1450">
        <v>0.22800959999999998</v>
      </c>
    </row>
    <row r="1451" spans="1:29" x14ac:dyDescent="0.3">
      <c r="A1451">
        <v>151509</v>
      </c>
      <c r="B1451" s="25" t="s">
        <v>5984</v>
      </c>
      <c r="C1451" t="s">
        <v>20</v>
      </c>
      <c r="D1451" t="s">
        <v>21</v>
      </c>
      <c r="E1451">
        <v>2222222</v>
      </c>
      <c r="F1451" s="8" t="s">
        <v>22</v>
      </c>
      <c r="G1451" s="2">
        <v>98</v>
      </c>
      <c r="H1451" t="s">
        <v>4087</v>
      </c>
      <c r="J1451" s="9" t="s">
        <v>5471</v>
      </c>
      <c r="K1451" t="s">
        <v>4942</v>
      </c>
      <c r="L1451" s="2">
        <v>1</v>
      </c>
      <c r="M1451" s="24" t="s">
        <v>5971</v>
      </c>
      <c r="N1451" s="2" t="s">
        <v>23</v>
      </c>
      <c r="O1451" s="18" t="s">
        <v>1203</v>
      </c>
      <c r="P1451" s="18" t="s">
        <v>3781</v>
      </c>
      <c r="Q1451" s="6" t="s">
        <v>4475</v>
      </c>
      <c r="T1451" s="23">
        <v>46169</v>
      </c>
      <c r="U1451" s="23">
        <v>46503</v>
      </c>
      <c r="X1451" s="20">
        <v>850</v>
      </c>
      <c r="Z1451" s="6" t="s">
        <v>5978</v>
      </c>
      <c r="AA1451" s="14">
        <f t="shared" si="191"/>
        <v>5.9999999999999995E-4</v>
      </c>
      <c r="AB1451">
        <v>0.42292799999999997</v>
      </c>
      <c r="AC1451">
        <v>0.43984511999999998</v>
      </c>
    </row>
    <row r="1452" spans="1:29" x14ac:dyDescent="0.3">
      <c r="A1452">
        <v>147798</v>
      </c>
      <c r="B1452" s="25" t="s">
        <v>5984</v>
      </c>
      <c r="C1452" t="s">
        <v>20</v>
      </c>
      <c r="D1452" t="s">
        <v>21</v>
      </c>
      <c r="E1452">
        <v>2222222</v>
      </c>
      <c r="F1452" s="8" t="s">
        <v>22</v>
      </c>
      <c r="G1452" s="2">
        <v>98</v>
      </c>
      <c r="H1452" t="s">
        <v>4088</v>
      </c>
      <c r="J1452" s="9" t="s">
        <v>4875</v>
      </c>
      <c r="K1452" t="s">
        <v>5472</v>
      </c>
      <c r="L1452" s="2">
        <v>1</v>
      </c>
      <c r="M1452" s="24" t="s">
        <v>5971</v>
      </c>
      <c r="N1452" s="2" t="s">
        <v>23</v>
      </c>
      <c r="O1452" s="18" t="s">
        <v>1092</v>
      </c>
      <c r="P1452" s="18" t="s">
        <v>0</v>
      </c>
      <c r="Q1452" s="6" t="s">
        <v>4475</v>
      </c>
      <c r="T1452" s="23">
        <v>45919</v>
      </c>
      <c r="U1452" s="23">
        <v>47015</v>
      </c>
      <c r="X1452" s="20">
        <v>6500</v>
      </c>
      <c r="Z1452" s="6" t="s">
        <v>5978</v>
      </c>
      <c r="AA1452" s="14">
        <f t="shared" si="191"/>
        <v>5.9999999999999995E-4</v>
      </c>
      <c r="AB1452">
        <v>2.9750039999999998</v>
      </c>
      <c r="AC1452">
        <v>3.0940041599999999</v>
      </c>
    </row>
    <row r="1453" spans="1:29" x14ac:dyDescent="0.3">
      <c r="A1453">
        <v>140963</v>
      </c>
      <c r="B1453" s="25" t="s">
        <v>5984</v>
      </c>
      <c r="C1453" t="s">
        <v>20</v>
      </c>
      <c r="D1453" t="s">
        <v>21</v>
      </c>
      <c r="E1453">
        <v>2222222</v>
      </c>
      <c r="F1453" s="8" t="s">
        <v>22</v>
      </c>
      <c r="G1453" s="2">
        <v>98</v>
      </c>
      <c r="H1453" t="s">
        <v>4089</v>
      </c>
      <c r="J1453" s="9" t="s">
        <v>5007</v>
      </c>
      <c r="K1453" t="s">
        <v>4848</v>
      </c>
      <c r="L1453" s="2">
        <v>1</v>
      </c>
      <c r="M1453" s="24" t="s">
        <v>5971</v>
      </c>
      <c r="N1453" s="2" t="s">
        <v>23</v>
      </c>
      <c r="O1453" s="18" t="s">
        <v>1204</v>
      </c>
      <c r="P1453" s="18" t="s">
        <v>0</v>
      </c>
      <c r="Q1453" s="6" t="s">
        <v>4475</v>
      </c>
      <c r="T1453" s="23">
        <v>45425</v>
      </c>
      <c r="U1453" s="23">
        <v>47250</v>
      </c>
      <c r="X1453" s="20">
        <v>11350</v>
      </c>
      <c r="Z1453" s="6" t="s">
        <v>5978</v>
      </c>
      <c r="AA1453" s="14">
        <f t="shared" si="191"/>
        <v>5.9999999999999995E-4</v>
      </c>
      <c r="AB1453">
        <v>4.5100139999999991</v>
      </c>
      <c r="AC1453">
        <v>4.6904145599999989</v>
      </c>
    </row>
    <row r="1454" spans="1:29" x14ac:dyDescent="0.3">
      <c r="A1454">
        <v>142748</v>
      </c>
      <c r="B1454" s="25" t="s">
        <v>5984</v>
      </c>
      <c r="C1454" t="s">
        <v>20</v>
      </c>
      <c r="D1454" t="s">
        <v>21</v>
      </c>
      <c r="E1454">
        <v>2222222</v>
      </c>
      <c r="F1454" s="8" t="s">
        <v>22</v>
      </c>
      <c r="G1454" s="2">
        <v>98</v>
      </c>
      <c r="H1454" t="s">
        <v>4089</v>
      </c>
      <c r="J1454" s="9" t="s">
        <v>4836</v>
      </c>
      <c r="K1454" t="s">
        <v>5030</v>
      </c>
      <c r="L1454" s="2">
        <v>1</v>
      </c>
      <c r="M1454" s="24" t="s">
        <v>5971</v>
      </c>
      <c r="N1454" s="2" t="s">
        <v>23</v>
      </c>
      <c r="O1454" s="18" t="s">
        <v>1205</v>
      </c>
      <c r="P1454" s="18" t="s">
        <v>3781</v>
      </c>
      <c r="Q1454" s="6" t="s">
        <v>4475</v>
      </c>
      <c r="T1454" s="23">
        <v>45541</v>
      </c>
      <c r="U1454" s="23">
        <v>47093</v>
      </c>
      <c r="X1454" s="20">
        <v>4500</v>
      </c>
      <c r="Z1454" s="6" t="s">
        <v>5978</v>
      </c>
      <c r="AA1454" s="14">
        <f t="shared" si="191"/>
        <v>5.9999999999999995E-4</v>
      </c>
      <c r="AB1454">
        <v>1.8675119999999998</v>
      </c>
      <c r="AC1454">
        <v>1.9422124799999998</v>
      </c>
    </row>
    <row r="1455" spans="1:29" x14ac:dyDescent="0.3">
      <c r="A1455">
        <v>142883</v>
      </c>
      <c r="B1455" s="25" t="s">
        <v>5984</v>
      </c>
      <c r="C1455" t="s">
        <v>20</v>
      </c>
      <c r="D1455" t="s">
        <v>21</v>
      </c>
      <c r="E1455">
        <v>2222222</v>
      </c>
      <c r="F1455" s="8" t="s">
        <v>22</v>
      </c>
      <c r="G1455" s="2">
        <v>98</v>
      </c>
      <c r="H1455" t="s">
        <v>4089</v>
      </c>
      <c r="J1455" s="9" t="s">
        <v>4873</v>
      </c>
      <c r="K1455" t="s">
        <v>5345</v>
      </c>
      <c r="L1455" s="2">
        <v>1</v>
      </c>
      <c r="M1455" s="24" t="s">
        <v>5971</v>
      </c>
      <c r="N1455" s="2" t="s">
        <v>23</v>
      </c>
      <c r="O1455" s="18" t="s">
        <v>1206</v>
      </c>
      <c r="P1455" s="18" t="s">
        <v>3781</v>
      </c>
      <c r="Q1455" s="6" t="s">
        <v>4475</v>
      </c>
      <c r="T1455" s="23">
        <v>45552</v>
      </c>
      <c r="U1455" s="23">
        <v>46647</v>
      </c>
      <c r="X1455" s="20">
        <v>2500</v>
      </c>
      <c r="Z1455" s="6" t="s">
        <v>5978</v>
      </c>
      <c r="AA1455" s="14">
        <f t="shared" si="191"/>
        <v>5.9999999999999995E-4</v>
      </c>
      <c r="AB1455">
        <v>0.772482</v>
      </c>
      <c r="AC1455">
        <v>0.80338127999999998</v>
      </c>
    </row>
    <row r="1456" spans="1:29" x14ac:dyDescent="0.3">
      <c r="A1456">
        <v>143207</v>
      </c>
      <c r="B1456" s="25" t="s">
        <v>5984</v>
      </c>
      <c r="C1456" t="s">
        <v>20</v>
      </c>
      <c r="D1456" t="s">
        <v>21</v>
      </c>
      <c r="E1456">
        <v>2222222</v>
      </c>
      <c r="F1456" s="8" t="s">
        <v>22</v>
      </c>
      <c r="G1456" s="2">
        <v>98</v>
      </c>
      <c r="H1456" t="s">
        <v>4089</v>
      </c>
      <c r="J1456" s="9" t="s">
        <v>4826</v>
      </c>
      <c r="K1456" t="s">
        <v>5234</v>
      </c>
      <c r="L1456" s="2">
        <v>1</v>
      </c>
      <c r="M1456" s="24" t="s">
        <v>5971</v>
      </c>
      <c r="N1456" s="2" t="s">
        <v>23</v>
      </c>
      <c r="O1456" s="18" t="s">
        <v>1207</v>
      </c>
      <c r="P1456" s="18" t="s">
        <v>0</v>
      </c>
      <c r="Q1456" s="6" t="s">
        <v>4475</v>
      </c>
      <c r="T1456" s="23">
        <v>45575</v>
      </c>
      <c r="U1456" s="23">
        <v>47035</v>
      </c>
      <c r="X1456" s="20">
        <v>15500</v>
      </c>
      <c r="Z1456" s="6" t="s">
        <v>5978</v>
      </c>
      <c r="AA1456" s="14">
        <f t="shared" si="191"/>
        <v>5.9999999999999995E-4</v>
      </c>
      <c r="AB1456">
        <v>6.0859799999999993</v>
      </c>
      <c r="AC1456">
        <v>6.3294191999999994</v>
      </c>
    </row>
    <row r="1457" spans="1:29" x14ac:dyDescent="0.3">
      <c r="A1457">
        <v>143464</v>
      </c>
      <c r="B1457" s="25" t="s">
        <v>5984</v>
      </c>
      <c r="C1457" t="s">
        <v>20</v>
      </c>
      <c r="D1457" t="s">
        <v>21</v>
      </c>
      <c r="E1457">
        <v>2222222</v>
      </c>
      <c r="F1457" s="8" t="s">
        <v>22</v>
      </c>
      <c r="G1457" s="2">
        <v>98</v>
      </c>
      <c r="H1457" t="s">
        <v>4089</v>
      </c>
      <c r="J1457" s="9" t="s">
        <v>4916</v>
      </c>
      <c r="K1457" t="s">
        <v>4761</v>
      </c>
      <c r="L1457" s="2">
        <v>1</v>
      </c>
      <c r="M1457" s="24" t="s">
        <v>5971</v>
      </c>
      <c r="N1457" s="2" t="s">
        <v>23</v>
      </c>
      <c r="O1457" s="18" t="s">
        <v>1208</v>
      </c>
      <c r="P1457" s="18" t="s">
        <v>3781</v>
      </c>
      <c r="Q1457" s="6" t="s">
        <v>4475</v>
      </c>
      <c r="T1457" s="23">
        <v>45594</v>
      </c>
      <c r="U1457" s="23">
        <v>47059</v>
      </c>
      <c r="X1457" s="20">
        <v>4375</v>
      </c>
      <c r="Z1457" s="6" t="s">
        <v>5978</v>
      </c>
      <c r="AA1457" s="14">
        <f t="shared" si="191"/>
        <v>5.9999999999999995E-4</v>
      </c>
      <c r="AB1457">
        <v>1.7653559999999999</v>
      </c>
      <c r="AC1457">
        <v>1.83597024</v>
      </c>
    </row>
    <row r="1458" spans="1:29" x14ac:dyDescent="0.3">
      <c r="A1458">
        <v>143504</v>
      </c>
      <c r="B1458" s="25" t="s">
        <v>5984</v>
      </c>
      <c r="C1458" t="s">
        <v>20</v>
      </c>
      <c r="D1458" t="s">
        <v>21</v>
      </c>
      <c r="E1458">
        <v>2222222</v>
      </c>
      <c r="F1458" s="8" t="s">
        <v>22</v>
      </c>
      <c r="G1458" s="2">
        <v>98</v>
      </c>
      <c r="H1458" t="s">
        <v>4089</v>
      </c>
      <c r="J1458" s="9" t="s">
        <v>5323</v>
      </c>
      <c r="K1458" t="s">
        <v>4853</v>
      </c>
      <c r="L1458" s="2">
        <v>1</v>
      </c>
      <c r="M1458" s="24" t="s">
        <v>5971</v>
      </c>
      <c r="N1458" s="2" t="s">
        <v>23</v>
      </c>
      <c r="O1458" s="18" t="s">
        <v>1209</v>
      </c>
      <c r="P1458" s="18" t="s">
        <v>0</v>
      </c>
      <c r="Q1458" s="6" t="s">
        <v>4475</v>
      </c>
      <c r="T1458" s="23">
        <v>45596</v>
      </c>
      <c r="U1458" s="23">
        <v>47056</v>
      </c>
      <c r="X1458" s="20">
        <v>3180</v>
      </c>
      <c r="Z1458" s="6" t="s">
        <v>5978</v>
      </c>
      <c r="AA1458" s="14">
        <f t="shared" si="191"/>
        <v>5.9999999999999995E-4</v>
      </c>
      <c r="AB1458">
        <v>1.2484919999999999</v>
      </c>
      <c r="AC1458">
        <v>1.29843168</v>
      </c>
    </row>
    <row r="1459" spans="1:29" x14ac:dyDescent="0.3">
      <c r="A1459">
        <v>143568</v>
      </c>
      <c r="B1459" s="25" t="s">
        <v>5984</v>
      </c>
      <c r="C1459" t="s">
        <v>20</v>
      </c>
      <c r="D1459" t="s">
        <v>21</v>
      </c>
      <c r="E1459">
        <v>2222222</v>
      </c>
      <c r="F1459" s="8" t="s">
        <v>22</v>
      </c>
      <c r="G1459" s="2">
        <v>98</v>
      </c>
      <c r="H1459" t="s">
        <v>4089</v>
      </c>
      <c r="J1459" s="9" t="s">
        <v>5206</v>
      </c>
      <c r="K1459" t="s">
        <v>5179</v>
      </c>
      <c r="L1459" s="2">
        <v>1</v>
      </c>
      <c r="M1459" s="24" t="s">
        <v>5971</v>
      </c>
      <c r="N1459" s="2" t="s">
        <v>23</v>
      </c>
      <c r="O1459" s="18" t="s">
        <v>1210</v>
      </c>
      <c r="P1459" s="18" t="s">
        <v>3781</v>
      </c>
      <c r="Q1459" s="6" t="s">
        <v>4475</v>
      </c>
      <c r="T1459" s="23">
        <v>45603</v>
      </c>
      <c r="U1459" s="23">
        <v>47521</v>
      </c>
      <c r="X1459" s="20">
        <v>5000</v>
      </c>
      <c r="Z1459" s="6" t="s">
        <v>5978</v>
      </c>
      <c r="AA1459" s="14">
        <f t="shared" si="191"/>
        <v>5.9999999999999995E-4</v>
      </c>
      <c r="AB1459">
        <v>2.3900339999999995</v>
      </c>
      <c r="AC1459">
        <v>2.4856353599999994</v>
      </c>
    </row>
    <row r="1460" spans="1:29" x14ac:dyDescent="0.3">
      <c r="A1460">
        <v>144205</v>
      </c>
      <c r="B1460" s="25" t="s">
        <v>5984</v>
      </c>
      <c r="C1460" t="s">
        <v>20</v>
      </c>
      <c r="D1460" t="s">
        <v>21</v>
      </c>
      <c r="E1460">
        <v>2222222</v>
      </c>
      <c r="F1460" s="8" t="s">
        <v>22</v>
      </c>
      <c r="G1460" s="2">
        <v>98</v>
      </c>
      <c r="H1460" t="s">
        <v>4089</v>
      </c>
      <c r="J1460" s="9" t="s">
        <v>5045</v>
      </c>
      <c r="K1460" t="s">
        <v>4829</v>
      </c>
      <c r="L1460" s="2">
        <v>1</v>
      </c>
      <c r="M1460" s="24" t="s">
        <v>5971</v>
      </c>
      <c r="N1460" s="2" t="s">
        <v>23</v>
      </c>
      <c r="O1460" s="18" t="s">
        <v>1211</v>
      </c>
      <c r="P1460" s="18" t="s">
        <v>3781</v>
      </c>
      <c r="Q1460" s="6" t="s">
        <v>4475</v>
      </c>
      <c r="T1460" s="23">
        <v>45646</v>
      </c>
      <c r="U1460" s="23">
        <v>46375</v>
      </c>
      <c r="X1460" s="20">
        <v>3000</v>
      </c>
      <c r="Z1460" s="6" t="s">
        <v>5978</v>
      </c>
      <c r="AA1460" s="14">
        <f t="shared" si="191"/>
        <v>5.9999999999999995E-4</v>
      </c>
      <c r="AB1460">
        <v>0.42586199999999996</v>
      </c>
      <c r="AC1460">
        <v>0.44289647999999998</v>
      </c>
    </row>
    <row r="1461" spans="1:29" x14ac:dyDescent="0.3">
      <c r="A1461">
        <v>145061</v>
      </c>
      <c r="B1461" s="25" t="s">
        <v>5984</v>
      </c>
      <c r="C1461" t="s">
        <v>20</v>
      </c>
      <c r="D1461" t="s">
        <v>21</v>
      </c>
      <c r="E1461">
        <v>2222222</v>
      </c>
      <c r="F1461" s="8" t="s">
        <v>22</v>
      </c>
      <c r="G1461" s="2">
        <v>98</v>
      </c>
      <c r="H1461" t="s">
        <v>4089</v>
      </c>
      <c r="J1461" s="9" t="s">
        <v>4903</v>
      </c>
      <c r="K1461" t="s">
        <v>5056</v>
      </c>
      <c r="L1461" s="2">
        <v>1</v>
      </c>
      <c r="M1461" s="24" t="s">
        <v>5971</v>
      </c>
      <c r="N1461" s="2" t="s">
        <v>23</v>
      </c>
      <c r="O1461" s="18" t="s">
        <v>1212</v>
      </c>
      <c r="P1461" s="18" t="s">
        <v>3781</v>
      </c>
      <c r="Q1461" s="6" t="s">
        <v>4475</v>
      </c>
      <c r="T1461" s="23">
        <v>45708</v>
      </c>
      <c r="U1461" s="23">
        <v>46805</v>
      </c>
      <c r="X1461" s="20">
        <v>4850</v>
      </c>
      <c r="Z1461" s="6" t="s">
        <v>5978</v>
      </c>
      <c r="AA1461" s="14">
        <f t="shared" si="191"/>
        <v>5.9999999999999995E-4</v>
      </c>
      <c r="AB1461">
        <v>1.7310299999999998</v>
      </c>
      <c r="AC1461">
        <v>1.8002711999999998</v>
      </c>
    </row>
    <row r="1462" spans="1:29" x14ac:dyDescent="0.3">
      <c r="A1462">
        <v>145737</v>
      </c>
      <c r="B1462" s="25" t="s">
        <v>5984</v>
      </c>
      <c r="C1462" t="s">
        <v>20</v>
      </c>
      <c r="D1462" t="s">
        <v>21</v>
      </c>
      <c r="E1462">
        <v>2222222</v>
      </c>
      <c r="F1462" s="8" t="s">
        <v>22</v>
      </c>
      <c r="G1462" s="2">
        <v>98</v>
      </c>
      <c r="H1462" t="s">
        <v>4089</v>
      </c>
      <c r="J1462" s="9" t="s">
        <v>5206</v>
      </c>
      <c r="K1462" t="s">
        <v>5179</v>
      </c>
      <c r="L1462" s="2">
        <v>1</v>
      </c>
      <c r="M1462" s="24" t="s">
        <v>5971</v>
      </c>
      <c r="N1462" s="2" t="s">
        <v>23</v>
      </c>
      <c r="O1462" s="18" t="s">
        <v>1210</v>
      </c>
      <c r="P1462" s="18" t="s">
        <v>3781</v>
      </c>
      <c r="Q1462" s="6" t="s">
        <v>4475</v>
      </c>
      <c r="T1462" s="23">
        <v>45760</v>
      </c>
      <c r="U1462" s="23">
        <v>47282</v>
      </c>
      <c r="X1462" s="20">
        <v>6000</v>
      </c>
      <c r="Z1462" s="6" t="s">
        <v>5978</v>
      </c>
      <c r="AA1462" s="14">
        <f t="shared" si="191"/>
        <v>5.9999999999999995E-4</v>
      </c>
      <c r="AB1462">
        <v>2.7322439999999997</v>
      </c>
      <c r="AC1462">
        <v>2.8415337599999999</v>
      </c>
    </row>
    <row r="1463" spans="1:29" x14ac:dyDescent="0.3">
      <c r="A1463">
        <v>145738</v>
      </c>
      <c r="B1463" s="25" t="s">
        <v>5984</v>
      </c>
      <c r="C1463" t="s">
        <v>20</v>
      </c>
      <c r="D1463" t="s">
        <v>21</v>
      </c>
      <c r="E1463">
        <v>2222222</v>
      </c>
      <c r="F1463" s="8" t="s">
        <v>22</v>
      </c>
      <c r="G1463" s="2">
        <v>98</v>
      </c>
      <c r="H1463" t="s">
        <v>4089</v>
      </c>
      <c r="J1463" s="9" t="s">
        <v>5206</v>
      </c>
      <c r="K1463" t="s">
        <v>5179</v>
      </c>
      <c r="L1463" s="2">
        <v>1</v>
      </c>
      <c r="M1463" s="24" t="s">
        <v>5971</v>
      </c>
      <c r="N1463" s="2" t="s">
        <v>23</v>
      </c>
      <c r="O1463" s="18" t="s">
        <v>1210</v>
      </c>
      <c r="P1463" s="18" t="s">
        <v>3781</v>
      </c>
      <c r="Q1463" s="6" t="s">
        <v>4475</v>
      </c>
      <c r="T1463" s="23">
        <v>45760</v>
      </c>
      <c r="U1463" s="23">
        <v>47221</v>
      </c>
      <c r="X1463" s="20">
        <v>4870</v>
      </c>
      <c r="Z1463" s="6" t="s">
        <v>5978</v>
      </c>
      <c r="AA1463" s="14">
        <f t="shared" si="191"/>
        <v>5.9999999999999995E-4</v>
      </c>
      <c r="AB1463">
        <v>2.2240139999999999</v>
      </c>
      <c r="AC1463">
        <v>2.3129745599999998</v>
      </c>
    </row>
    <row r="1464" spans="1:29" x14ac:dyDescent="0.3">
      <c r="A1464">
        <v>145800</v>
      </c>
      <c r="B1464" s="25" t="s">
        <v>5984</v>
      </c>
      <c r="C1464" t="s">
        <v>20</v>
      </c>
      <c r="D1464" t="s">
        <v>21</v>
      </c>
      <c r="E1464">
        <v>2222222</v>
      </c>
      <c r="F1464" s="8" t="s">
        <v>22</v>
      </c>
      <c r="G1464" s="2">
        <v>98</v>
      </c>
      <c r="H1464" t="s">
        <v>4089</v>
      </c>
      <c r="J1464" s="9" t="s">
        <v>5165</v>
      </c>
      <c r="K1464" t="s">
        <v>4924</v>
      </c>
      <c r="L1464" s="2">
        <v>1</v>
      </c>
      <c r="M1464" s="24" t="s">
        <v>5971</v>
      </c>
      <c r="N1464" s="2" t="s">
        <v>23</v>
      </c>
      <c r="O1464" s="18" t="s">
        <v>1213</v>
      </c>
      <c r="P1464" s="18" t="s">
        <v>3781</v>
      </c>
      <c r="Q1464" s="6" t="s">
        <v>4475</v>
      </c>
      <c r="T1464" s="23">
        <v>45764</v>
      </c>
      <c r="U1464" s="23">
        <v>46494</v>
      </c>
      <c r="X1464" s="20">
        <v>2000</v>
      </c>
      <c r="Z1464" s="6" t="s">
        <v>5978</v>
      </c>
      <c r="AA1464" s="14">
        <f t="shared" si="191"/>
        <v>5.9999999999999995E-4</v>
      </c>
      <c r="AB1464">
        <v>0.55048799999999998</v>
      </c>
      <c r="AC1464">
        <v>0.57250752000000005</v>
      </c>
    </row>
    <row r="1465" spans="1:29" x14ac:dyDescent="0.3">
      <c r="A1465">
        <v>146504</v>
      </c>
      <c r="B1465" s="25" t="s">
        <v>5984</v>
      </c>
      <c r="C1465" t="s">
        <v>20</v>
      </c>
      <c r="D1465" t="s">
        <v>21</v>
      </c>
      <c r="E1465">
        <v>2222222</v>
      </c>
      <c r="F1465" s="8" t="s">
        <v>22</v>
      </c>
      <c r="G1465" s="2">
        <v>98</v>
      </c>
      <c r="H1465" t="s">
        <v>4089</v>
      </c>
      <c r="J1465" s="9" t="s">
        <v>5055</v>
      </c>
      <c r="K1465" t="s">
        <v>4859</v>
      </c>
      <c r="L1465" s="2">
        <v>1</v>
      </c>
      <c r="M1465" s="24" t="s">
        <v>5971</v>
      </c>
      <c r="N1465" s="2" t="s">
        <v>23</v>
      </c>
      <c r="O1465" s="18" t="s">
        <v>1214</v>
      </c>
      <c r="P1465" s="18" t="s">
        <v>3781</v>
      </c>
      <c r="Q1465" s="6" t="s">
        <v>4475</v>
      </c>
      <c r="T1465" s="23">
        <v>45824</v>
      </c>
      <c r="U1465" s="23">
        <v>47650</v>
      </c>
      <c r="X1465" s="20">
        <v>7750</v>
      </c>
      <c r="Z1465" s="6" t="s">
        <v>5978</v>
      </c>
      <c r="AA1465" s="14">
        <f t="shared" si="191"/>
        <v>5.9999999999999995E-4</v>
      </c>
      <c r="AB1465">
        <v>3.9001859999999997</v>
      </c>
      <c r="AC1465">
        <v>4.0561934399999995</v>
      </c>
    </row>
    <row r="1466" spans="1:29" x14ac:dyDescent="0.3">
      <c r="A1466">
        <v>148877</v>
      </c>
      <c r="B1466" s="25" t="s">
        <v>5984</v>
      </c>
      <c r="C1466" t="s">
        <v>20</v>
      </c>
      <c r="D1466" t="s">
        <v>21</v>
      </c>
      <c r="E1466">
        <v>2222222</v>
      </c>
      <c r="F1466" s="8" t="s">
        <v>22</v>
      </c>
      <c r="G1466" s="2">
        <v>98</v>
      </c>
      <c r="H1466" t="s">
        <v>4089</v>
      </c>
      <c r="J1466" s="9" t="s">
        <v>4990</v>
      </c>
      <c r="K1466" t="s">
        <v>4863</v>
      </c>
      <c r="L1466" s="2">
        <v>1</v>
      </c>
      <c r="M1466" s="24" t="s">
        <v>5971</v>
      </c>
      <c r="N1466" s="2" t="s">
        <v>23</v>
      </c>
      <c r="O1466" s="18" t="s">
        <v>1215</v>
      </c>
      <c r="P1466" s="18" t="s">
        <v>3781</v>
      </c>
      <c r="Q1466" s="6" t="s">
        <v>4475</v>
      </c>
      <c r="T1466" s="23">
        <v>45990</v>
      </c>
      <c r="U1466" s="23">
        <v>46902</v>
      </c>
      <c r="X1466" s="20">
        <v>20000</v>
      </c>
      <c r="Z1466" s="6" t="s">
        <v>5978</v>
      </c>
      <c r="AA1466" s="14">
        <f t="shared" si="191"/>
        <v>5.9999999999999995E-4</v>
      </c>
      <c r="AB1466">
        <v>9.6107999999999993</v>
      </c>
      <c r="AC1466">
        <v>9.9952319999999997</v>
      </c>
    </row>
    <row r="1467" spans="1:29" x14ac:dyDescent="0.3">
      <c r="A1467">
        <v>150183</v>
      </c>
      <c r="B1467" s="25" t="s">
        <v>5984</v>
      </c>
      <c r="C1467" t="s">
        <v>20</v>
      </c>
      <c r="D1467" t="s">
        <v>21</v>
      </c>
      <c r="E1467">
        <v>2222222</v>
      </c>
      <c r="F1467" s="8" t="s">
        <v>22</v>
      </c>
      <c r="G1467" s="2">
        <v>98</v>
      </c>
      <c r="H1467" t="s">
        <v>4089</v>
      </c>
      <c r="J1467" s="9" t="s">
        <v>5206</v>
      </c>
      <c r="K1467" t="s">
        <v>5179</v>
      </c>
      <c r="L1467" s="2">
        <v>1</v>
      </c>
      <c r="M1467" s="24" t="s">
        <v>5971</v>
      </c>
      <c r="N1467" s="2" t="s">
        <v>23</v>
      </c>
      <c r="O1467" s="18" t="s">
        <v>1210</v>
      </c>
      <c r="P1467" s="18" t="s">
        <v>3781</v>
      </c>
      <c r="Q1467" s="6" t="s">
        <v>4475</v>
      </c>
      <c r="T1467" s="23">
        <v>46078</v>
      </c>
      <c r="U1467" s="23">
        <v>47906</v>
      </c>
      <c r="X1467" s="20">
        <v>9800</v>
      </c>
      <c r="Z1467" s="6" t="s">
        <v>5978</v>
      </c>
      <c r="AA1467" s="14">
        <f t="shared" si="191"/>
        <v>5.9999999999999995E-4</v>
      </c>
      <c r="AB1467">
        <v>5.5499819999999991</v>
      </c>
      <c r="AC1467">
        <v>5.7719812799999994</v>
      </c>
    </row>
    <row r="1468" spans="1:29" x14ac:dyDescent="0.3">
      <c r="A1468">
        <v>150553</v>
      </c>
      <c r="B1468" s="25" t="s">
        <v>5984</v>
      </c>
      <c r="C1468" t="s">
        <v>20</v>
      </c>
      <c r="D1468" t="s">
        <v>21</v>
      </c>
      <c r="E1468">
        <v>2222222</v>
      </c>
      <c r="F1468" s="8" t="s">
        <v>22</v>
      </c>
      <c r="G1468" s="2">
        <v>98</v>
      </c>
      <c r="H1468" t="s">
        <v>4089</v>
      </c>
      <c r="J1468" s="9" t="s">
        <v>5055</v>
      </c>
      <c r="K1468" t="s">
        <v>4859</v>
      </c>
      <c r="L1468" s="2">
        <v>1</v>
      </c>
      <c r="M1468" s="24" t="s">
        <v>5971</v>
      </c>
      <c r="N1468" s="2" t="s">
        <v>23</v>
      </c>
      <c r="O1468" s="18" t="s">
        <v>1214</v>
      </c>
      <c r="P1468" s="18" t="s">
        <v>3781</v>
      </c>
      <c r="Q1468" s="6" t="s">
        <v>4475</v>
      </c>
      <c r="T1468" s="23">
        <v>46111</v>
      </c>
      <c r="U1468" s="23">
        <v>47937</v>
      </c>
      <c r="X1468" s="20">
        <v>4950</v>
      </c>
      <c r="Z1468" s="6" t="s">
        <v>5978</v>
      </c>
      <c r="AA1468" s="14">
        <f t="shared" si="191"/>
        <v>5.9999999999999995E-4</v>
      </c>
      <c r="AB1468">
        <v>2.8296539999999997</v>
      </c>
      <c r="AC1468">
        <v>2.9428401599999998</v>
      </c>
    </row>
    <row r="1469" spans="1:29" x14ac:dyDescent="0.3">
      <c r="A1469">
        <v>150602</v>
      </c>
      <c r="B1469" s="25" t="s">
        <v>5984</v>
      </c>
      <c r="C1469" t="s">
        <v>20</v>
      </c>
      <c r="D1469" t="s">
        <v>21</v>
      </c>
      <c r="E1469">
        <v>2222222</v>
      </c>
      <c r="F1469" s="8" t="s">
        <v>22</v>
      </c>
      <c r="G1469" s="2">
        <v>98</v>
      </c>
      <c r="H1469" t="s">
        <v>4089</v>
      </c>
      <c r="J1469" s="9" t="s">
        <v>5473</v>
      </c>
      <c r="K1469" t="s">
        <v>5421</v>
      </c>
      <c r="L1469" s="2">
        <v>1</v>
      </c>
      <c r="M1469" s="24" t="s">
        <v>5971</v>
      </c>
      <c r="N1469" s="2" t="s">
        <v>23</v>
      </c>
      <c r="O1469" s="18" t="s">
        <v>1216</v>
      </c>
      <c r="P1469" s="18" t="s">
        <v>0</v>
      </c>
      <c r="Q1469" s="6" t="s">
        <v>4475</v>
      </c>
      <c r="T1469" s="23">
        <v>46104</v>
      </c>
      <c r="U1469" s="23">
        <v>46835</v>
      </c>
      <c r="X1469" s="20">
        <v>6500</v>
      </c>
      <c r="Z1469" s="6" t="s">
        <v>5978</v>
      </c>
      <c r="AA1469" s="14">
        <f t="shared" si="191"/>
        <v>5.9999999999999995E-4</v>
      </c>
      <c r="AB1469">
        <v>3.3129119999999999</v>
      </c>
      <c r="AC1469">
        <v>3.4454284799999999</v>
      </c>
    </row>
    <row r="1470" spans="1:29" x14ac:dyDescent="0.3">
      <c r="A1470">
        <v>151176</v>
      </c>
      <c r="B1470" s="25" t="s">
        <v>5984</v>
      </c>
      <c r="C1470" t="s">
        <v>20</v>
      </c>
      <c r="D1470" t="s">
        <v>21</v>
      </c>
      <c r="E1470">
        <v>2222222</v>
      </c>
      <c r="F1470" s="8" t="s">
        <v>22</v>
      </c>
      <c r="G1470" s="2">
        <v>98</v>
      </c>
      <c r="H1470" t="s">
        <v>4089</v>
      </c>
      <c r="J1470" s="9" t="s">
        <v>4875</v>
      </c>
      <c r="K1470" t="s">
        <v>5189</v>
      </c>
      <c r="L1470" s="2">
        <v>1</v>
      </c>
      <c r="M1470" s="24" t="s">
        <v>5971</v>
      </c>
      <c r="N1470" s="2" t="s">
        <v>23</v>
      </c>
      <c r="O1470" s="18" t="s">
        <v>1217</v>
      </c>
      <c r="P1470" s="18" t="s">
        <v>0</v>
      </c>
      <c r="Q1470" s="6" t="s">
        <v>4475</v>
      </c>
      <c r="T1470" s="23">
        <v>46142</v>
      </c>
      <c r="U1470" s="23">
        <v>46232</v>
      </c>
      <c r="X1470" s="20">
        <v>4980</v>
      </c>
      <c r="Z1470" s="6" t="s">
        <v>5978</v>
      </c>
      <c r="AA1470" s="14">
        <f t="shared" si="191"/>
        <v>5.9999999999999995E-4</v>
      </c>
      <c r="AB1470">
        <v>2.9588999999999999</v>
      </c>
      <c r="AC1470">
        <v>3.0772559999999998</v>
      </c>
    </row>
    <row r="1471" spans="1:29" x14ac:dyDescent="0.3">
      <c r="A1471">
        <v>151177</v>
      </c>
      <c r="B1471" s="25" t="s">
        <v>5984</v>
      </c>
      <c r="C1471" t="s">
        <v>20</v>
      </c>
      <c r="D1471" t="s">
        <v>21</v>
      </c>
      <c r="E1471">
        <v>2222222</v>
      </c>
      <c r="F1471" s="8" t="s">
        <v>22</v>
      </c>
      <c r="G1471" s="2">
        <v>98</v>
      </c>
      <c r="H1471" t="s">
        <v>4089</v>
      </c>
      <c r="J1471" s="9" t="s">
        <v>4875</v>
      </c>
      <c r="K1471" t="s">
        <v>5189</v>
      </c>
      <c r="L1471" s="2">
        <v>1</v>
      </c>
      <c r="M1471" s="24" t="s">
        <v>5971</v>
      </c>
      <c r="N1471" s="2" t="s">
        <v>23</v>
      </c>
      <c r="O1471" s="18" t="s">
        <v>1217</v>
      </c>
      <c r="P1471" s="18" t="s">
        <v>0</v>
      </c>
      <c r="Q1471" s="6" t="s">
        <v>4475</v>
      </c>
      <c r="T1471" s="23">
        <v>46142</v>
      </c>
      <c r="U1471" s="23">
        <v>46232</v>
      </c>
      <c r="X1471" s="20">
        <v>410</v>
      </c>
      <c r="Z1471" s="6" t="s">
        <v>5978</v>
      </c>
      <c r="AA1471" s="14">
        <f t="shared" si="191"/>
        <v>5.9999999999999995E-4</v>
      </c>
      <c r="AB1471">
        <v>0.24214799999999997</v>
      </c>
      <c r="AC1471">
        <v>0.25183391999999999</v>
      </c>
    </row>
    <row r="1472" spans="1:29" x14ac:dyDescent="0.3">
      <c r="A1472">
        <v>151375</v>
      </c>
      <c r="B1472" s="25" t="s">
        <v>5984</v>
      </c>
      <c r="C1472" t="s">
        <v>20</v>
      </c>
      <c r="D1472" t="s">
        <v>21</v>
      </c>
      <c r="E1472">
        <v>2222222</v>
      </c>
      <c r="F1472" s="8" t="s">
        <v>22</v>
      </c>
      <c r="G1472" s="2">
        <v>98</v>
      </c>
      <c r="H1472" t="s">
        <v>4089</v>
      </c>
      <c r="J1472" s="9" t="s">
        <v>5093</v>
      </c>
      <c r="K1472" t="s">
        <v>5075</v>
      </c>
      <c r="L1472" s="2">
        <v>1</v>
      </c>
      <c r="M1472" s="24" t="s">
        <v>5971</v>
      </c>
      <c r="N1472" s="2" t="s">
        <v>23</v>
      </c>
      <c r="O1472" s="18" t="s">
        <v>1218</v>
      </c>
      <c r="P1472" s="18" t="s">
        <v>3781</v>
      </c>
      <c r="Q1472" s="6" t="s">
        <v>4475</v>
      </c>
      <c r="T1472" s="23">
        <v>46160</v>
      </c>
      <c r="U1472" s="23">
        <v>46250</v>
      </c>
      <c r="X1472" s="20">
        <v>2000</v>
      </c>
      <c r="Z1472" s="6" t="s">
        <v>5978</v>
      </c>
      <c r="AA1472" s="14">
        <f t="shared" si="191"/>
        <v>5.9999999999999995E-4</v>
      </c>
      <c r="AB1472">
        <v>1.2</v>
      </c>
      <c r="AC1472">
        <v>1.248</v>
      </c>
    </row>
    <row r="1473" spans="1:29" x14ac:dyDescent="0.3">
      <c r="A1473">
        <v>151740</v>
      </c>
      <c r="B1473" s="25" t="s">
        <v>5984</v>
      </c>
      <c r="C1473" t="s">
        <v>20</v>
      </c>
      <c r="D1473" t="s">
        <v>21</v>
      </c>
      <c r="E1473">
        <v>2222222</v>
      </c>
      <c r="F1473" s="8" t="s">
        <v>22</v>
      </c>
      <c r="G1473" s="2">
        <v>98</v>
      </c>
      <c r="H1473" t="s">
        <v>4089</v>
      </c>
      <c r="J1473" s="9" t="s">
        <v>4838</v>
      </c>
      <c r="K1473" t="s">
        <v>4856</v>
      </c>
      <c r="L1473" s="2">
        <v>1</v>
      </c>
      <c r="M1473" s="24" t="s">
        <v>5971</v>
      </c>
      <c r="N1473" s="2" t="s">
        <v>23</v>
      </c>
      <c r="O1473" s="18" t="s">
        <v>1219</v>
      </c>
      <c r="P1473" s="18" t="s">
        <v>0</v>
      </c>
      <c r="Q1473" s="6" t="s">
        <v>4475</v>
      </c>
      <c r="T1473" s="23">
        <v>46202</v>
      </c>
      <c r="U1473" s="23">
        <v>48028</v>
      </c>
      <c r="X1473" s="20">
        <v>20000</v>
      </c>
      <c r="Z1473" s="6" t="s">
        <v>5978</v>
      </c>
      <c r="AA1473" s="14">
        <f t="shared" si="191"/>
        <v>5.9999999999999995E-4</v>
      </c>
      <c r="AB1473">
        <v>11.848049999999999</v>
      </c>
      <c r="AC1473">
        <v>12.321971999999999</v>
      </c>
    </row>
    <row r="1474" spans="1:29" x14ac:dyDescent="0.3">
      <c r="A1474">
        <v>151813</v>
      </c>
      <c r="B1474" s="25" t="s">
        <v>5984</v>
      </c>
      <c r="C1474" t="s">
        <v>20</v>
      </c>
      <c r="D1474" t="s">
        <v>21</v>
      </c>
      <c r="E1474">
        <v>2222222</v>
      </c>
      <c r="F1474" s="8" t="s">
        <v>22</v>
      </c>
      <c r="G1474" s="2">
        <v>98</v>
      </c>
      <c r="H1474" t="s">
        <v>4089</v>
      </c>
      <c r="J1474" s="9" t="s">
        <v>5060</v>
      </c>
      <c r="K1474" t="s">
        <v>5474</v>
      </c>
      <c r="L1474" s="2">
        <v>1</v>
      </c>
      <c r="M1474" s="24" t="s">
        <v>5971</v>
      </c>
      <c r="N1474" s="2" t="s">
        <v>23</v>
      </c>
      <c r="O1474" s="18" t="s">
        <v>1220</v>
      </c>
      <c r="P1474" s="18" t="s">
        <v>3781</v>
      </c>
      <c r="Q1474" s="6" t="s">
        <v>4475</v>
      </c>
      <c r="T1474" s="23">
        <v>46189</v>
      </c>
      <c r="U1474" s="23">
        <v>47864</v>
      </c>
      <c r="X1474" s="20">
        <v>1950</v>
      </c>
      <c r="Z1474" s="6" t="s">
        <v>5978</v>
      </c>
      <c r="AA1474" s="14">
        <f t="shared" si="191"/>
        <v>5.9999999999999995E-4</v>
      </c>
      <c r="AB1474">
        <v>1.1545919999999998</v>
      </c>
      <c r="AC1474">
        <v>1.2007756799999998</v>
      </c>
    </row>
    <row r="1475" spans="1:29" x14ac:dyDescent="0.3">
      <c r="A1475">
        <v>152053</v>
      </c>
      <c r="B1475" s="25" t="s">
        <v>5984</v>
      </c>
      <c r="C1475" t="s">
        <v>20</v>
      </c>
      <c r="D1475" t="s">
        <v>21</v>
      </c>
      <c r="E1475">
        <v>2222222</v>
      </c>
      <c r="F1475" s="8" t="s">
        <v>22</v>
      </c>
      <c r="G1475" s="2">
        <v>98</v>
      </c>
      <c r="H1475" t="s">
        <v>4089</v>
      </c>
      <c r="J1475" s="9" t="s">
        <v>5141</v>
      </c>
      <c r="K1475" t="s">
        <v>4924</v>
      </c>
      <c r="L1475" s="2">
        <v>1</v>
      </c>
      <c r="M1475" s="24" t="s">
        <v>5971</v>
      </c>
      <c r="N1475" s="2" t="s">
        <v>23</v>
      </c>
      <c r="O1475" s="18" t="s">
        <v>1221</v>
      </c>
      <c r="P1475" s="18" t="s">
        <v>3781</v>
      </c>
      <c r="Q1475" s="6" t="s">
        <v>4475</v>
      </c>
      <c r="T1475" s="23">
        <v>46207</v>
      </c>
      <c r="U1475" s="23">
        <v>46937</v>
      </c>
      <c r="X1475" s="20">
        <v>4000</v>
      </c>
      <c r="Z1475" s="6" t="s">
        <v>5978</v>
      </c>
      <c r="AA1475" s="14">
        <f t="shared" si="191"/>
        <v>5.9999999999999995E-4</v>
      </c>
      <c r="AB1475">
        <v>2.4</v>
      </c>
      <c r="AC1475">
        <v>2.496</v>
      </c>
    </row>
    <row r="1476" spans="1:29" x14ac:dyDescent="0.3">
      <c r="A1476">
        <v>132320</v>
      </c>
      <c r="B1476" s="25" t="s">
        <v>5984</v>
      </c>
      <c r="C1476" t="s">
        <v>20</v>
      </c>
      <c r="D1476" t="s">
        <v>21</v>
      </c>
      <c r="E1476">
        <v>2222222</v>
      </c>
      <c r="F1476" s="8" t="s">
        <v>22</v>
      </c>
      <c r="G1476" s="2">
        <v>98</v>
      </c>
      <c r="H1476" t="s">
        <v>4090</v>
      </c>
      <c r="J1476" s="9" t="s">
        <v>4911</v>
      </c>
      <c r="K1476" t="s">
        <v>5169</v>
      </c>
      <c r="L1476" s="2">
        <v>1</v>
      </c>
      <c r="M1476" s="24" t="s">
        <v>5971</v>
      </c>
      <c r="N1476" s="2" t="s">
        <v>23</v>
      </c>
      <c r="O1476" s="18" t="s">
        <v>1222</v>
      </c>
      <c r="P1476" s="18" t="s">
        <v>3781</v>
      </c>
      <c r="Q1476" s="6" t="s">
        <v>4475</v>
      </c>
      <c r="T1476" s="23">
        <v>44944</v>
      </c>
      <c r="U1476" s="23">
        <v>48596</v>
      </c>
      <c r="X1476" s="20">
        <v>100000</v>
      </c>
      <c r="Z1476" s="6" t="s">
        <v>5978</v>
      </c>
      <c r="AA1476" s="13">
        <f>+(0.56/1000)</f>
        <v>5.6000000000000006E-4</v>
      </c>
      <c r="AB1476">
        <v>45.360106400000006</v>
      </c>
      <c r="AC1476">
        <v>47.17451065600001</v>
      </c>
    </row>
    <row r="1477" spans="1:29" x14ac:dyDescent="0.3">
      <c r="A1477">
        <v>146631</v>
      </c>
      <c r="B1477" s="25" t="s">
        <v>5984</v>
      </c>
      <c r="C1477" t="s">
        <v>20</v>
      </c>
      <c r="D1477" t="s">
        <v>21</v>
      </c>
      <c r="E1477">
        <v>2222222</v>
      </c>
      <c r="F1477" s="8" t="s">
        <v>22</v>
      </c>
      <c r="G1477" s="2">
        <v>98</v>
      </c>
      <c r="H1477" t="s">
        <v>4090</v>
      </c>
      <c r="J1477" s="9" t="s">
        <v>4903</v>
      </c>
      <c r="K1477" t="s">
        <v>4911</v>
      </c>
      <c r="L1477" s="2">
        <v>1</v>
      </c>
      <c r="M1477" s="24" t="s">
        <v>5971</v>
      </c>
      <c r="N1477" s="2" t="s">
        <v>23</v>
      </c>
      <c r="O1477" s="18" t="s">
        <v>1223</v>
      </c>
      <c r="P1477" s="18" t="s">
        <v>3781</v>
      </c>
      <c r="Q1477" s="6" t="s">
        <v>4475</v>
      </c>
      <c r="T1477" s="23">
        <v>45832</v>
      </c>
      <c r="U1477" s="23">
        <v>46933</v>
      </c>
      <c r="X1477" s="20">
        <v>5000</v>
      </c>
      <c r="Z1477" s="6" t="s">
        <v>5978</v>
      </c>
      <c r="AA1477" s="14">
        <f t="shared" ref="AA1477:AA1483" si="192">+(0.6/1000)</f>
        <v>5.9999999999999995E-4</v>
      </c>
      <c r="AB1477">
        <v>2.174868</v>
      </c>
      <c r="AC1477">
        <v>2.2618627199999999</v>
      </c>
    </row>
    <row r="1478" spans="1:29" x14ac:dyDescent="0.3">
      <c r="A1478">
        <v>149541</v>
      </c>
      <c r="B1478" s="25" t="s">
        <v>5984</v>
      </c>
      <c r="C1478" t="s">
        <v>20</v>
      </c>
      <c r="D1478" t="s">
        <v>21</v>
      </c>
      <c r="E1478">
        <v>2222222</v>
      </c>
      <c r="F1478" s="8" t="s">
        <v>22</v>
      </c>
      <c r="G1478" s="2">
        <v>98</v>
      </c>
      <c r="H1478" t="s">
        <v>4090</v>
      </c>
      <c r="J1478" s="9" t="s">
        <v>4838</v>
      </c>
      <c r="K1478" t="s">
        <v>4839</v>
      </c>
      <c r="L1478" s="2">
        <v>1</v>
      </c>
      <c r="M1478" s="24" t="s">
        <v>5971</v>
      </c>
      <c r="N1478" s="2" t="s">
        <v>23</v>
      </c>
      <c r="O1478" s="18" t="s">
        <v>1224</v>
      </c>
      <c r="P1478" s="18" t="s">
        <v>0</v>
      </c>
      <c r="Q1478" s="6" t="s">
        <v>4475</v>
      </c>
      <c r="T1478" s="23">
        <v>46035</v>
      </c>
      <c r="U1478" s="23">
        <v>46946</v>
      </c>
      <c r="X1478" s="20">
        <v>5000</v>
      </c>
      <c r="Z1478" s="6" t="s">
        <v>5978</v>
      </c>
      <c r="AA1478" s="14">
        <f t="shared" si="192"/>
        <v>5.9999999999999995E-4</v>
      </c>
      <c r="AB1478">
        <v>2.4995939999999996</v>
      </c>
      <c r="AC1478">
        <v>2.5995777599999998</v>
      </c>
    </row>
    <row r="1479" spans="1:29" x14ac:dyDescent="0.3">
      <c r="A1479">
        <v>149986</v>
      </c>
      <c r="B1479" s="25" t="s">
        <v>5984</v>
      </c>
      <c r="C1479" t="s">
        <v>20</v>
      </c>
      <c r="D1479" t="s">
        <v>21</v>
      </c>
      <c r="E1479">
        <v>2222222</v>
      </c>
      <c r="F1479" s="8" t="s">
        <v>22</v>
      </c>
      <c r="G1479" s="2">
        <v>98</v>
      </c>
      <c r="H1479" t="s">
        <v>4090</v>
      </c>
      <c r="J1479" s="9" t="s">
        <v>4836</v>
      </c>
      <c r="K1479" t="s">
        <v>5071</v>
      </c>
      <c r="L1479" s="2">
        <v>1</v>
      </c>
      <c r="M1479" s="24" t="s">
        <v>5971</v>
      </c>
      <c r="N1479" s="2" t="s">
        <v>23</v>
      </c>
      <c r="O1479" s="18" t="s">
        <v>1225</v>
      </c>
      <c r="P1479" s="18" t="s">
        <v>3781</v>
      </c>
      <c r="Q1479" s="6" t="s">
        <v>4475</v>
      </c>
      <c r="T1479" s="23">
        <v>46066</v>
      </c>
      <c r="U1479" s="23">
        <v>47894</v>
      </c>
      <c r="X1479" s="20">
        <v>5400</v>
      </c>
      <c r="Z1479" s="6" t="s">
        <v>5978</v>
      </c>
      <c r="AA1479" s="14">
        <f t="shared" si="192"/>
        <v>5.9999999999999995E-4</v>
      </c>
      <c r="AB1479">
        <v>3.0484739999999997</v>
      </c>
      <c r="AC1479">
        <v>3.1704129599999997</v>
      </c>
    </row>
    <row r="1480" spans="1:29" x14ac:dyDescent="0.3">
      <c r="A1480">
        <v>150202</v>
      </c>
      <c r="B1480" s="25" t="s">
        <v>5984</v>
      </c>
      <c r="C1480" t="s">
        <v>20</v>
      </c>
      <c r="D1480" t="s">
        <v>21</v>
      </c>
      <c r="E1480">
        <v>2222222</v>
      </c>
      <c r="F1480" s="8" t="s">
        <v>22</v>
      </c>
      <c r="G1480" s="2">
        <v>98</v>
      </c>
      <c r="H1480" t="s">
        <v>4090</v>
      </c>
      <c r="J1480" s="9" t="s">
        <v>4911</v>
      </c>
      <c r="K1480" t="s">
        <v>5133</v>
      </c>
      <c r="L1480" s="2">
        <v>1</v>
      </c>
      <c r="M1480" s="24" t="s">
        <v>5971</v>
      </c>
      <c r="N1480" s="2" t="s">
        <v>23</v>
      </c>
      <c r="O1480" s="18" t="s">
        <v>1226</v>
      </c>
      <c r="P1480" s="18" t="s">
        <v>3781</v>
      </c>
      <c r="Q1480" s="6" t="s">
        <v>4475</v>
      </c>
      <c r="T1480" s="23">
        <v>46079</v>
      </c>
      <c r="U1480" s="23">
        <v>46627</v>
      </c>
      <c r="X1480" s="20">
        <v>1250</v>
      </c>
      <c r="Z1480" s="6" t="s">
        <v>5978</v>
      </c>
      <c r="AA1480" s="14">
        <f t="shared" si="192"/>
        <v>5.9999999999999995E-4</v>
      </c>
      <c r="AB1480">
        <v>0.56162999999999996</v>
      </c>
      <c r="AC1480">
        <v>0.58409519999999993</v>
      </c>
    </row>
    <row r="1481" spans="1:29" x14ac:dyDescent="0.3">
      <c r="A1481">
        <v>152108</v>
      </c>
      <c r="B1481" s="25" t="s">
        <v>5984</v>
      </c>
      <c r="C1481" t="s">
        <v>20</v>
      </c>
      <c r="D1481" t="s">
        <v>21</v>
      </c>
      <c r="E1481">
        <v>2222222</v>
      </c>
      <c r="F1481" s="8" t="s">
        <v>22</v>
      </c>
      <c r="G1481" s="2">
        <v>98</v>
      </c>
      <c r="H1481" t="s">
        <v>4090</v>
      </c>
      <c r="J1481" s="9" t="s">
        <v>4838</v>
      </c>
      <c r="K1481" t="s">
        <v>5160</v>
      </c>
      <c r="L1481" s="2">
        <v>1</v>
      </c>
      <c r="M1481" s="24" t="s">
        <v>5971</v>
      </c>
      <c r="N1481" s="2" t="s">
        <v>23</v>
      </c>
      <c r="O1481" s="18" t="s">
        <v>1227</v>
      </c>
      <c r="P1481" s="18" t="s">
        <v>0</v>
      </c>
      <c r="Q1481" s="6" t="s">
        <v>4475</v>
      </c>
      <c r="T1481" s="23">
        <v>46212</v>
      </c>
      <c r="U1481" s="23">
        <v>46760</v>
      </c>
      <c r="X1481" s="20">
        <v>4000</v>
      </c>
      <c r="Z1481" s="6" t="s">
        <v>5978</v>
      </c>
      <c r="AA1481" s="14">
        <f t="shared" si="192"/>
        <v>5.9999999999999995E-4</v>
      </c>
      <c r="AB1481">
        <v>2.4</v>
      </c>
      <c r="AC1481">
        <v>2.496</v>
      </c>
    </row>
    <row r="1482" spans="1:29" x14ac:dyDescent="0.3">
      <c r="A1482">
        <v>143909</v>
      </c>
      <c r="B1482" s="25" t="s">
        <v>5984</v>
      </c>
      <c r="C1482" t="s">
        <v>20</v>
      </c>
      <c r="D1482" t="s">
        <v>21</v>
      </c>
      <c r="E1482">
        <v>2222222</v>
      </c>
      <c r="F1482" s="8" t="s">
        <v>22</v>
      </c>
      <c r="G1482" s="2">
        <v>98</v>
      </c>
      <c r="H1482" t="s">
        <v>4091</v>
      </c>
      <c r="J1482" s="9" t="s">
        <v>4905</v>
      </c>
      <c r="K1482" t="s">
        <v>4853</v>
      </c>
      <c r="L1482" s="2">
        <v>1</v>
      </c>
      <c r="M1482" s="24" t="s">
        <v>5971</v>
      </c>
      <c r="N1482" s="2" t="s">
        <v>23</v>
      </c>
      <c r="O1482" s="18" t="s">
        <v>842</v>
      </c>
      <c r="P1482" s="18" t="s">
        <v>0</v>
      </c>
      <c r="Q1482" s="6" t="s">
        <v>4475</v>
      </c>
      <c r="T1482" s="23">
        <v>45624</v>
      </c>
      <c r="U1482" s="23">
        <v>46627</v>
      </c>
      <c r="X1482" s="20">
        <v>3040</v>
      </c>
      <c r="Z1482" s="6" t="s">
        <v>5978</v>
      </c>
      <c r="AA1482" s="14">
        <f t="shared" si="192"/>
        <v>5.9999999999999995E-4</v>
      </c>
      <c r="AB1482">
        <v>0.93047999999999986</v>
      </c>
      <c r="AC1482">
        <v>0.96769919999999987</v>
      </c>
    </row>
    <row r="1483" spans="1:29" x14ac:dyDescent="0.3">
      <c r="A1483">
        <v>146661</v>
      </c>
      <c r="B1483" s="25" t="s">
        <v>5984</v>
      </c>
      <c r="C1483" t="s">
        <v>20</v>
      </c>
      <c r="D1483" t="s">
        <v>21</v>
      </c>
      <c r="E1483">
        <v>2222222</v>
      </c>
      <c r="F1483" s="8" t="s">
        <v>22</v>
      </c>
      <c r="G1483" s="2">
        <v>98</v>
      </c>
      <c r="H1483" t="s">
        <v>4092</v>
      </c>
      <c r="J1483" s="9" t="s">
        <v>5475</v>
      </c>
      <c r="K1483" t="s">
        <v>5476</v>
      </c>
      <c r="L1483" s="2">
        <v>1</v>
      </c>
      <c r="M1483" s="24" t="s">
        <v>5971</v>
      </c>
      <c r="N1483" s="2" t="s">
        <v>23</v>
      </c>
      <c r="O1483" s="18" t="s">
        <v>1228</v>
      </c>
      <c r="P1483" s="18" t="s">
        <v>3781</v>
      </c>
      <c r="Q1483" s="6" t="s">
        <v>4475</v>
      </c>
      <c r="T1483" s="23">
        <v>45839</v>
      </c>
      <c r="U1483" s="23">
        <v>47664</v>
      </c>
      <c r="X1483" s="20">
        <v>20000</v>
      </c>
      <c r="Z1483" s="6" t="s">
        <v>5978</v>
      </c>
      <c r="AA1483" s="14">
        <f t="shared" si="192"/>
        <v>5.9999999999999995E-4</v>
      </c>
      <c r="AB1483">
        <v>10.22139</v>
      </c>
      <c r="AC1483">
        <v>10.6302456</v>
      </c>
    </row>
    <row r="1484" spans="1:29" x14ac:dyDescent="0.3">
      <c r="A1484">
        <v>130648</v>
      </c>
      <c r="B1484" s="25" t="s">
        <v>5984</v>
      </c>
      <c r="C1484" t="s">
        <v>20</v>
      </c>
      <c r="D1484" t="s">
        <v>21</v>
      </c>
      <c r="E1484">
        <v>2222222</v>
      </c>
      <c r="F1484" s="8" t="s">
        <v>22</v>
      </c>
      <c r="G1484" s="2">
        <v>98</v>
      </c>
      <c r="H1484" t="s">
        <v>4093</v>
      </c>
      <c r="J1484" s="9" t="s">
        <v>5477</v>
      </c>
      <c r="K1484" t="s">
        <v>5478</v>
      </c>
      <c r="L1484" s="2">
        <v>1</v>
      </c>
      <c r="M1484" s="24" t="s">
        <v>5971</v>
      </c>
      <c r="N1484" s="2" t="s">
        <v>23</v>
      </c>
      <c r="O1484" s="18" t="s">
        <v>1229</v>
      </c>
      <c r="P1484" s="18" t="s">
        <v>0</v>
      </c>
      <c r="Q1484" s="6" t="s">
        <v>4475</v>
      </c>
      <c r="T1484" s="23">
        <v>44846</v>
      </c>
      <c r="U1484" s="23">
        <v>46306</v>
      </c>
      <c r="X1484" s="20">
        <v>5000</v>
      </c>
      <c r="Z1484" s="6" t="s">
        <v>5978</v>
      </c>
      <c r="AA1484" s="13">
        <f>+(0.56/1000)</f>
        <v>5.6000000000000006E-4</v>
      </c>
      <c r="AB1484">
        <v>2.2844752000000002</v>
      </c>
      <c r="AC1484">
        <v>2.3758542080000002</v>
      </c>
    </row>
    <row r="1485" spans="1:29" x14ac:dyDescent="0.3">
      <c r="A1485">
        <v>145708</v>
      </c>
      <c r="B1485" s="25" t="s">
        <v>5984</v>
      </c>
      <c r="C1485" t="s">
        <v>20</v>
      </c>
      <c r="D1485" t="s">
        <v>21</v>
      </c>
      <c r="E1485">
        <v>2222222</v>
      </c>
      <c r="F1485" s="8" t="s">
        <v>22</v>
      </c>
      <c r="G1485" s="2">
        <v>98</v>
      </c>
      <c r="H1485" t="s">
        <v>4094</v>
      </c>
      <c r="J1485" s="9" t="s">
        <v>5479</v>
      </c>
      <c r="K1485" t="s">
        <v>4859</v>
      </c>
      <c r="L1485" s="2">
        <v>1</v>
      </c>
      <c r="M1485" s="24" t="s">
        <v>5971</v>
      </c>
      <c r="N1485" s="2" t="s">
        <v>23</v>
      </c>
      <c r="O1485" s="18" t="s">
        <v>1230</v>
      </c>
      <c r="P1485" s="18" t="s">
        <v>3781</v>
      </c>
      <c r="Q1485" s="6" t="s">
        <v>4475</v>
      </c>
      <c r="T1485" s="23">
        <v>45757</v>
      </c>
      <c r="U1485" s="23">
        <v>47218</v>
      </c>
      <c r="X1485" s="20">
        <v>5000</v>
      </c>
      <c r="Z1485" s="6" t="s">
        <v>5978</v>
      </c>
      <c r="AA1485" s="14">
        <f t="shared" ref="AA1485:AA1486" si="193">+(0.6/1000)</f>
        <v>5.9999999999999995E-4</v>
      </c>
      <c r="AB1485">
        <v>2.2833479999999997</v>
      </c>
      <c r="AC1485">
        <v>2.37468192</v>
      </c>
    </row>
    <row r="1486" spans="1:29" x14ac:dyDescent="0.3">
      <c r="A1486">
        <v>150801</v>
      </c>
      <c r="B1486" s="25" t="s">
        <v>5984</v>
      </c>
      <c r="C1486" t="s">
        <v>20</v>
      </c>
      <c r="D1486" t="s">
        <v>21</v>
      </c>
      <c r="E1486">
        <v>2222222</v>
      </c>
      <c r="F1486" s="8" t="s">
        <v>22</v>
      </c>
      <c r="G1486" s="2">
        <v>98</v>
      </c>
      <c r="H1486" t="s">
        <v>4094</v>
      </c>
      <c r="J1486" s="9" t="s">
        <v>4836</v>
      </c>
      <c r="K1486" t="s">
        <v>5310</v>
      </c>
      <c r="L1486" s="2">
        <v>1</v>
      </c>
      <c r="M1486" s="24" t="s">
        <v>5971</v>
      </c>
      <c r="N1486" s="2" t="s">
        <v>23</v>
      </c>
      <c r="O1486" s="18" t="s">
        <v>1231</v>
      </c>
      <c r="P1486" s="18" t="s">
        <v>3781</v>
      </c>
      <c r="Q1486" s="6" t="s">
        <v>4475</v>
      </c>
      <c r="T1486" s="23">
        <v>46118</v>
      </c>
      <c r="U1486" s="23">
        <v>46849</v>
      </c>
      <c r="X1486" s="20">
        <v>1860</v>
      </c>
      <c r="Z1486" s="6" t="s">
        <v>5978</v>
      </c>
      <c r="AA1486" s="14">
        <f t="shared" si="193"/>
        <v>5.9999999999999995E-4</v>
      </c>
      <c r="AB1486">
        <v>0.99301199999999989</v>
      </c>
      <c r="AC1486">
        <v>1.03273248</v>
      </c>
    </row>
    <row r="1487" spans="1:29" x14ac:dyDescent="0.3">
      <c r="A1487">
        <v>132014</v>
      </c>
      <c r="B1487" s="25" t="s">
        <v>5984</v>
      </c>
      <c r="C1487" t="s">
        <v>20</v>
      </c>
      <c r="D1487" t="s">
        <v>21</v>
      </c>
      <c r="E1487">
        <v>2222222</v>
      </c>
      <c r="F1487" s="8" t="s">
        <v>22</v>
      </c>
      <c r="G1487" s="2">
        <v>98</v>
      </c>
      <c r="H1487" t="s">
        <v>4095</v>
      </c>
      <c r="J1487" s="9" t="s">
        <v>4950</v>
      </c>
      <c r="K1487" t="s">
        <v>4894</v>
      </c>
      <c r="L1487" s="2">
        <v>1</v>
      </c>
      <c r="M1487" s="24" t="s">
        <v>5971</v>
      </c>
      <c r="N1487" s="2" t="s">
        <v>23</v>
      </c>
      <c r="O1487" s="18" t="s">
        <v>1232</v>
      </c>
      <c r="P1487" s="18" t="s">
        <v>0</v>
      </c>
      <c r="Q1487" s="6" t="s">
        <v>4475</v>
      </c>
      <c r="T1487" s="23">
        <v>44925</v>
      </c>
      <c r="U1487" s="23">
        <v>47201</v>
      </c>
      <c r="X1487" s="20">
        <v>16000</v>
      </c>
      <c r="Z1487" s="6" t="s">
        <v>5978</v>
      </c>
      <c r="AA1487" s="13">
        <f t="shared" ref="AA1487:AA1488" si="194">+(0.56/1000)</f>
        <v>5.6000000000000006E-4</v>
      </c>
      <c r="AB1487">
        <v>5.0123808000000007</v>
      </c>
      <c r="AC1487">
        <v>5.2128760320000014</v>
      </c>
    </row>
    <row r="1488" spans="1:29" x14ac:dyDescent="0.3">
      <c r="A1488">
        <v>136952</v>
      </c>
      <c r="B1488" s="25" t="s">
        <v>5984</v>
      </c>
      <c r="C1488" t="s">
        <v>20</v>
      </c>
      <c r="D1488" t="s">
        <v>21</v>
      </c>
      <c r="E1488">
        <v>2222222</v>
      </c>
      <c r="F1488" s="8" t="s">
        <v>22</v>
      </c>
      <c r="G1488" s="2">
        <v>98</v>
      </c>
      <c r="H1488" t="s">
        <v>4095</v>
      </c>
      <c r="J1488" s="9" t="s">
        <v>4815</v>
      </c>
      <c r="K1488" t="s">
        <v>5480</v>
      </c>
      <c r="L1488" s="2">
        <v>1</v>
      </c>
      <c r="M1488" s="24" t="s">
        <v>5971</v>
      </c>
      <c r="N1488" s="2" t="s">
        <v>23</v>
      </c>
      <c r="O1488" s="18" t="s">
        <v>1233</v>
      </c>
      <c r="P1488" s="18" t="s">
        <v>0</v>
      </c>
      <c r="Q1488" s="6" t="s">
        <v>4475</v>
      </c>
      <c r="T1488" s="23">
        <v>45198</v>
      </c>
      <c r="U1488" s="23">
        <v>46659</v>
      </c>
      <c r="X1488" s="20">
        <v>5000</v>
      </c>
      <c r="Z1488" s="6" t="s">
        <v>5978</v>
      </c>
      <c r="AA1488" s="13">
        <f t="shared" si="194"/>
        <v>5.6000000000000006E-4</v>
      </c>
      <c r="AB1488">
        <v>1.1140528000000003</v>
      </c>
      <c r="AC1488">
        <v>1.1586149120000004</v>
      </c>
    </row>
    <row r="1489" spans="1:29" x14ac:dyDescent="0.3">
      <c r="A1489">
        <v>151009</v>
      </c>
      <c r="B1489" s="25" t="s">
        <v>5984</v>
      </c>
      <c r="C1489" t="s">
        <v>20</v>
      </c>
      <c r="D1489" t="s">
        <v>21</v>
      </c>
      <c r="E1489">
        <v>2222222</v>
      </c>
      <c r="F1489" s="8" t="s">
        <v>22</v>
      </c>
      <c r="G1489" s="2">
        <v>98</v>
      </c>
      <c r="H1489" t="s">
        <v>4096</v>
      </c>
      <c r="J1489" s="9" t="s">
        <v>5212</v>
      </c>
      <c r="K1489" t="s">
        <v>5481</v>
      </c>
      <c r="L1489" s="2">
        <v>1</v>
      </c>
      <c r="M1489" s="24" t="s">
        <v>5971</v>
      </c>
      <c r="N1489" s="2" t="s">
        <v>23</v>
      </c>
      <c r="O1489" s="18" t="s">
        <v>1234</v>
      </c>
      <c r="P1489" s="18" t="s">
        <v>0</v>
      </c>
      <c r="Q1489" s="6" t="s">
        <v>4475</v>
      </c>
      <c r="T1489" s="23">
        <v>46132</v>
      </c>
      <c r="U1489" s="23">
        <v>47228</v>
      </c>
      <c r="X1489" s="20">
        <v>2000</v>
      </c>
      <c r="Z1489" s="6" t="s">
        <v>5978</v>
      </c>
      <c r="AA1489" s="14">
        <f t="shared" ref="AA1489:AA1492" si="195">+(0.6/1000)</f>
        <v>5.9999999999999995E-4</v>
      </c>
      <c r="AB1489">
        <v>1.1216819999999998</v>
      </c>
      <c r="AC1489">
        <v>1.1665492799999999</v>
      </c>
    </row>
    <row r="1490" spans="1:29" x14ac:dyDescent="0.3">
      <c r="A1490">
        <v>148179</v>
      </c>
      <c r="B1490" s="25" t="s">
        <v>5984</v>
      </c>
      <c r="C1490" t="s">
        <v>20</v>
      </c>
      <c r="D1490" t="s">
        <v>21</v>
      </c>
      <c r="E1490">
        <v>2222222</v>
      </c>
      <c r="F1490" s="8" t="s">
        <v>22</v>
      </c>
      <c r="G1490" s="2">
        <v>98</v>
      </c>
      <c r="H1490" t="s">
        <v>4097</v>
      </c>
      <c r="J1490" s="9" t="s">
        <v>5295</v>
      </c>
      <c r="K1490" t="s">
        <v>5132</v>
      </c>
      <c r="L1490" s="2">
        <v>1</v>
      </c>
      <c r="M1490" s="24" t="s">
        <v>5971</v>
      </c>
      <c r="N1490" s="2" t="s">
        <v>23</v>
      </c>
      <c r="O1490" s="18" t="s">
        <v>1235</v>
      </c>
      <c r="P1490" s="18" t="s">
        <v>3781</v>
      </c>
      <c r="Q1490" s="6" t="s">
        <v>4475</v>
      </c>
      <c r="T1490" s="23">
        <v>45946</v>
      </c>
      <c r="U1490" s="23">
        <v>46675</v>
      </c>
      <c r="X1490" s="20">
        <v>4300</v>
      </c>
      <c r="Z1490" s="6" t="s">
        <v>5978</v>
      </c>
      <c r="AA1490" s="14">
        <f t="shared" si="195"/>
        <v>5.9999999999999995E-4</v>
      </c>
      <c r="AB1490">
        <v>1.7179859999999998</v>
      </c>
      <c r="AC1490">
        <v>1.7867054399999998</v>
      </c>
    </row>
    <row r="1491" spans="1:29" x14ac:dyDescent="0.3">
      <c r="A1491">
        <v>151021</v>
      </c>
      <c r="B1491" s="25" t="s">
        <v>5984</v>
      </c>
      <c r="C1491" t="s">
        <v>20</v>
      </c>
      <c r="D1491" t="s">
        <v>21</v>
      </c>
      <c r="E1491">
        <v>2222222</v>
      </c>
      <c r="F1491" s="8" t="s">
        <v>22</v>
      </c>
      <c r="G1491" s="2">
        <v>98</v>
      </c>
      <c r="H1491" t="s">
        <v>4097</v>
      </c>
      <c r="J1491" s="9" t="s">
        <v>4830</v>
      </c>
      <c r="K1491" t="s">
        <v>5087</v>
      </c>
      <c r="L1491" s="2">
        <v>1</v>
      </c>
      <c r="M1491" s="24" t="s">
        <v>5971</v>
      </c>
      <c r="N1491" s="2" t="s">
        <v>23</v>
      </c>
      <c r="O1491" s="18" t="s">
        <v>1236</v>
      </c>
      <c r="P1491" s="18" t="s">
        <v>3781</v>
      </c>
      <c r="Q1491" s="6" t="s">
        <v>4475</v>
      </c>
      <c r="T1491" s="23">
        <v>46133</v>
      </c>
      <c r="U1491" s="23">
        <v>47412</v>
      </c>
      <c r="X1491" s="20">
        <v>3130</v>
      </c>
      <c r="Z1491" s="6" t="s">
        <v>5978</v>
      </c>
      <c r="AA1491" s="14">
        <f t="shared" si="195"/>
        <v>5.9999999999999995E-4</v>
      </c>
      <c r="AB1491">
        <v>1.779468</v>
      </c>
      <c r="AC1491">
        <v>1.8506467200000001</v>
      </c>
    </row>
    <row r="1492" spans="1:29" x14ac:dyDescent="0.3">
      <c r="A1492">
        <v>151855</v>
      </c>
      <c r="B1492" s="25" t="s">
        <v>5984</v>
      </c>
      <c r="C1492" t="s">
        <v>20</v>
      </c>
      <c r="D1492" t="s">
        <v>21</v>
      </c>
      <c r="E1492">
        <v>2222222</v>
      </c>
      <c r="F1492" s="8" t="s">
        <v>22</v>
      </c>
      <c r="G1492" s="2">
        <v>98</v>
      </c>
      <c r="H1492" t="s">
        <v>4097</v>
      </c>
      <c r="J1492" s="9" t="s">
        <v>4826</v>
      </c>
      <c r="K1492" t="s">
        <v>4870</v>
      </c>
      <c r="L1492" s="2">
        <v>1</v>
      </c>
      <c r="M1492" s="24" t="s">
        <v>5971</v>
      </c>
      <c r="N1492" s="2" t="s">
        <v>23</v>
      </c>
      <c r="O1492" s="18" t="s">
        <v>1237</v>
      </c>
      <c r="P1492" s="18" t="s">
        <v>0</v>
      </c>
      <c r="Q1492" s="6" t="s">
        <v>4475</v>
      </c>
      <c r="T1492" s="23">
        <v>46191</v>
      </c>
      <c r="U1492" s="23">
        <v>46770</v>
      </c>
      <c r="X1492" s="20">
        <v>2750</v>
      </c>
      <c r="Z1492" s="6" t="s">
        <v>5978</v>
      </c>
      <c r="AA1492" s="14">
        <f t="shared" si="195"/>
        <v>5.9999999999999995E-4</v>
      </c>
      <c r="AB1492">
        <v>1.65</v>
      </c>
      <c r="AC1492">
        <v>1.716</v>
      </c>
    </row>
    <row r="1493" spans="1:29" x14ac:dyDescent="0.3">
      <c r="A1493">
        <v>114867</v>
      </c>
      <c r="B1493" s="25" t="s">
        <v>5984</v>
      </c>
      <c r="C1493" t="s">
        <v>20</v>
      </c>
      <c r="D1493" t="s">
        <v>21</v>
      </c>
      <c r="E1493">
        <v>2222222</v>
      </c>
      <c r="F1493" s="8" t="s">
        <v>22</v>
      </c>
      <c r="G1493" s="2">
        <v>98</v>
      </c>
      <c r="H1493" t="s">
        <v>4098</v>
      </c>
      <c r="J1493" s="9" t="s">
        <v>5055</v>
      </c>
      <c r="K1493" t="s">
        <v>5067</v>
      </c>
      <c r="L1493" s="2">
        <v>1</v>
      </c>
      <c r="M1493" s="24" t="s">
        <v>5971</v>
      </c>
      <c r="N1493" s="2" t="s">
        <v>23</v>
      </c>
      <c r="O1493" s="18" t="s">
        <v>1238</v>
      </c>
      <c r="P1493" s="18" t="s">
        <v>3781</v>
      </c>
      <c r="Q1493" s="6" t="s">
        <v>4475</v>
      </c>
      <c r="T1493" s="23">
        <v>44071</v>
      </c>
      <c r="U1493" s="23">
        <v>46632</v>
      </c>
      <c r="X1493" s="20">
        <v>18560</v>
      </c>
      <c r="Z1493" s="6" t="s">
        <v>5978</v>
      </c>
      <c r="AA1493" s="15">
        <f t="shared" ref="AA1493:AA1494" si="196">+(0.42/1000)</f>
        <v>4.1999999999999996E-4</v>
      </c>
      <c r="AB1493">
        <v>2.1213570000000002</v>
      </c>
      <c r="AC1493">
        <v>2.2062112800000002</v>
      </c>
    </row>
    <row r="1494" spans="1:29" x14ac:dyDescent="0.3">
      <c r="A1494">
        <v>127751</v>
      </c>
      <c r="B1494" s="25" t="s">
        <v>5984</v>
      </c>
      <c r="C1494" t="s">
        <v>20</v>
      </c>
      <c r="D1494" t="s">
        <v>21</v>
      </c>
      <c r="E1494">
        <v>2222222</v>
      </c>
      <c r="F1494" s="8" t="s">
        <v>22</v>
      </c>
      <c r="G1494" s="2">
        <v>98</v>
      </c>
      <c r="H1494" t="s">
        <v>4098</v>
      </c>
      <c r="J1494" s="9" t="s">
        <v>5482</v>
      </c>
      <c r="K1494" t="s">
        <v>4937</v>
      </c>
      <c r="L1494" s="2">
        <v>1</v>
      </c>
      <c r="M1494" s="24" t="s">
        <v>5971</v>
      </c>
      <c r="N1494" s="2" t="s">
        <v>23</v>
      </c>
      <c r="O1494" s="18" t="s">
        <v>1239</v>
      </c>
      <c r="P1494" s="18" t="s">
        <v>0</v>
      </c>
      <c r="Q1494" s="6" t="s">
        <v>4475</v>
      </c>
      <c r="T1494" s="23">
        <v>44694</v>
      </c>
      <c r="U1494" s="23">
        <v>46520</v>
      </c>
      <c r="X1494" s="20">
        <v>20000</v>
      </c>
      <c r="Z1494" s="6" t="s">
        <v>5978</v>
      </c>
      <c r="AA1494" s="15">
        <f t="shared" si="196"/>
        <v>4.1999999999999996E-4</v>
      </c>
      <c r="AB1494">
        <v>5.096935199999999</v>
      </c>
      <c r="AC1494">
        <v>5.3008126079999993</v>
      </c>
    </row>
    <row r="1495" spans="1:29" x14ac:dyDescent="0.3">
      <c r="A1495">
        <v>130856</v>
      </c>
      <c r="B1495" s="25" t="s">
        <v>5984</v>
      </c>
      <c r="C1495" t="s">
        <v>20</v>
      </c>
      <c r="D1495" t="s">
        <v>21</v>
      </c>
      <c r="E1495">
        <v>2222222</v>
      </c>
      <c r="F1495" s="8" t="s">
        <v>22</v>
      </c>
      <c r="G1495" s="2">
        <v>98</v>
      </c>
      <c r="H1495" t="s">
        <v>4098</v>
      </c>
      <c r="J1495" s="9" t="s">
        <v>5483</v>
      </c>
      <c r="K1495" t="s">
        <v>5344</v>
      </c>
      <c r="L1495" s="2">
        <v>1</v>
      </c>
      <c r="M1495" s="24" t="s">
        <v>5971</v>
      </c>
      <c r="N1495" s="2" t="s">
        <v>23</v>
      </c>
      <c r="O1495" s="18" t="s">
        <v>1240</v>
      </c>
      <c r="P1495" s="18" t="s">
        <v>3781</v>
      </c>
      <c r="Q1495" s="6" t="s">
        <v>4475</v>
      </c>
      <c r="T1495" s="23">
        <v>44859</v>
      </c>
      <c r="U1495" s="23">
        <v>47427</v>
      </c>
      <c r="X1495" s="20">
        <v>13180</v>
      </c>
      <c r="Z1495" s="6" t="s">
        <v>5978</v>
      </c>
      <c r="AA1495" s="13">
        <f>+(0.56/1000)</f>
        <v>5.6000000000000006E-4</v>
      </c>
      <c r="AB1495">
        <v>7.3808000000000007</v>
      </c>
      <c r="AC1495">
        <v>7.6760320000000011</v>
      </c>
    </row>
    <row r="1496" spans="1:29" x14ac:dyDescent="0.3">
      <c r="A1496">
        <v>144820</v>
      </c>
      <c r="B1496" s="25" t="s">
        <v>5984</v>
      </c>
      <c r="C1496" t="s">
        <v>20</v>
      </c>
      <c r="D1496" t="s">
        <v>21</v>
      </c>
      <c r="E1496">
        <v>2222222</v>
      </c>
      <c r="F1496" s="8" t="s">
        <v>22</v>
      </c>
      <c r="G1496" s="2">
        <v>98</v>
      </c>
      <c r="H1496" t="s">
        <v>4098</v>
      </c>
      <c r="J1496" s="9" t="s">
        <v>4859</v>
      </c>
      <c r="K1496" t="s">
        <v>4863</v>
      </c>
      <c r="L1496" s="2">
        <v>1</v>
      </c>
      <c r="M1496" s="24" t="s">
        <v>5971</v>
      </c>
      <c r="N1496" s="2" t="s">
        <v>23</v>
      </c>
      <c r="O1496" s="18" t="s">
        <v>1241</v>
      </c>
      <c r="P1496" s="18" t="s">
        <v>3781</v>
      </c>
      <c r="Q1496" s="6" t="s">
        <v>4475</v>
      </c>
      <c r="T1496" s="23">
        <v>45691</v>
      </c>
      <c r="U1496" s="23">
        <v>46423</v>
      </c>
      <c r="X1496" s="20">
        <v>2600</v>
      </c>
      <c r="Z1496" s="6" t="s">
        <v>5978</v>
      </c>
      <c r="AA1496" s="14">
        <f t="shared" ref="AA1496:AA1506" si="197">+(0.6/1000)</f>
        <v>5.9999999999999995E-4</v>
      </c>
      <c r="AB1496">
        <v>0.51156000000000001</v>
      </c>
      <c r="AC1496">
        <v>0.53202240000000001</v>
      </c>
    </row>
    <row r="1497" spans="1:29" x14ac:dyDescent="0.3">
      <c r="A1497">
        <v>146468</v>
      </c>
      <c r="B1497" s="25" t="s">
        <v>5984</v>
      </c>
      <c r="C1497" t="s">
        <v>20</v>
      </c>
      <c r="D1497" t="s">
        <v>21</v>
      </c>
      <c r="E1497">
        <v>2222222</v>
      </c>
      <c r="F1497" s="8" t="s">
        <v>22</v>
      </c>
      <c r="G1497" s="2">
        <v>98</v>
      </c>
      <c r="H1497" t="s">
        <v>4098</v>
      </c>
      <c r="J1497" s="9" t="s">
        <v>4998</v>
      </c>
      <c r="K1497" t="s">
        <v>4960</v>
      </c>
      <c r="L1497" s="2">
        <v>1</v>
      </c>
      <c r="M1497" s="24" t="s">
        <v>5971</v>
      </c>
      <c r="N1497" s="2" t="s">
        <v>23</v>
      </c>
      <c r="O1497" s="18" t="s">
        <v>1242</v>
      </c>
      <c r="P1497" s="18" t="s">
        <v>3781</v>
      </c>
      <c r="Q1497" s="6" t="s">
        <v>4475</v>
      </c>
      <c r="T1497" s="23">
        <v>45824</v>
      </c>
      <c r="U1497" s="23">
        <v>47650</v>
      </c>
      <c r="X1497" s="20">
        <v>13950</v>
      </c>
      <c r="Z1497" s="6" t="s">
        <v>5978</v>
      </c>
      <c r="AA1497" s="14">
        <f t="shared" si="197"/>
        <v>5.9999999999999995E-4</v>
      </c>
      <c r="AB1497">
        <v>7.0202999999999998</v>
      </c>
      <c r="AC1497">
        <v>7.3011119999999998</v>
      </c>
    </row>
    <row r="1498" spans="1:29" x14ac:dyDescent="0.3">
      <c r="A1498">
        <v>147078</v>
      </c>
      <c r="B1498" s="25" t="s">
        <v>5984</v>
      </c>
      <c r="C1498" t="s">
        <v>20</v>
      </c>
      <c r="D1498" t="s">
        <v>21</v>
      </c>
      <c r="E1498">
        <v>2222222</v>
      </c>
      <c r="F1498" s="8" t="s">
        <v>22</v>
      </c>
      <c r="G1498" s="2">
        <v>98</v>
      </c>
      <c r="H1498" t="s">
        <v>4098</v>
      </c>
      <c r="J1498" s="9" t="s">
        <v>5126</v>
      </c>
      <c r="K1498" t="s">
        <v>5484</v>
      </c>
      <c r="L1498" s="2">
        <v>1</v>
      </c>
      <c r="M1498" s="24" t="s">
        <v>5971</v>
      </c>
      <c r="N1498" s="2" t="s">
        <v>23</v>
      </c>
      <c r="O1498" s="18" t="s">
        <v>1243</v>
      </c>
      <c r="P1498" s="18" t="s">
        <v>0</v>
      </c>
      <c r="Q1498" s="6" t="s">
        <v>4475</v>
      </c>
      <c r="T1498" s="23">
        <v>45876</v>
      </c>
      <c r="U1498" s="23">
        <v>46975</v>
      </c>
      <c r="X1498" s="20">
        <v>5000</v>
      </c>
      <c r="Z1498" s="6" t="s">
        <v>5978</v>
      </c>
      <c r="AA1498" s="14">
        <f t="shared" si="197"/>
        <v>5.9999999999999995E-4</v>
      </c>
      <c r="AB1498">
        <v>2.2634699999999999</v>
      </c>
      <c r="AC1498">
        <v>2.3540087999999999</v>
      </c>
    </row>
    <row r="1499" spans="1:29" x14ac:dyDescent="0.3">
      <c r="A1499">
        <v>147963</v>
      </c>
      <c r="B1499" s="25" t="s">
        <v>5984</v>
      </c>
      <c r="C1499" t="s">
        <v>20</v>
      </c>
      <c r="D1499" t="s">
        <v>21</v>
      </c>
      <c r="E1499">
        <v>2222222</v>
      </c>
      <c r="F1499" s="8" t="s">
        <v>22</v>
      </c>
      <c r="G1499" s="2">
        <v>98</v>
      </c>
      <c r="H1499" t="s">
        <v>4098</v>
      </c>
      <c r="J1499" s="9" t="s">
        <v>4950</v>
      </c>
      <c r="K1499" t="s">
        <v>4824</v>
      </c>
      <c r="L1499" s="2">
        <v>1</v>
      </c>
      <c r="M1499" s="24" t="s">
        <v>5971</v>
      </c>
      <c r="N1499" s="2" t="s">
        <v>23</v>
      </c>
      <c r="O1499" s="18" t="s">
        <v>1244</v>
      </c>
      <c r="P1499" s="18" t="s">
        <v>0</v>
      </c>
      <c r="Q1499" s="6" t="s">
        <v>4475</v>
      </c>
      <c r="T1499" s="23">
        <v>45925</v>
      </c>
      <c r="U1499" s="23">
        <v>46655</v>
      </c>
      <c r="X1499" s="20">
        <v>4000</v>
      </c>
      <c r="Z1499" s="6" t="s">
        <v>5978</v>
      </c>
      <c r="AA1499" s="14">
        <f t="shared" si="197"/>
        <v>5.9999999999999995E-4</v>
      </c>
      <c r="AB1499">
        <v>1.688142</v>
      </c>
      <c r="AC1499">
        <v>1.7556676800000002</v>
      </c>
    </row>
    <row r="1500" spans="1:29" x14ac:dyDescent="0.3">
      <c r="A1500">
        <v>149364</v>
      </c>
      <c r="B1500" s="25" t="s">
        <v>5984</v>
      </c>
      <c r="C1500" t="s">
        <v>20</v>
      </c>
      <c r="D1500" t="s">
        <v>21</v>
      </c>
      <c r="E1500">
        <v>2222222</v>
      </c>
      <c r="F1500" s="8" t="s">
        <v>22</v>
      </c>
      <c r="G1500" s="2">
        <v>98</v>
      </c>
      <c r="H1500" t="s">
        <v>4098</v>
      </c>
      <c r="J1500" s="9" t="s">
        <v>4859</v>
      </c>
      <c r="K1500" t="s">
        <v>4863</v>
      </c>
      <c r="L1500" s="2">
        <v>1</v>
      </c>
      <c r="M1500" s="24" t="s">
        <v>5971</v>
      </c>
      <c r="N1500" s="2" t="s">
        <v>23</v>
      </c>
      <c r="O1500" s="18" t="s">
        <v>1241</v>
      </c>
      <c r="P1500" s="18" t="s">
        <v>3781</v>
      </c>
      <c r="Q1500" s="6" t="s">
        <v>4475</v>
      </c>
      <c r="T1500" s="23">
        <v>46017</v>
      </c>
      <c r="U1500" s="23">
        <v>46746</v>
      </c>
      <c r="X1500" s="20">
        <v>5000</v>
      </c>
      <c r="Z1500" s="6" t="s">
        <v>5978</v>
      </c>
      <c r="AA1500" s="14">
        <f t="shared" si="197"/>
        <v>5.9999999999999995E-4</v>
      </c>
      <c r="AB1500">
        <v>2.2313699999999996</v>
      </c>
      <c r="AC1500">
        <v>2.3206247999999996</v>
      </c>
    </row>
    <row r="1501" spans="1:29" x14ac:dyDescent="0.3">
      <c r="A1501">
        <v>150966</v>
      </c>
      <c r="B1501" s="25" t="s">
        <v>5984</v>
      </c>
      <c r="C1501" t="s">
        <v>20</v>
      </c>
      <c r="D1501" t="s">
        <v>21</v>
      </c>
      <c r="E1501">
        <v>2222222</v>
      </c>
      <c r="F1501" s="8" t="s">
        <v>22</v>
      </c>
      <c r="G1501" s="2">
        <v>98</v>
      </c>
      <c r="H1501" t="s">
        <v>4098</v>
      </c>
      <c r="J1501" s="9" t="s">
        <v>5031</v>
      </c>
      <c r="K1501" t="s">
        <v>4880</v>
      </c>
      <c r="L1501" s="2">
        <v>1</v>
      </c>
      <c r="M1501" s="24" t="s">
        <v>5971</v>
      </c>
      <c r="N1501" s="2" t="s">
        <v>23</v>
      </c>
      <c r="O1501" s="18" t="s">
        <v>1245</v>
      </c>
      <c r="P1501" s="18" t="s">
        <v>3781</v>
      </c>
      <c r="Q1501" s="6" t="s">
        <v>4475</v>
      </c>
      <c r="T1501" s="23">
        <v>46129</v>
      </c>
      <c r="U1501" s="23">
        <v>46585</v>
      </c>
      <c r="X1501" s="20">
        <v>5000</v>
      </c>
      <c r="Z1501" s="6" t="s">
        <v>5978</v>
      </c>
      <c r="AA1501" s="14">
        <f t="shared" si="197"/>
        <v>5.9999999999999995E-4</v>
      </c>
      <c r="AB1501">
        <v>2.4527099999999997</v>
      </c>
      <c r="AC1501">
        <v>2.5508183999999998</v>
      </c>
    </row>
    <row r="1502" spans="1:29" x14ac:dyDescent="0.3">
      <c r="A1502">
        <v>151132</v>
      </c>
      <c r="B1502" s="25" t="s">
        <v>5984</v>
      </c>
      <c r="C1502" t="s">
        <v>20</v>
      </c>
      <c r="D1502" t="s">
        <v>21</v>
      </c>
      <c r="E1502">
        <v>2222222</v>
      </c>
      <c r="F1502" s="8" t="s">
        <v>22</v>
      </c>
      <c r="G1502" s="2">
        <v>98</v>
      </c>
      <c r="H1502" t="s">
        <v>4098</v>
      </c>
      <c r="J1502" s="9" t="s">
        <v>4836</v>
      </c>
      <c r="K1502" t="s">
        <v>5019</v>
      </c>
      <c r="L1502" s="2">
        <v>1</v>
      </c>
      <c r="M1502" s="24" t="s">
        <v>5971</v>
      </c>
      <c r="N1502" s="2" t="s">
        <v>23</v>
      </c>
      <c r="O1502" s="18" t="s">
        <v>1246</v>
      </c>
      <c r="P1502" s="18" t="s">
        <v>3781</v>
      </c>
      <c r="Q1502" s="6" t="s">
        <v>4475</v>
      </c>
      <c r="T1502" s="23">
        <v>46140</v>
      </c>
      <c r="U1502" s="23">
        <v>46871</v>
      </c>
      <c r="X1502" s="20">
        <v>3500</v>
      </c>
      <c r="Z1502" s="6" t="s">
        <v>5978</v>
      </c>
      <c r="AA1502" s="14">
        <f t="shared" si="197"/>
        <v>5.9999999999999995E-4</v>
      </c>
      <c r="AB1502">
        <v>1.8748319999999996</v>
      </c>
      <c r="AC1502">
        <v>1.9498252799999998</v>
      </c>
    </row>
    <row r="1503" spans="1:29" x14ac:dyDescent="0.3">
      <c r="A1503">
        <v>149733</v>
      </c>
      <c r="B1503" s="25" t="s">
        <v>5984</v>
      </c>
      <c r="C1503" t="s">
        <v>20</v>
      </c>
      <c r="D1503" t="s">
        <v>21</v>
      </c>
      <c r="E1503">
        <v>2222222</v>
      </c>
      <c r="F1503" s="8" t="s">
        <v>22</v>
      </c>
      <c r="G1503" s="2">
        <v>98</v>
      </c>
      <c r="H1503" t="s">
        <v>4099</v>
      </c>
      <c r="J1503" s="9" t="s">
        <v>4853</v>
      </c>
      <c r="K1503" t="s">
        <v>4961</v>
      </c>
      <c r="L1503" s="2">
        <v>1</v>
      </c>
      <c r="M1503" s="24" t="s">
        <v>5971</v>
      </c>
      <c r="N1503" s="2" t="s">
        <v>23</v>
      </c>
      <c r="O1503" s="18" t="s">
        <v>1247</v>
      </c>
      <c r="P1503" s="18" t="s">
        <v>0</v>
      </c>
      <c r="Q1503" s="6" t="s">
        <v>4475</v>
      </c>
      <c r="T1503" s="23">
        <v>46050</v>
      </c>
      <c r="U1503" s="23">
        <v>46961</v>
      </c>
      <c r="X1503" s="20">
        <v>12300</v>
      </c>
      <c r="Z1503" s="6" t="s">
        <v>5978</v>
      </c>
      <c r="AA1503" s="14">
        <f t="shared" si="197"/>
        <v>5.9999999999999995E-4</v>
      </c>
      <c r="AB1503">
        <v>5.9039999999999999</v>
      </c>
      <c r="AC1503">
        <v>6.1401599999999998</v>
      </c>
    </row>
    <row r="1504" spans="1:29" x14ac:dyDescent="0.3">
      <c r="A1504">
        <v>147475</v>
      </c>
      <c r="B1504" s="25" t="s">
        <v>5984</v>
      </c>
      <c r="C1504" t="s">
        <v>20</v>
      </c>
      <c r="D1504" t="s">
        <v>21</v>
      </c>
      <c r="E1504">
        <v>2222222</v>
      </c>
      <c r="F1504" s="8" t="s">
        <v>22</v>
      </c>
      <c r="G1504" s="2">
        <v>98</v>
      </c>
      <c r="H1504" t="s">
        <v>4100</v>
      </c>
      <c r="J1504" s="9" t="s">
        <v>5055</v>
      </c>
      <c r="K1504" t="s">
        <v>4926</v>
      </c>
      <c r="L1504" s="2">
        <v>1</v>
      </c>
      <c r="M1504" s="24" t="s">
        <v>5971</v>
      </c>
      <c r="N1504" s="2" t="s">
        <v>23</v>
      </c>
      <c r="O1504" s="18" t="s">
        <v>1248</v>
      </c>
      <c r="P1504" s="18" t="s">
        <v>3781</v>
      </c>
      <c r="Q1504" s="6" t="s">
        <v>4475</v>
      </c>
      <c r="T1504" s="23">
        <v>45892</v>
      </c>
      <c r="U1504" s="23">
        <v>46621</v>
      </c>
      <c r="X1504" s="20">
        <v>5000</v>
      </c>
      <c r="Z1504" s="6" t="s">
        <v>5978</v>
      </c>
      <c r="AA1504" s="14">
        <f t="shared" si="197"/>
        <v>5.9999999999999995E-4</v>
      </c>
      <c r="AB1504">
        <v>1.7567879999999998</v>
      </c>
      <c r="AC1504">
        <v>1.8270595199999999</v>
      </c>
    </row>
    <row r="1505" spans="1:29" x14ac:dyDescent="0.3">
      <c r="A1505">
        <v>149426</v>
      </c>
      <c r="B1505" s="25" t="s">
        <v>5984</v>
      </c>
      <c r="C1505" t="s">
        <v>20</v>
      </c>
      <c r="D1505" t="s">
        <v>21</v>
      </c>
      <c r="E1505">
        <v>2222222</v>
      </c>
      <c r="F1505" s="8" t="s">
        <v>22</v>
      </c>
      <c r="G1505" s="2">
        <v>98</v>
      </c>
      <c r="H1505" t="s">
        <v>4100</v>
      </c>
      <c r="J1505" s="9" t="s">
        <v>4847</v>
      </c>
      <c r="K1505" t="s">
        <v>5064</v>
      </c>
      <c r="L1505" s="2">
        <v>1</v>
      </c>
      <c r="M1505" s="24" t="s">
        <v>5971</v>
      </c>
      <c r="N1505" s="2" t="s">
        <v>23</v>
      </c>
      <c r="O1505" s="18" t="s">
        <v>1249</v>
      </c>
      <c r="P1505" s="18" t="s">
        <v>0</v>
      </c>
      <c r="Q1505" s="6" t="s">
        <v>4475</v>
      </c>
      <c r="T1505" s="23">
        <v>46038</v>
      </c>
      <c r="U1505" s="23">
        <v>47863</v>
      </c>
      <c r="X1505" s="20">
        <v>55000</v>
      </c>
      <c r="Z1505" s="6" t="s">
        <v>5978</v>
      </c>
      <c r="AA1505" s="14">
        <f t="shared" si="197"/>
        <v>5.9999999999999995E-4</v>
      </c>
      <c r="AB1505">
        <v>30.249989999999997</v>
      </c>
      <c r="AC1505">
        <v>31.459989599999997</v>
      </c>
    </row>
    <row r="1506" spans="1:29" x14ac:dyDescent="0.3">
      <c r="A1506">
        <v>151202</v>
      </c>
      <c r="B1506" s="25" t="s">
        <v>5984</v>
      </c>
      <c r="C1506" t="s">
        <v>20</v>
      </c>
      <c r="D1506" t="s">
        <v>21</v>
      </c>
      <c r="E1506">
        <v>2222222</v>
      </c>
      <c r="F1506" s="8" t="s">
        <v>22</v>
      </c>
      <c r="G1506" s="2">
        <v>98</v>
      </c>
      <c r="H1506" t="s">
        <v>4101</v>
      </c>
      <c r="J1506" s="9" t="s">
        <v>5330</v>
      </c>
      <c r="K1506" t="s">
        <v>5104</v>
      </c>
      <c r="L1506" s="2">
        <v>1</v>
      </c>
      <c r="M1506" s="24" t="s">
        <v>5971</v>
      </c>
      <c r="N1506" s="2" t="s">
        <v>23</v>
      </c>
      <c r="O1506" s="18" t="s">
        <v>795</v>
      </c>
      <c r="P1506" s="18" t="s">
        <v>3781</v>
      </c>
      <c r="Q1506" s="6" t="s">
        <v>4475</v>
      </c>
      <c r="T1506" s="23">
        <v>46147</v>
      </c>
      <c r="U1506" s="23">
        <v>47242</v>
      </c>
      <c r="X1506" s="20">
        <v>5000</v>
      </c>
      <c r="Z1506" s="6" t="s">
        <v>5978</v>
      </c>
      <c r="AA1506" s="14">
        <f t="shared" si="197"/>
        <v>5.9999999999999995E-4</v>
      </c>
      <c r="AB1506">
        <v>2.8713719999999996</v>
      </c>
      <c r="AC1506">
        <v>2.9862268799999998</v>
      </c>
    </row>
    <row r="1507" spans="1:29" x14ac:dyDescent="0.3">
      <c r="A1507">
        <v>123607</v>
      </c>
      <c r="B1507" s="25" t="s">
        <v>5984</v>
      </c>
      <c r="C1507" t="s">
        <v>20</v>
      </c>
      <c r="D1507" t="s">
        <v>21</v>
      </c>
      <c r="E1507">
        <v>2222222</v>
      </c>
      <c r="F1507" s="8" t="s">
        <v>22</v>
      </c>
      <c r="G1507" s="2">
        <v>98</v>
      </c>
      <c r="H1507" t="s">
        <v>4102</v>
      </c>
      <c r="J1507" s="9" t="s">
        <v>4825</v>
      </c>
      <c r="K1507" t="s">
        <v>5007</v>
      </c>
      <c r="L1507" s="2">
        <v>1</v>
      </c>
      <c r="M1507" s="24" t="s">
        <v>5971</v>
      </c>
      <c r="N1507" s="2" t="s">
        <v>23</v>
      </c>
      <c r="O1507" s="18" t="s">
        <v>1250</v>
      </c>
      <c r="P1507" s="18" t="s">
        <v>0</v>
      </c>
      <c r="Q1507" s="6" t="s">
        <v>4475</v>
      </c>
      <c r="T1507" s="23">
        <v>44475</v>
      </c>
      <c r="U1507" s="23">
        <v>44839</v>
      </c>
      <c r="X1507" s="20">
        <v>1005</v>
      </c>
      <c r="Z1507" s="6" t="s">
        <v>5978</v>
      </c>
      <c r="AA1507" s="15">
        <f>+(0.42/1000)</f>
        <v>4.1999999999999996E-4</v>
      </c>
      <c r="AB1507">
        <v>0.42209999999999998</v>
      </c>
      <c r="AC1507">
        <v>0.43898399999999999</v>
      </c>
    </row>
    <row r="1508" spans="1:29" x14ac:dyDescent="0.3">
      <c r="A1508">
        <v>148875</v>
      </c>
      <c r="B1508" s="25" t="s">
        <v>5984</v>
      </c>
      <c r="C1508" t="s">
        <v>20</v>
      </c>
      <c r="D1508" t="s">
        <v>21</v>
      </c>
      <c r="E1508">
        <v>2222222</v>
      </c>
      <c r="F1508" s="8" t="s">
        <v>22</v>
      </c>
      <c r="G1508" s="2">
        <v>98</v>
      </c>
      <c r="H1508" t="s">
        <v>4103</v>
      </c>
      <c r="J1508" s="9" t="s">
        <v>5485</v>
      </c>
      <c r="K1508" t="s">
        <v>5374</v>
      </c>
      <c r="L1508" s="2">
        <v>1</v>
      </c>
      <c r="M1508" s="24" t="s">
        <v>5971</v>
      </c>
      <c r="N1508" s="2" t="s">
        <v>23</v>
      </c>
      <c r="O1508" s="18" t="s">
        <v>1251</v>
      </c>
      <c r="P1508" s="18" t="s">
        <v>0</v>
      </c>
      <c r="Q1508" s="6" t="s">
        <v>4475</v>
      </c>
      <c r="T1508" s="23">
        <v>45985</v>
      </c>
      <c r="U1508" s="23">
        <v>46350</v>
      </c>
      <c r="X1508" s="20">
        <v>1000</v>
      </c>
      <c r="Z1508" s="6" t="s">
        <v>5978</v>
      </c>
      <c r="AA1508" s="14">
        <f t="shared" ref="AA1508:AA1509" si="198">+(0.6/1000)</f>
        <v>5.9999999999999995E-4</v>
      </c>
      <c r="AB1508">
        <v>0.21120599999999998</v>
      </c>
      <c r="AC1508">
        <v>0.21965423999999997</v>
      </c>
    </row>
    <row r="1509" spans="1:29" x14ac:dyDescent="0.3">
      <c r="A1509">
        <v>143110</v>
      </c>
      <c r="B1509" s="25" t="s">
        <v>5984</v>
      </c>
      <c r="C1509" t="s">
        <v>20</v>
      </c>
      <c r="D1509" t="s">
        <v>21</v>
      </c>
      <c r="E1509">
        <v>2222222</v>
      </c>
      <c r="F1509" s="8" t="s">
        <v>22</v>
      </c>
      <c r="G1509" s="2">
        <v>98</v>
      </c>
      <c r="H1509" t="s">
        <v>4104</v>
      </c>
      <c r="J1509" s="9" t="s">
        <v>5486</v>
      </c>
      <c r="K1509" t="s">
        <v>5487</v>
      </c>
      <c r="L1509" s="2">
        <v>1</v>
      </c>
      <c r="M1509" s="24" t="s">
        <v>5971</v>
      </c>
      <c r="N1509" s="2" t="s">
        <v>23</v>
      </c>
      <c r="O1509" s="18" t="s">
        <v>1252</v>
      </c>
      <c r="P1509" s="18" t="s">
        <v>3781</v>
      </c>
      <c r="Q1509" s="6" t="s">
        <v>4475</v>
      </c>
      <c r="T1509" s="23">
        <v>45566</v>
      </c>
      <c r="U1509" s="23">
        <v>47118</v>
      </c>
      <c r="X1509" s="20">
        <v>2400</v>
      </c>
      <c r="Z1509" s="6" t="s">
        <v>5978</v>
      </c>
      <c r="AA1509" s="14">
        <f t="shared" si="198"/>
        <v>5.9999999999999995E-4</v>
      </c>
      <c r="AB1509">
        <v>1.2790499999999998</v>
      </c>
      <c r="AC1509">
        <v>1.3302119999999997</v>
      </c>
    </row>
    <row r="1510" spans="1:29" x14ac:dyDescent="0.3">
      <c r="A1510">
        <v>72928</v>
      </c>
      <c r="B1510" s="25" t="s">
        <v>5984</v>
      </c>
      <c r="C1510" t="s">
        <v>20</v>
      </c>
      <c r="D1510" t="s">
        <v>21</v>
      </c>
      <c r="E1510">
        <v>2222222</v>
      </c>
      <c r="F1510" s="8" t="s">
        <v>22</v>
      </c>
      <c r="G1510" s="2">
        <v>98</v>
      </c>
      <c r="H1510" t="s">
        <v>4105</v>
      </c>
      <c r="J1510" s="9" t="s">
        <v>4983</v>
      </c>
      <c r="K1510" t="s">
        <v>5272</v>
      </c>
      <c r="L1510" s="2">
        <v>1</v>
      </c>
      <c r="M1510" s="24" t="s">
        <v>5971</v>
      </c>
      <c r="N1510" s="2" t="s">
        <v>23</v>
      </c>
      <c r="O1510" s="18" t="s">
        <v>1253</v>
      </c>
      <c r="P1510" s="18" t="s">
        <v>0</v>
      </c>
      <c r="Q1510" s="6" t="s">
        <v>4475</v>
      </c>
      <c r="T1510" s="23">
        <v>42534</v>
      </c>
      <c r="U1510" s="23">
        <v>44725</v>
      </c>
      <c r="X1510" s="20">
        <v>10000</v>
      </c>
      <c r="Z1510" s="6" t="s">
        <v>5978</v>
      </c>
      <c r="AA1510" s="15">
        <f>+(0.42/1000)</f>
        <v>4.1999999999999996E-4</v>
      </c>
      <c r="AB1510">
        <v>1.4979887999999999</v>
      </c>
      <c r="AC1510">
        <v>1.5579083519999999</v>
      </c>
    </row>
    <row r="1511" spans="1:29" x14ac:dyDescent="0.3">
      <c r="A1511">
        <v>132916</v>
      </c>
      <c r="B1511" s="25" t="s">
        <v>5984</v>
      </c>
      <c r="C1511" t="s">
        <v>20</v>
      </c>
      <c r="D1511" t="s">
        <v>21</v>
      </c>
      <c r="E1511">
        <v>2222222</v>
      </c>
      <c r="F1511" s="8" t="s">
        <v>22</v>
      </c>
      <c r="G1511" s="2">
        <v>98</v>
      </c>
      <c r="H1511" t="s">
        <v>4105</v>
      </c>
      <c r="J1511" s="9" t="s">
        <v>4871</v>
      </c>
      <c r="K1511" t="s">
        <v>4870</v>
      </c>
      <c r="L1511" s="2">
        <v>1</v>
      </c>
      <c r="M1511" s="24" t="s">
        <v>5971</v>
      </c>
      <c r="N1511" s="2" t="s">
        <v>23</v>
      </c>
      <c r="O1511" s="18" t="s">
        <v>1254</v>
      </c>
      <c r="P1511" s="18" t="s">
        <v>0</v>
      </c>
      <c r="Q1511" s="6" t="s">
        <v>4475</v>
      </c>
      <c r="T1511" s="23">
        <v>44970</v>
      </c>
      <c r="U1511" s="23">
        <v>46433</v>
      </c>
      <c r="X1511" s="20">
        <v>5000</v>
      </c>
      <c r="Z1511" s="6" t="s">
        <v>5978</v>
      </c>
      <c r="AA1511" s="13">
        <f t="shared" ref="AA1511:AA1518" si="199">+(0.56/1000)</f>
        <v>5.6000000000000006E-4</v>
      </c>
      <c r="AB1511">
        <v>2.7212696000000003</v>
      </c>
      <c r="AC1511">
        <v>2.8301203840000002</v>
      </c>
    </row>
    <row r="1512" spans="1:29" x14ac:dyDescent="0.3">
      <c r="A1512">
        <v>134246</v>
      </c>
      <c r="B1512" s="25" t="s">
        <v>5984</v>
      </c>
      <c r="C1512" t="s">
        <v>20</v>
      </c>
      <c r="D1512" t="s">
        <v>21</v>
      </c>
      <c r="E1512">
        <v>2222222</v>
      </c>
      <c r="F1512" s="8" t="s">
        <v>22</v>
      </c>
      <c r="G1512" s="2">
        <v>98</v>
      </c>
      <c r="H1512" t="s">
        <v>4105</v>
      </c>
      <c r="J1512" s="9" t="s">
        <v>4826</v>
      </c>
      <c r="K1512" t="s">
        <v>4848</v>
      </c>
      <c r="L1512" s="2">
        <v>1</v>
      </c>
      <c r="M1512" s="24" t="s">
        <v>5971</v>
      </c>
      <c r="N1512" s="2" t="s">
        <v>23</v>
      </c>
      <c r="O1512" s="18" t="s">
        <v>1255</v>
      </c>
      <c r="P1512" s="18" t="s">
        <v>0</v>
      </c>
      <c r="Q1512" s="6" t="s">
        <v>4475</v>
      </c>
      <c r="T1512" s="23">
        <v>45056</v>
      </c>
      <c r="U1512" s="23">
        <v>47248</v>
      </c>
      <c r="X1512" s="20">
        <v>20000</v>
      </c>
      <c r="Z1512" s="6" t="s">
        <v>5978</v>
      </c>
      <c r="AA1512" s="13">
        <f t="shared" si="199"/>
        <v>5.6000000000000006E-4</v>
      </c>
      <c r="AB1512">
        <v>6.6278128000000001</v>
      </c>
      <c r="AC1512">
        <v>6.892925312</v>
      </c>
    </row>
    <row r="1513" spans="1:29" x14ac:dyDescent="0.3">
      <c r="A1513">
        <v>134513</v>
      </c>
      <c r="B1513" s="25" t="s">
        <v>5984</v>
      </c>
      <c r="C1513" t="s">
        <v>20</v>
      </c>
      <c r="D1513" t="s">
        <v>21</v>
      </c>
      <c r="E1513">
        <v>2222222</v>
      </c>
      <c r="F1513" s="8" t="s">
        <v>22</v>
      </c>
      <c r="G1513" s="2">
        <v>98</v>
      </c>
      <c r="H1513" t="s">
        <v>4105</v>
      </c>
      <c r="J1513" s="9" t="s">
        <v>4911</v>
      </c>
      <c r="K1513" t="s">
        <v>5170</v>
      </c>
      <c r="L1513" s="2">
        <v>1</v>
      </c>
      <c r="M1513" s="24" t="s">
        <v>5971</v>
      </c>
      <c r="N1513" s="2" t="s">
        <v>23</v>
      </c>
      <c r="O1513" s="18" t="s">
        <v>1256</v>
      </c>
      <c r="P1513" s="18" t="s">
        <v>3781</v>
      </c>
      <c r="Q1513" s="6" t="s">
        <v>4475</v>
      </c>
      <c r="T1513" s="23">
        <v>45065</v>
      </c>
      <c r="U1513" s="23">
        <v>48809</v>
      </c>
      <c r="X1513" s="20">
        <v>19820</v>
      </c>
      <c r="Z1513" s="6" t="s">
        <v>5978</v>
      </c>
      <c r="AA1513" s="13">
        <f t="shared" si="199"/>
        <v>5.6000000000000006E-4</v>
      </c>
      <c r="AB1513">
        <v>9.4988824000000012</v>
      </c>
      <c r="AC1513">
        <v>9.8788376960000015</v>
      </c>
    </row>
    <row r="1514" spans="1:29" x14ac:dyDescent="0.3">
      <c r="A1514">
        <v>137508</v>
      </c>
      <c r="B1514" s="25" t="s">
        <v>5984</v>
      </c>
      <c r="C1514" t="s">
        <v>20</v>
      </c>
      <c r="D1514" t="s">
        <v>21</v>
      </c>
      <c r="E1514">
        <v>2222222</v>
      </c>
      <c r="F1514" s="8" t="s">
        <v>22</v>
      </c>
      <c r="G1514" s="2">
        <v>98</v>
      </c>
      <c r="H1514" t="s">
        <v>4105</v>
      </c>
      <c r="J1514" s="9" t="s">
        <v>4815</v>
      </c>
      <c r="K1514" t="s">
        <v>4966</v>
      </c>
      <c r="L1514" s="2">
        <v>1</v>
      </c>
      <c r="M1514" s="24" t="s">
        <v>5971</v>
      </c>
      <c r="N1514" s="2" t="s">
        <v>23</v>
      </c>
      <c r="O1514" s="18" t="s">
        <v>1257</v>
      </c>
      <c r="P1514" s="18" t="s">
        <v>0</v>
      </c>
      <c r="Q1514" s="6" t="s">
        <v>4475</v>
      </c>
      <c r="T1514" s="23">
        <v>45225</v>
      </c>
      <c r="U1514" s="23">
        <v>48969</v>
      </c>
      <c r="X1514" s="20">
        <v>12050</v>
      </c>
      <c r="Z1514" s="6" t="s">
        <v>5978</v>
      </c>
      <c r="AA1514" s="13">
        <f t="shared" si="199"/>
        <v>5.6000000000000006E-4</v>
      </c>
      <c r="AB1514">
        <v>5.9235400000000009</v>
      </c>
      <c r="AC1514">
        <v>6.1604816000000016</v>
      </c>
    </row>
    <row r="1515" spans="1:29" x14ac:dyDescent="0.3">
      <c r="A1515">
        <v>138083</v>
      </c>
      <c r="B1515" s="25" t="s">
        <v>5984</v>
      </c>
      <c r="C1515" t="s">
        <v>20</v>
      </c>
      <c r="D1515" t="s">
        <v>21</v>
      </c>
      <c r="E1515">
        <v>2222222</v>
      </c>
      <c r="F1515" s="8" t="s">
        <v>22</v>
      </c>
      <c r="G1515" s="2">
        <v>98</v>
      </c>
      <c r="H1515" t="s">
        <v>4105</v>
      </c>
      <c r="J1515" s="9" t="s">
        <v>4962</v>
      </c>
      <c r="K1515" t="s">
        <v>5166</v>
      </c>
      <c r="L1515" s="2">
        <v>1</v>
      </c>
      <c r="M1515" s="24" t="s">
        <v>5971</v>
      </c>
      <c r="N1515" s="2" t="s">
        <v>23</v>
      </c>
      <c r="O1515" s="18" t="s">
        <v>754</v>
      </c>
      <c r="P1515" s="18" t="s">
        <v>3781</v>
      </c>
      <c r="Q1515" s="6" t="s">
        <v>4475</v>
      </c>
      <c r="T1515" s="23">
        <v>45271</v>
      </c>
      <c r="U1515" s="23">
        <v>47097</v>
      </c>
      <c r="X1515" s="20">
        <v>8000</v>
      </c>
      <c r="Z1515" s="6" t="s">
        <v>5978</v>
      </c>
      <c r="AA1515" s="13">
        <f t="shared" si="199"/>
        <v>5.6000000000000006E-4</v>
      </c>
      <c r="AB1515">
        <v>2.6840687999999999</v>
      </c>
      <c r="AC1515">
        <v>2.7914315520000001</v>
      </c>
    </row>
    <row r="1516" spans="1:29" x14ac:dyDescent="0.3">
      <c r="A1516">
        <v>138650</v>
      </c>
      <c r="B1516" s="25" t="s">
        <v>5984</v>
      </c>
      <c r="C1516" t="s">
        <v>20</v>
      </c>
      <c r="D1516" t="s">
        <v>21</v>
      </c>
      <c r="E1516">
        <v>2222222</v>
      </c>
      <c r="F1516" s="8" t="s">
        <v>22</v>
      </c>
      <c r="G1516" s="2">
        <v>98</v>
      </c>
      <c r="H1516" t="s">
        <v>4105</v>
      </c>
      <c r="J1516" s="9" t="s">
        <v>4882</v>
      </c>
      <c r="K1516" t="s">
        <v>4844</v>
      </c>
      <c r="L1516" s="2">
        <v>1</v>
      </c>
      <c r="M1516" s="24" t="s">
        <v>5971</v>
      </c>
      <c r="N1516" s="2" t="s">
        <v>23</v>
      </c>
      <c r="O1516" s="18" t="s">
        <v>1258</v>
      </c>
      <c r="P1516" s="18" t="s">
        <v>0</v>
      </c>
      <c r="Q1516" s="6" t="s">
        <v>4475</v>
      </c>
      <c r="T1516" s="23">
        <v>45289</v>
      </c>
      <c r="U1516" s="23">
        <v>46023</v>
      </c>
      <c r="X1516" s="20">
        <v>3000</v>
      </c>
      <c r="Z1516" s="6" t="s">
        <v>5978</v>
      </c>
      <c r="AA1516" s="13">
        <f t="shared" si="199"/>
        <v>5.6000000000000006E-4</v>
      </c>
      <c r="AB1516">
        <v>1.5616160000000001</v>
      </c>
      <c r="AC1516">
        <v>1.6240806400000001</v>
      </c>
    </row>
    <row r="1517" spans="1:29" x14ac:dyDescent="0.3">
      <c r="A1517">
        <v>138914</v>
      </c>
      <c r="B1517" s="25" t="s">
        <v>5984</v>
      </c>
      <c r="C1517" t="s">
        <v>20</v>
      </c>
      <c r="D1517" t="s">
        <v>21</v>
      </c>
      <c r="E1517">
        <v>2222222</v>
      </c>
      <c r="F1517" s="8" t="s">
        <v>22</v>
      </c>
      <c r="G1517" s="2">
        <v>98</v>
      </c>
      <c r="H1517" t="s">
        <v>4105</v>
      </c>
      <c r="J1517" s="9" t="s">
        <v>5260</v>
      </c>
      <c r="K1517" t="s">
        <v>4892</v>
      </c>
      <c r="L1517" s="2">
        <v>1</v>
      </c>
      <c r="M1517" s="24" t="s">
        <v>5971</v>
      </c>
      <c r="N1517" s="2" t="s">
        <v>23</v>
      </c>
      <c r="O1517" s="18" t="s">
        <v>1259</v>
      </c>
      <c r="P1517" s="18" t="s">
        <v>3781</v>
      </c>
      <c r="Q1517" s="6" t="s">
        <v>4475</v>
      </c>
      <c r="T1517" s="23">
        <v>45309</v>
      </c>
      <c r="U1517" s="23">
        <v>46404</v>
      </c>
      <c r="X1517" s="20">
        <v>6000</v>
      </c>
      <c r="Z1517" s="6" t="s">
        <v>5978</v>
      </c>
      <c r="AA1517" s="13">
        <f t="shared" si="199"/>
        <v>5.6000000000000006E-4</v>
      </c>
      <c r="AB1517">
        <v>2.0382768000000002</v>
      </c>
      <c r="AC1517">
        <v>2.1198078720000004</v>
      </c>
    </row>
    <row r="1518" spans="1:29" x14ac:dyDescent="0.3">
      <c r="A1518">
        <v>139115</v>
      </c>
      <c r="B1518" s="25" t="s">
        <v>5984</v>
      </c>
      <c r="C1518" t="s">
        <v>20</v>
      </c>
      <c r="D1518" t="s">
        <v>21</v>
      </c>
      <c r="E1518">
        <v>2222222</v>
      </c>
      <c r="F1518" s="8" t="s">
        <v>22</v>
      </c>
      <c r="G1518" s="2">
        <v>98</v>
      </c>
      <c r="H1518" t="s">
        <v>4105</v>
      </c>
      <c r="J1518" s="9" t="s">
        <v>4953</v>
      </c>
      <c r="K1518" t="s">
        <v>4964</v>
      </c>
      <c r="L1518" s="2">
        <v>1</v>
      </c>
      <c r="M1518" s="24" t="s">
        <v>5971</v>
      </c>
      <c r="N1518" s="2" t="s">
        <v>23</v>
      </c>
      <c r="O1518" s="18" t="s">
        <v>82</v>
      </c>
      <c r="P1518" s="18" t="s">
        <v>0</v>
      </c>
      <c r="Q1518" s="6" t="s">
        <v>4475</v>
      </c>
      <c r="T1518" s="23">
        <v>45331</v>
      </c>
      <c r="U1518" s="23">
        <v>47524</v>
      </c>
      <c r="X1518" s="20">
        <v>10000</v>
      </c>
      <c r="Z1518" s="6" t="s">
        <v>5978</v>
      </c>
      <c r="AA1518" s="13">
        <f t="shared" si="199"/>
        <v>5.6000000000000006E-4</v>
      </c>
      <c r="AB1518">
        <v>3.9646936000000008</v>
      </c>
      <c r="AC1518">
        <v>4.1232813440000013</v>
      </c>
    </row>
    <row r="1519" spans="1:29" x14ac:dyDescent="0.3">
      <c r="A1519">
        <v>141206</v>
      </c>
      <c r="B1519" s="25" t="s">
        <v>5984</v>
      </c>
      <c r="C1519" t="s">
        <v>20</v>
      </c>
      <c r="D1519" t="s">
        <v>21</v>
      </c>
      <c r="E1519">
        <v>2222222</v>
      </c>
      <c r="F1519" s="8" t="s">
        <v>22</v>
      </c>
      <c r="G1519" s="2">
        <v>98</v>
      </c>
      <c r="H1519" t="s">
        <v>4105</v>
      </c>
      <c r="J1519" s="9" t="s">
        <v>5234</v>
      </c>
      <c r="K1519" t="s">
        <v>5488</v>
      </c>
      <c r="L1519" s="2">
        <v>1</v>
      </c>
      <c r="M1519" s="24" t="s">
        <v>5971</v>
      </c>
      <c r="N1519" s="2" t="s">
        <v>23</v>
      </c>
      <c r="O1519" s="18" t="s">
        <v>1260</v>
      </c>
      <c r="P1519" s="18" t="s">
        <v>0</v>
      </c>
      <c r="Q1519" s="6" t="s">
        <v>4475</v>
      </c>
      <c r="T1519" s="23">
        <v>45482</v>
      </c>
      <c r="U1519" s="23">
        <v>47399</v>
      </c>
      <c r="X1519" s="20">
        <v>8770</v>
      </c>
      <c r="Z1519" s="6" t="s">
        <v>5978</v>
      </c>
      <c r="AA1519" s="14">
        <f t="shared" ref="AA1519:AA1549" si="200">+(0.6/1000)</f>
        <v>5.9999999999999995E-4</v>
      </c>
      <c r="AB1519">
        <v>3.8494859999999997</v>
      </c>
      <c r="AC1519">
        <v>4.0034654400000003</v>
      </c>
    </row>
    <row r="1520" spans="1:29" x14ac:dyDescent="0.3">
      <c r="A1520">
        <v>142536</v>
      </c>
      <c r="B1520" s="25" t="s">
        <v>5984</v>
      </c>
      <c r="C1520" t="s">
        <v>20</v>
      </c>
      <c r="D1520" t="s">
        <v>21</v>
      </c>
      <c r="E1520">
        <v>2222222</v>
      </c>
      <c r="F1520" s="8" t="s">
        <v>22</v>
      </c>
      <c r="G1520" s="2">
        <v>98</v>
      </c>
      <c r="H1520" t="s">
        <v>4105</v>
      </c>
      <c r="J1520" s="9" t="s">
        <v>5110</v>
      </c>
      <c r="K1520" t="s">
        <v>5489</v>
      </c>
      <c r="L1520" s="2">
        <v>1</v>
      </c>
      <c r="M1520" s="24" t="s">
        <v>5971</v>
      </c>
      <c r="N1520" s="2" t="s">
        <v>23</v>
      </c>
      <c r="O1520" s="18" t="s">
        <v>1261</v>
      </c>
      <c r="P1520" s="18" t="s">
        <v>3781</v>
      </c>
      <c r="Q1520" s="6" t="s">
        <v>4475</v>
      </c>
      <c r="T1520" s="23">
        <v>45534</v>
      </c>
      <c r="U1520" s="23">
        <v>48089</v>
      </c>
      <c r="X1520" s="20">
        <v>85000</v>
      </c>
      <c r="Z1520" s="6" t="s">
        <v>5978</v>
      </c>
      <c r="AA1520" s="14">
        <f t="shared" si="200"/>
        <v>5.9999999999999995E-4</v>
      </c>
      <c r="AB1520">
        <v>41.758745999999995</v>
      </c>
      <c r="AC1520">
        <v>43.429095839999995</v>
      </c>
    </row>
    <row r="1521" spans="1:29" x14ac:dyDescent="0.3">
      <c r="A1521">
        <v>142916</v>
      </c>
      <c r="B1521" s="25" t="s">
        <v>5984</v>
      </c>
      <c r="C1521" t="s">
        <v>20</v>
      </c>
      <c r="D1521" t="s">
        <v>21</v>
      </c>
      <c r="E1521">
        <v>2222222</v>
      </c>
      <c r="F1521" s="8" t="s">
        <v>22</v>
      </c>
      <c r="G1521" s="2">
        <v>98</v>
      </c>
      <c r="H1521" t="s">
        <v>4105</v>
      </c>
      <c r="J1521" s="9" t="s">
        <v>5178</v>
      </c>
      <c r="K1521" t="s">
        <v>4904</v>
      </c>
      <c r="L1521" s="2">
        <v>1</v>
      </c>
      <c r="M1521" s="24" t="s">
        <v>5971</v>
      </c>
      <c r="N1521" s="2" t="s">
        <v>23</v>
      </c>
      <c r="O1521" s="18" t="s">
        <v>1262</v>
      </c>
      <c r="P1521" s="18" t="s">
        <v>3781</v>
      </c>
      <c r="Q1521" s="6" t="s">
        <v>4475</v>
      </c>
      <c r="T1521" s="23">
        <v>45555</v>
      </c>
      <c r="U1521" s="23">
        <v>47381</v>
      </c>
      <c r="X1521" s="20">
        <v>4350</v>
      </c>
      <c r="Z1521" s="6" t="s">
        <v>5978</v>
      </c>
      <c r="AA1521" s="14">
        <f t="shared" si="200"/>
        <v>5.9999999999999995E-4</v>
      </c>
      <c r="AB1521">
        <v>1.8707759999999998</v>
      </c>
      <c r="AC1521">
        <v>1.9456070399999998</v>
      </c>
    </row>
    <row r="1522" spans="1:29" x14ac:dyDescent="0.3">
      <c r="A1522">
        <v>143360</v>
      </c>
      <c r="B1522" s="25" t="s">
        <v>5984</v>
      </c>
      <c r="C1522" t="s">
        <v>20</v>
      </c>
      <c r="D1522" t="s">
        <v>21</v>
      </c>
      <c r="E1522">
        <v>2222222</v>
      </c>
      <c r="F1522" s="8" t="s">
        <v>22</v>
      </c>
      <c r="G1522" s="2">
        <v>98</v>
      </c>
      <c r="H1522" t="s">
        <v>4105</v>
      </c>
      <c r="J1522" s="9" t="s">
        <v>5063</v>
      </c>
      <c r="K1522" t="s">
        <v>4961</v>
      </c>
      <c r="L1522" s="2">
        <v>1</v>
      </c>
      <c r="M1522" s="24" t="s">
        <v>5971</v>
      </c>
      <c r="N1522" s="2" t="s">
        <v>23</v>
      </c>
      <c r="O1522" s="18" t="s">
        <v>1263</v>
      </c>
      <c r="P1522" s="18" t="s">
        <v>0</v>
      </c>
      <c r="Q1522" s="6" t="s">
        <v>4475</v>
      </c>
      <c r="T1522" s="23">
        <v>45586</v>
      </c>
      <c r="U1522" s="23">
        <v>46315</v>
      </c>
      <c r="X1522" s="20">
        <v>2320</v>
      </c>
      <c r="Z1522" s="6" t="s">
        <v>5978</v>
      </c>
      <c r="AA1522" s="14">
        <f t="shared" si="200"/>
        <v>5.9999999999999995E-4</v>
      </c>
      <c r="AB1522">
        <v>0.19697999999999999</v>
      </c>
      <c r="AC1522">
        <v>0.20485919999999999</v>
      </c>
    </row>
    <row r="1523" spans="1:29" x14ac:dyDescent="0.3">
      <c r="A1523">
        <v>144875</v>
      </c>
      <c r="B1523" s="25" t="s">
        <v>5984</v>
      </c>
      <c r="C1523" t="s">
        <v>20</v>
      </c>
      <c r="D1523" t="s">
        <v>21</v>
      </c>
      <c r="E1523">
        <v>2222222</v>
      </c>
      <c r="F1523" s="8" t="s">
        <v>22</v>
      </c>
      <c r="G1523" s="2">
        <v>98</v>
      </c>
      <c r="H1523" t="s">
        <v>4105</v>
      </c>
      <c r="J1523" s="9" t="s">
        <v>4896</v>
      </c>
      <c r="K1523" t="s">
        <v>4942</v>
      </c>
      <c r="L1523" s="2">
        <v>1</v>
      </c>
      <c r="M1523" s="24" t="s">
        <v>5971</v>
      </c>
      <c r="N1523" s="2" t="s">
        <v>23</v>
      </c>
      <c r="O1523" s="18" t="s">
        <v>1264</v>
      </c>
      <c r="P1523" s="18" t="s">
        <v>3781</v>
      </c>
      <c r="Q1523" s="6" t="s">
        <v>4475</v>
      </c>
      <c r="T1523" s="23">
        <v>45694</v>
      </c>
      <c r="U1523" s="23">
        <v>46242</v>
      </c>
      <c r="X1523" s="20">
        <v>4000</v>
      </c>
      <c r="Z1523" s="6" t="s">
        <v>5978</v>
      </c>
      <c r="AA1523" s="14">
        <f t="shared" si="200"/>
        <v>5.9999999999999995E-4</v>
      </c>
      <c r="AB1523">
        <v>0.15065399999999998</v>
      </c>
      <c r="AC1523">
        <v>0.15668015999999998</v>
      </c>
    </row>
    <row r="1524" spans="1:29" x14ac:dyDescent="0.3">
      <c r="A1524">
        <v>145370</v>
      </c>
      <c r="B1524" s="25" t="s">
        <v>5984</v>
      </c>
      <c r="C1524" t="s">
        <v>20</v>
      </c>
      <c r="D1524" t="s">
        <v>21</v>
      </c>
      <c r="E1524">
        <v>2222222</v>
      </c>
      <c r="F1524" s="8" t="s">
        <v>22</v>
      </c>
      <c r="G1524" s="2">
        <v>98</v>
      </c>
      <c r="H1524" t="s">
        <v>4105</v>
      </c>
      <c r="J1524" s="9" t="s">
        <v>5068</v>
      </c>
      <c r="K1524" t="s">
        <v>4853</v>
      </c>
      <c r="L1524" s="2">
        <v>1</v>
      </c>
      <c r="M1524" s="24" t="s">
        <v>5971</v>
      </c>
      <c r="N1524" s="2" t="s">
        <v>23</v>
      </c>
      <c r="O1524" s="18" t="s">
        <v>1265</v>
      </c>
      <c r="P1524" s="18" t="s">
        <v>0</v>
      </c>
      <c r="Q1524" s="6" t="s">
        <v>4475</v>
      </c>
      <c r="T1524" s="23">
        <v>45735</v>
      </c>
      <c r="U1524" s="23">
        <v>46830</v>
      </c>
      <c r="X1524" s="20">
        <v>10400</v>
      </c>
      <c r="Z1524" s="6" t="s">
        <v>5978</v>
      </c>
      <c r="AA1524" s="14">
        <f t="shared" si="200"/>
        <v>5.9999999999999995E-4</v>
      </c>
      <c r="AB1524">
        <v>3.8326259999999999</v>
      </c>
      <c r="AC1524">
        <v>3.9859310400000001</v>
      </c>
    </row>
    <row r="1525" spans="1:29" x14ac:dyDescent="0.3">
      <c r="A1525">
        <v>145428</v>
      </c>
      <c r="B1525" s="25" t="s">
        <v>5984</v>
      </c>
      <c r="C1525" t="s">
        <v>20</v>
      </c>
      <c r="D1525" t="s">
        <v>21</v>
      </c>
      <c r="E1525">
        <v>2222222</v>
      </c>
      <c r="F1525" s="8" t="s">
        <v>22</v>
      </c>
      <c r="G1525" s="2">
        <v>98</v>
      </c>
      <c r="H1525" t="s">
        <v>4105</v>
      </c>
      <c r="J1525" s="9" t="s">
        <v>5038</v>
      </c>
      <c r="K1525" t="s">
        <v>5179</v>
      </c>
      <c r="L1525" s="2">
        <v>1</v>
      </c>
      <c r="M1525" s="24" t="s">
        <v>5971</v>
      </c>
      <c r="N1525" s="2" t="s">
        <v>23</v>
      </c>
      <c r="O1525" s="18" t="s">
        <v>1266</v>
      </c>
      <c r="P1525" s="18" t="s">
        <v>3781</v>
      </c>
      <c r="Q1525" s="6" t="s">
        <v>4475</v>
      </c>
      <c r="T1525" s="23">
        <v>45741</v>
      </c>
      <c r="U1525" s="23">
        <v>47566</v>
      </c>
      <c r="X1525" s="20">
        <v>15000</v>
      </c>
      <c r="Z1525" s="6" t="s">
        <v>5978</v>
      </c>
      <c r="AA1525" s="14">
        <f t="shared" si="200"/>
        <v>5.9999999999999995E-4</v>
      </c>
      <c r="AB1525">
        <v>7.2556620000000001</v>
      </c>
      <c r="AC1525">
        <v>7.5458884800000003</v>
      </c>
    </row>
    <row r="1526" spans="1:29" x14ac:dyDescent="0.3">
      <c r="A1526">
        <v>146113</v>
      </c>
      <c r="B1526" s="25" t="s">
        <v>5984</v>
      </c>
      <c r="C1526" t="s">
        <v>20</v>
      </c>
      <c r="D1526" t="s">
        <v>21</v>
      </c>
      <c r="E1526">
        <v>2222222</v>
      </c>
      <c r="F1526" s="8" t="s">
        <v>22</v>
      </c>
      <c r="G1526" s="2">
        <v>98</v>
      </c>
      <c r="H1526" t="s">
        <v>4105</v>
      </c>
      <c r="J1526" s="9" t="s">
        <v>4852</v>
      </c>
      <c r="K1526" t="s">
        <v>4853</v>
      </c>
      <c r="L1526" s="2">
        <v>1</v>
      </c>
      <c r="M1526" s="24" t="s">
        <v>5971</v>
      </c>
      <c r="N1526" s="2" t="s">
        <v>23</v>
      </c>
      <c r="O1526" s="18" t="s">
        <v>1267</v>
      </c>
      <c r="P1526" s="18" t="s">
        <v>0</v>
      </c>
      <c r="Q1526" s="6" t="s">
        <v>4475</v>
      </c>
      <c r="T1526" s="23">
        <v>45791</v>
      </c>
      <c r="U1526" s="23">
        <v>46886</v>
      </c>
      <c r="X1526" s="20">
        <v>2050</v>
      </c>
      <c r="Z1526" s="6" t="s">
        <v>5978</v>
      </c>
      <c r="AA1526" s="14">
        <f t="shared" si="200"/>
        <v>5.9999999999999995E-4</v>
      </c>
      <c r="AB1526">
        <v>0.82449600000000001</v>
      </c>
      <c r="AC1526">
        <v>0.85747583999999999</v>
      </c>
    </row>
    <row r="1527" spans="1:29" x14ac:dyDescent="0.3">
      <c r="A1527">
        <v>146442</v>
      </c>
      <c r="B1527" s="25" t="s">
        <v>5984</v>
      </c>
      <c r="C1527" t="s">
        <v>20</v>
      </c>
      <c r="D1527" t="s">
        <v>21</v>
      </c>
      <c r="E1527">
        <v>2222222</v>
      </c>
      <c r="F1527" s="8" t="s">
        <v>22</v>
      </c>
      <c r="G1527" s="2">
        <v>98</v>
      </c>
      <c r="H1527" t="s">
        <v>4105</v>
      </c>
      <c r="J1527" s="9" t="s">
        <v>5129</v>
      </c>
      <c r="K1527" t="s">
        <v>5386</v>
      </c>
      <c r="L1527" s="2">
        <v>1</v>
      </c>
      <c r="M1527" s="24" t="s">
        <v>5971</v>
      </c>
      <c r="N1527" s="2" t="s">
        <v>23</v>
      </c>
      <c r="O1527" s="18" t="s">
        <v>1268</v>
      </c>
      <c r="P1527" s="18" t="s">
        <v>0</v>
      </c>
      <c r="Q1527" s="6" t="s">
        <v>4475</v>
      </c>
      <c r="T1527" s="23">
        <v>45819</v>
      </c>
      <c r="U1527" s="23">
        <v>51298</v>
      </c>
      <c r="X1527" s="20">
        <v>23700</v>
      </c>
      <c r="Z1527" s="6" t="s">
        <v>5978</v>
      </c>
      <c r="AA1527" s="14">
        <f t="shared" si="200"/>
        <v>5.9999999999999995E-4</v>
      </c>
      <c r="AB1527">
        <v>13.941851999999997</v>
      </c>
      <c r="AC1527">
        <v>14.499526079999997</v>
      </c>
    </row>
    <row r="1528" spans="1:29" x14ac:dyDescent="0.3">
      <c r="A1528">
        <v>146652</v>
      </c>
      <c r="B1528" s="25" t="s">
        <v>5984</v>
      </c>
      <c r="C1528" t="s">
        <v>20</v>
      </c>
      <c r="D1528" t="s">
        <v>21</v>
      </c>
      <c r="E1528">
        <v>2222222</v>
      </c>
      <c r="F1528" s="8" t="s">
        <v>22</v>
      </c>
      <c r="G1528" s="2">
        <v>98</v>
      </c>
      <c r="H1528" t="s">
        <v>4105</v>
      </c>
      <c r="J1528" s="9" t="s">
        <v>4838</v>
      </c>
      <c r="K1528" t="s">
        <v>4826</v>
      </c>
      <c r="L1528" s="2">
        <v>1</v>
      </c>
      <c r="M1528" s="24" t="s">
        <v>5971</v>
      </c>
      <c r="N1528" s="2" t="s">
        <v>23</v>
      </c>
      <c r="O1528" s="18" t="s">
        <v>1269</v>
      </c>
      <c r="P1528" s="18" t="s">
        <v>0</v>
      </c>
      <c r="Q1528" s="6" t="s">
        <v>4475</v>
      </c>
      <c r="T1528" s="23">
        <v>45834</v>
      </c>
      <c r="U1528" s="23">
        <v>47295</v>
      </c>
      <c r="X1528" s="20">
        <v>5000</v>
      </c>
      <c r="Z1528" s="6" t="s">
        <v>5978</v>
      </c>
      <c r="AA1528" s="14">
        <f t="shared" si="200"/>
        <v>5.9999999999999995E-4</v>
      </c>
      <c r="AB1528">
        <v>2.3882219999999998</v>
      </c>
      <c r="AC1528">
        <v>2.4837508800000001</v>
      </c>
    </row>
    <row r="1529" spans="1:29" x14ac:dyDescent="0.3">
      <c r="A1529">
        <v>147786</v>
      </c>
      <c r="B1529" s="25" t="s">
        <v>5984</v>
      </c>
      <c r="C1529" t="s">
        <v>20</v>
      </c>
      <c r="D1529" t="s">
        <v>21</v>
      </c>
      <c r="E1529">
        <v>2222222</v>
      </c>
      <c r="F1529" s="8" t="s">
        <v>22</v>
      </c>
      <c r="G1529" s="2">
        <v>98</v>
      </c>
      <c r="H1529" t="s">
        <v>4105</v>
      </c>
      <c r="J1529" s="9" t="s">
        <v>5126</v>
      </c>
      <c r="K1529" t="s">
        <v>4856</v>
      </c>
      <c r="L1529" s="2">
        <v>1</v>
      </c>
      <c r="M1529" s="24" t="s">
        <v>5971</v>
      </c>
      <c r="N1529" s="2" t="s">
        <v>23</v>
      </c>
      <c r="O1529" s="18" t="s">
        <v>1270</v>
      </c>
      <c r="P1529" s="18" t="s">
        <v>0</v>
      </c>
      <c r="Q1529" s="6" t="s">
        <v>4475</v>
      </c>
      <c r="T1529" s="23">
        <v>45913</v>
      </c>
      <c r="U1529" s="23">
        <v>46247</v>
      </c>
      <c r="X1529" s="20">
        <v>1000</v>
      </c>
      <c r="Z1529" s="6" t="s">
        <v>5978</v>
      </c>
      <c r="AA1529" s="14">
        <f t="shared" si="200"/>
        <v>5.9999999999999995E-4</v>
      </c>
      <c r="AB1529">
        <v>5.8343999999999993E-2</v>
      </c>
      <c r="AC1529">
        <v>6.0677759999999997E-2</v>
      </c>
    </row>
    <row r="1530" spans="1:29" x14ac:dyDescent="0.3">
      <c r="A1530">
        <v>148404</v>
      </c>
      <c r="B1530" s="25" t="s">
        <v>5984</v>
      </c>
      <c r="C1530" t="s">
        <v>20</v>
      </c>
      <c r="D1530" t="s">
        <v>21</v>
      </c>
      <c r="E1530">
        <v>2222222</v>
      </c>
      <c r="F1530" s="8" t="s">
        <v>22</v>
      </c>
      <c r="G1530" s="2">
        <v>98</v>
      </c>
      <c r="H1530" t="s">
        <v>4105</v>
      </c>
      <c r="J1530" s="9" t="s">
        <v>5045</v>
      </c>
      <c r="K1530" t="s">
        <v>4893</v>
      </c>
      <c r="L1530" s="2">
        <v>1</v>
      </c>
      <c r="M1530" s="24" t="s">
        <v>5971</v>
      </c>
      <c r="N1530" s="2" t="s">
        <v>23</v>
      </c>
      <c r="O1530" s="18" t="s">
        <v>1271</v>
      </c>
      <c r="P1530" s="18" t="s">
        <v>3781</v>
      </c>
      <c r="Q1530" s="6" t="s">
        <v>4475</v>
      </c>
      <c r="T1530" s="23">
        <v>45958</v>
      </c>
      <c r="U1530" s="23">
        <v>46696</v>
      </c>
      <c r="X1530" s="20">
        <v>5000</v>
      </c>
      <c r="Z1530" s="6" t="s">
        <v>5978</v>
      </c>
      <c r="AA1530" s="14">
        <f t="shared" si="200"/>
        <v>5.9999999999999995E-4</v>
      </c>
      <c r="AB1530">
        <v>2.116212</v>
      </c>
      <c r="AC1530">
        <v>2.2008604800000002</v>
      </c>
    </row>
    <row r="1531" spans="1:29" x14ac:dyDescent="0.3">
      <c r="A1531">
        <v>149024</v>
      </c>
      <c r="B1531" s="25" t="s">
        <v>5984</v>
      </c>
      <c r="C1531" t="s">
        <v>20</v>
      </c>
      <c r="D1531" t="s">
        <v>21</v>
      </c>
      <c r="E1531">
        <v>2222222</v>
      </c>
      <c r="F1531" s="8" t="s">
        <v>22</v>
      </c>
      <c r="G1531" s="2">
        <v>98</v>
      </c>
      <c r="H1531" t="s">
        <v>4105</v>
      </c>
      <c r="J1531" s="9" t="s">
        <v>4942</v>
      </c>
      <c r="K1531" t="s">
        <v>4884</v>
      </c>
      <c r="L1531" s="2">
        <v>1</v>
      </c>
      <c r="M1531" s="24" t="s">
        <v>5971</v>
      </c>
      <c r="N1531" s="2" t="s">
        <v>23</v>
      </c>
      <c r="O1531" s="18" t="s">
        <v>1272</v>
      </c>
      <c r="P1531" s="18" t="s">
        <v>3781</v>
      </c>
      <c r="Q1531" s="6" t="s">
        <v>4475</v>
      </c>
      <c r="T1531" s="23">
        <v>45993</v>
      </c>
      <c r="U1531" s="23">
        <v>47088</v>
      </c>
      <c r="X1531" s="20">
        <v>5000</v>
      </c>
      <c r="Z1531" s="6" t="s">
        <v>5978</v>
      </c>
      <c r="AA1531" s="14">
        <f t="shared" si="200"/>
        <v>5.9999999999999995E-4</v>
      </c>
      <c r="AB1531">
        <v>2.5338899999999995</v>
      </c>
      <c r="AC1531">
        <v>2.6352455999999997</v>
      </c>
    </row>
    <row r="1532" spans="1:29" x14ac:dyDescent="0.3">
      <c r="A1532">
        <v>149066</v>
      </c>
      <c r="B1532" s="25" t="s">
        <v>5984</v>
      </c>
      <c r="C1532" t="s">
        <v>20</v>
      </c>
      <c r="D1532" t="s">
        <v>21</v>
      </c>
      <c r="E1532">
        <v>2222222</v>
      </c>
      <c r="F1532" s="8" t="s">
        <v>22</v>
      </c>
      <c r="G1532" s="2">
        <v>98</v>
      </c>
      <c r="H1532" t="s">
        <v>4105</v>
      </c>
      <c r="J1532" s="9" t="s">
        <v>5197</v>
      </c>
      <c r="K1532" t="s">
        <v>5085</v>
      </c>
      <c r="L1532" s="2">
        <v>1</v>
      </c>
      <c r="M1532" s="24" t="s">
        <v>5971</v>
      </c>
      <c r="N1532" s="2" t="s">
        <v>23</v>
      </c>
      <c r="O1532" s="18" t="s">
        <v>1273</v>
      </c>
      <c r="P1532" s="18" t="s">
        <v>0</v>
      </c>
      <c r="Q1532" s="6" t="s">
        <v>4475</v>
      </c>
      <c r="T1532" s="23">
        <v>45995</v>
      </c>
      <c r="U1532" s="23">
        <v>47455</v>
      </c>
      <c r="X1532" s="20">
        <v>5000</v>
      </c>
      <c r="Z1532" s="6" t="s">
        <v>5978</v>
      </c>
      <c r="AA1532" s="14">
        <f t="shared" si="200"/>
        <v>5.9999999999999995E-4</v>
      </c>
      <c r="AB1532">
        <v>2.6827320000000001</v>
      </c>
      <c r="AC1532">
        <v>2.7900412800000001</v>
      </c>
    </row>
    <row r="1533" spans="1:29" x14ac:dyDescent="0.3">
      <c r="A1533">
        <v>149197</v>
      </c>
      <c r="B1533" s="25" t="s">
        <v>5984</v>
      </c>
      <c r="C1533" t="s">
        <v>20</v>
      </c>
      <c r="D1533" t="s">
        <v>21</v>
      </c>
      <c r="E1533">
        <v>2222222</v>
      </c>
      <c r="F1533" s="8" t="s">
        <v>22</v>
      </c>
      <c r="G1533" s="2">
        <v>98</v>
      </c>
      <c r="H1533" t="s">
        <v>4105</v>
      </c>
      <c r="J1533" s="9" t="s">
        <v>4900</v>
      </c>
      <c r="K1533" t="s">
        <v>4857</v>
      </c>
      <c r="L1533" s="2">
        <v>1</v>
      </c>
      <c r="M1533" s="24" t="s">
        <v>5971</v>
      </c>
      <c r="N1533" s="2" t="s">
        <v>23</v>
      </c>
      <c r="O1533" s="18" t="s">
        <v>1274</v>
      </c>
      <c r="P1533" s="18" t="s">
        <v>0</v>
      </c>
      <c r="Q1533" s="6" t="s">
        <v>4475</v>
      </c>
      <c r="T1533" s="23">
        <v>46003</v>
      </c>
      <c r="U1533" s="23">
        <v>46093</v>
      </c>
      <c r="X1533" s="20">
        <v>2100</v>
      </c>
      <c r="Z1533" s="6" t="s">
        <v>5978</v>
      </c>
      <c r="AA1533" s="14">
        <f t="shared" si="200"/>
        <v>5.9999999999999995E-4</v>
      </c>
      <c r="AB1533">
        <v>1.2599999999999998</v>
      </c>
      <c r="AC1533">
        <v>1.3103999999999998</v>
      </c>
    </row>
    <row r="1534" spans="1:29" x14ac:dyDescent="0.3">
      <c r="A1534">
        <v>149395</v>
      </c>
      <c r="B1534" s="25" t="s">
        <v>5984</v>
      </c>
      <c r="C1534" t="s">
        <v>20</v>
      </c>
      <c r="D1534" t="s">
        <v>21</v>
      </c>
      <c r="E1534">
        <v>2222222</v>
      </c>
      <c r="F1534" s="8" t="s">
        <v>22</v>
      </c>
      <c r="G1534" s="2">
        <v>98</v>
      </c>
      <c r="H1534" t="s">
        <v>4105</v>
      </c>
      <c r="J1534" s="9" t="s">
        <v>5477</v>
      </c>
      <c r="K1534" t="s">
        <v>4826</v>
      </c>
      <c r="L1534" s="2">
        <v>1</v>
      </c>
      <c r="M1534" s="24" t="s">
        <v>5971</v>
      </c>
      <c r="N1534" s="2" t="s">
        <v>23</v>
      </c>
      <c r="O1534" s="18" t="s">
        <v>1275</v>
      </c>
      <c r="P1534" s="18" t="s">
        <v>0</v>
      </c>
      <c r="Q1534" s="6" t="s">
        <v>4475</v>
      </c>
      <c r="T1534" s="23">
        <v>46021</v>
      </c>
      <c r="U1534" s="23">
        <v>46750</v>
      </c>
      <c r="X1534" s="20">
        <v>2000</v>
      </c>
      <c r="Z1534" s="6" t="s">
        <v>5978</v>
      </c>
      <c r="AA1534" s="14">
        <f t="shared" si="200"/>
        <v>5.9999999999999995E-4</v>
      </c>
      <c r="AB1534">
        <v>0.89024399999999992</v>
      </c>
      <c r="AC1534">
        <v>0.92585375999999997</v>
      </c>
    </row>
    <row r="1535" spans="1:29" x14ac:dyDescent="0.3">
      <c r="A1535">
        <v>149398</v>
      </c>
      <c r="B1535" s="25" t="s">
        <v>5984</v>
      </c>
      <c r="C1535" t="s">
        <v>20</v>
      </c>
      <c r="D1535" t="s">
        <v>21</v>
      </c>
      <c r="E1535">
        <v>2222222</v>
      </c>
      <c r="F1535" s="8" t="s">
        <v>22</v>
      </c>
      <c r="G1535" s="2">
        <v>98</v>
      </c>
      <c r="H1535" t="s">
        <v>4105</v>
      </c>
      <c r="J1535" s="9" t="s">
        <v>5059</v>
      </c>
      <c r="K1535" t="s">
        <v>5189</v>
      </c>
      <c r="L1535" s="2">
        <v>1</v>
      </c>
      <c r="M1535" s="24" t="s">
        <v>5971</v>
      </c>
      <c r="N1535" s="2" t="s">
        <v>23</v>
      </c>
      <c r="O1535" s="18" t="s">
        <v>1276</v>
      </c>
      <c r="P1535" s="18" t="s">
        <v>0</v>
      </c>
      <c r="Q1535" s="6" t="s">
        <v>4475</v>
      </c>
      <c r="T1535" s="23">
        <v>46022</v>
      </c>
      <c r="U1535" s="23">
        <v>47847</v>
      </c>
      <c r="X1535" s="20">
        <v>8300</v>
      </c>
      <c r="Z1535" s="6" t="s">
        <v>5978</v>
      </c>
      <c r="AA1535" s="14">
        <f t="shared" si="200"/>
        <v>5.9999999999999995E-4</v>
      </c>
      <c r="AB1535">
        <v>4.5592619999999995</v>
      </c>
      <c r="AC1535">
        <v>4.7416324799999998</v>
      </c>
    </row>
    <row r="1536" spans="1:29" x14ac:dyDescent="0.3">
      <c r="A1536">
        <v>149571</v>
      </c>
      <c r="B1536" s="25" t="s">
        <v>5984</v>
      </c>
      <c r="C1536" t="s">
        <v>20</v>
      </c>
      <c r="D1536" t="s">
        <v>21</v>
      </c>
      <c r="E1536">
        <v>2222222</v>
      </c>
      <c r="F1536" s="8" t="s">
        <v>22</v>
      </c>
      <c r="G1536" s="2">
        <v>98</v>
      </c>
      <c r="H1536" t="s">
        <v>4105</v>
      </c>
      <c r="J1536" s="9" t="s">
        <v>4950</v>
      </c>
      <c r="K1536" t="s">
        <v>4836</v>
      </c>
      <c r="L1536" s="2">
        <v>1</v>
      </c>
      <c r="M1536" s="24" t="s">
        <v>5971</v>
      </c>
      <c r="N1536" s="2" t="s">
        <v>23</v>
      </c>
      <c r="O1536" s="18" t="s">
        <v>1277</v>
      </c>
      <c r="P1536" s="18" t="s">
        <v>0</v>
      </c>
      <c r="Q1536" s="6" t="s">
        <v>4475</v>
      </c>
      <c r="T1536" s="23">
        <v>46034</v>
      </c>
      <c r="U1536" s="23">
        <v>46399</v>
      </c>
      <c r="X1536" s="20">
        <v>1740</v>
      </c>
      <c r="Z1536" s="6" t="s">
        <v>5978</v>
      </c>
      <c r="AA1536" s="14">
        <f t="shared" si="200"/>
        <v>5.9999999999999995E-4</v>
      </c>
      <c r="AB1536">
        <v>0.54310199999999997</v>
      </c>
      <c r="AC1536">
        <v>0.56482608000000001</v>
      </c>
    </row>
    <row r="1537" spans="1:29" x14ac:dyDescent="0.3">
      <c r="A1537">
        <v>149584</v>
      </c>
      <c r="B1537" s="25" t="s">
        <v>5984</v>
      </c>
      <c r="C1537" t="s">
        <v>20</v>
      </c>
      <c r="D1537" t="s">
        <v>21</v>
      </c>
      <c r="E1537">
        <v>2222222</v>
      </c>
      <c r="F1537" s="8" t="s">
        <v>22</v>
      </c>
      <c r="G1537" s="2">
        <v>98</v>
      </c>
      <c r="H1537" t="s">
        <v>4105</v>
      </c>
      <c r="J1537" s="9" t="s">
        <v>5011</v>
      </c>
      <c r="K1537" t="s">
        <v>5260</v>
      </c>
      <c r="L1537" s="2">
        <v>1</v>
      </c>
      <c r="M1537" s="24" t="s">
        <v>5971</v>
      </c>
      <c r="N1537" s="2" t="s">
        <v>23</v>
      </c>
      <c r="O1537" s="18" t="s">
        <v>1278</v>
      </c>
      <c r="P1537" s="18" t="s">
        <v>3781</v>
      </c>
      <c r="Q1537" s="6" t="s">
        <v>4475</v>
      </c>
      <c r="T1537" s="23">
        <v>46035</v>
      </c>
      <c r="U1537" s="23">
        <v>46493</v>
      </c>
      <c r="X1537" s="20">
        <v>3340</v>
      </c>
      <c r="Z1537" s="6" t="s">
        <v>5978</v>
      </c>
      <c r="AA1537" s="14">
        <f t="shared" si="200"/>
        <v>5.9999999999999995E-4</v>
      </c>
      <c r="AB1537">
        <v>1.2510719999999997</v>
      </c>
      <c r="AC1537">
        <v>1.3011148799999999</v>
      </c>
    </row>
    <row r="1538" spans="1:29" x14ac:dyDescent="0.3">
      <c r="A1538">
        <v>149615</v>
      </c>
      <c r="B1538" s="25" t="s">
        <v>5984</v>
      </c>
      <c r="C1538" t="s">
        <v>20</v>
      </c>
      <c r="D1538" t="s">
        <v>21</v>
      </c>
      <c r="E1538">
        <v>2222222</v>
      </c>
      <c r="F1538" s="8" t="s">
        <v>22</v>
      </c>
      <c r="G1538" s="2">
        <v>98</v>
      </c>
      <c r="H1538" t="s">
        <v>4105</v>
      </c>
      <c r="J1538" s="9" t="s">
        <v>5103</v>
      </c>
      <c r="K1538" t="s">
        <v>4932</v>
      </c>
      <c r="L1538" s="2">
        <v>1</v>
      </c>
      <c r="M1538" s="24" t="s">
        <v>5971</v>
      </c>
      <c r="N1538" s="2" t="s">
        <v>23</v>
      </c>
      <c r="O1538" s="18" t="s">
        <v>885</v>
      </c>
      <c r="P1538" s="18" t="s">
        <v>3781</v>
      </c>
      <c r="Q1538" s="6" t="s">
        <v>4475</v>
      </c>
      <c r="T1538" s="23">
        <v>46050</v>
      </c>
      <c r="U1538" s="23">
        <v>49701</v>
      </c>
      <c r="X1538" s="20">
        <v>20000</v>
      </c>
      <c r="Z1538" s="6" t="s">
        <v>5978</v>
      </c>
      <c r="AA1538" s="14">
        <f t="shared" si="200"/>
        <v>5.9999999999999995E-4</v>
      </c>
      <c r="AB1538">
        <v>11.734853999999999</v>
      </c>
      <c r="AC1538">
        <v>12.204248159999999</v>
      </c>
    </row>
    <row r="1539" spans="1:29" x14ac:dyDescent="0.3">
      <c r="A1539">
        <v>150394</v>
      </c>
      <c r="B1539" s="25" t="s">
        <v>5984</v>
      </c>
      <c r="C1539" t="s">
        <v>20</v>
      </c>
      <c r="D1539" t="s">
        <v>21</v>
      </c>
      <c r="E1539">
        <v>2222222</v>
      </c>
      <c r="F1539" s="8" t="s">
        <v>22</v>
      </c>
      <c r="G1539" s="2">
        <v>98</v>
      </c>
      <c r="H1539" t="s">
        <v>4105</v>
      </c>
      <c r="J1539" s="9" t="s">
        <v>4815</v>
      </c>
      <c r="K1539" t="s">
        <v>5270</v>
      </c>
      <c r="L1539" s="2">
        <v>1</v>
      </c>
      <c r="M1539" s="24" t="s">
        <v>5971</v>
      </c>
      <c r="N1539" s="2" t="s">
        <v>23</v>
      </c>
      <c r="O1539" s="18" t="s">
        <v>1279</v>
      </c>
      <c r="P1539" s="18" t="s">
        <v>0</v>
      </c>
      <c r="Q1539" s="6" t="s">
        <v>4475</v>
      </c>
      <c r="T1539" s="23">
        <v>46093</v>
      </c>
      <c r="U1539" s="23">
        <v>46823</v>
      </c>
      <c r="X1539" s="20">
        <v>3200</v>
      </c>
      <c r="Z1539" s="6" t="s">
        <v>5978</v>
      </c>
      <c r="AA1539" s="14">
        <f t="shared" si="200"/>
        <v>5.9999999999999995E-4</v>
      </c>
      <c r="AB1539">
        <v>1.645656</v>
      </c>
      <c r="AC1539">
        <v>1.71148224</v>
      </c>
    </row>
    <row r="1540" spans="1:29" x14ac:dyDescent="0.3">
      <c r="A1540">
        <v>150762</v>
      </c>
      <c r="B1540" s="25" t="s">
        <v>5984</v>
      </c>
      <c r="C1540" t="s">
        <v>20</v>
      </c>
      <c r="D1540" t="s">
        <v>21</v>
      </c>
      <c r="E1540">
        <v>2222222</v>
      </c>
      <c r="F1540" s="8" t="s">
        <v>22</v>
      </c>
      <c r="G1540" s="2">
        <v>98</v>
      </c>
      <c r="H1540" t="s">
        <v>4105</v>
      </c>
      <c r="J1540" s="9" t="s">
        <v>4836</v>
      </c>
      <c r="K1540" t="s">
        <v>5238</v>
      </c>
      <c r="L1540" s="2">
        <v>1</v>
      </c>
      <c r="M1540" s="24" t="s">
        <v>5971</v>
      </c>
      <c r="N1540" s="2" t="s">
        <v>23</v>
      </c>
      <c r="O1540" s="18" t="s">
        <v>1280</v>
      </c>
      <c r="P1540" s="18" t="s">
        <v>3781</v>
      </c>
      <c r="Q1540" s="6" t="s">
        <v>4475</v>
      </c>
      <c r="T1540" s="23">
        <v>46113</v>
      </c>
      <c r="U1540" s="23">
        <v>47209</v>
      </c>
      <c r="X1540" s="20">
        <v>2070</v>
      </c>
      <c r="Z1540" s="6" t="s">
        <v>5978</v>
      </c>
      <c r="AA1540" s="14">
        <f t="shared" si="200"/>
        <v>5.9999999999999995E-4</v>
      </c>
      <c r="AB1540">
        <v>1.160952</v>
      </c>
      <c r="AC1540">
        <v>1.2073900799999999</v>
      </c>
    </row>
    <row r="1541" spans="1:29" x14ac:dyDescent="0.3">
      <c r="A1541">
        <v>150798</v>
      </c>
      <c r="B1541" s="25" t="s">
        <v>5984</v>
      </c>
      <c r="C1541" t="s">
        <v>20</v>
      </c>
      <c r="D1541" t="s">
        <v>21</v>
      </c>
      <c r="E1541">
        <v>2222222</v>
      </c>
      <c r="F1541" s="8" t="s">
        <v>22</v>
      </c>
      <c r="G1541" s="2">
        <v>98</v>
      </c>
      <c r="H1541" t="s">
        <v>4105</v>
      </c>
      <c r="J1541" s="9" t="s">
        <v>4969</v>
      </c>
      <c r="K1541" t="s">
        <v>4884</v>
      </c>
      <c r="L1541" s="2">
        <v>1</v>
      </c>
      <c r="M1541" s="24" t="s">
        <v>5971</v>
      </c>
      <c r="N1541" s="2" t="s">
        <v>23</v>
      </c>
      <c r="O1541" s="18" t="s">
        <v>1281</v>
      </c>
      <c r="P1541" s="18" t="s">
        <v>3781</v>
      </c>
      <c r="Q1541" s="6" t="s">
        <v>4475</v>
      </c>
      <c r="T1541" s="23">
        <v>46118</v>
      </c>
      <c r="U1541" s="23">
        <v>46271</v>
      </c>
      <c r="X1541" s="20">
        <v>500</v>
      </c>
      <c r="Z1541" s="6" t="s">
        <v>5978</v>
      </c>
      <c r="AA1541" s="14">
        <f t="shared" si="200"/>
        <v>5.9999999999999995E-4</v>
      </c>
      <c r="AB1541">
        <v>0.122544</v>
      </c>
      <c r="AC1541">
        <v>0.12744575999999999</v>
      </c>
    </row>
    <row r="1542" spans="1:29" x14ac:dyDescent="0.3">
      <c r="A1542">
        <v>151039</v>
      </c>
      <c r="B1542" s="25" t="s">
        <v>5984</v>
      </c>
      <c r="C1542" t="s">
        <v>20</v>
      </c>
      <c r="D1542" t="s">
        <v>21</v>
      </c>
      <c r="E1542">
        <v>2222222</v>
      </c>
      <c r="F1542" s="8" t="s">
        <v>22</v>
      </c>
      <c r="G1542" s="2">
        <v>98</v>
      </c>
      <c r="H1542" t="s">
        <v>4105</v>
      </c>
      <c r="J1542" s="9" t="s">
        <v>4911</v>
      </c>
      <c r="K1542" t="s">
        <v>5170</v>
      </c>
      <c r="L1542" s="2">
        <v>1</v>
      </c>
      <c r="M1542" s="24" t="s">
        <v>5971</v>
      </c>
      <c r="N1542" s="2" t="s">
        <v>23</v>
      </c>
      <c r="O1542" s="18" t="s">
        <v>1256</v>
      </c>
      <c r="P1542" s="18" t="s">
        <v>3781</v>
      </c>
      <c r="Q1542" s="6" t="s">
        <v>4475</v>
      </c>
      <c r="T1542" s="23">
        <v>46134</v>
      </c>
      <c r="U1542" s="23">
        <v>46224</v>
      </c>
      <c r="X1542" s="20">
        <v>700</v>
      </c>
      <c r="Z1542" s="6" t="s">
        <v>5978</v>
      </c>
      <c r="AA1542" s="14">
        <f t="shared" si="200"/>
        <v>5.9999999999999995E-4</v>
      </c>
      <c r="AB1542">
        <v>0.42</v>
      </c>
      <c r="AC1542">
        <v>0.43680000000000002</v>
      </c>
    </row>
    <row r="1543" spans="1:29" x14ac:dyDescent="0.3">
      <c r="A1543">
        <v>151075</v>
      </c>
      <c r="B1543" s="25" t="s">
        <v>5984</v>
      </c>
      <c r="C1543" t="s">
        <v>20</v>
      </c>
      <c r="D1543" t="s">
        <v>21</v>
      </c>
      <c r="E1543">
        <v>2222222</v>
      </c>
      <c r="F1543" s="8" t="s">
        <v>22</v>
      </c>
      <c r="G1543" s="2">
        <v>98</v>
      </c>
      <c r="H1543" t="s">
        <v>4105</v>
      </c>
      <c r="J1543" s="9" t="s">
        <v>5068</v>
      </c>
      <c r="K1543" t="s">
        <v>4853</v>
      </c>
      <c r="L1543" s="2">
        <v>1</v>
      </c>
      <c r="M1543" s="24" t="s">
        <v>5971</v>
      </c>
      <c r="N1543" s="2" t="s">
        <v>23</v>
      </c>
      <c r="O1543" s="18" t="s">
        <v>1265</v>
      </c>
      <c r="P1543" s="18" t="s">
        <v>0</v>
      </c>
      <c r="Q1543" s="6" t="s">
        <v>4475</v>
      </c>
      <c r="T1543" s="23">
        <v>46136</v>
      </c>
      <c r="U1543" s="23">
        <v>46867</v>
      </c>
      <c r="X1543" s="20">
        <v>420</v>
      </c>
      <c r="Z1543" s="6" t="s">
        <v>5978</v>
      </c>
      <c r="AA1543" s="14">
        <f t="shared" si="200"/>
        <v>5.9999999999999995E-4</v>
      </c>
      <c r="AB1543">
        <v>0.22498799999999999</v>
      </c>
      <c r="AC1543">
        <v>0.23398752</v>
      </c>
    </row>
    <row r="1544" spans="1:29" x14ac:dyDescent="0.3">
      <c r="A1544">
        <v>151437</v>
      </c>
      <c r="B1544" s="25" t="s">
        <v>5984</v>
      </c>
      <c r="C1544" t="s">
        <v>20</v>
      </c>
      <c r="D1544" t="s">
        <v>21</v>
      </c>
      <c r="E1544">
        <v>2222222</v>
      </c>
      <c r="F1544" s="8" t="s">
        <v>22</v>
      </c>
      <c r="G1544" s="2">
        <v>98</v>
      </c>
      <c r="H1544" t="s">
        <v>4105</v>
      </c>
      <c r="J1544" s="9" t="s">
        <v>5038</v>
      </c>
      <c r="K1544" t="s">
        <v>5179</v>
      </c>
      <c r="L1544" s="2">
        <v>1</v>
      </c>
      <c r="M1544" s="24" t="s">
        <v>5971</v>
      </c>
      <c r="N1544" s="2" t="s">
        <v>23</v>
      </c>
      <c r="O1544" s="18" t="s">
        <v>1266</v>
      </c>
      <c r="P1544" s="18" t="s">
        <v>3781</v>
      </c>
      <c r="Q1544" s="6" t="s">
        <v>4475</v>
      </c>
      <c r="T1544" s="23">
        <v>46163</v>
      </c>
      <c r="U1544" s="23">
        <v>47078</v>
      </c>
      <c r="X1544" s="20">
        <v>2790</v>
      </c>
      <c r="Z1544" s="6" t="s">
        <v>5978</v>
      </c>
      <c r="AA1544" s="14">
        <f t="shared" si="200"/>
        <v>5.9999999999999995E-4</v>
      </c>
      <c r="AB1544">
        <v>1.5837239999999999</v>
      </c>
      <c r="AC1544">
        <v>1.64707296</v>
      </c>
    </row>
    <row r="1545" spans="1:29" x14ac:dyDescent="0.3">
      <c r="A1545">
        <v>151441</v>
      </c>
      <c r="B1545" s="25" t="s">
        <v>5984</v>
      </c>
      <c r="C1545" t="s">
        <v>20</v>
      </c>
      <c r="D1545" t="s">
        <v>21</v>
      </c>
      <c r="E1545">
        <v>2222222</v>
      </c>
      <c r="F1545" s="8" t="s">
        <v>22</v>
      </c>
      <c r="G1545" s="2">
        <v>98</v>
      </c>
      <c r="H1545" t="s">
        <v>4105</v>
      </c>
      <c r="J1545" s="9" t="s">
        <v>4832</v>
      </c>
      <c r="K1545" t="s">
        <v>5071</v>
      </c>
      <c r="L1545" s="2">
        <v>1</v>
      </c>
      <c r="M1545" s="24" t="s">
        <v>5971</v>
      </c>
      <c r="N1545" s="2" t="s">
        <v>23</v>
      </c>
      <c r="O1545" s="18" t="s">
        <v>1282</v>
      </c>
      <c r="P1545" s="18" t="s">
        <v>3781</v>
      </c>
      <c r="Q1545" s="6" t="s">
        <v>4475</v>
      </c>
      <c r="T1545" s="23">
        <v>46173</v>
      </c>
      <c r="U1545" s="23">
        <v>48734</v>
      </c>
      <c r="X1545" s="20">
        <v>17400</v>
      </c>
      <c r="Z1545" s="6" t="s">
        <v>5978</v>
      </c>
      <c r="AA1545" s="14">
        <f t="shared" si="200"/>
        <v>5.9999999999999995E-4</v>
      </c>
      <c r="AB1545">
        <v>10.370513999999998</v>
      </c>
      <c r="AC1545">
        <v>10.785334559999999</v>
      </c>
    </row>
    <row r="1546" spans="1:29" x14ac:dyDescent="0.3">
      <c r="A1546">
        <v>151504</v>
      </c>
      <c r="B1546" s="25" t="s">
        <v>5984</v>
      </c>
      <c r="C1546" t="s">
        <v>20</v>
      </c>
      <c r="D1546" t="s">
        <v>21</v>
      </c>
      <c r="E1546">
        <v>2222222</v>
      </c>
      <c r="F1546" s="8" t="s">
        <v>22</v>
      </c>
      <c r="G1546" s="2">
        <v>98</v>
      </c>
      <c r="H1546" t="s">
        <v>4105</v>
      </c>
      <c r="J1546" s="9" t="s">
        <v>5371</v>
      </c>
      <c r="K1546" t="s">
        <v>5035</v>
      </c>
      <c r="L1546" s="2">
        <v>1</v>
      </c>
      <c r="M1546" s="24" t="s">
        <v>5971</v>
      </c>
      <c r="N1546" s="2" t="s">
        <v>23</v>
      </c>
      <c r="O1546" s="18" t="s">
        <v>1283</v>
      </c>
      <c r="P1546" s="18" t="s">
        <v>0</v>
      </c>
      <c r="Q1546" s="6" t="s">
        <v>4475</v>
      </c>
      <c r="T1546" s="23">
        <v>46169</v>
      </c>
      <c r="U1546" s="23">
        <v>47264</v>
      </c>
      <c r="X1546" s="20">
        <v>4000</v>
      </c>
      <c r="Z1546" s="6" t="s">
        <v>5978</v>
      </c>
      <c r="AA1546" s="14">
        <f t="shared" si="200"/>
        <v>5.9999999999999995E-4</v>
      </c>
      <c r="AB1546">
        <v>2.2955699999999997</v>
      </c>
      <c r="AC1546">
        <v>2.3873927999999998</v>
      </c>
    </row>
    <row r="1547" spans="1:29" x14ac:dyDescent="0.3">
      <c r="A1547">
        <v>152285</v>
      </c>
      <c r="B1547" s="25" t="s">
        <v>5984</v>
      </c>
      <c r="C1547" t="s">
        <v>20</v>
      </c>
      <c r="D1547" t="s">
        <v>21</v>
      </c>
      <c r="E1547">
        <v>2222222</v>
      </c>
      <c r="F1547" s="8" t="s">
        <v>22</v>
      </c>
      <c r="G1547" s="2">
        <v>98</v>
      </c>
      <c r="H1547" t="s">
        <v>4105</v>
      </c>
      <c r="J1547" s="9" t="s">
        <v>5178</v>
      </c>
      <c r="K1547" t="s">
        <v>4904</v>
      </c>
      <c r="L1547" s="2">
        <v>1</v>
      </c>
      <c r="M1547" s="24" t="s">
        <v>5971</v>
      </c>
      <c r="N1547" s="2" t="s">
        <v>23</v>
      </c>
      <c r="O1547" s="18" t="s">
        <v>1262</v>
      </c>
      <c r="P1547" s="18" t="s">
        <v>3781</v>
      </c>
      <c r="Q1547" s="6" t="s">
        <v>4475</v>
      </c>
      <c r="T1547" s="23">
        <v>46224</v>
      </c>
      <c r="U1547" s="23">
        <v>46314</v>
      </c>
      <c r="X1547" s="20">
        <v>5000</v>
      </c>
      <c r="Z1547" s="6" t="s">
        <v>5978</v>
      </c>
      <c r="AA1547" s="14">
        <f t="shared" si="200"/>
        <v>5.9999999999999995E-4</v>
      </c>
      <c r="AB1547">
        <v>2.9999999999999996</v>
      </c>
      <c r="AC1547">
        <v>3.1199999999999997</v>
      </c>
    </row>
    <row r="1548" spans="1:29" x14ac:dyDescent="0.3">
      <c r="A1548">
        <v>149095</v>
      </c>
      <c r="B1548" s="25" t="s">
        <v>5984</v>
      </c>
      <c r="C1548" t="s">
        <v>20</v>
      </c>
      <c r="D1548" t="s">
        <v>21</v>
      </c>
      <c r="E1548">
        <v>2222222</v>
      </c>
      <c r="F1548" s="8" t="s">
        <v>22</v>
      </c>
      <c r="G1548" s="2">
        <v>98</v>
      </c>
      <c r="H1548" t="s">
        <v>4106</v>
      </c>
      <c r="J1548" s="9" t="s">
        <v>4939</v>
      </c>
      <c r="K1548" t="s">
        <v>5224</v>
      </c>
      <c r="L1548" s="2">
        <v>1</v>
      </c>
      <c r="M1548" s="24" t="s">
        <v>5971</v>
      </c>
      <c r="N1548" s="2" t="s">
        <v>23</v>
      </c>
      <c r="O1548" s="18" t="s">
        <v>1284</v>
      </c>
      <c r="P1548" s="18" t="s">
        <v>0</v>
      </c>
      <c r="Q1548" s="6" t="s">
        <v>4475</v>
      </c>
      <c r="T1548" s="23">
        <v>45997</v>
      </c>
      <c r="U1548" s="23">
        <v>47092</v>
      </c>
      <c r="X1548" s="20">
        <v>3100</v>
      </c>
      <c r="Z1548" s="6" t="s">
        <v>5978</v>
      </c>
      <c r="AA1548" s="14">
        <f t="shared" si="200"/>
        <v>5.9999999999999995E-4</v>
      </c>
      <c r="AB1548">
        <v>1.610976</v>
      </c>
      <c r="AC1548">
        <v>1.6754150400000001</v>
      </c>
    </row>
    <row r="1549" spans="1:29" x14ac:dyDescent="0.3">
      <c r="A1549">
        <v>150972</v>
      </c>
      <c r="B1549" s="25" t="s">
        <v>5984</v>
      </c>
      <c r="C1549" t="s">
        <v>20</v>
      </c>
      <c r="D1549" t="s">
        <v>21</v>
      </c>
      <c r="E1549">
        <v>2222222</v>
      </c>
      <c r="F1549" s="8" t="s">
        <v>22</v>
      </c>
      <c r="G1549" s="2">
        <v>98</v>
      </c>
      <c r="H1549" t="s">
        <v>4106</v>
      </c>
      <c r="J1549" s="9" t="s">
        <v>4951</v>
      </c>
      <c r="K1549" t="s">
        <v>5085</v>
      </c>
      <c r="L1549" s="2">
        <v>1</v>
      </c>
      <c r="M1549" s="24" t="s">
        <v>5971</v>
      </c>
      <c r="N1549" s="2" t="s">
        <v>23</v>
      </c>
      <c r="O1549" s="18" t="s">
        <v>747</v>
      </c>
      <c r="P1549" s="18" t="s">
        <v>0</v>
      </c>
      <c r="Q1549" s="6" t="s">
        <v>4475</v>
      </c>
      <c r="T1549" s="23">
        <v>46161</v>
      </c>
      <c r="U1549" s="23">
        <v>48717</v>
      </c>
      <c r="X1549" s="20">
        <v>66000</v>
      </c>
      <c r="Z1549" s="6" t="s">
        <v>5978</v>
      </c>
      <c r="AA1549" s="14">
        <f t="shared" si="200"/>
        <v>5.9999999999999995E-4</v>
      </c>
      <c r="AB1549">
        <v>39.049007999999994</v>
      </c>
      <c r="AC1549">
        <v>40.610968319999998</v>
      </c>
    </row>
    <row r="1550" spans="1:29" x14ac:dyDescent="0.3">
      <c r="A1550">
        <v>128009</v>
      </c>
      <c r="B1550" s="25" t="s">
        <v>5984</v>
      </c>
      <c r="C1550" t="s">
        <v>20</v>
      </c>
      <c r="D1550" t="s">
        <v>21</v>
      </c>
      <c r="E1550">
        <v>2222222</v>
      </c>
      <c r="F1550" s="8" t="s">
        <v>22</v>
      </c>
      <c r="G1550" s="2">
        <v>98</v>
      </c>
      <c r="H1550" t="s">
        <v>4107</v>
      </c>
      <c r="J1550" s="9" t="s">
        <v>4903</v>
      </c>
      <c r="K1550" t="s">
        <v>5166</v>
      </c>
      <c r="L1550" s="2">
        <v>1</v>
      </c>
      <c r="M1550" s="24" t="s">
        <v>5971</v>
      </c>
      <c r="N1550" s="2" t="s">
        <v>23</v>
      </c>
      <c r="O1550" s="18" t="s">
        <v>1285</v>
      </c>
      <c r="P1550" s="18" t="s">
        <v>3781</v>
      </c>
      <c r="Q1550" s="6" t="s">
        <v>4475</v>
      </c>
      <c r="T1550" s="23">
        <v>44769</v>
      </c>
      <c r="U1550" s="23">
        <v>49614</v>
      </c>
      <c r="X1550" s="20">
        <v>100000</v>
      </c>
      <c r="Z1550" s="6" t="s">
        <v>5978</v>
      </c>
      <c r="AA1550" s="15">
        <f>+(0.42/1000)</f>
        <v>4.1999999999999996E-4</v>
      </c>
      <c r="AB1550">
        <v>35.229062399999997</v>
      </c>
      <c r="AC1550">
        <v>36.638224895999997</v>
      </c>
    </row>
    <row r="1551" spans="1:29" x14ac:dyDescent="0.3">
      <c r="A1551">
        <v>139383</v>
      </c>
      <c r="B1551" s="25" t="s">
        <v>5984</v>
      </c>
      <c r="C1551" t="s">
        <v>20</v>
      </c>
      <c r="D1551" t="s">
        <v>21</v>
      </c>
      <c r="E1551">
        <v>2222222</v>
      </c>
      <c r="F1551" s="8" t="s">
        <v>22</v>
      </c>
      <c r="G1551" s="2">
        <v>98</v>
      </c>
      <c r="H1551" t="s">
        <v>4107</v>
      </c>
      <c r="J1551" s="9" t="s">
        <v>4953</v>
      </c>
      <c r="K1551" t="s">
        <v>4961</v>
      </c>
      <c r="L1551" s="2">
        <v>1</v>
      </c>
      <c r="M1551" s="24" t="s">
        <v>5971</v>
      </c>
      <c r="N1551" s="2" t="s">
        <v>23</v>
      </c>
      <c r="O1551" s="18" t="s">
        <v>1286</v>
      </c>
      <c r="P1551" s="18" t="s">
        <v>0</v>
      </c>
      <c r="Q1551" s="6" t="s">
        <v>4475</v>
      </c>
      <c r="T1551" s="23">
        <v>45339</v>
      </c>
      <c r="U1551" s="23">
        <v>47897</v>
      </c>
      <c r="X1551" s="20">
        <v>20100</v>
      </c>
      <c r="Z1551" s="6" t="s">
        <v>5978</v>
      </c>
      <c r="AA1551" s="13">
        <f>+(0.56/1000)</f>
        <v>5.6000000000000006E-4</v>
      </c>
      <c r="AB1551">
        <v>8.5806336000000005</v>
      </c>
      <c r="AC1551">
        <v>8.9238589440000009</v>
      </c>
    </row>
    <row r="1552" spans="1:29" x14ac:dyDescent="0.3">
      <c r="A1552">
        <v>151786</v>
      </c>
      <c r="B1552" s="25" t="s">
        <v>5984</v>
      </c>
      <c r="C1552" t="s">
        <v>20</v>
      </c>
      <c r="D1552" t="s">
        <v>21</v>
      </c>
      <c r="E1552">
        <v>2222222</v>
      </c>
      <c r="F1552" s="8" t="s">
        <v>22</v>
      </c>
      <c r="G1552" s="2">
        <v>98</v>
      </c>
      <c r="H1552" t="s">
        <v>4107</v>
      </c>
      <c r="J1552" s="9" t="s">
        <v>4955</v>
      </c>
      <c r="K1552" t="s">
        <v>5490</v>
      </c>
      <c r="L1552" s="2">
        <v>1</v>
      </c>
      <c r="M1552" s="24" t="s">
        <v>5971</v>
      </c>
      <c r="N1552" s="2" t="s">
        <v>23</v>
      </c>
      <c r="O1552" s="18" t="s">
        <v>1287</v>
      </c>
      <c r="P1552" s="18" t="s">
        <v>3781</v>
      </c>
      <c r="Q1552" s="6" t="s">
        <v>4475</v>
      </c>
      <c r="T1552" s="23">
        <v>46188</v>
      </c>
      <c r="U1552" s="23">
        <v>46919</v>
      </c>
      <c r="X1552" s="20">
        <v>2820</v>
      </c>
      <c r="Z1552" s="6" t="s">
        <v>5978</v>
      </c>
      <c r="AA1552" s="14">
        <f t="shared" ref="AA1552:AA1553" si="201">+(0.6/1000)</f>
        <v>5.9999999999999995E-4</v>
      </c>
      <c r="AB1552">
        <v>1.6327019999999999</v>
      </c>
      <c r="AC1552">
        <v>1.69801008</v>
      </c>
    </row>
    <row r="1553" spans="1:29" x14ac:dyDescent="0.3">
      <c r="A1553">
        <v>149271</v>
      </c>
      <c r="B1553" s="25" t="s">
        <v>5984</v>
      </c>
      <c r="C1553" t="s">
        <v>20</v>
      </c>
      <c r="D1553" t="s">
        <v>21</v>
      </c>
      <c r="E1553">
        <v>2222222</v>
      </c>
      <c r="F1553" s="8" t="s">
        <v>22</v>
      </c>
      <c r="G1553" s="2">
        <v>98</v>
      </c>
      <c r="H1553" t="s">
        <v>4108</v>
      </c>
      <c r="J1553" s="9" t="s">
        <v>4826</v>
      </c>
      <c r="K1553" t="s">
        <v>5288</v>
      </c>
      <c r="L1553" s="2">
        <v>1</v>
      </c>
      <c r="M1553" s="24" t="s">
        <v>5971</v>
      </c>
      <c r="N1553" s="2" t="s">
        <v>23</v>
      </c>
      <c r="O1553" s="18" t="s">
        <v>1288</v>
      </c>
      <c r="P1553" s="18" t="s">
        <v>0</v>
      </c>
      <c r="Q1553" s="6" t="s">
        <v>4475</v>
      </c>
      <c r="T1553" s="23">
        <v>46014</v>
      </c>
      <c r="U1553" s="23">
        <v>46374</v>
      </c>
      <c r="X1553" s="20">
        <v>48400</v>
      </c>
      <c r="Z1553" s="6" t="s">
        <v>5978</v>
      </c>
      <c r="AA1553" s="14">
        <f t="shared" si="201"/>
        <v>5.9999999999999995E-4</v>
      </c>
      <c r="AB1553">
        <v>29.04</v>
      </c>
      <c r="AC1553">
        <v>30.201599999999999</v>
      </c>
    </row>
    <row r="1554" spans="1:29" x14ac:dyDescent="0.3">
      <c r="A1554">
        <v>129767</v>
      </c>
      <c r="B1554" s="25" t="s">
        <v>5984</v>
      </c>
      <c r="C1554" t="s">
        <v>20</v>
      </c>
      <c r="D1554" t="s">
        <v>21</v>
      </c>
      <c r="E1554">
        <v>2222222</v>
      </c>
      <c r="F1554" s="8" t="s">
        <v>22</v>
      </c>
      <c r="G1554" s="2">
        <v>98</v>
      </c>
      <c r="H1554" t="s">
        <v>4109</v>
      </c>
      <c r="J1554" s="9" t="s">
        <v>4890</v>
      </c>
      <c r="K1554" t="s">
        <v>5066</v>
      </c>
      <c r="L1554" s="2">
        <v>1</v>
      </c>
      <c r="M1554" s="24" t="s">
        <v>5971</v>
      </c>
      <c r="N1554" s="2" t="s">
        <v>23</v>
      </c>
      <c r="O1554" s="18" t="s">
        <v>1289</v>
      </c>
      <c r="P1554" s="18" t="s">
        <v>3781</v>
      </c>
      <c r="Q1554" s="6" t="s">
        <v>4475</v>
      </c>
      <c r="T1554" s="23">
        <v>44841</v>
      </c>
      <c r="U1554" s="23">
        <v>46307</v>
      </c>
      <c r="X1554" s="20">
        <v>8000</v>
      </c>
      <c r="Z1554" s="6" t="s">
        <v>5978</v>
      </c>
      <c r="AA1554" s="13">
        <f t="shared" ref="AA1554:AA1556" si="202">+(0.56/1000)</f>
        <v>5.6000000000000006E-4</v>
      </c>
      <c r="AB1554">
        <v>0.37074800000000002</v>
      </c>
      <c r="AC1554">
        <v>0.38557792000000002</v>
      </c>
    </row>
    <row r="1555" spans="1:29" x14ac:dyDescent="0.3">
      <c r="A1555">
        <v>136258</v>
      </c>
      <c r="B1555" s="25" t="s">
        <v>5984</v>
      </c>
      <c r="C1555" t="s">
        <v>20</v>
      </c>
      <c r="D1555" t="s">
        <v>21</v>
      </c>
      <c r="E1555">
        <v>2222222</v>
      </c>
      <c r="F1555" s="8" t="s">
        <v>22</v>
      </c>
      <c r="G1555" s="2">
        <v>98</v>
      </c>
      <c r="H1555" t="s">
        <v>4109</v>
      </c>
      <c r="J1555" s="9" t="s">
        <v>4838</v>
      </c>
      <c r="K1555" t="s">
        <v>5288</v>
      </c>
      <c r="L1555" s="2">
        <v>1</v>
      </c>
      <c r="M1555" s="24" t="s">
        <v>5971</v>
      </c>
      <c r="N1555" s="2" t="s">
        <v>23</v>
      </c>
      <c r="O1555" s="18" t="s">
        <v>1290</v>
      </c>
      <c r="P1555" s="18" t="s">
        <v>0</v>
      </c>
      <c r="Q1555" s="6" t="s">
        <v>4475</v>
      </c>
      <c r="T1555" s="23">
        <v>45167</v>
      </c>
      <c r="U1555" s="23">
        <v>46635</v>
      </c>
      <c r="X1555" s="20">
        <v>15000</v>
      </c>
      <c r="Z1555" s="6" t="s">
        <v>5978</v>
      </c>
      <c r="AA1555" s="13">
        <f t="shared" si="202"/>
        <v>5.6000000000000006E-4</v>
      </c>
      <c r="AB1555">
        <v>3.0315824000000005</v>
      </c>
      <c r="AC1555">
        <v>3.1528456960000004</v>
      </c>
    </row>
    <row r="1556" spans="1:29" x14ac:dyDescent="0.3">
      <c r="A1556">
        <v>138076</v>
      </c>
      <c r="B1556" s="25" t="s">
        <v>5984</v>
      </c>
      <c r="C1556" t="s">
        <v>20</v>
      </c>
      <c r="D1556" t="s">
        <v>21</v>
      </c>
      <c r="E1556">
        <v>2222222</v>
      </c>
      <c r="F1556" s="8" t="s">
        <v>22</v>
      </c>
      <c r="G1556" s="2">
        <v>98</v>
      </c>
      <c r="H1556" t="s">
        <v>4109</v>
      </c>
      <c r="J1556" s="9" t="s">
        <v>4838</v>
      </c>
      <c r="K1556" t="s">
        <v>4826</v>
      </c>
      <c r="L1556" s="2">
        <v>1</v>
      </c>
      <c r="M1556" s="24" t="s">
        <v>5971</v>
      </c>
      <c r="N1556" s="2" t="s">
        <v>23</v>
      </c>
      <c r="O1556" s="18" t="s">
        <v>1291</v>
      </c>
      <c r="P1556" s="18" t="s">
        <v>0</v>
      </c>
      <c r="Q1556" s="6" t="s">
        <v>4475</v>
      </c>
      <c r="T1556" s="23">
        <v>45258</v>
      </c>
      <c r="U1556" s="23">
        <v>46719</v>
      </c>
      <c r="X1556" s="20">
        <v>5000</v>
      </c>
      <c r="Z1556" s="6" t="s">
        <v>5978</v>
      </c>
      <c r="AA1556" s="13">
        <f t="shared" si="202"/>
        <v>5.6000000000000006E-4</v>
      </c>
      <c r="AB1556">
        <v>1.1787160000000001</v>
      </c>
      <c r="AC1556">
        <v>1.2258646400000002</v>
      </c>
    </row>
    <row r="1557" spans="1:29" x14ac:dyDescent="0.3">
      <c r="A1557">
        <v>120747</v>
      </c>
      <c r="B1557" s="25" t="s">
        <v>5984</v>
      </c>
      <c r="C1557" t="s">
        <v>20</v>
      </c>
      <c r="D1557" t="s">
        <v>21</v>
      </c>
      <c r="E1557">
        <v>2222222</v>
      </c>
      <c r="F1557" s="8" t="s">
        <v>22</v>
      </c>
      <c r="G1557" s="2">
        <v>98</v>
      </c>
      <c r="H1557" t="s">
        <v>4110</v>
      </c>
      <c r="J1557" s="9" t="s">
        <v>4836</v>
      </c>
      <c r="K1557" t="s">
        <v>4932</v>
      </c>
      <c r="L1557" s="2">
        <v>1</v>
      </c>
      <c r="M1557" s="24" t="s">
        <v>5971</v>
      </c>
      <c r="N1557" s="2" t="s">
        <v>23</v>
      </c>
      <c r="O1557" s="18" t="s">
        <v>1292</v>
      </c>
      <c r="P1557" s="18" t="s">
        <v>3781</v>
      </c>
      <c r="Q1557" s="6" t="s">
        <v>4475</v>
      </c>
      <c r="T1557" s="23">
        <v>44337</v>
      </c>
      <c r="U1557" s="23">
        <v>46893</v>
      </c>
      <c r="X1557" s="20">
        <v>15000</v>
      </c>
      <c r="Z1557" s="6" t="s">
        <v>5978</v>
      </c>
      <c r="AA1557" s="15">
        <f t="shared" ref="AA1557:AA1558" si="203">+(0.42/1000)</f>
        <v>4.1999999999999996E-4</v>
      </c>
      <c r="AB1557">
        <v>2.4770549999999996</v>
      </c>
      <c r="AC1557">
        <v>2.5761371999999998</v>
      </c>
    </row>
    <row r="1558" spans="1:29" x14ac:dyDescent="0.3">
      <c r="A1558">
        <v>126810</v>
      </c>
      <c r="B1558" s="25" t="s">
        <v>5984</v>
      </c>
      <c r="C1558" t="s">
        <v>20</v>
      </c>
      <c r="D1558" t="s">
        <v>21</v>
      </c>
      <c r="E1558">
        <v>2222222</v>
      </c>
      <c r="F1558" s="8" t="s">
        <v>22</v>
      </c>
      <c r="G1558" s="2">
        <v>98</v>
      </c>
      <c r="H1558" t="s">
        <v>4110</v>
      </c>
      <c r="J1558" s="9" t="s">
        <v>5323</v>
      </c>
      <c r="K1558" t="s">
        <v>5197</v>
      </c>
      <c r="L1558" s="2">
        <v>1</v>
      </c>
      <c r="M1558" s="24" t="s">
        <v>5971</v>
      </c>
      <c r="N1558" s="2" t="s">
        <v>23</v>
      </c>
      <c r="O1558" s="18" t="s">
        <v>1068</v>
      </c>
      <c r="P1558" s="18" t="s">
        <v>0</v>
      </c>
      <c r="Q1558" s="6" t="s">
        <v>4475</v>
      </c>
      <c r="T1558" s="23">
        <v>44637</v>
      </c>
      <c r="U1558" s="23">
        <v>45732</v>
      </c>
      <c r="X1558" s="20">
        <v>2855</v>
      </c>
      <c r="Z1558" s="6" t="s">
        <v>5978</v>
      </c>
      <c r="AA1558" s="15">
        <f t="shared" si="203"/>
        <v>4.1999999999999996E-4</v>
      </c>
      <c r="AB1558">
        <v>0.64847159999999993</v>
      </c>
      <c r="AC1558">
        <v>0.67441046399999993</v>
      </c>
    </row>
    <row r="1559" spans="1:29" x14ac:dyDescent="0.3">
      <c r="A1559">
        <v>131531</v>
      </c>
      <c r="B1559" s="25" t="s">
        <v>5984</v>
      </c>
      <c r="C1559" t="s">
        <v>20</v>
      </c>
      <c r="D1559" t="s">
        <v>21</v>
      </c>
      <c r="E1559">
        <v>2222222</v>
      </c>
      <c r="F1559" s="8" t="s">
        <v>22</v>
      </c>
      <c r="G1559" s="2">
        <v>98</v>
      </c>
      <c r="H1559" t="s">
        <v>4110</v>
      </c>
      <c r="J1559" s="9" t="s">
        <v>4836</v>
      </c>
      <c r="K1559" t="s">
        <v>4980</v>
      </c>
      <c r="L1559" s="2">
        <v>1</v>
      </c>
      <c r="M1559" s="24" t="s">
        <v>5971</v>
      </c>
      <c r="N1559" s="2" t="s">
        <v>23</v>
      </c>
      <c r="O1559" s="18" t="s">
        <v>1293</v>
      </c>
      <c r="P1559" s="18" t="s">
        <v>3781</v>
      </c>
      <c r="Q1559" s="6" t="s">
        <v>4475</v>
      </c>
      <c r="T1559" s="23">
        <v>44895</v>
      </c>
      <c r="U1559" s="23">
        <v>48607</v>
      </c>
      <c r="X1559" s="20">
        <v>11787.15</v>
      </c>
      <c r="Z1559" s="6" t="s">
        <v>5978</v>
      </c>
      <c r="AA1559" s="13">
        <f t="shared" ref="AA1559:AA1560" si="204">+(0.56/1000)</f>
        <v>5.6000000000000006E-4</v>
      </c>
      <c r="AB1559">
        <v>5.310356800000001</v>
      </c>
      <c r="AC1559">
        <v>5.5227710720000012</v>
      </c>
    </row>
    <row r="1560" spans="1:29" x14ac:dyDescent="0.3">
      <c r="A1560">
        <v>135898</v>
      </c>
      <c r="B1560" s="25" t="s">
        <v>5984</v>
      </c>
      <c r="C1560" t="s">
        <v>20</v>
      </c>
      <c r="D1560" t="s">
        <v>21</v>
      </c>
      <c r="E1560">
        <v>2222222</v>
      </c>
      <c r="F1560" s="8" t="s">
        <v>22</v>
      </c>
      <c r="G1560" s="2">
        <v>98</v>
      </c>
      <c r="H1560" t="s">
        <v>4110</v>
      </c>
      <c r="J1560" s="9" t="s">
        <v>4901</v>
      </c>
      <c r="K1560" t="s">
        <v>4949</v>
      </c>
      <c r="L1560" s="2">
        <v>1</v>
      </c>
      <c r="M1560" s="24" t="s">
        <v>5971</v>
      </c>
      <c r="N1560" s="2" t="s">
        <v>23</v>
      </c>
      <c r="O1560" s="18" t="s">
        <v>1294</v>
      </c>
      <c r="P1560" s="18" t="s">
        <v>0</v>
      </c>
      <c r="Q1560" s="6" t="s">
        <v>4475</v>
      </c>
      <c r="T1560" s="23">
        <v>45142</v>
      </c>
      <c r="U1560" s="23">
        <v>46968</v>
      </c>
      <c r="X1560" s="20">
        <v>8000</v>
      </c>
      <c r="Z1560" s="6" t="s">
        <v>5978</v>
      </c>
      <c r="AA1560" s="13">
        <f t="shared" si="204"/>
        <v>5.6000000000000006E-4</v>
      </c>
      <c r="AB1560">
        <v>3.0246944</v>
      </c>
      <c r="AC1560">
        <v>3.1456821760000002</v>
      </c>
    </row>
    <row r="1561" spans="1:29" x14ac:dyDescent="0.3">
      <c r="A1561">
        <v>143037</v>
      </c>
      <c r="B1561" s="25" t="s">
        <v>5984</v>
      </c>
      <c r="C1561" t="s">
        <v>20</v>
      </c>
      <c r="D1561" t="s">
        <v>21</v>
      </c>
      <c r="E1561">
        <v>2222222</v>
      </c>
      <c r="F1561" s="8" t="s">
        <v>22</v>
      </c>
      <c r="G1561" s="2">
        <v>98</v>
      </c>
      <c r="H1561" t="s">
        <v>4110</v>
      </c>
      <c r="J1561" s="9" t="s">
        <v>5333</v>
      </c>
      <c r="K1561" t="s">
        <v>5075</v>
      </c>
      <c r="L1561" s="2">
        <v>1</v>
      </c>
      <c r="M1561" s="24" t="s">
        <v>5971</v>
      </c>
      <c r="N1561" s="2" t="s">
        <v>23</v>
      </c>
      <c r="O1561" s="18" t="s">
        <v>1295</v>
      </c>
      <c r="P1561" s="18" t="s">
        <v>3781</v>
      </c>
      <c r="Q1561" s="6" t="s">
        <v>4475</v>
      </c>
      <c r="T1561" s="23">
        <v>45563</v>
      </c>
      <c r="U1561" s="23">
        <v>49306</v>
      </c>
      <c r="X1561" s="20">
        <v>10350</v>
      </c>
      <c r="Z1561" s="6" t="s">
        <v>5978</v>
      </c>
      <c r="AA1561" s="14">
        <f t="shared" ref="AA1561:AA1575" si="205">+(0.6/1000)</f>
        <v>5.9999999999999995E-4</v>
      </c>
      <c r="AB1561">
        <v>5.7440039999999994</v>
      </c>
      <c r="AC1561">
        <v>5.97376416</v>
      </c>
    </row>
    <row r="1562" spans="1:29" x14ac:dyDescent="0.3">
      <c r="A1562">
        <v>143456</v>
      </c>
      <c r="B1562" s="25" t="s">
        <v>5984</v>
      </c>
      <c r="C1562" t="s">
        <v>20</v>
      </c>
      <c r="D1562" t="s">
        <v>21</v>
      </c>
      <c r="E1562">
        <v>2222222</v>
      </c>
      <c r="F1562" s="8" t="s">
        <v>22</v>
      </c>
      <c r="G1562" s="2">
        <v>98</v>
      </c>
      <c r="H1562" t="s">
        <v>4110</v>
      </c>
      <c r="J1562" s="9" t="s">
        <v>4838</v>
      </c>
      <c r="K1562" t="s">
        <v>5491</v>
      </c>
      <c r="L1562" s="2">
        <v>1</v>
      </c>
      <c r="M1562" s="24" t="s">
        <v>5971</v>
      </c>
      <c r="N1562" s="2" t="s">
        <v>23</v>
      </c>
      <c r="O1562" s="18" t="s">
        <v>1296</v>
      </c>
      <c r="P1562" s="18" t="s">
        <v>0</v>
      </c>
      <c r="Q1562" s="6" t="s">
        <v>4475</v>
      </c>
      <c r="T1562" s="23">
        <v>45595</v>
      </c>
      <c r="U1562" s="23">
        <v>47055</v>
      </c>
      <c r="X1562" s="20">
        <v>19100</v>
      </c>
      <c r="Z1562" s="6" t="s">
        <v>5978</v>
      </c>
      <c r="AA1562" s="14">
        <f t="shared" si="205"/>
        <v>5.9999999999999995E-4</v>
      </c>
      <c r="AB1562">
        <v>7.2728339999999987</v>
      </c>
      <c r="AC1562">
        <v>7.5637473599999989</v>
      </c>
    </row>
    <row r="1563" spans="1:29" x14ac:dyDescent="0.3">
      <c r="A1563">
        <v>143507</v>
      </c>
      <c r="B1563" s="25" t="s">
        <v>5984</v>
      </c>
      <c r="C1563" t="s">
        <v>20</v>
      </c>
      <c r="D1563" t="s">
        <v>21</v>
      </c>
      <c r="E1563">
        <v>2222222</v>
      </c>
      <c r="F1563" s="8" t="s">
        <v>22</v>
      </c>
      <c r="G1563" s="2">
        <v>98</v>
      </c>
      <c r="H1563" t="s">
        <v>4110</v>
      </c>
      <c r="J1563" s="9" t="s">
        <v>4978</v>
      </c>
      <c r="K1563" t="s">
        <v>5492</v>
      </c>
      <c r="L1563" s="2">
        <v>1</v>
      </c>
      <c r="M1563" s="24" t="s">
        <v>5971</v>
      </c>
      <c r="N1563" s="2" t="s">
        <v>23</v>
      </c>
      <c r="O1563" s="18" t="s">
        <v>1251</v>
      </c>
      <c r="P1563" s="18" t="s">
        <v>0</v>
      </c>
      <c r="Q1563" s="6" t="s">
        <v>4475</v>
      </c>
      <c r="T1563" s="23">
        <v>45609</v>
      </c>
      <c r="U1563" s="23">
        <v>48165</v>
      </c>
      <c r="X1563" s="20">
        <v>22000</v>
      </c>
      <c r="Z1563" s="6" t="s">
        <v>5978</v>
      </c>
      <c r="AA1563" s="14">
        <f t="shared" si="205"/>
        <v>5.9999999999999995E-4</v>
      </c>
      <c r="AB1563">
        <v>11.233787999999999</v>
      </c>
      <c r="AC1563">
        <v>11.683139519999999</v>
      </c>
    </row>
    <row r="1564" spans="1:29" x14ac:dyDescent="0.3">
      <c r="A1564">
        <v>144968</v>
      </c>
      <c r="B1564" s="25" t="s">
        <v>5984</v>
      </c>
      <c r="C1564" t="s">
        <v>20</v>
      </c>
      <c r="D1564" t="s">
        <v>21</v>
      </c>
      <c r="E1564">
        <v>2222222</v>
      </c>
      <c r="F1564" s="8" t="s">
        <v>22</v>
      </c>
      <c r="G1564" s="2">
        <v>98</v>
      </c>
      <c r="H1564" t="s">
        <v>4110</v>
      </c>
      <c r="J1564" s="9" t="s">
        <v>5333</v>
      </c>
      <c r="K1564" t="s">
        <v>5075</v>
      </c>
      <c r="L1564" s="2">
        <v>1</v>
      </c>
      <c r="M1564" s="24" t="s">
        <v>5971</v>
      </c>
      <c r="N1564" s="2" t="s">
        <v>23</v>
      </c>
      <c r="O1564" s="18" t="s">
        <v>1295</v>
      </c>
      <c r="P1564" s="18" t="s">
        <v>3781</v>
      </c>
      <c r="Q1564" s="6" t="s">
        <v>4475</v>
      </c>
      <c r="T1564" s="23">
        <v>45702</v>
      </c>
      <c r="U1564" s="23">
        <v>47530</v>
      </c>
      <c r="X1564" s="20">
        <v>5000</v>
      </c>
      <c r="Z1564" s="6" t="s">
        <v>5978</v>
      </c>
      <c r="AA1564" s="14">
        <f t="shared" si="205"/>
        <v>5.9999999999999995E-4</v>
      </c>
      <c r="AB1564">
        <v>2.3788859999999996</v>
      </c>
      <c r="AC1564">
        <v>2.4740414399999997</v>
      </c>
    </row>
    <row r="1565" spans="1:29" x14ac:dyDescent="0.3">
      <c r="A1565">
        <v>147320</v>
      </c>
      <c r="B1565" s="25" t="s">
        <v>5984</v>
      </c>
      <c r="C1565" t="s">
        <v>20</v>
      </c>
      <c r="D1565" t="s">
        <v>21</v>
      </c>
      <c r="E1565">
        <v>2222222</v>
      </c>
      <c r="F1565" s="8" t="s">
        <v>22</v>
      </c>
      <c r="G1565" s="2">
        <v>98</v>
      </c>
      <c r="H1565" t="s">
        <v>4110</v>
      </c>
      <c r="J1565" s="9" t="s">
        <v>4836</v>
      </c>
      <c r="K1565" t="s">
        <v>4980</v>
      </c>
      <c r="L1565" s="2">
        <v>1</v>
      </c>
      <c r="M1565" s="24" t="s">
        <v>5971</v>
      </c>
      <c r="N1565" s="2" t="s">
        <v>23</v>
      </c>
      <c r="O1565" s="18" t="s">
        <v>1293</v>
      </c>
      <c r="P1565" s="18" t="s">
        <v>3781</v>
      </c>
      <c r="Q1565" s="6" t="s">
        <v>4475</v>
      </c>
      <c r="T1565" s="23">
        <v>45881</v>
      </c>
      <c r="U1565" s="23">
        <v>46610</v>
      </c>
      <c r="X1565" s="20">
        <v>1300</v>
      </c>
      <c r="Z1565" s="6" t="s">
        <v>5978</v>
      </c>
      <c r="AA1565" s="14">
        <f t="shared" si="205"/>
        <v>5.9999999999999995E-4</v>
      </c>
      <c r="AB1565">
        <v>0.45674999999999993</v>
      </c>
      <c r="AC1565">
        <v>0.47501999999999994</v>
      </c>
    </row>
    <row r="1566" spans="1:29" x14ac:dyDescent="0.3">
      <c r="A1566">
        <v>148662</v>
      </c>
      <c r="B1566" s="25" t="s">
        <v>5984</v>
      </c>
      <c r="C1566" t="s">
        <v>20</v>
      </c>
      <c r="D1566" t="s">
        <v>21</v>
      </c>
      <c r="E1566">
        <v>2222222</v>
      </c>
      <c r="F1566" s="8" t="s">
        <v>22</v>
      </c>
      <c r="G1566" s="2">
        <v>98</v>
      </c>
      <c r="H1566" t="s">
        <v>4110</v>
      </c>
      <c r="J1566" s="9" t="s">
        <v>4853</v>
      </c>
      <c r="K1566" t="s">
        <v>5064</v>
      </c>
      <c r="L1566" s="2">
        <v>1</v>
      </c>
      <c r="M1566" s="24" t="s">
        <v>5971</v>
      </c>
      <c r="N1566" s="2" t="s">
        <v>23</v>
      </c>
      <c r="O1566" s="18" t="s">
        <v>1297</v>
      </c>
      <c r="P1566" s="18" t="s">
        <v>0</v>
      </c>
      <c r="Q1566" s="6" t="s">
        <v>4475</v>
      </c>
      <c r="T1566" s="23">
        <v>45971</v>
      </c>
      <c r="U1566" s="23">
        <v>46701</v>
      </c>
      <c r="X1566" s="20">
        <v>5000</v>
      </c>
      <c r="Z1566" s="6" t="s">
        <v>5978</v>
      </c>
      <c r="AA1566" s="14">
        <f t="shared" si="205"/>
        <v>5.9999999999999995E-4</v>
      </c>
      <c r="AB1566">
        <v>2.116212</v>
      </c>
      <c r="AC1566">
        <v>2.2008604800000002</v>
      </c>
    </row>
    <row r="1567" spans="1:29" x14ac:dyDescent="0.3">
      <c r="A1567">
        <v>148735</v>
      </c>
      <c r="B1567" s="25" t="s">
        <v>5984</v>
      </c>
      <c r="C1567" t="s">
        <v>20</v>
      </c>
      <c r="D1567" t="s">
        <v>21</v>
      </c>
      <c r="E1567">
        <v>2222222</v>
      </c>
      <c r="F1567" s="8" t="s">
        <v>22</v>
      </c>
      <c r="G1567" s="2">
        <v>98</v>
      </c>
      <c r="H1567" t="s">
        <v>4110</v>
      </c>
      <c r="J1567" s="9" t="s">
        <v>4880</v>
      </c>
      <c r="K1567" t="s">
        <v>5389</v>
      </c>
      <c r="L1567" s="2">
        <v>1</v>
      </c>
      <c r="M1567" s="24" t="s">
        <v>5971</v>
      </c>
      <c r="N1567" s="2" t="s">
        <v>23</v>
      </c>
      <c r="O1567" s="18" t="s">
        <v>1298</v>
      </c>
      <c r="P1567" s="18" t="s">
        <v>3781</v>
      </c>
      <c r="Q1567" s="6" t="s">
        <v>4475</v>
      </c>
      <c r="T1567" s="23">
        <v>45975</v>
      </c>
      <c r="U1567" s="23">
        <v>46705</v>
      </c>
      <c r="X1567" s="20">
        <v>1230</v>
      </c>
      <c r="Z1567" s="6" t="s">
        <v>5978</v>
      </c>
      <c r="AA1567" s="14">
        <f t="shared" si="205"/>
        <v>5.9999999999999995E-4</v>
      </c>
      <c r="AB1567">
        <v>0.51906599999999992</v>
      </c>
      <c r="AC1567">
        <v>0.53982863999999997</v>
      </c>
    </row>
    <row r="1568" spans="1:29" x14ac:dyDescent="0.3">
      <c r="A1568">
        <v>149862</v>
      </c>
      <c r="B1568" s="25" t="s">
        <v>5984</v>
      </c>
      <c r="C1568" t="s">
        <v>20</v>
      </c>
      <c r="D1568" t="s">
        <v>21</v>
      </c>
      <c r="E1568">
        <v>2222222</v>
      </c>
      <c r="F1568" s="8" t="s">
        <v>22</v>
      </c>
      <c r="G1568" s="2">
        <v>98</v>
      </c>
      <c r="H1568" t="s">
        <v>4110</v>
      </c>
      <c r="J1568" s="9" t="s">
        <v>5281</v>
      </c>
      <c r="K1568" t="s">
        <v>5298</v>
      </c>
      <c r="L1568" s="2">
        <v>1</v>
      </c>
      <c r="M1568" s="24" t="s">
        <v>5971</v>
      </c>
      <c r="N1568" s="2" t="s">
        <v>23</v>
      </c>
      <c r="O1568" s="18" t="s">
        <v>1299</v>
      </c>
      <c r="P1568" s="18" t="s">
        <v>0</v>
      </c>
      <c r="Q1568" s="6" t="s">
        <v>4475</v>
      </c>
      <c r="T1568" s="23">
        <v>46052</v>
      </c>
      <c r="U1568" s="23">
        <v>47150</v>
      </c>
      <c r="X1568" s="20">
        <v>4500</v>
      </c>
      <c r="Z1568" s="6" t="s">
        <v>5978</v>
      </c>
      <c r="AA1568" s="14">
        <f t="shared" si="205"/>
        <v>5.9999999999999995E-4</v>
      </c>
      <c r="AB1568">
        <v>2.5157939999999996</v>
      </c>
      <c r="AC1568">
        <v>2.6164257599999998</v>
      </c>
    </row>
    <row r="1569" spans="1:29" x14ac:dyDescent="0.3">
      <c r="A1569">
        <v>150490</v>
      </c>
      <c r="B1569" s="25" t="s">
        <v>5984</v>
      </c>
      <c r="C1569" t="s">
        <v>20</v>
      </c>
      <c r="D1569" t="s">
        <v>21</v>
      </c>
      <c r="E1569">
        <v>2222222</v>
      </c>
      <c r="F1569" s="8" t="s">
        <v>22</v>
      </c>
      <c r="G1569" s="2">
        <v>98</v>
      </c>
      <c r="H1569" t="s">
        <v>4110</v>
      </c>
      <c r="J1569" s="9" t="s">
        <v>5493</v>
      </c>
      <c r="K1569" t="s">
        <v>4853</v>
      </c>
      <c r="L1569" s="2">
        <v>1</v>
      </c>
      <c r="M1569" s="24" t="s">
        <v>5971</v>
      </c>
      <c r="N1569" s="2" t="s">
        <v>23</v>
      </c>
      <c r="O1569" s="18" t="s">
        <v>1300</v>
      </c>
      <c r="P1569" s="18" t="s">
        <v>0</v>
      </c>
      <c r="Q1569" s="6" t="s">
        <v>4475</v>
      </c>
      <c r="T1569" s="23">
        <v>46105</v>
      </c>
      <c r="U1569" s="23">
        <v>47931</v>
      </c>
      <c r="X1569" s="20">
        <v>8000</v>
      </c>
      <c r="Z1569" s="6" t="s">
        <v>5978</v>
      </c>
      <c r="AA1569" s="14">
        <f t="shared" si="205"/>
        <v>5.9999999999999995E-4</v>
      </c>
      <c r="AB1569">
        <v>4.5731939999999991</v>
      </c>
      <c r="AC1569">
        <v>4.7561217599999992</v>
      </c>
    </row>
    <row r="1570" spans="1:29" x14ac:dyDescent="0.3">
      <c r="A1570">
        <v>151145</v>
      </c>
      <c r="B1570" s="25" t="s">
        <v>5984</v>
      </c>
      <c r="C1570" t="s">
        <v>20</v>
      </c>
      <c r="D1570" t="s">
        <v>21</v>
      </c>
      <c r="E1570">
        <v>2222222</v>
      </c>
      <c r="F1570" s="8" t="s">
        <v>22</v>
      </c>
      <c r="G1570" s="2">
        <v>98</v>
      </c>
      <c r="H1570" t="s">
        <v>4110</v>
      </c>
      <c r="J1570" s="9" t="s">
        <v>4978</v>
      </c>
      <c r="K1570" t="s">
        <v>5492</v>
      </c>
      <c r="L1570" s="2">
        <v>1</v>
      </c>
      <c r="M1570" s="24" t="s">
        <v>5971</v>
      </c>
      <c r="N1570" s="2" t="s">
        <v>23</v>
      </c>
      <c r="O1570" s="18" t="s">
        <v>1251</v>
      </c>
      <c r="P1570" s="18" t="s">
        <v>0</v>
      </c>
      <c r="Q1570" s="6" t="s">
        <v>4475</v>
      </c>
      <c r="T1570" s="23">
        <v>46141</v>
      </c>
      <c r="U1570" s="23">
        <v>46231</v>
      </c>
      <c r="X1570" s="20">
        <v>4940</v>
      </c>
      <c r="Z1570" s="6" t="s">
        <v>5978</v>
      </c>
      <c r="AA1570" s="14">
        <f t="shared" si="205"/>
        <v>5.9999999999999995E-4</v>
      </c>
      <c r="AB1570">
        <v>2.9639999999999995</v>
      </c>
      <c r="AC1570">
        <v>3.0825599999999995</v>
      </c>
    </row>
    <row r="1571" spans="1:29" x14ac:dyDescent="0.3">
      <c r="A1571">
        <v>151246</v>
      </c>
      <c r="B1571" s="25" t="s">
        <v>5984</v>
      </c>
      <c r="C1571" t="s">
        <v>20</v>
      </c>
      <c r="D1571" t="s">
        <v>21</v>
      </c>
      <c r="E1571">
        <v>2222222</v>
      </c>
      <c r="F1571" s="8" t="s">
        <v>22</v>
      </c>
      <c r="G1571" s="2">
        <v>98</v>
      </c>
      <c r="H1571" t="s">
        <v>4110</v>
      </c>
      <c r="J1571" s="9" t="s">
        <v>5333</v>
      </c>
      <c r="K1571" t="s">
        <v>5075</v>
      </c>
      <c r="L1571" s="2">
        <v>1</v>
      </c>
      <c r="M1571" s="24" t="s">
        <v>5971</v>
      </c>
      <c r="N1571" s="2" t="s">
        <v>23</v>
      </c>
      <c r="O1571" s="18" t="s">
        <v>1295</v>
      </c>
      <c r="P1571" s="18" t="s">
        <v>3781</v>
      </c>
      <c r="Q1571" s="6" t="s">
        <v>4475</v>
      </c>
      <c r="T1571" s="23">
        <v>46149</v>
      </c>
      <c r="U1571" s="23">
        <v>46239</v>
      </c>
      <c r="X1571" s="20">
        <v>680</v>
      </c>
      <c r="Z1571" s="6" t="s">
        <v>5978</v>
      </c>
      <c r="AA1571" s="14">
        <f t="shared" si="205"/>
        <v>5.9999999999999995E-4</v>
      </c>
      <c r="AB1571">
        <v>0.40799999999999997</v>
      </c>
      <c r="AC1571">
        <v>0.42431999999999997</v>
      </c>
    </row>
    <row r="1572" spans="1:29" x14ac:dyDescent="0.3">
      <c r="A1572">
        <v>151288</v>
      </c>
      <c r="B1572" s="25" t="s">
        <v>5984</v>
      </c>
      <c r="C1572" t="s">
        <v>20</v>
      </c>
      <c r="D1572" t="s">
        <v>21</v>
      </c>
      <c r="E1572">
        <v>2222222</v>
      </c>
      <c r="F1572" s="8" t="s">
        <v>22</v>
      </c>
      <c r="G1572" s="2">
        <v>98</v>
      </c>
      <c r="H1572" t="s">
        <v>4110</v>
      </c>
      <c r="J1572" s="9" t="s">
        <v>5493</v>
      </c>
      <c r="K1572" t="s">
        <v>4853</v>
      </c>
      <c r="L1572" s="2">
        <v>1</v>
      </c>
      <c r="M1572" s="24" t="s">
        <v>5971</v>
      </c>
      <c r="N1572" s="2" t="s">
        <v>23</v>
      </c>
      <c r="O1572" s="18" t="s">
        <v>1300</v>
      </c>
      <c r="P1572" s="18" t="s">
        <v>0</v>
      </c>
      <c r="Q1572" s="6" t="s">
        <v>4475</v>
      </c>
      <c r="T1572" s="23">
        <v>46155</v>
      </c>
      <c r="U1572" s="23">
        <v>46245</v>
      </c>
      <c r="X1572" s="20">
        <v>600</v>
      </c>
      <c r="Z1572" s="6" t="s">
        <v>5978</v>
      </c>
      <c r="AA1572" s="14">
        <f t="shared" si="205"/>
        <v>5.9999999999999995E-4</v>
      </c>
      <c r="AB1572">
        <v>0.36</v>
      </c>
      <c r="AC1572">
        <v>0.37440000000000001</v>
      </c>
    </row>
    <row r="1573" spans="1:29" x14ac:dyDescent="0.3">
      <c r="A1573">
        <v>152074</v>
      </c>
      <c r="B1573" s="25" t="s">
        <v>5984</v>
      </c>
      <c r="C1573" t="s">
        <v>20</v>
      </c>
      <c r="D1573" t="s">
        <v>21</v>
      </c>
      <c r="E1573">
        <v>2222222</v>
      </c>
      <c r="F1573" s="8" t="s">
        <v>22</v>
      </c>
      <c r="G1573" s="2">
        <v>98</v>
      </c>
      <c r="H1573" t="s">
        <v>4110</v>
      </c>
      <c r="J1573" s="9" t="s">
        <v>4978</v>
      </c>
      <c r="K1573" t="s">
        <v>5492</v>
      </c>
      <c r="L1573" s="2">
        <v>1</v>
      </c>
      <c r="M1573" s="24" t="s">
        <v>5971</v>
      </c>
      <c r="N1573" s="2" t="s">
        <v>23</v>
      </c>
      <c r="O1573" s="18" t="s">
        <v>1251</v>
      </c>
      <c r="P1573" s="18" t="s">
        <v>0</v>
      </c>
      <c r="Q1573" s="6" t="s">
        <v>4475</v>
      </c>
      <c r="T1573" s="23">
        <v>46209</v>
      </c>
      <c r="U1573" s="23">
        <v>46299</v>
      </c>
      <c r="X1573" s="20">
        <v>1980</v>
      </c>
      <c r="Z1573" s="6" t="s">
        <v>5978</v>
      </c>
      <c r="AA1573" s="14">
        <f t="shared" si="205"/>
        <v>5.9999999999999995E-4</v>
      </c>
      <c r="AB1573">
        <v>1.1879999999999999</v>
      </c>
      <c r="AC1573">
        <v>1.23552</v>
      </c>
    </row>
    <row r="1574" spans="1:29" x14ac:dyDescent="0.3">
      <c r="A1574">
        <v>152175</v>
      </c>
      <c r="B1574" s="25" t="s">
        <v>5984</v>
      </c>
      <c r="C1574" t="s">
        <v>20</v>
      </c>
      <c r="D1574" t="s">
        <v>21</v>
      </c>
      <c r="E1574">
        <v>2222222</v>
      </c>
      <c r="F1574" s="8" t="s">
        <v>22</v>
      </c>
      <c r="G1574" s="2">
        <v>98</v>
      </c>
      <c r="H1574" t="s">
        <v>4110</v>
      </c>
      <c r="J1574" s="9" t="s">
        <v>4988</v>
      </c>
      <c r="K1574" t="s">
        <v>5064</v>
      </c>
      <c r="L1574" s="2">
        <v>1</v>
      </c>
      <c r="M1574" s="24" t="s">
        <v>5971</v>
      </c>
      <c r="N1574" s="2" t="s">
        <v>23</v>
      </c>
      <c r="O1574" s="18" t="s">
        <v>1301</v>
      </c>
      <c r="P1574" s="18" t="s">
        <v>0</v>
      </c>
      <c r="Q1574" s="6" t="s">
        <v>4475</v>
      </c>
      <c r="T1574" s="23">
        <v>46217</v>
      </c>
      <c r="U1574" s="23">
        <v>47314</v>
      </c>
      <c r="X1574" s="20">
        <v>4000</v>
      </c>
      <c r="Z1574" s="6" t="s">
        <v>5978</v>
      </c>
      <c r="AA1574" s="14">
        <f t="shared" si="205"/>
        <v>5.9999999999999995E-4</v>
      </c>
      <c r="AB1574">
        <v>2.4</v>
      </c>
      <c r="AC1574">
        <v>2.496</v>
      </c>
    </row>
    <row r="1575" spans="1:29" x14ac:dyDescent="0.3">
      <c r="A1575">
        <v>151144</v>
      </c>
      <c r="B1575" s="25" t="s">
        <v>5984</v>
      </c>
      <c r="C1575" t="s">
        <v>20</v>
      </c>
      <c r="D1575" t="s">
        <v>21</v>
      </c>
      <c r="E1575">
        <v>2222222</v>
      </c>
      <c r="F1575" s="8" t="s">
        <v>22</v>
      </c>
      <c r="G1575" s="2">
        <v>98</v>
      </c>
      <c r="H1575" t="s">
        <v>4111</v>
      </c>
      <c r="J1575" s="9" t="s">
        <v>5160</v>
      </c>
      <c r="K1575" t="s">
        <v>5121</v>
      </c>
      <c r="L1575" s="2">
        <v>1</v>
      </c>
      <c r="M1575" s="24" t="s">
        <v>5971</v>
      </c>
      <c r="N1575" s="2" t="s">
        <v>23</v>
      </c>
      <c r="O1575" s="18" t="s">
        <v>1302</v>
      </c>
      <c r="P1575" s="18" t="s">
        <v>0</v>
      </c>
      <c r="Q1575" s="6" t="s">
        <v>4475</v>
      </c>
      <c r="T1575" s="23">
        <v>46141</v>
      </c>
      <c r="U1575" s="23">
        <v>47237</v>
      </c>
      <c r="X1575" s="20">
        <v>3700</v>
      </c>
      <c r="Z1575" s="6" t="s">
        <v>5978</v>
      </c>
      <c r="AA1575" s="14">
        <f t="shared" si="205"/>
        <v>5.9999999999999995E-4</v>
      </c>
      <c r="AB1575">
        <v>2.0751119999999998</v>
      </c>
      <c r="AC1575">
        <v>2.1581164799999999</v>
      </c>
    </row>
    <row r="1576" spans="1:29" x14ac:dyDescent="0.3">
      <c r="A1576">
        <v>134660</v>
      </c>
      <c r="B1576" s="25" t="s">
        <v>5984</v>
      </c>
      <c r="C1576" t="s">
        <v>20</v>
      </c>
      <c r="D1576" t="s">
        <v>21</v>
      </c>
      <c r="E1576">
        <v>2222222</v>
      </c>
      <c r="F1576" s="8" t="s">
        <v>22</v>
      </c>
      <c r="G1576" s="2">
        <v>98</v>
      </c>
      <c r="H1576" t="s">
        <v>4112</v>
      </c>
      <c r="J1576" s="9" t="s">
        <v>5277</v>
      </c>
      <c r="K1576" t="s">
        <v>4884</v>
      </c>
      <c r="L1576" s="2">
        <v>1</v>
      </c>
      <c r="M1576" s="24" t="s">
        <v>5971</v>
      </c>
      <c r="N1576" s="2" t="s">
        <v>23</v>
      </c>
      <c r="O1576" s="18" t="s">
        <v>1303</v>
      </c>
      <c r="P1576" s="18" t="s">
        <v>3781</v>
      </c>
      <c r="Q1576" s="6" t="s">
        <v>4475</v>
      </c>
      <c r="T1576" s="23">
        <v>45071</v>
      </c>
      <c r="U1576" s="23">
        <v>46166</v>
      </c>
      <c r="X1576" s="20">
        <v>3100</v>
      </c>
      <c r="Z1576" s="6" t="s">
        <v>5978</v>
      </c>
      <c r="AA1576" s="13">
        <f>+(0.56/1000)</f>
        <v>5.6000000000000006E-4</v>
      </c>
      <c r="AB1576">
        <v>1.5083768000000002</v>
      </c>
      <c r="AC1576">
        <v>1.5687118720000002</v>
      </c>
    </row>
    <row r="1577" spans="1:29" x14ac:dyDescent="0.3">
      <c r="A1577">
        <v>148973</v>
      </c>
      <c r="B1577" s="25" t="s">
        <v>5984</v>
      </c>
      <c r="C1577" t="s">
        <v>20</v>
      </c>
      <c r="D1577" t="s">
        <v>21</v>
      </c>
      <c r="E1577">
        <v>2222222</v>
      </c>
      <c r="F1577" s="8" t="s">
        <v>22</v>
      </c>
      <c r="G1577" s="2">
        <v>98</v>
      </c>
      <c r="H1577" t="s">
        <v>4112</v>
      </c>
      <c r="J1577" s="9" t="s">
        <v>5240</v>
      </c>
      <c r="K1577" t="s">
        <v>4961</v>
      </c>
      <c r="L1577" s="2">
        <v>1</v>
      </c>
      <c r="M1577" s="24" t="s">
        <v>5971</v>
      </c>
      <c r="N1577" s="2" t="s">
        <v>23</v>
      </c>
      <c r="O1577" s="18" t="s">
        <v>1304</v>
      </c>
      <c r="P1577" s="18" t="s">
        <v>0</v>
      </c>
      <c r="Q1577" s="6" t="s">
        <v>4475</v>
      </c>
      <c r="T1577" s="23">
        <v>45989</v>
      </c>
      <c r="U1577" s="23">
        <v>47089</v>
      </c>
      <c r="X1577" s="20">
        <v>4000</v>
      </c>
      <c r="Z1577" s="6" t="s">
        <v>5978</v>
      </c>
      <c r="AA1577" s="14">
        <f t="shared" ref="AA1577:AA1586" si="206">+(0.6/1000)</f>
        <v>5.9999999999999995E-4</v>
      </c>
      <c r="AB1577">
        <v>2.0222879999999996</v>
      </c>
      <c r="AC1577">
        <v>2.1031795199999999</v>
      </c>
    </row>
    <row r="1578" spans="1:29" x14ac:dyDescent="0.3">
      <c r="A1578">
        <v>149434</v>
      </c>
      <c r="B1578" s="25" t="s">
        <v>5984</v>
      </c>
      <c r="C1578" t="s">
        <v>20</v>
      </c>
      <c r="D1578" t="s">
        <v>21</v>
      </c>
      <c r="E1578">
        <v>2222222</v>
      </c>
      <c r="F1578" s="8" t="s">
        <v>22</v>
      </c>
      <c r="G1578" s="2">
        <v>98</v>
      </c>
      <c r="H1578" t="s">
        <v>4112</v>
      </c>
      <c r="J1578" s="9" t="s">
        <v>5096</v>
      </c>
      <c r="K1578" t="s">
        <v>5494</v>
      </c>
      <c r="L1578" s="2">
        <v>1</v>
      </c>
      <c r="M1578" s="24" t="s">
        <v>5971</v>
      </c>
      <c r="N1578" s="2" t="s">
        <v>23</v>
      </c>
      <c r="O1578" s="18" t="s">
        <v>1305</v>
      </c>
      <c r="P1578" s="18" t="s">
        <v>3781</v>
      </c>
      <c r="Q1578" s="6" t="s">
        <v>4475</v>
      </c>
      <c r="T1578" s="23">
        <v>46026</v>
      </c>
      <c r="U1578" s="23">
        <v>46239</v>
      </c>
      <c r="X1578" s="20">
        <v>4900</v>
      </c>
      <c r="Z1578" s="6" t="s">
        <v>5978</v>
      </c>
      <c r="AA1578" s="14">
        <f t="shared" si="206"/>
        <v>5.9999999999999995E-4</v>
      </c>
      <c r="AB1578">
        <v>2.94</v>
      </c>
      <c r="AC1578">
        <v>3.0575999999999999</v>
      </c>
    </row>
    <row r="1579" spans="1:29" x14ac:dyDescent="0.3">
      <c r="A1579">
        <v>150706</v>
      </c>
      <c r="B1579" s="25" t="s">
        <v>5984</v>
      </c>
      <c r="C1579" t="s">
        <v>20</v>
      </c>
      <c r="D1579" t="s">
        <v>21</v>
      </c>
      <c r="E1579">
        <v>2222222</v>
      </c>
      <c r="F1579" s="8" t="s">
        <v>22</v>
      </c>
      <c r="G1579" s="2">
        <v>98</v>
      </c>
      <c r="H1579" t="s">
        <v>4112</v>
      </c>
      <c r="J1579" s="9" t="s">
        <v>5204</v>
      </c>
      <c r="K1579" t="s">
        <v>4839</v>
      </c>
      <c r="L1579" s="2">
        <v>1</v>
      </c>
      <c r="M1579" s="24" t="s">
        <v>5971</v>
      </c>
      <c r="N1579" s="2" t="s">
        <v>23</v>
      </c>
      <c r="O1579" s="18" t="s">
        <v>1306</v>
      </c>
      <c r="P1579" s="18" t="s">
        <v>0</v>
      </c>
      <c r="Q1579" s="6" t="s">
        <v>4475</v>
      </c>
      <c r="T1579" s="23">
        <v>46111</v>
      </c>
      <c r="U1579" s="23">
        <v>46661</v>
      </c>
      <c r="X1579" s="20">
        <v>3100</v>
      </c>
      <c r="Z1579" s="6" t="s">
        <v>5978</v>
      </c>
      <c r="AA1579" s="14">
        <f t="shared" si="206"/>
        <v>5.9999999999999995E-4</v>
      </c>
      <c r="AB1579">
        <v>1.5819779999999999</v>
      </c>
      <c r="AC1579">
        <v>1.6452571199999999</v>
      </c>
    </row>
    <row r="1580" spans="1:29" x14ac:dyDescent="0.3">
      <c r="A1580">
        <v>151362</v>
      </c>
      <c r="B1580" s="25" t="s">
        <v>5984</v>
      </c>
      <c r="C1580" t="s">
        <v>20</v>
      </c>
      <c r="D1580" t="s">
        <v>21</v>
      </c>
      <c r="E1580">
        <v>2222222</v>
      </c>
      <c r="F1580" s="8" t="s">
        <v>22</v>
      </c>
      <c r="G1580" s="2">
        <v>98</v>
      </c>
      <c r="H1580" t="s">
        <v>4112</v>
      </c>
      <c r="J1580" s="9" t="s">
        <v>5240</v>
      </c>
      <c r="K1580" t="s">
        <v>4961</v>
      </c>
      <c r="L1580" s="2">
        <v>1</v>
      </c>
      <c r="M1580" s="24" t="s">
        <v>5971</v>
      </c>
      <c r="N1580" s="2" t="s">
        <v>23</v>
      </c>
      <c r="O1580" s="18" t="s">
        <v>1304</v>
      </c>
      <c r="P1580" s="18" t="s">
        <v>0</v>
      </c>
      <c r="Q1580" s="6" t="s">
        <v>4475</v>
      </c>
      <c r="T1580" s="23">
        <v>46158</v>
      </c>
      <c r="U1580" s="23">
        <v>47983</v>
      </c>
      <c r="X1580" s="20">
        <v>5000</v>
      </c>
      <c r="Z1580" s="6" t="s">
        <v>5978</v>
      </c>
      <c r="AA1580" s="14">
        <f t="shared" si="206"/>
        <v>5.9999999999999995E-4</v>
      </c>
      <c r="AB1580">
        <v>2.9363459999999995</v>
      </c>
      <c r="AC1580">
        <v>3.0537998399999995</v>
      </c>
    </row>
    <row r="1581" spans="1:29" x14ac:dyDescent="0.3">
      <c r="A1581">
        <v>151863</v>
      </c>
      <c r="B1581" s="25" t="s">
        <v>5984</v>
      </c>
      <c r="C1581" t="s">
        <v>20</v>
      </c>
      <c r="D1581" t="s">
        <v>21</v>
      </c>
      <c r="E1581">
        <v>2222222</v>
      </c>
      <c r="F1581" s="8" t="s">
        <v>22</v>
      </c>
      <c r="G1581" s="2">
        <v>98</v>
      </c>
      <c r="H1581" t="s">
        <v>4112</v>
      </c>
      <c r="J1581" s="9" t="s">
        <v>5204</v>
      </c>
      <c r="K1581" t="s">
        <v>4839</v>
      </c>
      <c r="L1581" s="2">
        <v>1</v>
      </c>
      <c r="M1581" s="24" t="s">
        <v>5971</v>
      </c>
      <c r="N1581" s="2" t="s">
        <v>23</v>
      </c>
      <c r="O1581" s="18" t="s">
        <v>1306</v>
      </c>
      <c r="P1581" s="18" t="s">
        <v>0</v>
      </c>
      <c r="Q1581" s="6" t="s">
        <v>4475</v>
      </c>
      <c r="T1581" s="23">
        <v>46192</v>
      </c>
      <c r="U1581" s="23">
        <v>46557</v>
      </c>
      <c r="X1581" s="20">
        <v>2300</v>
      </c>
      <c r="Z1581" s="6" t="s">
        <v>5978</v>
      </c>
      <c r="AA1581" s="14">
        <f t="shared" si="206"/>
        <v>5.9999999999999995E-4</v>
      </c>
      <c r="AB1581">
        <v>1.274016</v>
      </c>
      <c r="AC1581">
        <v>1.32497664</v>
      </c>
    </row>
    <row r="1582" spans="1:29" x14ac:dyDescent="0.3">
      <c r="A1582">
        <v>145508</v>
      </c>
      <c r="B1582" s="25" t="s">
        <v>5984</v>
      </c>
      <c r="C1582" t="s">
        <v>20</v>
      </c>
      <c r="D1582" t="s">
        <v>21</v>
      </c>
      <c r="E1582">
        <v>2222222</v>
      </c>
      <c r="F1582" s="8" t="s">
        <v>22</v>
      </c>
      <c r="G1582" s="2">
        <v>98</v>
      </c>
      <c r="H1582" t="s">
        <v>4113</v>
      </c>
      <c r="J1582" s="9" t="s">
        <v>4967</v>
      </c>
      <c r="K1582" t="s">
        <v>5495</v>
      </c>
      <c r="L1582" s="2">
        <v>1</v>
      </c>
      <c r="M1582" s="24" t="s">
        <v>5971</v>
      </c>
      <c r="N1582" s="2" t="s">
        <v>23</v>
      </c>
      <c r="O1582" s="18" t="s">
        <v>1307</v>
      </c>
      <c r="P1582" s="18" t="s">
        <v>3781</v>
      </c>
      <c r="Q1582" s="6" t="s">
        <v>4475</v>
      </c>
      <c r="T1582" s="23">
        <v>45752</v>
      </c>
      <c r="U1582" s="23">
        <v>47213</v>
      </c>
      <c r="X1582" s="20">
        <v>8680</v>
      </c>
      <c r="Z1582" s="6" t="s">
        <v>5978</v>
      </c>
      <c r="AA1582" s="14">
        <f t="shared" si="206"/>
        <v>5.9999999999999995E-4</v>
      </c>
      <c r="AB1582">
        <v>3.9797879999999992</v>
      </c>
      <c r="AC1582">
        <v>4.1389795199999995</v>
      </c>
    </row>
    <row r="1583" spans="1:29" x14ac:dyDescent="0.3">
      <c r="A1583">
        <v>151937</v>
      </c>
      <c r="B1583" s="25" t="s">
        <v>5984</v>
      </c>
      <c r="C1583" t="s">
        <v>20</v>
      </c>
      <c r="D1583" t="s">
        <v>21</v>
      </c>
      <c r="E1583">
        <v>2222222</v>
      </c>
      <c r="F1583" s="8" t="s">
        <v>22</v>
      </c>
      <c r="G1583" s="2">
        <v>98</v>
      </c>
      <c r="H1583" t="s">
        <v>4113</v>
      </c>
      <c r="J1583" s="9" t="s">
        <v>4967</v>
      </c>
      <c r="K1583" t="s">
        <v>5495</v>
      </c>
      <c r="L1583" s="2">
        <v>1</v>
      </c>
      <c r="M1583" s="24" t="s">
        <v>5971</v>
      </c>
      <c r="N1583" s="2" t="s">
        <v>23</v>
      </c>
      <c r="O1583" s="18" t="s">
        <v>1307</v>
      </c>
      <c r="P1583" s="18" t="s">
        <v>3781</v>
      </c>
      <c r="Q1583" s="6" t="s">
        <v>4475</v>
      </c>
      <c r="T1583" s="23">
        <v>46198</v>
      </c>
      <c r="U1583" s="23">
        <v>46288</v>
      </c>
      <c r="X1583" s="20">
        <v>1020</v>
      </c>
      <c r="Z1583" s="6" t="s">
        <v>5978</v>
      </c>
      <c r="AA1583" s="14">
        <f t="shared" si="206"/>
        <v>5.9999999999999995E-4</v>
      </c>
      <c r="AB1583">
        <v>0.61199999999999999</v>
      </c>
      <c r="AC1583">
        <v>0.63648000000000005</v>
      </c>
    </row>
    <row r="1584" spans="1:29" x14ac:dyDescent="0.3">
      <c r="A1584">
        <v>151483</v>
      </c>
      <c r="B1584" s="25" t="s">
        <v>5984</v>
      </c>
      <c r="C1584" t="s">
        <v>20</v>
      </c>
      <c r="D1584" t="s">
        <v>21</v>
      </c>
      <c r="E1584">
        <v>2222222</v>
      </c>
      <c r="F1584" s="8" t="s">
        <v>22</v>
      </c>
      <c r="G1584" s="2">
        <v>98</v>
      </c>
      <c r="H1584" t="s">
        <v>4114</v>
      </c>
      <c r="J1584" s="9" t="s">
        <v>4924</v>
      </c>
      <c r="K1584" t="s">
        <v>4932</v>
      </c>
      <c r="L1584" s="2">
        <v>1</v>
      </c>
      <c r="M1584" s="24" t="s">
        <v>5971</v>
      </c>
      <c r="N1584" s="2" t="s">
        <v>23</v>
      </c>
      <c r="O1584" s="18" t="s">
        <v>1308</v>
      </c>
      <c r="P1584" s="18" t="s">
        <v>3781</v>
      </c>
      <c r="Q1584" s="6" t="s">
        <v>4475</v>
      </c>
      <c r="T1584" s="23">
        <v>46168</v>
      </c>
      <c r="U1584" s="23">
        <v>47993</v>
      </c>
      <c r="X1584" s="20">
        <v>5000</v>
      </c>
      <c r="Z1584" s="6" t="s">
        <v>5978</v>
      </c>
      <c r="AA1584" s="14">
        <f t="shared" si="206"/>
        <v>5.9999999999999995E-4</v>
      </c>
      <c r="AB1584">
        <v>2.9363459999999995</v>
      </c>
      <c r="AC1584">
        <v>3.0537998399999995</v>
      </c>
    </row>
    <row r="1585" spans="1:29" x14ac:dyDescent="0.3">
      <c r="A1585">
        <v>148817</v>
      </c>
      <c r="B1585" s="25" t="s">
        <v>5984</v>
      </c>
      <c r="C1585" t="s">
        <v>20</v>
      </c>
      <c r="D1585" t="s">
        <v>21</v>
      </c>
      <c r="E1585">
        <v>2222222</v>
      </c>
      <c r="F1585" s="8" t="s">
        <v>22</v>
      </c>
      <c r="G1585" s="2">
        <v>98</v>
      </c>
      <c r="H1585" t="s">
        <v>4115</v>
      </c>
      <c r="J1585" s="9" t="s">
        <v>4826</v>
      </c>
      <c r="K1585" t="s">
        <v>4841</v>
      </c>
      <c r="L1585" s="2">
        <v>1</v>
      </c>
      <c r="M1585" s="24" t="s">
        <v>5971</v>
      </c>
      <c r="N1585" s="2" t="s">
        <v>23</v>
      </c>
      <c r="O1585" s="18" t="s">
        <v>1309</v>
      </c>
      <c r="P1585" s="18" t="s">
        <v>0</v>
      </c>
      <c r="Q1585" s="6" t="s">
        <v>4475</v>
      </c>
      <c r="T1585" s="23">
        <v>45984</v>
      </c>
      <c r="U1585" s="23">
        <v>48541</v>
      </c>
      <c r="X1585" s="20">
        <v>30000</v>
      </c>
      <c r="Z1585" s="6" t="s">
        <v>5978</v>
      </c>
      <c r="AA1585" s="14">
        <f t="shared" si="206"/>
        <v>5.9999999999999995E-4</v>
      </c>
      <c r="AB1585">
        <v>17.034744</v>
      </c>
      <c r="AC1585">
        <v>17.716133760000002</v>
      </c>
    </row>
    <row r="1586" spans="1:29" x14ac:dyDescent="0.3">
      <c r="A1586">
        <v>149521</v>
      </c>
      <c r="B1586" s="25" t="s">
        <v>5984</v>
      </c>
      <c r="C1586" t="s">
        <v>20</v>
      </c>
      <c r="D1586" t="s">
        <v>21</v>
      </c>
      <c r="E1586">
        <v>2222222</v>
      </c>
      <c r="F1586" s="8" t="s">
        <v>22</v>
      </c>
      <c r="G1586" s="2">
        <v>98</v>
      </c>
      <c r="H1586" t="s">
        <v>4115</v>
      </c>
      <c r="J1586" s="9" t="s">
        <v>4871</v>
      </c>
      <c r="K1586" t="s">
        <v>4856</v>
      </c>
      <c r="L1586" s="2">
        <v>1</v>
      </c>
      <c r="M1586" s="24" t="s">
        <v>5971</v>
      </c>
      <c r="N1586" s="2" t="s">
        <v>23</v>
      </c>
      <c r="O1586" s="18" t="s">
        <v>1310</v>
      </c>
      <c r="P1586" s="18" t="s">
        <v>0</v>
      </c>
      <c r="Q1586" s="6" t="s">
        <v>4475</v>
      </c>
      <c r="T1586" s="23">
        <v>46035</v>
      </c>
      <c r="U1586" s="23">
        <v>47496</v>
      </c>
      <c r="X1586" s="20">
        <v>6300</v>
      </c>
      <c r="Z1586" s="6" t="s">
        <v>5978</v>
      </c>
      <c r="AA1586" s="14">
        <f t="shared" si="206"/>
        <v>5.9999999999999995E-4</v>
      </c>
      <c r="AB1586">
        <v>3.4252199999999995</v>
      </c>
      <c r="AC1586">
        <v>3.5622287999999998</v>
      </c>
    </row>
    <row r="1587" spans="1:29" x14ac:dyDescent="0.3">
      <c r="A1587">
        <v>116746</v>
      </c>
      <c r="B1587" s="25" t="s">
        <v>5984</v>
      </c>
      <c r="C1587" t="s">
        <v>20</v>
      </c>
      <c r="D1587" t="s">
        <v>21</v>
      </c>
      <c r="E1587">
        <v>2222222</v>
      </c>
      <c r="F1587" s="8" t="s">
        <v>22</v>
      </c>
      <c r="G1587" s="2">
        <v>98</v>
      </c>
      <c r="H1587" t="s">
        <v>4116</v>
      </c>
      <c r="J1587" s="9" t="s">
        <v>4969</v>
      </c>
      <c r="K1587" t="s">
        <v>4999</v>
      </c>
      <c r="L1587" s="2">
        <v>1</v>
      </c>
      <c r="M1587" s="24" t="s">
        <v>5971</v>
      </c>
      <c r="N1587" s="2" t="s">
        <v>23</v>
      </c>
      <c r="O1587" s="18" t="s">
        <v>1311</v>
      </c>
      <c r="P1587" s="18" t="s">
        <v>3781</v>
      </c>
      <c r="Q1587" s="6" t="s">
        <v>4475</v>
      </c>
      <c r="T1587" s="23">
        <v>44152</v>
      </c>
      <c r="U1587" s="23">
        <v>44517</v>
      </c>
      <c r="X1587" s="20">
        <v>388.37</v>
      </c>
      <c r="Z1587" s="6" t="s">
        <v>5978</v>
      </c>
      <c r="AA1587" s="15">
        <f>+(0.42/1000)</f>
        <v>4.1999999999999996E-4</v>
      </c>
      <c r="AB1587">
        <v>2.0164199999999997E-2</v>
      </c>
      <c r="AC1587">
        <v>2.0970767999999997E-2</v>
      </c>
    </row>
    <row r="1588" spans="1:29" x14ac:dyDescent="0.3">
      <c r="A1588">
        <v>148089</v>
      </c>
      <c r="B1588" s="25" t="s">
        <v>5984</v>
      </c>
      <c r="C1588" t="s">
        <v>20</v>
      </c>
      <c r="D1588" t="s">
        <v>21</v>
      </c>
      <c r="E1588">
        <v>2222222</v>
      </c>
      <c r="F1588" s="8" t="s">
        <v>22</v>
      </c>
      <c r="G1588" s="2">
        <v>98</v>
      </c>
      <c r="H1588" t="s">
        <v>4117</v>
      </c>
      <c r="J1588" s="9" t="s">
        <v>4911</v>
      </c>
      <c r="K1588" t="s">
        <v>4845</v>
      </c>
      <c r="L1588" s="2">
        <v>1</v>
      </c>
      <c r="M1588" s="24" t="s">
        <v>5971</v>
      </c>
      <c r="N1588" s="2" t="s">
        <v>23</v>
      </c>
      <c r="O1588" s="18" t="s">
        <v>1312</v>
      </c>
      <c r="P1588" s="18" t="s">
        <v>3781</v>
      </c>
      <c r="Q1588" s="6" t="s">
        <v>4475</v>
      </c>
      <c r="T1588" s="23">
        <v>45936</v>
      </c>
      <c r="U1588" s="23">
        <v>47761</v>
      </c>
      <c r="X1588" s="20">
        <v>10000</v>
      </c>
      <c r="Z1588" s="6" t="s">
        <v>5978</v>
      </c>
      <c r="AA1588" s="14">
        <f t="shared" ref="AA1588:AA1592" si="207">+(0.6/1000)</f>
        <v>5.9999999999999995E-4</v>
      </c>
      <c r="AB1588">
        <v>5.3727659999999995</v>
      </c>
      <c r="AC1588">
        <v>5.5876766399999998</v>
      </c>
    </row>
    <row r="1589" spans="1:29" x14ac:dyDescent="0.3">
      <c r="A1589">
        <v>149028</v>
      </c>
      <c r="B1589" s="25" t="s">
        <v>5984</v>
      </c>
      <c r="C1589" t="s">
        <v>20</v>
      </c>
      <c r="D1589" t="s">
        <v>21</v>
      </c>
      <c r="E1589">
        <v>2222222</v>
      </c>
      <c r="F1589" s="8" t="s">
        <v>22</v>
      </c>
      <c r="G1589" s="2">
        <v>98</v>
      </c>
      <c r="H1589" t="s">
        <v>4118</v>
      </c>
      <c r="J1589" s="9" t="s">
        <v>5052</v>
      </c>
      <c r="K1589" t="s">
        <v>5190</v>
      </c>
      <c r="L1589" s="2">
        <v>1</v>
      </c>
      <c r="M1589" s="24" t="s">
        <v>5971</v>
      </c>
      <c r="N1589" s="2" t="s">
        <v>23</v>
      </c>
      <c r="O1589" s="18" t="s">
        <v>1313</v>
      </c>
      <c r="P1589" s="18" t="s">
        <v>0</v>
      </c>
      <c r="Q1589" s="6" t="s">
        <v>4475</v>
      </c>
      <c r="T1589" s="23">
        <v>45996</v>
      </c>
      <c r="U1589" s="23">
        <v>47821</v>
      </c>
      <c r="X1589" s="20">
        <v>13500</v>
      </c>
      <c r="Z1589" s="6" t="s">
        <v>5978</v>
      </c>
      <c r="AA1589" s="14">
        <f t="shared" si="207"/>
        <v>5.9999999999999995E-4</v>
      </c>
      <c r="AB1589">
        <v>7.4158019999999993</v>
      </c>
      <c r="AC1589">
        <v>7.7124340799999995</v>
      </c>
    </row>
    <row r="1590" spans="1:29" x14ac:dyDescent="0.3">
      <c r="A1590">
        <v>143997</v>
      </c>
      <c r="B1590" s="25" t="s">
        <v>5984</v>
      </c>
      <c r="C1590" t="s">
        <v>20</v>
      </c>
      <c r="D1590" t="s">
        <v>21</v>
      </c>
      <c r="E1590">
        <v>2222222</v>
      </c>
      <c r="F1590" s="8" t="s">
        <v>22</v>
      </c>
      <c r="G1590" s="2">
        <v>98</v>
      </c>
      <c r="H1590" t="s">
        <v>4119</v>
      </c>
      <c r="J1590" s="9" t="s">
        <v>5067</v>
      </c>
      <c r="K1590" t="s">
        <v>4932</v>
      </c>
      <c r="L1590" s="2">
        <v>1</v>
      </c>
      <c r="M1590" s="24" t="s">
        <v>5971</v>
      </c>
      <c r="N1590" s="2" t="s">
        <v>23</v>
      </c>
      <c r="O1590" s="18" t="s">
        <v>1314</v>
      </c>
      <c r="P1590" s="18" t="s">
        <v>3781</v>
      </c>
      <c r="Q1590" s="6" t="s">
        <v>4475</v>
      </c>
      <c r="T1590" s="23">
        <v>45644</v>
      </c>
      <c r="U1590" s="23">
        <v>47469</v>
      </c>
      <c r="X1590" s="20">
        <v>17000</v>
      </c>
      <c r="Z1590" s="6" t="s">
        <v>5978</v>
      </c>
      <c r="AA1590" s="14">
        <f t="shared" si="207"/>
        <v>5.9999999999999995E-4</v>
      </c>
      <c r="AB1590">
        <v>7.7004359999999989</v>
      </c>
      <c r="AC1590">
        <v>8.0084534399999985</v>
      </c>
    </row>
    <row r="1591" spans="1:29" x14ac:dyDescent="0.3">
      <c r="A1591">
        <v>150123</v>
      </c>
      <c r="B1591" s="25" t="s">
        <v>5984</v>
      </c>
      <c r="C1591" t="s">
        <v>20</v>
      </c>
      <c r="D1591" t="s">
        <v>21</v>
      </c>
      <c r="E1591">
        <v>2222222</v>
      </c>
      <c r="F1591" s="8" t="s">
        <v>22</v>
      </c>
      <c r="G1591" s="2">
        <v>98</v>
      </c>
      <c r="H1591" t="s">
        <v>4119</v>
      </c>
      <c r="J1591" s="9" t="s">
        <v>5496</v>
      </c>
      <c r="K1591" t="s">
        <v>5130</v>
      </c>
      <c r="L1591" s="2">
        <v>1</v>
      </c>
      <c r="M1591" s="24" t="s">
        <v>5971</v>
      </c>
      <c r="N1591" s="2" t="s">
        <v>23</v>
      </c>
      <c r="O1591" s="18" t="s">
        <v>1315</v>
      </c>
      <c r="P1591" s="18" t="s">
        <v>0</v>
      </c>
      <c r="Q1591" s="6" t="s">
        <v>4475</v>
      </c>
      <c r="T1591" s="23">
        <v>46073</v>
      </c>
      <c r="U1591" s="23">
        <v>46621</v>
      </c>
      <c r="X1591" s="20">
        <v>2600</v>
      </c>
      <c r="Z1591" s="6" t="s">
        <v>5978</v>
      </c>
      <c r="AA1591" s="14">
        <f t="shared" si="207"/>
        <v>5.9999999999999995E-4</v>
      </c>
      <c r="AB1591">
        <v>1.1659679999999999</v>
      </c>
      <c r="AC1591">
        <v>1.2126067199999999</v>
      </c>
    </row>
    <row r="1592" spans="1:29" x14ac:dyDescent="0.3">
      <c r="A1592">
        <v>150170</v>
      </c>
      <c r="B1592" s="25" t="s">
        <v>5984</v>
      </c>
      <c r="C1592" t="s">
        <v>20</v>
      </c>
      <c r="D1592" t="s">
        <v>21</v>
      </c>
      <c r="E1592">
        <v>2222222</v>
      </c>
      <c r="F1592" s="8" t="s">
        <v>22</v>
      </c>
      <c r="G1592" s="2">
        <v>98</v>
      </c>
      <c r="H1592" t="s">
        <v>4120</v>
      </c>
      <c r="J1592" s="9" t="s">
        <v>5322</v>
      </c>
      <c r="K1592" t="s">
        <v>5297</v>
      </c>
      <c r="L1592" s="2">
        <v>1</v>
      </c>
      <c r="M1592" s="24" t="s">
        <v>5971</v>
      </c>
      <c r="N1592" s="2" t="s">
        <v>23</v>
      </c>
      <c r="O1592" s="18" t="s">
        <v>1316</v>
      </c>
      <c r="P1592" s="18" t="s">
        <v>0</v>
      </c>
      <c r="Q1592" s="6" t="s">
        <v>4475</v>
      </c>
      <c r="T1592" s="23">
        <v>46078</v>
      </c>
      <c r="U1592" s="23">
        <v>46810</v>
      </c>
      <c r="X1592" s="20">
        <v>1000</v>
      </c>
      <c r="Z1592" s="6" t="s">
        <v>5978</v>
      </c>
      <c r="AA1592" s="14">
        <f t="shared" si="207"/>
        <v>5.9999999999999995E-4</v>
      </c>
      <c r="AB1592">
        <v>0.49130999999999997</v>
      </c>
      <c r="AC1592">
        <v>0.51096240000000004</v>
      </c>
    </row>
    <row r="1593" spans="1:29" x14ac:dyDescent="0.3">
      <c r="A1593">
        <v>124507</v>
      </c>
      <c r="B1593" s="25" t="s">
        <v>5984</v>
      </c>
      <c r="C1593" t="s">
        <v>20</v>
      </c>
      <c r="D1593" t="s">
        <v>21</v>
      </c>
      <c r="E1593">
        <v>2222222</v>
      </c>
      <c r="F1593" s="8" t="s">
        <v>22</v>
      </c>
      <c r="G1593" s="2">
        <v>98</v>
      </c>
      <c r="H1593" t="s">
        <v>4121</v>
      </c>
      <c r="J1593" s="9" t="s">
        <v>5234</v>
      </c>
      <c r="K1593" t="s">
        <v>5007</v>
      </c>
      <c r="L1593" s="2">
        <v>1</v>
      </c>
      <c r="M1593" s="24" t="s">
        <v>5971</v>
      </c>
      <c r="N1593" s="2" t="s">
        <v>23</v>
      </c>
      <c r="O1593" s="18" t="s">
        <v>617</v>
      </c>
      <c r="P1593" s="18" t="s">
        <v>0</v>
      </c>
      <c r="Q1593" s="6" t="s">
        <v>4475</v>
      </c>
      <c r="T1593" s="23">
        <v>44529</v>
      </c>
      <c r="U1593" s="23">
        <v>46355</v>
      </c>
      <c r="X1593" s="20">
        <v>11500</v>
      </c>
      <c r="Z1593" s="6" t="s">
        <v>5978</v>
      </c>
      <c r="AA1593" s="15">
        <f>+(0.42/1000)</f>
        <v>4.1999999999999996E-4</v>
      </c>
      <c r="AB1593">
        <v>3.2588093999999996</v>
      </c>
      <c r="AC1593">
        <v>3.3891617759999999</v>
      </c>
    </row>
    <row r="1594" spans="1:29" x14ac:dyDescent="0.3">
      <c r="A1594">
        <v>151068</v>
      </c>
      <c r="B1594" s="25" t="s">
        <v>5984</v>
      </c>
      <c r="C1594" t="s">
        <v>20</v>
      </c>
      <c r="D1594" t="s">
        <v>21</v>
      </c>
      <c r="E1594">
        <v>2222222</v>
      </c>
      <c r="F1594" s="8" t="s">
        <v>22</v>
      </c>
      <c r="G1594" s="2">
        <v>98</v>
      </c>
      <c r="H1594" t="s">
        <v>4121</v>
      </c>
      <c r="J1594" s="9" t="s">
        <v>5212</v>
      </c>
      <c r="K1594" t="s">
        <v>5497</v>
      </c>
      <c r="L1594" s="2">
        <v>1</v>
      </c>
      <c r="M1594" s="24" t="s">
        <v>5971</v>
      </c>
      <c r="N1594" s="2" t="s">
        <v>23</v>
      </c>
      <c r="O1594" s="18" t="s">
        <v>1317</v>
      </c>
      <c r="P1594" s="18" t="s">
        <v>0</v>
      </c>
      <c r="Q1594" s="6" t="s">
        <v>4475</v>
      </c>
      <c r="T1594" s="23">
        <v>46135</v>
      </c>
      <c r="U1594" s="23">
        <v>46318</v>
      </c>
      <c r="X1594" s="20">
        <v>1020</v>
      </c>
      <c r="Z1594" s="6" t="s">
        <v>5978</v>
      </c>
      <c r="AA1594" s="14">
        <f t="shared" ref="AA1594:AA1595" si="208">+(0.6/1000)</f>
        <v>5.9999999999999995E-4</v>
      </c>
      <c r="AB1594">
        <v>0.31247999999999992</v>
      </c>
      <c r="AC1594">
        <v>0.32497919999999991</v>
      </c>
    </row>
    <row r="1595" spans="1:29" x14ac:dyDescent="0.3">
      <c r="A1595">
        <v>146353</v>
      </c>
      <c r="B1595" s="25" t="s">
        <v>5984</v>
      </c>
      <c r="C1595" t="s">
        <v>20</v>
      </c>
      <c r="D1595" t="s">
        <v>21</v>
      </c>
      <c r="E1595">
        <v>2222222</v>
      </c>
      <c r="F1595" s="8" t="s">
        <v>22</v>
      </c>
      <c r="G1595" s="2">
        <v>98</v>
      </c>
      <c r="H1595" t="s">
        <v>4122</v>
      </c>
      <c r="J1595" s="9" t="s">
        <v>5322</v>
      </c>
      <c r="K1595" t="s">
        <v>4949</v>
      </c>
      <c r="L1595" s="2">
        <v>1</v>
      </c>
      <c r="M1595" s="24" t="s">
        <v>5971</v>
      </c>
      <c r="N1595" s="2" t="s">
        <v>23</v>
      </c>
      <c r="O1595" s="18" t="s">
        <v>1318</v>
      </c>
      <c r="P1595" s="18" t="s">
        <v>0</v>
      </c>
      <c r="Q1595" s="6" t="s">
        <v>4475</v>
      </c>
      <c r="T1595" s="23">
        <v>45814</v>
      </c>
      <c r="U1595" s="23">
        <v>47640</v>
      </c>
      <c r="X1595" s="20">
        <v>5800</v>
      </c>
      <c r="Z1595" s="6" t="s">
        <v>5978</v>
      </c>
      <c r="AA1595" s="14">
        <f t="shared" si="208"/>
        <v>5.9999999999999995E-4</v>
      </c>
      <c r="AB1595">
        <v>2.9188499999999999</v>
      </c>
      <c r="AC1595">
        <v>3.0356040000000002</v>
      </c>
    </row>
    <row r="1596" spans="1:29" x14ac:dyDescent="0.3">
      <c r="A1596">
        <v>115029</v>
      </c>
      <c r="B1596" s="25" t="s">
        <v>5984</v>
      </c>
      <c r="C1596" t="s">
        <v>20</v>
      </c>
      <c r="D1596" t="s">
        <v>21</v>
      </c>
      <c r="E1596">
        <v>2222222</v>
      </c>
      <c r="F1596" s="8" t="s">
        <v>22</v>
      </c>
      <c r="G1596" s="2">
        <v>98</v>
      </c>
      <c r="H1596" t="s">
        <v>4123</v>
      </c>
      <c r="J1596" s="9" t="s">
        <v>5498</v>
      </c>
      <c r="K1596" t="s">
        <v>5132</v>
      </c>
      <c r="L1596" s="2">
        <v>1</v>
      </c>
      <c r="M1596" s="24" t="s">
        <v>5971</v>
      </c>
      <c r="N1596" s="2" t="s">
        <v>23</v>
      </c>
      <c r="O1596" s="18" t="s">
        <v>1319</v>
      </c>
      <c r="P1596" s="18" t="s">
        <v>3781</v>
      </c>
      <c r="Q1596" s="6" t="s">
        <v>4475</v>
      </c>
      <c r="T1596" s="23">
        <v>44076</v>
      </c>
      <c r="U1596" s="23">
        <v>46371</v>
      </c>
      <c r="X1596" s="20">
        <v>10615</v>
      </c>
      <c r="Z1596" s="6" t="s">
        <v>5978</v>
      </c>
      <c r="AA1596" s="15">
        <f>+(0.42/1000)</f>
        <v>4.1999999999999996E-4</v>
      </c>
      <c r="AB1596">
        <v>0.46646880000000002</v>
      </c>
      <c r="AC1596">
        <v>0.48512755200000002</v>
      </c>
    </row>
    <row r="1597" spans="1:29" x14ac:dyDescent="0.3">
      <c r="A1597">
        <v>134977</v>
      </c>
      <c r="B1597" s="25" t="s">
        <v>5984</v>
      </c>
      <c r="C1597" t="s">
        <v>20</v>
      </c>
      <c r="D1597" t="s">
        <v>21</v>
      </c>
      <c r="E1597">
        <v>2222222</v>
      </c>
      <c r="F1597" s="8" t="s">
        <v>22</v>
      </c>
      <c r="G1597" s="2">
        <v>98</v>
      </c>
      <c r="H1597" t="s">
        <v>4123</v>
      </c>
      <c r="J1597" s="9" t="s">
        <v>4911</v>
      </c>
      <c r="K1597" t="s">
        <v>4872</v>
      </c>
      <c r="L1597" s="2">
        <v>1</v>
      </c>
      <c r="M1597" s="24" t="s">
        <v>5971</v>
      </c>
      <c r="N1597" s="2" t="s">
        <v>23</v>
      </c>
      <c r="O1597" s="18" t="s">
        <v>1320</v>
      </c>
      <c r="P1597" s="18" t="s">
        <v>3781</v>
      </c>
      <c r="Q1597" s="6" t="s">
        <v>4475</v>
      </c>
      <c r="T1597" s="23">
        <v>45089</v>
      </c>
      <c r="U1597" s="23">
        <v>47646</v>
      </c>
      <c r="X1597" s="20">
        <v>20000</v>
      </c>
      <c r="Z1597" s="6" t="s">
        <v>5978</v>
      </c>
      <c r="AA1597" s="13">
        <f t="shared" ref="AA1597:AA1600" si="209">+(0.56/1000)</f>
        <v>5.6000000000000006E-4</v>
      </c>
      <c r="AB1597">
        <v>7.7570416000000009</v>
      </c>
      <c r="AC1597">
        <v>8.0673232640000005</v>
      </c>
    </row>
    <row r="1598" spans="1:29" x14ac:dyDescent="0.3">
      <c r="A1598">
        <v>138562</v>
      </c>
      <c r="B1598" s="25" t="s">
        <v>5984</v>
      </c>
      <c r="C1598" t="s">
        <v>20</v>
      </c>
      <c r="D1598" t="s">
        <v>21</v>
      </c>
      <c r="E1598">
        <v>2222222</v>
      </c>
      <c r="F1598" s="8" t="s">
        <v>22</v>
      </c>
      <c r="G1598" s="2">
        <v>98</v>
      </c>
      <c r="H1598" t="s">
        <v>4123</v>
      </c>
      <c r="J1598" s="9" t="s">
        <v>4901</v>
      </c>
      <c r="K1598" t="s">
        <v>4485</v>
      </c>
      <c r="L1598" s="2">
        <v>1</v>
      </c>
      <c r="M1598" s="24" t="s">
        <v>5971</v>
      </c>
      <c r="N1598" s="2" t="s">
        <v>23</v>
      </c>
      <c r="O1598" s="18" t="s">
        <v>1321</v>
      </c>
      <c r="P1598" s="18" t="s">
        <v>0</v>
      </c>
      <c r="Q1598" s="6" t="s">
        <v>4475</v>
      </c>
      <c r="T1598" s="23">
        <v>45317</v>
      </c>
      <c r="U1598" s="23">
        <v>47143</v>
      </c>
      <c r="X1598" s="20">
        <v>11300</v>
      </c>
      <c r="Z1598" s="6" t="s">
        <v>5978</v>
      </c>
      <c r="AA1598" s="13">
        <f t="shared" si="209"/>
        <v>5.6000000000000006E-4</v>
      </c>
      <c r="AB1598">
        <v>3.7124360000000007</v>
      </c>
      <c r="AC1598">
        <v>3.860933440000001</v>
      </c>
    </row>
    <row r="1599" spans="1:29" x14ac:dyDescent="0.3">
      <c r="A1599">
        <v>139077</v>
      </c>
      <c r="B1599" s="25" t="s">
        <v>5984</v>
      </c>
      <c r="C1599" t="s">
        <v>20</v>
      </c>
      <c r="D1599" t="s">
        <v>21</v>
      </c>
      <c r="E1599">
        <v>2222222</v>
      </c>
      <c r="F1599" s="8" t="s">
        <v>22</v>
      </c>
      <c r="G1599" s="2">
        <v>98</v>
      </c>
      <c r="H1599" t="s">
        <v>4123</v>
      </c>
      <c r="J1599" s="9" t="s">
        <v>5095</v>
      </c>
      <c r="K1599" t="s">
        <v>4923</v>
      </c>
      <c r="L1599" s="2">
        <v>1</v>
      </c>
      <c r="M1599" s="24" t="s">
        <v>5971</v>
      </c>
      <c r="N1599" s="2" t="s">
        <v>23</v>
      </c>
      <c r="O1599" s="18" t="s">
        <v>915</v>
      </c>
      <c r="P1599" s="18" t="s">
        <v>3781</v>
      </c>
      <c r="Q1599" s="6" t="s">
        <v>4475</v>
      </c>
      <c r="T1599" s="23">
        <v>45355</v>
      </c>
      <c r="U1599" s="23">
        <v>47272</v>
      </c>
      <c r="X1599" s="20">
        <v>14100</v>
      </c>
      <c r="Z1599" s="6" t="s">
        <v>5978</v>
      </c>
      <c r="AA1599" s="13">
        <f t="shared" si="209"/>
        <v>5.6000000000000006E-4</v>
      </c>
      <c r="AB1599">
        <v>5.5065248000000002</v>
      </c>
      <c r="AC1599">
        <v>5.7267857920000003</v>
      </c>
    </row>
    <row r="1600" spans="1:29" x14ac:dyDescent="0.3">
      <c r="A1600">
        <v>140216</v>
      </c>
      <c r="B1600" s="25" t="s">
        <v>5984</v>
      </c>
      <c r="C1600" t="s">
        <v>20</v>
      </c>
      <c r="D1600" t="s">
        <v>21</v>
      </c>
      <c r="E1600">
        <v>2222222</v>
      </c>
      <c r="F1600" s="8" t="s">
        <v>22</v>
      </c>
      <c r="G1600" s="2">
        <v>98</v>
      </c>
      <c r="H1600" t="s">
        <v>4123</v>
      </c>
      <c r="J1600" s="9" t="s">
        <v>4815</v>
      </c>
      <c r="K1600" t="s">
        <v>4964</v>
      </c>
      <c r="L1600" s="2">
        <v>1</v>
      </c>
      <c r="M1600" s="24" t="s">
        <v>5971</v>
      </c>
      <c r="N1600" s="2" t="s">
        <v>23</v>
      </c>
      <c r="O1600" s="18" t="s">
        <v>1322</v>
      </c>
      <c r="P1600" s="18" t="s">
        <v>0</v>
      </c>
      <c r="Q1600" s="6" t="s">
        <v>4475</v>
      </c>
      <c r="T1600" s="23">
        <v>45373</v>
      </c>
      <c r="U1600" s="23">
        <v>46467</v>
      </c>
      <c r="X1600" s="20">
        <v>4000</v>
      </c>
      <c r="Z1600" s="6" t="s">
        <v>5978</v>
      </c>
      <c r="AA1600" s="13">
        <f t="shared" si="209"/>
        <v>5.6000000000000006E-4</v>
      </c>
      <c r="AB1600">
        <v>1.9965568000000002</v>
      </c>
      <c r="AC1600">
        <v>2.0764190720000002</v>
      </c>
    </row>
    <row r="1601" spans="1:29" x14ac:dyDescent="0.3">
      <c r="A1601">
        <v>141224</v>
      </c>
      <c r="B1601" s="25" t="s">
        <v>5984</v>
      </c>
      <c r="C1601" t="s">
        <v>20</v>
      </c>
      <c r="D1601" t="s">
        <v>21</v>
      </c>
      <c r="E1601">
        <v>2222222</v>
      </c>
      <c r="F1601" s="8" t="s">
        <v>22</v>
      </c>
      <c r="G1601" s="2">
        <v>98</v>
      </c>
      <c r="H1601" t="s">
        <v>4123</v>
      </c>
      <c r="J1601" s="9" t="s">
        <v>5316</v>
      </c>
      <c r="K1601" t="s">
        <v>5078</v>
      </c>
      <c r="L1601" s="2">
        <v>1</v>
      </c>
      <c r="M1601" s="24" t="s">
        <v>5971</v>
      </c>
      <c r="N1601" s="2" t="s">
        <v>23</v>
      </c>
      <c r="O1601" s="18" t="s">
        <v>1323</v>
      </c>
      <c r="P1601" s="18" t="s">
        <v>0</v>
      </c>
      <c r="Q1601" s="6" t="s">
        <v>4475</v>
      </c>
      <c r="T1601" s="23">
        <v>45440</v>
      </c>
      <c r="U1601" s="23">
        <v>49188</v>
      </c>
      <c r="X1601" s="20">
        <v>43500</v>
      </c>
      <c r="Z1601" s="6" t="s">
        <v>5978</v>
      </c>
      <c r="AA1601" s="14">
        <f t="shared" ref="AA1601:AA1612" si="210">+(0.6/1000)</f>
        <v>5.9999999999999995E-4</v>
      </c>
      <c r="AB1601">
        <v>23.415167999999998</v>
      </c>
      <c r="AC1601">
        <v>24.351774719999998</v>
      </c>
    </row>
    <row r="1602" spans="1:29" x14ac:dyDescent="0.3">
      <c r="A1602">
        <v>146834</v>
      </c>
      <c r="B1602" s="25" t="s">
        <v>5984</v>
      </c>
      <c r="C1602" t="s">
        <v>20</v>
      </c>
      <c r="D1602" t="s">
        <v>21</v>
      </c>
      <c r="E1602">
        <v>2222222</v>
      </c>
      <c r="F1602" s="8" t="s">
        <v>22</v>
      </c>
      <c r="G1602" s="2">
        <v>98</v>
      </c>
      <c r="H1602" t="s">
        <v>4123</v>
      </c>
      <c r="J1602" s="9" t="s">
        <v>5269</v>
      </c>
      <c r="K1602" t="s">
        <v>4913</v>
      </c>
      <c r="L1602" s="2">
        <v>1</v>
      </c>
      <c r="M1602" s="24" t="s">
        <v>5971</v>
      </c>
      <c r="N1602" s="2" t="s">
        <v>23</v>
      </c>
      <c r="O1602" s="18" t="s">
        <v>1324</v>
      </c>
      <c r="P1602" s="18" t="s">
        <v>0</v>
      </c>
      <c r="Q1602" s="6" t="s">
        <v>4475</v>
      </c>
      <c r="T1602" s="23">
        <v>45848</v>
      </c>
      <c r="U1602" s="23">
        <v>46943</v>
      </c>
      <c r="X1602" s="20">
        <v>5000</v>
      </c>
      <c r="Z1602" s="6" t="s">
        <v>5978</v>
      </c>
      <c r="AA1602" s="14">
        <f t="shared" si="210"/>
        <v>5.9999999999999995E-4</v>
      </c>
      <c r="AB1602">
        <v>2.1734519999999997</v>
      </c>
      <c r="AC1602">
        <v>2.2603900799999996</v>
      </c>
    </row>
    <row r="1603" spans="1:29" x14ac:dyDescent="0.3">
      <c r="A1603">
        <v>146937</v>
      </c>
      <c r="B1603" s="25" t="s">
        <v>5984</v>
      </c>
      <c r="C1603" t="s">
        <v>20</v>
      </c>
      <c r="D1603" t="s">
        <v>21</v>
      </c>
      <c r="E1603">
        <v>2222222</v>
      </c>
      <c r="F1603" s="8" t="s">
        <v>22</v>
      </c>
      <c r="G1603" s="2">
        <v>98</v>
      </c>
      <c r="H1603" t="s">
        <v>4123</v>
      </c>
      <c r="J1603" s="9" t="s">
        <v>5112</v>
      </c>
      <c r="K1603" t="s">
        <v>4846</v>
      </c>
      <c r="L1603" s="2">
        <v>1</v>
      </c>
      <c r="M1603" s="24" t="s">
        <v>5971</v>
      </c>
      <c r="N1603" s="2" t="s">
        <v>23</v>
      </c>
      <c r="O1603" s="18" t="s">
        <v>1325</v>
      </c>
      <c r="P1603" s="18" t="s">
        <v>0</v>
      </c>
      <c r="Q1603" s="6" t="s">
        <v>4475</v>
      </c>
      <c r="T1603" s="23">
        <v>45959</v>
      </c>
      <c r="U1603" s="23">
        <v>49610</v>
      </c>
      <c r="X1603" s="20">
        <v>65000</v>
      </c>
      <c r="Z1603" s="6" t="s">
        <v>5978</v>
      </c>
      <c r="AA1603" s="14">
        <f t="shared" si="210"/>
        <v>5.9999999999999995E-4</v>
      </c>
      <c r="AB1603">
        <v>37.806761999999992</v>
      </c>
      <c r="AC1603">
        <v>39.31903247999999</v>
      </c>
    </row>
    <row r="1604" spans="1:29" x14ac:dyDescent="0.3">
      <c r="A1604">
        <v>150003</v>
      </c>
      <c r="B1604" s="25" t="s">
        <v>5984</v>
      </c>
      <c r="C1604" t="s">
        <v>20</v>
      </c>
      <c r="D1604" t="s">
        <v>21</v>
      </c>
      <c r="E1604">
        <v>2222222</v>
      </c>
      <c r="F1604" s="8" t="s">
        <v>22</v>
      </c>
      <c r="G1604" s="2">
        <v>98</v>
      </c>
      <c r="H1604" t="s">
        <v>4123</v>
      </c>
      <c r="J1604" s="9" t="s">
        <v>5499</v>
      </c>
      <c r="K1604" t="s">
        <v>5500</v>
      </c>
      <c r="L1604" s="2">
        <v>1</v>
      </c>
      <c r="M1604" s="24" t="s">
        <v>5971</v>
      </c>
      <c r="N1604" s="2" t="s">
        <v>23</v>
      </c>
      <c r="O1604" s="18" t="s">
        <v>1326</v>
      </c>
      <c r="P1604" s="18" t="s">
        <v>3781</v>
      </c>
      <c r="Q1604" s="6" t="s">
        <v>4475</v>
      </c>
      <c r="T1604" s="23">
        <v>46064</v>
      </c>
      <c r="U1604" s="23">
        <v>47529</v>
      </c>
      <c r="X1604" s="20">
        <v>5000</v>
      </c>
      <c r="Z1604" s="6" t="s">
        <v>5978</v>
      </c>
      <c r="AA1604" s="14">
        <f t="shared" si="210"/>
        <v>5.9999999999999995E-4</v>
      </c>
      <c r="AB1604">
        <v>2.7787860000000002</v>
      </c>
      <c r="AC1604">
        <v>2.8899374400000002</v>
      </c>
    </row>
    <row r="1605" spans="1:29" x14ac:dyDescent="0.3">
      <c r="A1605">
        <v>150272</v>
      </c>
      <c r="B1605" s="25" t="s">
        <v>5984</v>
      </c>
      <c r="C1605" t="s">
        <v>20</v>
      </c>
      <c r="D1605" t="s">
        <v>21</v>
      </c>
      <c r="E1605">
        <v>2222222</v>
      </c>
      <c r="F1605" s="8" t="s">
        <v>22</v>
      </c>
      <c r="G1605" s="2">
        <v>98</v>
      </c>
      <c r="H1605" t="s">
        <v>4123</v>
      </c>
      <c r="J1605" s="9" t="s">
        <v>4961</v>
      </c>
      <c r="K1605" t="s">
        <v>5174</v>
      </c>
      <c r="L1605" s="2">
        <v>1</v>
      </c>
      <c r="M1605" s="24" t="s">
        <v>5971</v>
      </c>
      <c r="N1605" s="2" t="s">
        <v>23</v>
      </c>
      <c r="O1605" s="18" t="s">
        <v>1327</v>
      </c>
      <c r="P1605" s="18" t="s">
        <v>0</v>
      </c>
      <c r="Q1605" s="6" t="s">
        <v>4475</v>
      </c>
      <c r="T1605" s="23">
        <v>46084</v>
      </c>
      <c r="U1605" s="23">
        <v>46814</v>
      </c>
      <c r="X1605" s="20">
        <v>3100</v>
      </c>
      <c r="Z1605" s="6" t="s">
        <v>5978</v>
      </c>
      <c r="AA1605" s="14">
        <f t="shared" si="210"/>
        <v>5.9999999999999995E-4</v>
      </c>
      <c r="AB1605">
        <v>1.5942179999999999</v>
      </c>
      <c r="AC1605">
        <v>1.65798672</v>
      </c>
    </row>
    <row r="1606" spans="1:29" x14ac:dyDescent="0.3">
      <c r="A1606">
        <v>151373</v>
      </c>
      <c r="B1606" s="25" t="s">
        <v>5984</v>
      </c>
      <c r="C1606" t="s">
        <v>20</v>
      </c>
      <c r="D1606" t="s">
        <v>21</v>
      </c>
      <c r="E1606">
        <v>2222222</v>
      </c>
      <c r="F1606" s="8" t="s">
        <v>22</v>
      </c>
      <c r="G1606" s="2">
        <v>98</v>
      </c>
      <c r="H1606" t="s">
        <v>4123</v>
      </c>
      <c r="J1606" s="9" t="s">
        <v>4826</v>
      </c>
      <c r="K1606" t="s">
        <v>4825</v>
      </c>
      <c r="L1606" s="2">
        <v>1</v>
      </c>
      <c r="M1606" s="24" t="s">
        <v>5971</v>
      </c>
      <c r="N1606" s="2" t="s">
        <v>23</v>
      </c>
      <c r="O1606" s="18" t="s">
        <v>1328</v>
      </c>
      <c r="P1606" s="18" t="s">
        <v>0</v>
      </c>
      <c r="Q1606" s="6" t="s">
        <v>4475</v>
      </c>
      <c r="T1606" s="23">
        <v>46164</v>
      </c>
      <c r="U1606" s="23">
        <v>47259</v>
      </c>
      <c r="X1606" s="20">
        <v>6000</v>
      </c>
      <c r="Z1606" s="6" t="s">
        <v>5978</v>
      </c>
      <c r="AA1606" s="14">
        <f t="shared" si="210"/>
        <v>5.9999999999999995E-4</v>
      </c>
      <c r="AB1606">
        <v>3.4456439999999997</v>
      </c>
      <c r="AC1606">
        <v>3.5834697599999998</v>
      </c>
    </row>
    <row r="1607" spans="1:29" x14ac:dyDescent="0.3">
      <c r="A1607">
        <v>151457</v>
      </c>
      <c r="B1607" s="25" t="s">
        <v>5984</v>
      </c>
      <c r="C1607" t="s">
        <v>20</v>
      </c>
      <c r="D1607" t="s">
        <v>21</v>
      </c>
      <c r="E1607">
        <v>2222222</v>
      </c>
      <c r="F1607" s="8" t="s">
        <v>22</v>
      </c>
      <c r="G1607" s="2">
        <v>98</v>
      </c>
      <c r="H1607" t="s">
        <v>4123</v>
      </c>
      <c r="J1607" s="9" t="s">
        <v>5050</v>
      </c>
      <c r="K1607" t="s">
        <v>4891</v>
      </c>
      <c r="L1607" s="2">
        <v>1</v>
      </c>
      <c r="M1607" s="24" t="s">
        <v>5971</v>
      </c>
      <c r="N1607" s="2" t="s">
        <v>23</v>
      </c>
      <c r="O1607" s="18" t="s">
        <v>1329</v>
      </c>
      <c r="P1607" s="18" t="s">
        <v>3781</v>
      </c>
      <c r="Q1607" s="6" t="s">
        <v>4475</v>
      </c>
      <c r="T1607" s="23">
        <v>46181</v>
      </c>
      <c r="U1607" s="23">
        <v>49834</v>
      </c>
      <c r="X1607" s="20">
        <v>25000</v>
      </c>
      <c r="Z1607" s="6" t="s">
        <v>5978</v>
      </c>
      <c r="AA1607" s="14">
        <f t="shared" si="210"/>
        <v>5.9999999999999995E-4</v>
      </c>
      <c r="AB1607">
        <v>14.943581999999999</v>
      </c>
      <c r="AC1607">
        <v>15.541325280000001</v>
      </c>
    </row>
    <row r="1608" spans="1:29" x14ac:dyDescent="0.3">
      <c r="A1608">
        <v>151908</v>
      </c>
      <c r="B1608" s="25" t="s">
        <v>5984</v>
      </c>
      <c r="C1608" t="s">
        <v>20</v>
      </c>
      <c r="D1608" t="s">
        <v>21</v>
      </c>
      <c r="E1608">
        <v>2222222</v>
      </c>
      <c r="F1608" s="8" t="s">
        <v>22</v>
      </c>
      <c r="G1608" s="2">
        <v>98</v>
      </c>
      <c r="H1608" t="s">
        <v>4123</v>
      </c>
      <c r="J1608" s="9" t="s">
        <v>4815</v>
      </c>
      <c r="K1608" t="s">
        <v>4182</v>
      </c>
      <c r="L1608" s="2">
        <v>1</v>
      </c>
      <c r="M1608" s="24" t="s">
        <v>5971</v>
      </c>
      <c r="N1608" s="2" t="s">
        <v>23</v>
      </c>
      <c r="O1608" s="18" t="s">
        <v>1330</v>
      </c>
      <c r="P1608" s="18" t="s">
        <v>0</v>
      </c>
      <c r="Q1608" s="6" t="s">
        <v>4475</v>
      </c>
      <c r="T1608" s="23">
        <v>46196</v>
      </c>
      <c r="U1608" s="23">
        <v>47662</v>
      </c>
      <c r="X1608" s="20">
        <v>5000</v>
      </c>
      <c r="Z1608" s="6" t="s">
        <v>5978</v>
      </c>
      <c r="AA1608" s="14">
        <f t="shared" si="210"/>
        <v>5.9999999999999995E-4</v>
      </c>
      <c r="AB1608">
        <v>2.9564819999999998</v>
      </c>
      <c r="AC1608">
        <v>3.07474128</v>
      </c>
    </row>
    <row r="1609" spans="1:29" x14ac:dyDescent="0.3">
      <c r="A1609">
        <v>152119</v>
      </c>
      <c r="B1609" s="25" t="s">
        <v>5984</v>
      </c>
      <c r="C1609" t="s">
        <v>20</v>
      </c>
      <c r="D1609" t="s">
        <v>21</v>
      </c>
      <c r="E1609">
        <v>2222222</v>
      </c>
      <c r="F1609" s="8" t="s">
        <v>22</v>
      </c>
      <c r="G1609" s="2">
        <v>98</v>
      </c>
      <c r="H1609" t="s">
        <v>4123</v>
      </c>
      <c r="J1609" s="9" t="s">
        <v>5112</v>
      </c>
      <c r="K1609" t="s">
        <v>4857</v>
      </c>
      <c r="L1609" s="2">
        <v>1</v>
      </c>
      <c r="M1609" s="24" t="s">
        <v>5971</v>
      </c>
      <c r="N1609" s="2" t="s">
        <v>23</v>
      </c>
      <c r="O1609" s="18" t="s">
        <v>1331</v>
      </c>
      <c r="P1609" s="18" t="s">
        <v>0</v>
      </c>
      <c r="Q1609" s="6" t="s">
        <v>4475</v>
      </c>
      <c r="T1609" s="23">
        <v>46212</v>
      </c>
      <c r="U1609" s="23">
        <v>46942</v>
      </c>
      <c r="X1609" s="20">
        <v>2400</v>
      </c>
      <c r="Z1609" s="6" t="s">
        <v>5978</v>
      </c>
      <c r="AA1609" s="14">
        <f t="shared" si="210"/>
        <v>5.9999999999999995E-4</v>
      </c>
      <c r="AB1609">
        <v>1.44</v>
      </c>
      <c r="AC1609">
        <v>1.4976</v>
      </c>
    </row>
    <row r="1610" spans="1:29" x14ac:dyDescent="0.3">
      <c r="A1610">
        <v>147766</v>
      </c>
      <c r="B1610" s="25" t="s">
        <v>5984</v>
      </c>
      <c r="C1610" t="s">
        <v>20</v>
      </c>
      <c r="D1610" t="s">
        <v>21</v>
      </c>
      <c r="E1610">
        <v>2222222</v>
      </c>
      <c r="F1610" s="8" t="s">
        <v>22</v>
      </c>
      <c r="G1610" s="2">
        <v>98</v>
      </c>
      <c r="H1610" t="s">
        <v>4124</v>
      </c>
      <c r="J1610" s="9" t="s">
        <v>4826</v>
      </c>
      <c r="K1610" t="s">
        <v>5270</v>
      </c>
      <c r="L1610" s="2">
        <v>1</v>
      </c>
      <c r="M1610" s="24" t="s">
        <v>5971</v>
      </c>
      <c r="N1610" s="2" t="s">
        <v>23</v>
      </c>
      <c r="O1610" s="18" t="s">
        <v>1332</v>
      </c>
      <c r="P1610" s="18" t="s">
        <v>0</v>
      </c>
      <c r="Q1610" s="6" t="s">
        <v>4475</v>
      </c>
      <c r="T1610" s="23">
        <v>45918</v>
      </c>
      <c r="U1610" s="23">
        <v>47014</v>
      </c>
      <c r="X1610" s="20">
        <v>4000</v>
      </c>
      <c r="Z1610" s="6" t="s">
        <v>5978</v>
      </c>
      <c r="AA1610" s="14">
        <f t="shared" si="210"/>
        <v>5.9999999999999995E-4</v>
      </c>
      <c r="AB1610">
        <v>1.8505199999999997</v>
      </c>
      <c r="AC1610">
        <v>1.9245407999999997</v>
      </c>
    </row>
    <row r="1611" spans="1:29" x14ac:dyDescent="0.3">
      <c r="A1611">
        <v>150896</v>
      </c>
      <c r="B1611" s="25" t="s">
        <v>5984</v>
      </c>
      <c r="C1611" t="s">
        <v>20</v>
      </c>
      <c r="D1611" t="s">
        <v>21</v>
      </c>
      <c r="E1611">
        <v>2222222</v>
      </c>
      <c r="F1611" s="8" t="s">
        <v>22</v>
      </c>
      <c r="G1611" s="2">
        <v>98</v>
      </c>
      <c r="H1611" t="s">
        <v>4125</v>
      </c>
      <c r="J1611" s="9" t="s">
        <v>4815</v>
      </c>
      <c r="K1611" t="s">
        <v>4847</v>
      </c>
      <c r="L1611" s="2">
        <v>1</v>
      </c>
      <c r="M1611" s="24" t="s">
        <v>5971</v>
      </c>
      <c r="N1611" s="2" t="s">
        <v>23</v>
      </c>
      <c r="O1611" s="18" t="s">
        <v>1333</v>
      </c>
      <c r="P1611" s="18" t="s">
        <v>0</v>
      </c>
      <c r="Q1611" s="6" t="s">
        <v>4475</v>
      </c>
      <c r="T1611" s="23">
        <v>46125</v>
      </c>
      <c r="U1611" s="23">
        <v>47951</v>
      </c>
      <c r="X1611" s="20">
        <v>5000</v>
      </c>
      <c r="Z1611" s="6" t="s">
        <v>5978</v>
      </c>
      <c r="AA1611" s="14">
        <f t="shared" si="210"/>
        <v>5.9999999999999995E-4</v>
      </c>
      <c r="AB1611">
        <v>2.9053079999999998</v>
      </c>
      <c r="AC1611">
        <v>3.02152032</v>
      </c>
    </row>
    <row r="1612" spans="1:29" x14ac:dyDescent="0.3">
      <c r="A1612">
        <v>150409</v>
      </c>
      <c r="B1612" s="25" t="s">
        <v>5984</v>
      </c>
      <c r="C1612" t="s">
        <v>20</v>
      </c>
      <c r="D1612" t="s">
        <v>21</v>
      </c>
      <c r="E1612">
        <v>2222222</v>
      </c>
      <c r="F1612" s="8" t="s">
        <v>22</v>
      </c>
      <c r="G1612" s="2">
        <v>98</v>
      </c>
      <c r="H1612" t="s">
        <v>4126</v>
      </c>
      <c r="J1612" s="9" t="s">
        <v>4836</v>
      </c>
      <c r="K1612" t="s">
        <v>4829</v>
      </c>
      <c r="L1612" s="2">
        <v>1</v>
      </c>
      <c r="M1612" s="24" t="s">
        <v>5971</v>
      </c>
      <c r="N1612" s="2" t="s">
        <v>23</v>
      </c>
      <c r="O1612" s="18" t="s">
        <v>1334</v>
      </c>
      <c r="P1612" s="18" t="s">
        <v>3781</v>
      </c>
      <c r="Q1612" s="6" t="s">
        <v>4475</v>
      </c>
      <c r="T1612" s="23">
        <v>46125</v>
      </c>
      <c r="U1612" s="23">
        <v>49047</v>
      </c>
      <c r="X1612" s="20">
        <v>140000</v>
      </c>
      <c r="Z1612" s="6" t="s">
        <v>5978</v>
      </c>
      <c r="AA1612" s="14">
        <f t="shared" si="210"/>
        <v>5.9999999999999995E-4</v>
      </c>
      <c r="AB1612">
        <v>82.281509999999997</v>
      </c>
      <c r="AC1612">
        <v>85.572770399999996</v>
      </c>
    </row>
    <row r="1613" spans="1:29" x14ac:dyDescent="0.3">
      <c r="A1613">
        <v>140437</v>
      </c>
      <c r="B1613" s="25" t="s">
        <v>5984</v>
      </c>
      <c r="C1613" t="s">
        <v>20</v>
      </c>
      <c r="D1613" t="s">
        <v>21</v>
      </c>
      <c r="E1613">
        <v>2222222</v>
      </c>
      <c r="F1613" s="8" t="s">
        <v>22</v>
      </c>
      <c r="G1613" s="2">
        <v>98</v>
      </c>
      <c r="H1613" t="s">
        <v>4127</v>
      </c>
      <c r="J1613" s="9" t="s">
        <v>4906</v>
      </c>
      <c r="K1613" t="s">
        <v>4875</v>
      </c>
      <c r="L1613" s="2">
        <v>1</v>
      </c>
      <c r="M1613" s="24" t="s">
        <v>5971</v>
      </c>
      <c r="N1613" s="2" t="s">
        <v>23</v>
      </c>
      <c r="O1613" s="18" t="s">
        <v>1335</v>
      </c>
      <c r="P1613" s="18" t="s">
        <v>0</v>
      </c>
      <c r="Q1613" s="6" t="s">
        <v>4475</v>
      </c>
      <c r="T1613" s="23">
        <v>45402</v>
      </c>
      <c r="U1613" s="23">
        <v>47228</v>
      </c>
      <c r="X1613" s="20">
        <v>12000</v>
      </c>
      <c r="Z1613" s="6" t="s">
        <v>5978</v>
      </c>
      <c r="AA1613" s="13">
        <f t="shared" ref="AA1613:AA1615" si="211">+(0.56/1000)</f>
        <v>5.6000000000000006E-4</v>
      </c>
      <c r="AB1613">
        <v>4.3487024000000005</v>
      </c>
      <c r="AC1613">
        <v>4.5226504960000007</v>
      </c>
    </row>
    <row r="1614" spans="1:29" x14ac:dyDescent="0.3">
      <c r="A1614">
        <v>135557</v>
      </c>
      <c r="B1614" s="25" t="s">
        <v>5984</v>
      </c>
      <c r="C1614" t="s">
        <v>20</v>
      </c>
      <c r="D1614" t="s">
        <v>21</v>
      </c>
      <c r="E1614">
        <v>2222222</v>
      </c>
      <c r="F1614" s="8" t="s">
        <v>22</v>
      </c>
      <c r="G1614" s="2">
        <v>98</v>
      </c>
      <c r="H1614" t="s">
        <v>4128</v>
      </c>
      <c r="J1614" s="9" t="s">
        <v>5011</v>
      </c>
      <c r="K1614" t="s">
        <v>5021</v>
      </c>
      <c r="L1614" s="2">
        <v>1</v>
      </c>
      <c r="M1614" s="24" t="s">
        <v>5971</v>
      </c>
      <c r="N1614" s="2" t="s">
        <v>23</v>
      </c>
      <c r="O1614" s="18" t="s">
        <v>1336</v>
      </c>
      <c r="P1614" s="18" t="s">
        <v>3781</v>
      </c>
      <c r="Q1614" s="6" t="s">
        <v>4475</v>
      </c>
      <c r="T1614" s="23">
        <v>45126</v>
      </c>
      <c r="U1614" s="23">
        <v>47409</v>
      </c>
      <c r="X1614" s="20">
        <v>20000</v>
      </c>
      <c r="Z1614" s="6" t="s">
        <v>5978</v>
      </c>
      <c r="AA1614" s="13">
        <f t="shared" si="211"/>
        <v>5.6000000000000006E-4</v>
      </c>
      <c r="AB1614">
        <v>7.3708544000000007</v>
      </c>
      <c r="AC1614">
        <v>7.6656885760000009</v>
      </c>
    </row>
    <row r="1615" spans="1:29" x14ac:dyDescent="0.3">
      <c r="A1615">
        <v>140339</v>
      </c>
      <c r="B1615" s="25" t="s">
        <v>5984</v>
      </c>
      <c r="C1615" t="s">
        <v>20</v>
      </c>
      <c r="D1615" t="s">
        <v>21</v>
      </c>
      <c r="E1615">
        <v>2222222</v>
      </c>
      <c r="F1615" s="8" t="s">
        <v>22</v>
      </c>
      <c r="G1615" s="2">
        <v>98</v>
      </c>
      <c r="H1615" t="s">
        <v>4128</v>
      </c>
      <c r="J1615" s="9" t="s">
        <v>5165</v>
      </c>
      <c r="K1615" t="s">
        <v>5025</v>
      </c>
      <c r="L1615" s="2">
        <v>1</v>
      </c>
      <c r="M1615" s="24" t="s">
        <v>5971</v>
      </c>
      <c r="N1615" s="2" t="s">
        <v>23</v>
      </c>
      <c r="O1615" s="18" t="s">
        <v>1337</v>
      </c>
      <c r="P1615" s="18" t="s">
        <v>3781</v>
      </c>
      <c r="Q1615" s="6" t="s">
        <v>4475</v>
      </c>
      <c r="T1615" s="23">
        <v>45385</v>
      </c>
      <c r="U1615" s="23">
        <v>46846</v>
      </c>
      <c r="X1615" s="20">
        <v>5000</v>
      </c>
      <c r="Z1615" s="6" t="s">
        <v>5978</v>
      </c>
      <c r="AA1615" s="13">
        <f t="shared" si="211"/>
        <v>5.6000000000000006E-4</v>
      </c>
      <c r="AB1615">
        <v>1.4897232</v>
      </c>
      <c r="AC1615">
        <v>1.5493121280000002</v>
      </c>
    </row>
    <row r="1616" spans="1:29" x14ac:dyDescent="0.3">
      <c r="A1616">
        <v>145397</v>
      </c>
      <c r="B1616" s="25" t="s">
        <v>5984</v>
      </c>
      <c r="C1616" t="s">
        <v>20</v>
      </c>
      <c r="D1616" t="s">
        <v>21</v>
      </c>
      <c r="E1616">
        <v>2222222</v>
      </c>
      <c r="F1616" s="8" t="s">
        <v>22</v>
      </c>
      <c r="G1616" s="2">
        <v>98</v>
      </c>
      <c r="H1616" t="s">
        <v>4129</v>
      </c>
      <c r="J1616" s="9" t="s">
        <v>5295</v>
      </c>
      <c r="K1616" t="s">
        <v>5501</v>
      </c>
      <c r="L1616" s="2">
        <v>1</v>
      </c>
      <c r="M1616" s="24" t="s">
        <v>5971</v>
      </c>
      <c r="N1616" s="2" t="s">
        <v>23</v>
      </c>
      <c r="O1616" s="18" t="s">
        <v>1338</v>
      </c>
      <c r="P1616" s="18" t="s">
        <v>3781</v>
      </c>
      <c r="Q1616" s="6" t="s">
        <v>4475</v>
      </c>
      <c r="T1616" s="23">
        <v>45737</v>
      </c>
      <c r="U1616" s="23">
        <v>47197</v>
      </c>
      <c r="X1616" s="20">
        <v>5000</v>
      </c>
      <c r="Z1616" s="6" t="s">
        <v>5978</v>
      </c>
      <c r="AA1616" s="14">
        <f>+(0.6/1000)</f>
        <v>5.9999999999999995E-4</v>
      </c>
      <c r="AB1616">
        <v>2.4387779999999997</v>
      </c>
      <c r="AC1616">
        <v>2.5363291199999995</v>
      </c>
    </row>
    <row r="1617" spans="1:29" x14ac:dyDescent="0.3">
      <c r="A1617">
        <v>118851</v>
      </c>
      <c r="B1617" s="25" t="s">
        <v>5984</v>
      </c>
      <c r="C1617" t="s">
        <v>20</v>
      </c>
      <c r="D1617" t="s">
        <v>21</v>
      </c>
      <c r="E1617">
        <v>2222222</v>
      </c>
      <c r="F1617" s="8" t="s">
        <v>22</v>
      </c>
      <c r="G1617" s="2">
        <v>98</v>
      </c>
      <c r="H1617" t="s">
        <v>4130</v>
      </c>
      <c r="J1617" s="9" t="s">
        <v>4890</v>
      </c>
      <c r="K1617" t="s">
        <v>5103</v>
      </c>
      <c r="L1617" s="2">
        <v>1</v>
      </c>
      <c r="M1617" s="24" t="s">
        <v>5971</v>
      </c>
      <c r="N1617" s="2" t="s">
        <v>23</v>
      </c>
      <c r="O1617" s="18" t="s">
        <v>1339</v>
      </c>
      <c r="P1617" s="18" t="s">
        <v>3781</v>
      </c>
      <c r="Q1617" s="6" t="s">
        <v>4475</v>
      </c>
      <c r="T1617" s="23">
        <v>44250</v>
      </c>
      <c r="U1617" s="23">
        <v>46078</v>
      </c>
      <c r="X1617" s="20">
        <v>17505</v>
      </c>
      <c r="Z1617" s="6" t="s">
        <v>5978</v>
      </c>
      <c r="AA1617" s="15">
        <f t="shared" ref="AA1617:AA1618" si="212">+(0.42/1000)</f>
        <v>4.1999999999999996E-4</v>
      </c>
      <c r="AB1617">
        <v>6.5932229999999992</v>
      </c>
      <c r="AC1617">
        <v>6.8569519199999993</v>
      </c>
    </row>
    <row r="1618" spans="1:29" x14ac:dyDescent="0.3">
      <c r="A1618">
        <v>125914</v>
      </c>
      <c r="B1618" s="25" t="s">
        <v>5984</v>
      </c>
      <c r="C1618" t="s">
        <v>20</v>
      </c>
      <c r="D1618" t="s">
        <v>21</v>
      </c>
      <c r="E1618">
        <v>2222222</v>
      </c>
      <c r="F1618" s="8" t="s">
        <v>22</v>
      </c>
      <c r="G1618" s="2">
        <v>98</v>
      </c>
      <c r="H1618" t="s">
        <v>4130</v>
      </c>
      <c r="J1618" s="9" t="s">
        <v>5502</v>
      </c>
      <c r="K1618" t="s">
        <v>4904</v>
      </c>
      <c r="L1618" s="2">
        <v>1</v>
      </c>
      <c r="M1618" s="24" t="s">
        <v>5971</v>
      </c>
      <c r="N1618" s="2" t="s">
        <v>23</v>
      </c>
      <c r="O1618" s="18" t="s">
        <v>1340</v>
      </c>
      <c r="P1618" s="18" t="s">
        <v>3781</v>
      </c>
      <c r="Q1618" s="6" t="s">
        <v>4475</v>
      </c>
      <c r="T1618" s="23">
        <v>44592</v>
      </c>
      <c r="U1618" s="23">
        <v>44682</v>
      </c>
      <c r="X1618" s="20">
        <v>4060</v>
      </c>
      <c r="Z1618" s="6" t="s">
        <v>5978</v>
      </c>
      <c r="AA1618" s="15">
        <f t="shared" si="212"/>
        <v>4.1999999999999996E-4</v>
      </c>
      <c r="AB1618">
        <v>1.7051999999999998</v>
      </c>
      <c r="AC1618">
        <v>1.7734079999999999</v>
      </c>
    </row>
    <row r="1619" spans="1:29" x14ac:dyDescent="0.3">
      <c r="A1619">
        <v>139716</v>
      </c>
      <c r="B1619" s="25" t="s">
        <v>5984</v>
      </c>
      <c r="C1619" t="s">
        <v>20</v>
      </c>
      <c r="D1619" t="s">
        <v>21</v>
      </c>
      <c r="E1619">
        <v>2222222</v>
      </c>
      <c r="F1619" s="8" t="s">
        <v>22</v>
      </c>
      <c r="G1619" s="2">
        <v>98</v>
      </c>
      <c r="H1619" t="s">
        <v>4130</v>
      </c>
      <c r="J1619" s="9" t="s">
        <v>4916</v>
      </c>
      <c r="K1619" t="s">
        <v>5179</v>
      </c>
      <c r="L1619" s="2">
        <v>1</v>
      </c>
      <c r="M1619" s="24" t="s">
        <v>5971</v>
      </c>
      <c r="N1619" s="2" t="s">
        <v>23</v>
      </c>
      <c r="O1619" s="18" t="s">
        <v>1341</v>
      </c>
      <c r="P1619" s="18" t="s">
        <v>3781</v>
      </c>
      <c r="Q1619" s="6" t="s">
        <v>4475</v>
      </c>
      <c r="T1619" s="23">
        <v>45370</v>
      </c>
      <c r="U1619" s="23">
        <v>50847</v>
      </c>
      <c r="X1619" s="20">
        <v>45000</v>
      </c>
      <c r="Z1619" s="6" t="s">
        <v>5978</v>
      </c>
      <c r="AA1619" s="13">
        <f>+(0.56/1000)</f>
        <v>5.6000000000000006E-4</v>
      </c>
      <c r="AB1619">
        <v>23.662598400000004</v>
      </c>
      <c r="AC1619">
        <v>24.609102336000007</v>
      </c>
    </row>
    <row r="1620" spans="1:29" x14ac:dyDescent="0.3">
      <c r="A1620">
        <v>141559</v>
      </c>
      <c r="B1620" s="25" t="s">
        <v>5984</v>
      </c>
      <c r="C1620" t="s">
        <v>20</v>
      </c>
      <c r="D1620" t="s">
        <v>21</v>
      </c>
      <c r="E1620">
        <v>2222222</v>
      </c>
      <c r="F1620" s="8" t="s">
        <v>22</v>
      </c>
      <c r="G1620" s="2">
        <v>98</v>
      </c>
      <c r="H1620" t="s">
        <v>4130</v>
      </c>
      <c r="J1620" s="9" t="s">
        <v>5038</v>
      </c>
      <c r="K1620" t="s">
        <v>5503</v>
      </c>
      <c r="L1620" s="2">
        <v>1</v>
      </c>
      <c r="M1620" s="24" t="s">
        <v>5971</v>
      </c>
      <c r="N1620" s="2" t="s">
        <v>23</v>
      </c>
      <c r="O1620" s="18" t="s">
        <v>1342</v>
      </c>
      <c r="P1620" s="18" t="s">
        <v>3781</v>
      </c>
      <c r="Q1620" s="6" t="s">
        <v>4475</v>
      </c>
      <c r="T1620" s="23">
        <v>45470</v>
      </c>
      <c r="U1620" s="23">
        <v>46935</v>
      </c>
      <c r="X1620" s="20">
        <v>18500</v>
      </c>
      <c r="Z1620" s="6" t="s">
        <v>5978</v>
      </c>
      <c r="AA1620" s="14">
        <f t="shared" ref="AA1620:AA1631" si="213">+(0.6/1000)</f>
        <v>5.9999999999999995E-4</v>
      </c>
      <c r="AB1620">
        <v>6.4864319999999989</v>
      </c>
      <c r="AC1620">
        <v>6.7458892799999992</v>
      </c>
    </row>
    <row r="1621" spans="1:29" x14ac:dyDescent="0.3">
      <c r="A1621">
        <v>144975</v>
      </c>
      <c r="B1621" s="25" t="s">
        <v>5984</v>
      </c>
      <c r="C1621" t="s">
        <v>20</v>
      </c>
      <c r="D1621" t="s">
        <v>21</v>
      </c>
      <c r="E1621">
        <v>2222222</v>
      </c>
      <c r="F1621" s="8" t="s">
        <v>22</v>
      </c>
      <c r="G1621" s="2">
        <v>98</v>
      </c>
      <c r="H1621" t="s">
        <v>4130</v>
      </c>
      <c r="J1621" s="9" t="s">
        <v>5023</v>
      </c>
      <c r="K1621" t="s">
        <v>4826</v>
      </c>
      <c r="L1621" s="2">
        <v>1</v>
      </c>
      <c r="M1621" s="24" t="s">
        <v>5971</v>
      </c>
      <c r="N1621" s="2" t="s">
        <v>23</v>
      </c>
      <c r="O1621" s="18" t="s">
        <v>1343</v>
      </c>
      <c r="P1621" s="18" t="s">
        <v>0</v>
      </c>
      <c r="Q1621" s="6" t="s">
        <v>4475</v>
      </c>
      <c r="T1621" s="23">
        <v>45702</v>
      </c>
      <c r="U1621" s="23">
        <v>47254</v>
      </c>
      <c r="X1621" s="20">
        <v>4050</v>
      </c>
      <c r="Z1621" s="6" t="s">
        <v>5978</v>
      </c>
      <c r="AA1621" s="14">
        <f t="shared" si="213"/>
        <v>5.9999999999999995E-4</v>
      </c>
      <c r="AB1621">
        <v>1.946142</v>
      </c>
      <c r="AC1621">
        <v>2.0239876800000003</v>
      </c>
    </row>
    <row r="1622" spans="1:29" x14ac:dyDescent="0.3">
      <c r="A1622">
        <v>146253</v>
      </c>
      <c r="B1622" s="25" t="s">
        <v>5984</v>
      </c>
      <c r="C1622" t="s">
        <v>20</v>
      </c>
      <c r="D1622" t="s">
        <v>21</v>
      </c>
      <c r="E1622">
        <v>2222222</v>
      </c>
      <c r="F1622" s="8" t="s">
        <v>22</v>
      </c>
      <c r="G1622" s="2">
        <v>98</v>
      </c>
      <c r="H1622" t="s">
        <v>4130</v>
      </c>
      <c r="J1622" s="9" t="s">
        <v>5063</v>
      </c>
      <c r="K1622" t="s">
        <v>5272</v>
      </c>
      <c r="L1622" s="2">
        <v>1</v>
      </c>
      <c r="M1622" s="24" t="s">
        <v>5971</v>
      </c>
      <c r="N1622" s="2" t="s">
        <v>23</v>
      </c>
      <c r="O1622" s="18" t="s">
        <v>1344</v>
      </c>
      <c r="P1622" s="18" t="s">
        <v>0</v>
      </c>
      <c r="Q1622" s="6" t="s">
        <v>4475</v>
      </c>
      <c r="T1622" s="23">
        <v>45805</v>
      </c>
      <c r="U1622" s="23">
        <v>46900</v>
      </c>
      <c r="X1622" s="20">
        <v>5000</v>
      </c>
      <c r="Z1622" s="6" t="s">
        <v>5978</v>
      </c>
      <c r="AA1622" s="14">
        <f t="shared" si="213"/>
        <v>5.9999999999999995E-4</v>
      </c>
      <c r="AB1622">
        <v>2.021064</v>
      </c>
      <c r="AC1622">
        <v>2.1019065600000002</v>
      </c>
    </row>
    <row r="1623" spans="1:29" x14ac:dyDescent="0.3">
      <c r="A1623">
        <v>146496</v>
      </c>
      <c r="B1623" s="25" t="s">
        <v>5984</v>
      </c>
      <c r="C1623" t="s">
        <v>20</v>
      </c>
      <c r="D1623" t="s">
        <v>21</v>
      </c>
      <c r="E1623">
        <v>2222222</v>
      </c>
      <c r="F1623" s="8" t="s">
        <v>22</v>
      </c>
      <c r="G1623" s="2">
        <v>98</v>
      </c>
      <c r="H1623" t="s">
        <v>4130</v>
      </c>
      <c r="J1623" s="9" t="s">
        <v>4836</v>
      </c>
      <c r="K1623" t="s">
        <v>4980</v>
      </c>
      <c r="L1623" s="2">
        <v>1</v>
      </c>
      <c r="M1623" s="24" t="s">
        <v>5971</v>
      </c>
      <c r="N1623" s="2" t="s">
        <v>23</v>
      </c>
      <c r="O1623" s="18" t="s">
        <v>1345</v>
      </c>
      <c r="P1623" s="18" t="s">
        <v>3781</v>
      </c>
      <c r="Q1623" s="6" t="s">
        <v>4475</v>
      </c>
      <c r="T1623" s="23">
        <v>45821</v>
      </c>
      <c r="U1623" s="23">
        <v>46556</v>
      </c>
      <c r="X1623" s="20">
        <v>5000</v>
      </c>
      <c r="Z1623" s="6" t="s">
        <v>5978</v>
      </c>
      <c r="AA1623" s="14">
        <f t="shared" si="213"/>
        <v>5.9999999999999995E-4</v>
      </c>
      <c r="AB1623">
        <v>1.5101819999999997</v>
      </c>
      <c r="AC1623">
        <v>1.5705892799999996</v>
      </c>
    </row>
    <row r="1624" spans="1:29" x14ac:dyDescent="0.3">
      <c r="A1624">
        <v>146836</v>
      </c>
      <c r="B1624" s="25" t="s">
        <v>5984</v>
      </c>
      <c r="C1624" t="s">
        <v>20</v>
      </c>
      <c r="D1624" t="s">
        <v>21</v>
      </c>
      <c r="E1624">
        <v>2222222</v>
      </c>
      <c r="F1624" s="8" t="s">
        <v>22</v>
      </c>
      <c r="G1624" s="2">
        <v>98</v>
      </c>
      <c r="H1624" t="s">
        <v>4130</v>
      </c>
      <c r="J1624" s="9" t="s">
        <v>5504</v>
      </c>
      <c r="K1624" t="s">
        <v>5505</v>
      </c>
      <c r="L1624" s="2">
        <v>1</v>
      </c>
      <c r="M1624" s="24" t="s">
        <v>5971</v>
      </c>
      <c r="N1624" s="2" t="s">
        <v>23</v>
      </c>
      <c r="O1624" s="18" t="s">
        <v>1346</v>
      </c>
      <c r="P1624" s="18" t="s">
        <v>3781</v>
      </c>
      <c r="Q1624" s="6" t="s">
        <v>4475</v>
      </c>
      <c r="T1624" s="23">
        <v>45856</v>
      </c>
      <c r="U1624" s="23">
        <v>46951</v>
      </c>
      <c r="X1624" s="20">
        <v>40000</v>
      </c>
      <c r="Z1624" s="6" t="s">
        <v>5978</v>
      </c>
      <c r="AA1624" s="14">
        <f t="shared" si="213"/>
        <v>5.9999999999999995E-4</v>
      </c>
      <c r="AB1624">
        <v>17.563482</v>
      </c>
      <c r="AC1624">
        <v>18.26602128</v>
      </c>
    </row>
    <row r="1625" spans="1:29" x14ac:dyDescent="0.3">
      <c r="A1625">
        <v>147327</v>
      </c>
      <c r="B1625" s="25" t="s">
        <v>5984</v>
      </c>
      <c r="C1625" t="s">
        <v>20</v>
      </c>
      <c r="D1625" t="s">
        <v>21</v>
      </c>
      <c r="E1625">
        <v>2222222</v>
      </c>
      <c r="F1625" s="8" t="s">
        <v>22</v>
      </c>
      <c r="G1625" s="2">
        <v>98</v>
      </c>
      <c r="H1625" t="s">
        <v>4130</v>
      </c>
      <c r="J1625" s="9" t="s">
        <v>5038</v>
      </c>
      <c r="K1625" t="s">
        <v>5503</v>
      </c>
      <c r="L1625" s="2">
        <v>1</v>
      </c>
      <c r="M1625" s="24" t="s">
        <v>5971</v>
      </c>
      <c r="N1625" s="2" t="s">
        <v>23</v>
      </c>
      <c r="O1625" s="18" t="s">
        <v>1342</v>
      </c>
      <c r="P1625" s="18" t="s">
        <v>3781</v>
      </c>
      <c r="Q1625" s="6" t="s">
        <v>4475</v>
      </c>
      <c r="T1625" s="23">
        <v>45882</v>
      </c>
      <c r="U1625" s="23">
        <v>46611</v>
      </c>
      <c r="X1625" s="20">
        <v>3000</v>
      </c>
      <c r="Z1625" s="6" t="s">
        <v>5978</v>
      </c>
      <c r="AA1625" s="14">
        <f t="shared" si="213"/>
        <v>5.9999999999999995E-4</v>
      </c>
      <c r="AB1625">
        <v>1.0497299999999998</v>
      </c>
      <c r="AC1625">
        <v>1.0917191999999998</v>
      </c>
    </row>
    <row r="1626" spans="1:29" x14ac:dyDescent="0.3">
      <c r="A1626">
        <v>147509</v>
      </c>
      <c r="B1626" s="25" t="s">
        <v>5984</v>
      </c>
      <c r="C1626" t="s">
        <v>20</v>
      </c>
      <c r="D1626" t="s">
        <v>21</v>
      </c>
      <c r="E1626">
        <v>2222222</v>
      </c>
      <c r="F1626" s="8" t="s">
        <v>22</v>
      </c>
      <c r="G1626" s="2">
        <v>98</v>
      </c>
      <c r="H1626" t="s">
        <v>4130</v>
      </c>
      <c r="J1626" s="9" t="s">
        <v>4852</v>
      </c>
      <c r="K1626" t="s">
        <v>4839</v>
      </c>
      <c r="L1626" s="2">
        <v>1</v>
      </c>
      <c r="M1626" s="24" t="s">
        <v>5971</v>
      </c>
      <c r="N1626" s="2" t="s">
        <v>23</v>
      </c>
      <c r="O1626" s="18" t="s">
        <v>1347</v>
      </c>
      <c r="P1626" s="18" t="s">
        <v>0</v>
      </c>
      <c r="Q1626" s="6" t="s">
        <v>4475</v>
      </c>
      <c r="T1626" s="23">
        <v>45894</v>
      </c>
      <c r="U1626" s="23">
        <v>46258</v>
      </c>
      <c r="X1626" s="20">
        <v>5000</v>
      </c>
      <c r="Z1626" s="6" t="s">
        <v>5978</v>
      </c>
      <c r="AA1626" s="14">
        <f t="shared" si="213"/>
        <v>5.9999999999999995E-4</v>
      </c>
      <c r="AB1626">
        <v>0.26966999999999997</v>
      </c>
      <c r="AC1626">
        <v>0.28045679999999995</v>
      </c>
    </row>
    <row r="1627" spans="1:29" x14ac:dyDescent="0.3">
      <c r="A1627">
        <v>150620</v>
      </c>
      <c r="B1627" s="25" t="s">
        <v>5984</v>
      </c>
      <c r="C1627" t="s">
        <v>20</v>
      </c>
      <c r="D1627" t="s">
        <v>21</v>
      </c>
      <c r="E1627">
        <v>2222222</v>
      </c>
      <c r="F1627" s="8" t="s">
        <v>22</v>
      </c>
      <c r="G1627" s="2">
        <v>98</v>
      </c>
      <c r="H1627" t="s">
        <v>4130</v>
      </c>
      <c r="J1627" s="9" t="s">
        <v>4945</v>
      </c>
      <c r="K1627" t="s">
        <v>5290</v>
      </c>
      <c r="L1627" s="2">
        <v>1</v>
      </c>
      <c r="M1627" s="24" t="s">
        <v>5971</v>
      </c>
      <c r="N1627" s="2" t="s">
        <v>23</v>
      </c>
      <c r="O1627" s="18" t="s">
        <v>1348</v>
      </c>
      <c r="P1627" s="18" t="s">
        <v>0</v>
      </c>
      <c r="Q1627" s="6" t="s">
        <v>4475</v>
      </c>
      <c r="T1627" s="23">
        <v>46105</v>
      </c>
      <c r="U1627" s="23">
        <v>46653</v>
      </c>
      <c r="X1627" s="20">
        <v>2500</v>
      </c>
      <c r="Z1627" s="6" t="s">
        <v>5978</v>
      </c>
      <c r="AA1627" s="14">
        <f t="shared" si="213"/>
        <v>5.9999999999999995E-4</v>
      </c>
      <c r="AB1627">
        <v>0.80347800000000003</v>
      </c>
      <c r="AC1627">
        <v>0.8356171200000001</v>
      </c>
    </row>
    <row r="1628" spans="1:29" x14ac:dyDescent="0.3">
      <c r="A1628">
        <v>151325</v>
      </c>
      <c r="B1628" s="25" t="s">
        <v>5984</v>
      </c>
      <c r="C1628" t="s">
        <v>20</v>
      </c>
      <c r="D1628" t="s">
        <v>21</v>
      </c>
      <c r="E1628">
        <v>2222222</v>
      </c>
      <c r="F1628" s="8" t="s">
        <v>22</v>
      </c>
      <c r="G1628" s="2">
        <v>98</v>
      </c>
      <c r="H1628" t="s">
        <v>4130</v>
      </c>
      <c r="J1628" s="9" t="s">
        <v>5504</v>
      </c>
      <c r="K1628" t="s">
        <v>5505</v>
      </c>
      <c r="L1628" s="2">
        <v>1</v>
      </c>
      <c r="M1628" s="24" t="s">
        <v>5971</v>
      </c>
      <c r="N1628" s="2" t="s">
        <v>23</v>
      </c>
      <c r="O1628" s="18" t="s">
        <v>1346</v>
      </c>
      <c r="P1628" s="18" t="s">
        <v>3781</v>
      </c>
      <c r="Q1628" s="6" t="s">
        <v>4475</v>
      </c>
      <c r="T1628" s="23">
        <v>46156</v>
      </c>
      <c r="U1628" s="23">
        <v>46246</v>
      </c>
      <c r="X1628" s="20">
        <v>5000</v>
      </c>
      <c r="Z1628" s="6" t="s">
        <v>5978</v>
      </c>
      <c r="AA1628" s="14">
        <f t="shared" si="213"/>
        <v>5.9999999999999995E-4</v>
      </c>
      <c r="AB1628">
        <v>2.9999999999999996</v>
      </c>
      <c r="AC1628">
        <v>3.1199999999999997</v>
      </c>
    </row>
    <row r="1629" spans="1:29" x14ac:dyDescent="0.3">
      <c r="A1629">
        <v>151406</v>
      </c>
      <c r="B1629" s="25" t="s">
        <v>5984</v>
      </c>
      <c r="C1629" t="s">
        <v>20</v>
      </c>
      <c r="D1629" t="s">
        <v>21</v>
      </c>
      <c r="E1629">
        <v>2222222</v>
      </c>
      <c r="F1629" s="8" t="s">
        <v>22</v>
      </c>
      <c r="G1629" s="2">
        <v>98</v>
      </c>
      <c r="H1629" t="s">
        <v>4130</v>
      </c>
      <c r="J1629" s="9" t="s">
        <v>4836</v>
      </c>
      <c r="K1629" t="s">
        <v>4872</v>
      </c>
      <c r="L1629" s="2">
        <v>1</v>
      </c>
      <c r="M1629" s="24" t="s">
        <v>5971</v>
      </c>
      <c r="N1629" s="2" t="s">
        <v>23</v>
      </c>
      <c r="O1629" s="18" t="s">
        <v>1349</v>
      </c>
      <c r="P1629" s="18" t="s">
        <v>3781</v>
      </c>
      <c r="Q1629" s="6" t="s">
        <v>4475</v>
      </c>
      <c r="T1629" s="23">
        <v>46161</v>
      </c>
      <c r="U1629" s="23">
        <v>46251</v>
      </c>
      <c r="X1629" s="20">
        <v>300</v>
      </c>
      <c r="Z1629" s="6" t="s">
        <v>5978</v>
      </c>
      <c r="AA1629" s="14">
        <f t="shared" si="213"/>
        <v>5.9999999999999995E-4</v>
      </c>
      <c r="AB1629">
        <v>0.18</v>
      </c>
      <c r="AC1629">
        <v>0.18720000000000001</v>
      </c>
    </row>
    <row r="1630" spans="1:29" x14ac:dyDescent="0.3">
      <c r="A1630">
        <v>145260</v>
      </c>
      <c r="B1630" s="25" t="s">
        <v>5984</v>
      </c>
      <c r="C1630" t="s">
        <v>20</v>
      </c>
      <c r="D1630" t="s">
        <v>21</v>
      </c>
      <c r="E1630">
        <v>2222222</v>
      </c>
      <c r="F1630" s="8" t="s">
        <v>22</v>
      </c>
      <c r="G1630" s="2">
        <v>98</v>
      </c>
      <c r="H1630" t="s">
        <v>4131</v>
      </c>
      <c r="J1630" s="9" t="s">
        <v>5008</v>
      </c>
      <c r="K1630" t="s">
        <v>5018</v>
      </c>
      <c r="L1630" s="2">
        <v>1</v>
      </c>
      <c r="M1630" s="24" t="s">
        <v>5971</v>
      </c>
      <c r="N1630" s="2" t="s">
        <v>23</v>
      </c>
      <c r="O1630" s="18" t="s">
        <v>1350</v>
      </c>
      <c r="P1630" s="18" t="s">
        <v>0</v>
      </c>
      <c r="Q1630" s="6" t="s">
        <v>4475</v>
      </c>
      <c r="T1630" s="23">
        <v>45726</v>
      </c>
      <c r="U1630" s="23">
        <v>46821</v>
      </c>
      <c r="X1630" s="20">
        <v>1010</v>
      </c>
      <c r="Z1630" s="6" t="s">
        <v>5978</v>
      </c>
      <c r="AA1630" s="14">
        <f t="shared" si="213"/>
        <v>5.9999999999999995E-4</v>
      </c>
      <c r="AB1630">
        <v>0.45289799999999997</v>
      </c>
      <c r="AC1630">
        <v>0.47101391999999997</v>
      </c>
    </row>
    <row r="1631" spans="1:29" x14ac:dyDescent="0.3">
      <c r="A1631">
        <v>149418</v>
      </c>
      <c r="B1631" s="25" t="s">
        <v>5984</v>
      </c>
      <c r="C1631" t="s">
        <v>20</v>
      </c>
      <c r="D1631" t="s">
        <v>21</v>
      </c>
      <c r="E1631">
        <v>2222222</v>
      </c>
      <c r="F1631" s="8" t="s">
        <v>22</v>
      </c>
      <c r="G1631" s="2">
        <v>98</v>
      </c>
      <c r="H1631" t="s">
        <v>4132</v>
      </c>
      <c r="J1631" s="9" t="s">
        <v>4953</v>
      </c>
      <c r="K1631" t="s">
        <v>4878</v>
      </c>
      <c r="L1631" s="2">
        <v>1</v>
      </c>
      <c r="M1631" s="24" t="s">
        <v>5971</v>
      </c>
      <c r="N1631" s="2" t="s">
        <v>23</v>
      </c>
      <c r="O1631" s="18" t="s">
        <v>1351</v>
      </c>
      <c r="P1631" s="18" t="s">
        <v>0</v>
      </c>
      <c r="Q1631" s="6" t="s">
        <v>4475</v>
      </c>
      <c r="T1631" s="23">
        <v>46021</v>
      </c>
      <c r="U1631" s="23">
        <v>48577</v>
      </c>
      <c r="X1631" s="20">
        <v>5410</v>
      </c>
      <c r="Z1631" s="6" t="s">
        <v>5978</v>
      </c>
      <c r="AA1631" s="14">
        <f t="shared" si="213"/>
        <v>5.9999999999999995E-4</v>
      </c>
      <c r="AB1631">
        <v>3.1125599999999998</v>
      </c>
      <c r="AC1631">
        <v>3.2370623999999997</v>
      </c>
    </row>
    <row r="1632" spans="1:29" x14ac:dyDescent="0.3">
      <c r="A1632">
        <v>132143</v>
      </c>
      <c r="B1632" s="25" t="s">
        <v>5984</v>
      </c>
      <c r="C1632" t="s">
        <v>20</v>
      </c>
      <c r="D1632" t="s">
        <v>21</v>
      </c>
      <c r="E1632">
        <v>2222222</v>
      </c>
      <c r="F1632" s="8" t="s">
        <v>22</v>
      </c>
      <c r="G1632" s="2">
        <v>98</v>
      </c>
      <c r="H1632" t="s">
        <v>4133</v>
      </c>
      <c r="J1632" s="9" t="s">
        <v>5506</v>
      </c>
      <c r="K1632" t="s">
        <v>5507</v>
      </c>
      <c r="L1632" s="2">
        <v>1</v>
      </c>
      <c r="M1632" s="24" t="s">
        <v>5971</v>
      </c>
      <c r="N1632" s="2" t="s">
        <v>23</v>
      </c>
      <c r="O1632" s="18" t="s">
        <v>1352</v>
      </c>
      <c r="P1632" s="18" t="s">
        <v>3781</v>
      </c>
      <c r="Q1632" s="6" t="s">
        <v>4475</v>
      </c>
      <c r="T1632" s="23">
        <v>44926</v>
      </c>
      <c r="U1632" s="23">
        <v>47575</v>
      </c>
      <c r="X1632" s="20">
        <v>20000</v>
      </c>
      <c r="Z1632" s="6" t="s">
        <v>5978</v>
      </c>
      <c r="AA1632" s="13">
        <f>+(0.56/1000)</f>
        <v>5.6000000000000006E-4</v>
      </c>
      <c r="AB1632">
        <v>7.5003432000000005</v>
      </c>
      <c r="AC1632">
        <v>7.8003569280000011</v>
      </c>
    </row>
    <row r="1633" spans="1:29" x14ac:dyDescent="0.3">
      <c r="A1633">
        <v>150203</v>
      </c>
      <c r="B1633" s="25" t="s">
        <v>5984</v>
      </c>
      <c r="C1633" t="s">
        <v>20</v>
      </c>
      <c r="D1633" t="s">
        <v>21</v>
      </c>
      <c r="E1633">
        <v>2222222</v>
      </c>
      <c r="F1633" s="8" t="s">
        <v>22</v>
      </c>
      <c r="G1633" s="2">
        <v>98</v>
      </c>
      <c r="H1633" t="s">
        <v>4133</v>
      </c>
      <c r="J1633" s="9" t="s">
        <v>5057</v>
      </c>
      <c r="K1633" t="s">
        <v>4980</v>
      </c>
      <c r="L1633" s="2">
        <v>1</v>
      </c>
      <c r="M1633" s="24" t="s">
        <v>5971</v>
      </c>
      <c r="N1633" s="2" t="s">
        <v>23</v>
      </c>
      <c r="O1633" s="18" t="s">
        <v>1353</v>
      </c>
      <c r="P1633" s="18" t="s">
        <v>3781</v>
      </c>
      <c r="Q1633" s="6" t="s">
        <v>4475</v>
      </c>
      <c r="T1633" s="23">
        <v>46081</v>
      </c>
      <c r="U1633" s="23">
        <v>49007</v>
      </c>
      <c r="X1633" s="20">
        <v>31350</v>
      </c>
      <c r="Z1633" s="6" t="s">
        <v>5978</v>
      </c>
      <c r="AA1633" s="14">
        <f>+(0.6/1000)</f>
        <v>5.9999999999999995E-4</v>
      </c>
      <c r="AB1633">
        <v>18.331685999999998</v>
      </c>
      <c r="AC1633">
        <v>19.06495344</v>
      </c>
    </row>
    <row r="1634" spans="1:29" x14ac:dyDescent="0.3">
      <c r="A1634">
        <v>134800</v>
      </c>
      <c r="B1634" s="25" t="s">
        <v>5984</v>
      </c>
      <c r="C1634" t="s">
        <v>20</v>
      </c>
      <c r="D1634" t="s">
        <v>21</v>
      </c>
      <c r="E1634">
        <v>2222222</v>
      </c>
      <c r="F1634" s="8" t="s">
        <v>22</v>
      </c>
      <c r="G1634" s="2">
        <v>98</v>
      </c>
      <c r="H1634" t="s">
        <v>4134</v>
      </c>
      <c r="J1634" s="9" t="s">
        <v>4836</v>
      </c>
      <c r="K1634" t="s">
        <v>5025</v>
      </c>
      <c r="L1634" s="2">
        <v>1</v>
      </c>
      <c r="M1634" s="24" t="s">
        <v>5971</v>
      </c>
      <c r="N1634" s="2" t="s">
        <v>23</v>
      </c>
      <c r="O1634" s="18" t="s">
        <v>1354</v>
      </c>
      <c r="P1634" s="18" t="s">
        <v>3781</v>
      </c>
      <c r="Q1634" s="6" t="s">
        <v>4475</v>
      </c>
      <c r="T1634" s="23">
        <v>45076</v>
      </c>
      <c r="U1634" s="23">
        <v>50646</v>
      </c>
      <c r="X1634" s="20">
        <v>6500</v>
      </c>
      <c r="Z1634" s="6" t="s">
        <v>5978</v>
      </c>
      <c r="AA1634" s="13">
        <f t="shared" ref="AA1634:AA1635" si="214">+(0.56/1000)</f>
        <v>5.6000000000000006E-4</v>
      </c>
      <c r="AB1634">
        <v>3.5162680000000006</v>
      </c>
      <c r="AC1634">
        <v>3.6569187200000006</v>
      </c>
    </row>
    <row r="1635" spans="1:29" x14ac:dyDescent="0.3">
      <c r="A1635">
        <v>136365</v>
      </c>
      <c r="B1635" s="25" t="s">
        <v>5984</v>
      </c>
      <c r="C1635" t="s">
        <v>20</v>
      </c>
      <c r="D1635" t="s">
        <v>21</v>
      </c>
      <c r="E1635">
        <v>2222222</v>
      </c>
      <c r="F1635" s="8" t="s">
        <v>22</v>
      </c>
      <c r="G1635" s="2">
        <v>98</v>
      </c>
      <c r="H1635" t="s">
        <v>4134</v>
      </c>
      <c r="J1635" s="9" t="s">
        <v>4929</v>
      </c>
      <c r="K1635" t="s">
        <v>4852</v>
      </c>
      <c r="L1635" s="2">
        <v>1</v>
      </c>
      <c r="M1635" s="24" t="s">
        <v>5971</v>
      </c>
      <c r="N1635" s="2" t="s">
        <v>23</v>
      </c>
      <c r="O1635" s="18" t="s">
        <v>987</v>
      </c>
      <c r="P1635" s="18" t="s">
        <v>0</v>
      </c>
      <c r="Q1635" s="6" t="s">
        <v>4475</v>
      </c>
      <c r="T1635" s="23">
        <v>45170</v>
      </c>
      <c r="U1635" s="23">
        <v>46266</v>
      </c>
      <c r="X1635" s="20">
        <v>5000</v>
      </c>
      <c r="Z1635" s="6" t="s">
        <v>5978</v>
      </c>
      <c r="AA1635" s="13">
        <f t="shared" si="214"/>
        <v>5.6000000000000006E-4</v>
      </c>
      <c r="AB1635">
        <v>2.4161816000000003</v>
      </c>
      <c r="AC1635">
        <v>2.5128288640000003</v>
      </c>
    </row>
    <row r="1636" spans="1:29" x14ac:dyDescent="0.3">
      <c r="A1636">
        <v>148059</v>
      </c>
      <c r="B1636" s="25" t="s">
        <v>5984</v>
      </c>
      <c r="C1636" t="s">
        <v>20</v>
      </c>
      <c r="D1636" t="s">
        <v>21</v>
      </c>
      <c r="E1636">
        <v>2222222</v>
      </c>
      <c r="F1636" s="8" t="s">
        <v>22</v>
      </c>
      <c r="G1636" s="2">
        <v>98</v>
      </c>
      <c r="H1636" t="s">
        <v>4134</v>
      </c>
      <c r="J1636" s="9" t="s">
        <v>4891</v>
      </c>
      <c r="K1636" t="s">
        <v>4942</v>
      </c>
      <c r="L1636" s="2">
        <v>1</v>
      </c>
      <c r="M1636" s="24" t="s">
        <v>5971</v>
      </c>
      <c r="N1636" s="2" t="s">
        <v>23</v>
      </c>
      <c r="O1636" s="18" t="s">
        <v>1355</v>
      </c>
      <c r="P1636" s="18" t="s">
        <v>3781</v>
      </c>
      <c r="Q1636" s="6" t="s">
        <v>4475</v>
      </c>
      <c r="T1636" s="23">
        <v>45938</v>
      </c>
      <c r="U1636" s="23">
        <v>47398</v>
      </c>
      <c r="X1636" s="20">
        <v>5500</v>
      </c>
      <c r="Z1636" s="6" t="s">
        <v>5978</v>
      </c>
      <c r="AA1636" s="14">
        <f t="shared" ref="AA1636:AA1642" si="215">+(0.6/1000)</f>
        <v>5.9999999999999995E-4</v>
      </c>
      <c r="AB1636">
        <v>2.8290479999999998</v>
      </c>
      <c r="AC1636">
        <v>2.9422099199999998</v>
      </c>
    </row>
    <row r="1637" spans="1:29" x14ac:dyDescent="0.3">
      <c r="A1637">
        <v>150637</v>
      </c>
      <c r="B1637" s="25" t="s">
        <v>5984</v>
      </c>
      <c r="C1637" t="s">
        <v>20</v>
      </c>
      <c r="D1637" t="s">
        <v>21</v>
      </c>
      <c r="E1637">
        <v>2222222</v>
      </c>
      <c r="F1637" s="8" t="s">
        <v>22</v>
      </c>
      <c r="G1637" s="2">
        <v>98</v>
      </c>
      <c r="H1637" t="s">
        <v>4134</v>
      </c>
      <c r="J1637" s="9" t="s">
        <v>4898</v>
      </c>
      <c r="K1637" t="s">
        <v>5165</v>
      </c>
      <c r="L1637" s="2">
        <v>1</v>
      </c>
      <c r="M1637" s="24" t="s">
        <v>5971</v>
      </c>
      <c r="N1637" s="2" t="s">
        <v>23</v>
      </c>
      <c r="O1637" s="18" t="s">
        <v>1356</v>
      </c>
      <c r="P1637" s="18" t="s">
        <v>0</v>
      </c>
      <c r="Q1637" s="6" t="s">
        <v>4475</v>
      </c>
      <c r="T1637" s="23">
        <v>46128</v>
      </c>
      <c r="U1637" s="23">
        <v>53433</v>
      </c>
      <c r="X1637" s="20">
        <v>87000</v>
      </c>
      <c r="Z1637" s="6" t="s">
        <v>5978</v>
      </c>
      <c r="AA1637" s="14">
        <f t="shared" si="215"/>
        <v>5.9999999999999995E-4</v>
      </c>
      <c r="AB1637">
        <v>51.99730799999999</v>
      </c>
      <c r="AC1637">
        <v>54.077200319999989</v>
      </c>
    </row>
    <row r="1638" spans="1:29" x14ac:dyDescent="0.3">
      <c r="A1638">
        <v>146934</v>
      </c>
      <c r="B1638" s="25" t="s">
        <v>5984</v>
      </c>
      <c r="C1638" t="s">
        <v>20</v>
      </c>
      <c r="D1638" t="s">
        <v>21</v>
      </c>
      <c r="E1638">
        <v>2222222</v>
      </c>
      <c r="F1638" s="8" t="s">
        <v>22</v>
      </c>
      <c r="G1638" s="2">
        <v>98</v>
      </c>
      <c r="H1638" t="s">
        <v>4135</v>
      </c>
      <c r="J1638" s="9" t="s">
        <v>5048</v>
      </c>
      <c r="K1638" t="s">
        <v>4894</v>
      </c>
      <c r="L1638" s="2">
        <v>1</v>
      </c>
      <c r="M1638" s="24" t="s">
        <v>5971</v>
      </c>
      <c r="N1638" s="2" t="s">
        <v>23</v>
      </c>
      <c r="O1638" s="18" t="s">
        <v>1357</v>
      </c>
      <c r="P1638" s="18" t="s">
        <v>0</v>
      </c>
      <c r="Q1638" s="6" t="s">
        <v>4475</v>
      </c>
      <c r="T1638" s="23">
        <v>45859</v>
      </c>
      <c r="U1638" s="23">
        <v>48054</v>
      </c>
      <c r="X1638" s="20">
        <v>20000</v>
      </c>
      <c r="Z1638" s="6" t="s">
        <v>5978</v>
      </c>
      <c r="AA1638" s="14">
        <f t="shared" si="215"/>
        <v>5.9999999999999995E-4</v>
      </c>
      <c r="AB1638">
        <v>10.678469999999999</v>
      </c>
      <c r="AC1638">
        <v>11.105608799999999</v>
      </c>
    </row>
    <row r="1639" spans="1:29" x14ac:dyDescent="0.3">
      <c r="A1639">
        <v>148596</v>
      </c>
      <c r="B1639" s="25" t="s">
        <v>5984</v>
      </c>
      <c r="C1639" t="s">
        <v>20</v>
      </c>
      <c r="D1639" t="s">
        <v>21</v>
      </c>
      <c r="E1639">
        <v>2222222</v>
      </c>
      <c r="F1639" s="8" t="s">
        <v>22</v>
      </c>
      <c r="G1639" s="2">
        <v>98</v>
      </c>
      <c r="H1639" t="s">
        <v>4135</v>
      </c>
      <c r="J1639" s="9" t="s">
        <v>5048</v>
      </c>
      <c r="K1639" t="s">
        <v>4894</v>
      </c>
      <c r="L1639" s="2">
        <v>1</v>
      </c>
      <c r="M1639" s="24" t="s">
        <v>5971</v>
      </c>
      <c r="N1639" s="2" t="s">
        <v>23</v>
      </c>
      <c r="O1639" s="18" t="s">
        <v>1357</v>
      </c>
      <c r="P1639" s="18" t="s">
        <v>0</v>
      </c>
      <c r="Q1639" s="6" t="s">
        <v>4475</v>
      </c>
      <c r="T1639" s="23">
        <v>45856</v>
      </c>
      <c r="U1639" s="23">
        <v>47674</v>
      </c>
      <c r="X1639" s="20">
        <v>10583</v>
      </c>
      <c r="Z1639" s="6" t="s">
        <v>5978</v>
      </c>
      <c r="AA1639" s="14">
        <f t="shared" si="215"/>
        <v>5.9999999999999995E-4</v>
      </c>
      <c r="AB1639">
        <v>5.4253979999999995</v>
      </c>
      <c r="AC1639">
        <v>5.6424139200000001</v>
      </c>
    </row>
    <row r="1640" spans="1:29" x14ac:dyDescent="0.3">
      <c r="A1640">
        <v>148054</v>
      </c>
      <c r="B1640" s="25" t="s">
        <v>5984</v>
      </c>
      <c r="C1640" t="s">
        <v>20</v>
      </c>
      <c r="D1640" t="s">
        <v>21</v>
      </c>
      <c r="E1640">
        <v>2222222</v>
      </c>
      <c r="F1640" s="8" t="s">
        <v>22</v>
      </c>
      <c r="G1640" s="2">
        <v>98</v>
      </c>
      <c r="H1640" t="s">
        <v>4136</v>
      </c>
      <c r="J1640" s="9" t="s">
        <v>4951</v>
      </c>
      <c r="K1640" t="s">
        <v>5191</v>
      </c>
      <c r="L1640" s="2">
        <v>1</v>
      </c>
      <c r="M1640" s="24" t="s">
        <v>5971</v>
      </c>
      <c r="N1640" s="2" t="s">
        <v>23</v>
      </c>
      <c r="O1640" s="18" t="s">
        <v>1358</v>
      </c>
      <c r="P1640" s="18" t="s">
        <v>0</v>
      </c>
      <c r="Q1640" s="6" t="s">
        <v>4475</v>
      </c>
      <c r="T1640" s="23">
        <v>45939</v>
      </c>
      <c r="U1640" s="23">
        <v>47946</v>
      </c>
      <c r="X1640" s="20">
        <v>13000</v>
      </c>
      <c r="Z1640" s="6" t="s">
        <v>5978</v>
      </c>
      <c r="AA1640" s="14">
        <f t="shared" si="215"/>
        <v>5.9999999999999995E-4</v>
      </c>
      <c r="AB1640">
        <v>7.0118099999999997</v>
      </c>
      <c r="AC1640">
        <v>7.2922823999999995</v>
      </c>
    </row>
    <row r="1641" spans="1:29" x14ac:dyDescent="0.3">
      <c r="A1641">
        <v>150603</v>
      </c>
      <c r="B1641" s="25" t="s">
        <v>5984</v>
      </c>
      <c r="C1641" t="s">
        <v>20</v>
      </c>
      <c r="D1641" t="s">
        <v>21</v>
      </c>
      <c r="E1641">
        <v>2222222</v>
      </c>
      <c r="F1641" s="8" t="s">
        <v>22</v>
      </c>
      <c r="G1641" s="2">
        <v>98</v>
      </c>
      <c r="H1641" t="s">
        <v>4136</v>
      </c>
      <c r="J1641" s="9" t="s">
        <v>5258</v>
      </c>
      <c r="K1641" t="s">
        <v>5375</v>
      </c>
      <c r="L1641" s="2">
        <v>1</v>
      </c>
      <c r="M1641" s="24" t="s">
        <v>5971</v>
      </c>
      <c r="N1641" s="2" t="s">
        <v>23</v>
      </c>
      <c r="O1641" s="18" t="s">
        <v>1359</v>
      </c>
      <c r="P1641" s="18" t="s">
        <v>0</v>
      </c>
      <c r="Q1641" s="6" t="s">
        <v>4475</v>
      </c>
      <c r="T1641" s="23">
        <v>46104</v>
      </c>
      <c r="U1641" s="23">
        <v>46194</v>
      </c>
      <c r="X1641" s="20">
        <v>5000</v>
      </c>
      <c r="Z1641" s="6" t="s">
        <v>5978</v>
      </c>
      <c r="AA1641" s="14">
        <f t="shared" si="215"/>
        <v>5.9999999999999995E-4</v>
      </c>
      <c r="AB1641">
        <v>2.9999999999999996</v>
      </c>
      <c r="AC1641">
        <v>3.1199999999999997</v>
      </c>
    </row>
    <row r="1642" spans="1:29" x14ac:dyDescent="0.3">
      <c r="A1642">
        <v>149330</v>
      </c>
      <c r="B1642" s="25" t="s">
        <v>5984</v>
      </c>
      <c r="C1642" t="s">
        <v>20</v>
      </c>
      <c r="D1642" t="s">
        <v>21</v>
      </c>
      <c r="E1642">
        <v>2222222</v>
      </c>
      <c r="F1642" s="8" t="s">
        <v>22</v>
      </c>
      <c r="G1642" s="2">
        <v>98</v>
      </c>
      <c r="H1642" t="s">
        <v>4137</v>
      </c>
      <c r="J1642" s="9" t="s">
        <v>4826</v>
      </c>
      <c r="K1642" t="s">
        <v>5508</v>
      </c>
      <c r="L1642" s="2">
        <v>1</v>
      </c>
      <c r="M1642" s="24" t="s">
        <v>5971</v>
      </c>
      <c r="N1642" s="2" t="s">
        <v>23</v>
      </c>
      <c r="O1642" s="18" t="s">
        <v>1360</v>
      </c>
      <c r="P1642" s="18" t="s">
        <v>0</v>
      </c>
      <c r="Q1642" s="6" t="s">
        <v>4475</v>
      </c>
      <c r="T1642" s="23">
        <v>46014</v>
      </c>
      <c r="U1642" s="23">
        <v>46926</v>
      </c>
      <c r="X1642" s="20">
        <v>5000</v>
      </c>
      <c r="Z1642" s="6" t="s">
        <v>5978</v>
      </c>
      <c r="AA1642" s="14">
        <f t="shared" si="215"/>
        <v>5.9999999999999995E-4</v>
      </c>
      <c r="AB1642">
        <v>2.5011479999999997</v>
      </c>
      <c r="AC1642">
        <v>2.6011939199999996</v>
      </c>
    </row>
    <row r="1643" spans="1:29" x14ac:dyDescent="0.3">
      <c r="A1643">
        <v>96553</v>
      </c>
      <c r="B1643" s="25" t="s">
        <v>5984</v>
      </c>
      <c r="C1643" t="s">
        <v>20</v>
      </c>
      <c r="D1643" t="s">
        <v>21</v>
      </c>
      <c r="E1643">
        <v>2222222</v>
      </c>
      <c r="F1643" s="8" t="s">
        <v>22</v>
      </c>
      <c r="G1643" s="2">
        <v>98</v>
      </c>
      <c r="H1643" t="s">
        <v>4138</v>
      </c>
      <c r="J1643" s="9" t="s">
        <v>4815</v>
      </c>
      <c r="K1643" t="s">
        <v>4966</v>
      </c>
      <c r="L1643" s="2">
        <v>1</v>
      </c>
      <c r="M1643" s="24" t="s">
        <v>5971</v>
      </c>
      <c r="N1643" s="2" t="s">
        <v>23</v>
      </c>
      <c r="O1643" s="18" t="s">
        <v>157</v>
      </c>
      <c r="P1643" s="18" t="s">
        <v>0</v>
      </c>
      <c r="Q1643" s="6" t="s">
        <v>4475</v>
      </c>
      <c r="T1643" s="23">
        <v>43326</v>
      </c>
      <c r="U1643" s="23">
        <v>43418</v>
      </c>
      <c r="X1643" s="20">
        <v>1128.78</v>
      </c>
      <c r="Z1643" s="6" t="s">
        <v>5978</v>
      </c>
      <c r="AA1643" s="15">
        <f>+(0.42/1000)</f>
        <v>4.1999999999999996E-4</v>
      </c>
      <c r="AB1643">
        <v>0.47408759999999994</v>
      </c>
      <c r="AC1643">
        <v>0.49305110399999996</v>
      </c>
    </row>
    <row r="1644" spans="1:29" x14ac:dyDescent="0.3">
      <c r="A1644">
        <v>138982</v>
      </c>
      <c r="B1644" s="25" t="s">
        <v>5984</v>
      </c>
      <c r="C1644" t="s">
        <v>20</v>
      </c>
      <c r="D1644" t="s">
        <v>21</v>
      </c>
      <c r="E1644">
        <v>2222222</v>
      </c>
      <c r="F1644" s="8" t="s">
        <v>22</v>
      </c>
      <c r="G1644" s="2">
        <v>98</v>
      </c>
      <c r="H1644" t="s">
        <v>4139</v>
      </c>
      <c r="J1644" s="9" t="s">
        <v>4995</v>
      </c>
      <c r="K1644" t="s">
        <v>4949</v>
      </c>
      <c r="L1644" s="2">
        <v>1</v>
      </c>
      <c r="M1644" s="24" t="s">
        <v>5971</v>
      </c>
      <c r="N1644" s="2" t="s">
        <v>23</v>
      </c>
      <c r="O1644" s="18" t="s">
        <v>1361</v>
      </c>
      <c r="P1644" s="18" t="s">
        <v>0</v>
      </c>
      <c r="Q1644" s="6" t="s">
        <v>4475</v>
      </c>
      <c r="T1644" s="23">
        <v>45308</v>
      </c>
      <c r="U1644" s="23">
        <v>46773</v>
      </c>
      <c r="X1644" s="20">
        <v>5000</v>
      </c>
      <c r="Z1644" s="6" t="s">
        <v>5978</v>
      </c>
      <c r="AA1644" s="13">
        <f>+(0.56/1000)</f>
        <v>5.6000000000000006E-4</v>
      </c>
      <c r="AB1644">
        <v>1.3033048</v>
      </c>
      <c r="AC1644">
        <v>1.355436992</v>
      </c>
    </row>
    <row r="1645" spans="1:29" x14ac:dyDescent="0.3">
      <c r="A1645">
        <v>149114</v>
      </c>
      <c r="B1645" s="25" t="s">
        <v>5984</v>
      </c>
      <c r="C1645" t="s">
        <v>20</v>
      </c>
      <c r="D1645" t="s">
        <v>21</v>
      </c>
      <c r="E1645">
        <v>2222222</v>
      </c>
      <c r="F1645" s="8" t="s">
        <v>22</v>
      </c>
      <c r="G1645" s="2">
        <v>98</v>
      </c>
      <c r="H1645" t="s">
        <v>4140</v>
      </c>
      <c r="J1645" s="9" t="s">
        <v>5007</v>
      </c>
      <c r="K1645" t="s">
        <v>4900</v>
      </c>
      <c r="L1645" s="2">
        <v>1</v>
      </c>
      <c r="M1645" s="24" t="s">
        <v>5971</v>
      </c>
      <c r="N1645" s="2" t="s">
        <v>23</v>
      </c>
      <c r="O1645" s="18" t="s">
        <v>1362</v>
      </c>
      <c r="P1645" s="18" t="s">
        <v>0</v>
      </c>
      <c r="Q1645" s="6" t="s">
        <v>4475</v>
      </c>
      <c r="T1645" s="23">
        <v>45999</v>
      </c>
      <c r="U1645" s="23">
        <v>47094</v>
      </c>
      <c r="X1645" s="20">
        <v>5000</v>
      </c>
      <c r="Z1645" s="6" t="s">
        <v>5978</v>
      </c>
      <c r="AA1645" s="14">
        <f>+(0.6/1000)</f>
        <v>5.9999999999999995E-4</v>
      </c>
      <c r="AB1645">
        <v>2.5338899999999995</v>
      </c>
      <c r="AC1645">
        <v>2.6352455999999997</v>
      </c>
    </row>
    <row r="1646" spans="1:29" x14ac:dyDescent="0.3">
      <c r="A1646">
        <v>105838</v>
      </c>
      <c r="B1646" s="25" t="s">
        <v>5984</v>
      </c>
      <c r="C1646" t="s">
        <v>20</v>
      </c>
      <c r="D1646" t="s">
        <v>21</v>
      </c>
      <c r="E1646">
        <v>2222222</v>
      </c>
      <c r="F1646" s="8" t="s">
        <v>22</v>
      </c>
      <c r="G1646" s="2">
        <v>98</v>
      </c>
      <c r="H1646" t="s">
        <v>4141</v>
      </c>
      <c r="J1646" s="9" t="s">
        <v>5509</v>
      </c>
      <c r="K1646" t="s">
        <v>5510</v>
      </c>
      <c r="L1646" s="2">
        <v>1</v>
      </c>
      <c r="M1646" s="24" t="s">
        <v>5971</v>
      </c>
      <c r="N1646" s="2" t="s">
        <v>23</v>
      </c>
      <c r="O1646" s="18" t="s">
        <v>1363</v>
      </c>
      <c r="P1646" s="18" t="s">
        <v>3781</v>
      </c>
      <c r="Q1646" s="6" t="s">
        <v>4475</v>
      </c>
      <c r="T1646" s="23">
        <v>43662</v>
      </c>
      <c r="U1646" s="23">
        <v>43752</v>
      </c>
      <c r="X1646" s="20">
        <v>1666</v>
      </c>
      <c r="Z1646" s="6" t="s">
        <v>5978</v>
      </c>
      <c r="AA1646" s="15">
        <f>+(0.42/1000)</f>
        <v>4.1999999999999996E-4</v>
      </c>
      <c r="AB1646">
        <v>0.6997199999999999</v>
      </c>
      <c r="AC1646">
        <v>0.72770879999999993</v>
      </c>
    </row>
    <row r="1647" spans="1:29" x14ac:dyDescent="0.3">
      <c r="A1647">
        <v>134610</v>
      </c>
      <c r="B1647" s="25" t="s">
        <v>5984</v>
      </c>
      <c r="C1647" t="s">
        <v>20</v>
      </c>
      <c r="D1647" t="s">
        <v>21</v>
      </c>
      <c r="E1647">
        <v>2222222</v>
      </c>
      <c r="F1647" s="8" t="s">
        <v>22</v>
      </c>
      <c r="G1647" s="2">
        <v>98</v>
      </c>
      <c r="H1647" t="s">
        <v>4141</v>
      </c>
      <c r="J1647" s="9" t="s">
        <v>5511</v>
      </c>
      <c r="K1647" t="s">
        <v>5096</v>
      </c>
      <c r="L1647" s="2">
        <v>1</v>
      </c>
      <c r="M1647" s="24" t="s">
        <v>5971</v>
      </c>
      <c r="N1647" s="2" t="s">
        <v>23</v>
      </c>
      <c r="O1647" s="18" t="s">
        <v>599</v>
      </c>
      <c r="P1647" s="18" t="s">
        <v>3781</v>
      </c>
      <c r="Q1647" s="6" t="s">
        <v>4475</v>
      </c>
      <c r="T1647" s="23">
        <v>45069</v>
      </c>
      <c r="U1647" s="23">
        <v>46987</v>
      </c>
      <c r="X1647" s="20">
        <v>10000</v>
      </c>
      <c r="Z1647" s="6" t="s">
        <v>5978</v>
      </c>
      <c r="AA1647" s="13">
        <f t="shared" ref="AA1647:AA1649" si="216">+(0.56/1000)</f>
        <v>5.6000000000000006E-4</v>
      </c>
      <c r="AB1647">
        <v>2.8887712000000008</v>
      </c>
      <c r="AC1647">
        <v>3.004322048000001</v>
      </c>
    </row>
    <row r="1648" spans="1:29" x14ac:dyDescent="0.3">
      <c r="A1648">
        <v>137566</v>
      </c>
      <c r="B1648" s="25" t="s">
        <v>5984</v>
      </c>
      <c r="C1648" t="s">
        <v>20</v>
      </c>
      <c r="D1648" t="s">
        <v>21</v>
      </c>
      <c r="E1648">
        <v>2222222</v>
      </c>
      <c r="F1648" s="8" t="s">
        <v>22</v>
      </c>
      <c r="G1648" s="2">
        <v>98</v>
      </c>
      <c r="H1648" t="s">
        <v>4141</v>
      </c>
      <c r="J1648" s="9" t="s">
        <v>5005</v>
      </c>
      <c r="K1648" t="s">
        <v>5007</v>
      </c>
      <c r="L1648" s="2">
        <v>1</v>
      </c>
      <c r="M1648" s="24" t="s">
        <v>5971</v>
      </c>
      <c r="N1648" s="2" t="s">
        <v>23</v>
      </c>
      <c r="O1648" s="18" t="s">
        <v>1364</v>
      </c>
      <c r="P1648" s="18" t="s">
        <v>0</v>
      </c>
      <c r="Q1648" s="6" t="s">
        <v>4475</v>
      </c>
      <c r="T1648" s="23">
        <v>45240</v>
      </c>
      <c r="U1648" s="23">
        <v>47524</v>
      </c>
      <c r="X1648" s="20">
        <v>11350</v>
      </c>
      <c r="Z1648" s="6" t="s">
        <v>5978</v>
      </c>
      <c r="AA1648" s="13">
        <f t="shared" si="216"/>
        <v>5.6000000000000006E-4</v>
      </c>
      <c r="AB1648">
        <v>4.4994432000000009</v>
      </c>
      <c r="AC1648">
        <v>4.6794209280000008</v>
      </c>
    </row>
    <row r="1649" spans="1:29" x14ac:dyDescent="0.3">
      <c r="A1649">
        <v>139992</v>
      </c>
      <c r="B1649" s="25" t="s">
        <v>5984</v>
      </c>
      <c r="C1649" t="s">
        <v>20</v>
      </c>
      <c r="D1649" t="s">
        <v>21</v>
      </c>
      <c r="E1649">
        <v>2222222</v>
      </c>
      <c r="F1649" s="8" t="s">
        <v>22</v>
      </c>
      <c r="G1649" s="2">
        <v>98</v>
      </c>
      <c r="H1649" t="s">
        <v>4141</v>
      </c>
      <c r="J1649" s="9" t="s">
        <v>5512</v>
      </c>
      <c r="K1649" t="s">
        <v>5199</v>
      </c>
      <c r="L1649" s="2">
        <v>1</v>
      </c>
      <c r="M1649" s="24" t="s">
        <v>5971</v>
      </c>
      <c r="N1649" s="2" t="s">
        <v>23</v>
      </c>
      <c r="O1649" s="18" t="s">
        <v>1365</v>
      </c>
      <c r="P1649" s="18" t="s">
        <v>0</v>
      </c>
      <c r="Q1649" s="6" t="s">
        <v>4475</v>
      </c>
      <c r="T1649" s="23">
        <v>45360</v>
      </c>
      <c r="U1649" s="23">
        <v>47277</v>
      </c>
      <c r="X1649" s="20">
        <v>12950</v>
      </c>
      <c r="Z1649" s="6" t="s">
        <v>5978</v>
      </c>
      <c r="AA1649" s="13">
        <f t="shared" si="216"/>
        <v>5.6000000000000006E-4</v>
      </c>
      <c r="AB1649">
        <v>4.8741056000000009</v>
      </c>
      <c r="AC1649">
        <v>5.0690698240000014</v>
      </c>
    </row>
    <row r="1650" spans="1:29" x14ac:dyDescent="0.3">
      <c r="A1650">
        <v>146777</v>
      </c>
      <c r="B1650" s="25" t="s">
        <v>5984</v>
      </c>
      <c r="C1650" t="s">
        <v>20</v>
      </c>
      <c r="D1650" t="s">
        <v>21</v>
      </c>
      <c r="E1650">
        <v>2222222</v>
      </c>
      <c r="F1650" s="8" t="s">
        <v>22</v>
      </c>
      <c r="G1650" s="2">
        <v>98</v>
      </c>
      <c r="H1650" t="s">
        <v>4141</v>
      </c>
      <c r="J1650" s="9" t="s">
        <v>5511</v>
      </c>
      <c r="K1650" t="s">
        <v>5096</v>
      </c>
      <c r="L1650" s="2">
        <v>1</v>
      </c>
      <c r="M1650" s="24" t="s">
        <v>5971</v>
      </c>
      <c r="N1650" s="2" t="s">
        <v>23</v>
      </c>
      <c r="O1650" s="18" t="s">
        <v>599</v>
      </c>
      <c r="P1650" s="18" t="s">
        <v>3781</v>
      </c>
      <c r="Q1650" s="6" t="s">
        <v>4475</v>
      </c>
      <c r="T1650" s="23">
        <v>45842</v>
      </c>
      <c r="U1650" s="23">
        <v>47302</v>
      </c>
      <c r="X1650" s="20">
        <v>5000</v>
      </c>
      <c r="Z1650" s="6" t="s">
        <v>5978</v>
      </c>
      <c r="AA1650" s="14">
        <f t="shared" ref="AA1650:AA1653" si="217">+(0.6/1000)</f>
        <v>5.9999999999999995E-4</v>
      </c>
      <c r="AB1650">
        <v>2.4386099999999997</v>
      </c>
      <c r="AC1650">
        <v>2.5361543999999996</v>
      </c>
    </row>
    <row r="1651" spans="1:29" x14ac:dyDescent="0.3">
      <c r="A1651">
        <v>149614</v>
      </c>
      <c r="B1651" s="25" t="s">
        <v>5984</v>
      </c>
      <c r="C1651" t="s">
        <v>20</v>
      </c>
      <c r="D1651" t="s">
        <v>21</v>
      </c>
      <c r="E1651">
        <v>2222222</v>
      </c>
      <c r="F1651" s="8" t="s">
        <v>22</v>
      </c>
      <c r="G1651" s="2">
        <v>98</v>
      </c>
      <c r="H1651" t="s">
        <v>4141</v>
      </c>
      <c r="J1651" s="9" t="s">
        <v>5005</v>
      </c>
      <c r="K1651" t="s">
        <v>5007</v>
      </c>
      <c r="L1651" s="2">
        <v>1</v>
      </c>
      <c r="M1651" s="24" t="s">
        <v>5971</v>
      </c>
      <c r="N1651" s="2" t="s">
        <v>23</v>
      </c>
      <c r="O1651" s="18" t="s">
        <v>1364</v>
      </c>
      <c r="P1651" s="18" t="s">
        <v>0</v>
      </c>
      <c r="Q1651" s="6" t="s">
        <v>4475</v>
      </c>
      <c r="T1651" s="23">
        <v>46036</v>
      </c>
      <c r="U1651" s="23">
        <v>47501</v>
      </c>
      <c r="X1651" s="20">
        <v>4900</v>
      </c>
      <c r="Z1651" s="6" t="s">
        <v>5978</v>
      </c>
      <c r="AA1651" s="14">
        <f t="shared" si="217"/>
        <v>5.9999999999999995E-4</v>
      </c>
      <c r="AB1651">
        <v>2.6741399999999995</v>
      </c>
      <c r="AC1651">
        <v>2.7811055999999996</v>
      </c>
    </row>
    <row r="1652" spans="1:29" x14ac:dyDescent="0.3">
      <c r="A1652">
        <v>152121</v>
      </c>
      <c r="B1652" s="25" t="s">
        <v>5984</v>
      </c>
      <c r="C1652" t="s">
        <v>20</v>
      </c>
      <c r="D1652" t="s">
        <v>21</v>
      </c>
      <c r="E1652">
        <v>2222222</v>
      </c>
      <c r="F1652" s="8" t="s">
        <v>22</v>
      </c>
      <c r="G1652" s="2">
        <v>98</v>
      </c>
      <c r="H1652" t="s">
        <v>4141</v>
      </c>
      <c r="J1652" s="9" t="s">
        <v>5513</v>
      </c>
      <c r="K1652" t="s">
        <v>4827</v>
      </c>
      <c r="L1652" s="2">
        <v>1</v>
      </c>
      <c r="M1652" s="24" t="s">
        <v>5971</v>
      </c>
      <c r="N1652" s="2" t="s">
        <v>23</v>
      </c>
      <c r="O1652" s="18" t="s">
        <v>1366</v>
      </c>
      <c r="P1652" s="18" t="s">
        <v>0</v>
      </c>
      <c r="Q1652" s="6" t="s">
        <v>4475</v>
      </c>
      <c r="T1652" s="23">
        <v>46213</v>
      </c>
      <c r="U1652" s="23">
        <v>47673</v>
      </c>
      <c r="X1652" s="20">
        <v>13000</v>
      </c>
      <c r="Z1652" s="6" t="s">
        <v>5978</v>
      </c>
      <c r="AA1652" s="14">
        <f t="shared" si="217"/>
        <v>5.9999999999999995E-4</v>
      </c>
      <c r="AB1652">
        <v>7.7999999999999989</v>
      </c>
      <c r="AC1652">
        <v>8.1119999999999983</v>
      </c>
    </row>
    <row r="1653" spans="1:29" x14ac:dyDescent="0.3">
      <c r="A1653">
        <v>152386</v>
      </c>
      <c r="B1653" s="25" t="s">
        <v>5984</v>
      </c>
      <c r="C1653" t="s">
        <v>20</v>
      </c>
      <c r="D1653" t="s">
        <v>21</v>
      </c>
      <c r="E1653">
        <v>2222222</v>
      </c>
      <c r="F1653" s="8" t="s">
        <v>22</v>
      </c>
      <c r="G1653" s="2">
        <v>98</v>
      </c>
      <c r="H1653" t="s">
        <v>4141</v>
      </c>
      <c r="J1653" s="9" t="s">
        <v>5005</v>
      </c>
      <c r="K1653" t="s">
        <v>5007</v>
      </c>
      <c r="L1653" s="2">
        <v>1</v>
      </c>
      <c r="M1653" s="24" t="s">
        <v>5971</v>
      </c>
      <c r="N1653" s="2" t="s">
        <v>23</v>
      </c>
      <c r="O1653" s="18" t="s">
        <v>1364</v>
      </c>
      <c r="P1653" s="18" t="s">
        <v>0</v>
      </c>
      <c r="Q1653" s="6" t="s">
        <v>4475</v>
      </c>
      <c r="T1653" s="23">
        <v>46234</v>
      </c>
      <c r="U1653" s="23">
        <v>46324</v>
      </c>
      <c r="X1653" s="20">
        <v>3000</v>
      </c>
      <c r="Z1653" s="6" t="s">
        <v>5978</v>
      </c>
      <c r="AA1653" s="14">
        <f t="shared" si="217"/>
        <v>5.9999999999999995E-4</v>
      </c>
      <c r="AB1653">
        <v>1.7999999999999998</v>
      </c>
      <c r="AC1653">
        <v>1.8719999999999999</v>
      </c>
    </row>
    <row r="1654" spans="1:29" x14ac:dyDescent="0.3">
      <c r="A1654">
        <v>135299</v>
      </c>
      <c r="B1654" s="25" t="s">
        <v>5984</v>
      </c>
      <c r="C1654" t="s">
        <v>20</v>
      </c>
      <c r="D1654" t="s">
        <v>21</v>
      </c>
      <c r="E1654">
        <v>2222222</v>
      </c>
      <c r="F1654" s="8" t="s">
        <v>22</v>
      </c>
      <c r="G1654" s="2">
        <v>98</v>
      </c>
      <c r="H1654" t="s">
        <v>4142</v>
      </c>
      <c r="J1654" s="9" t="s">
        <v>4827</v>
      </c>
      <c r="K1654" t="s">
        <v>5078</v>
      </c>
      <c r="L1654" s="2">
        <v>1</v>
      </c>
      <c r="M1654" s="24" t="s">
        <v>5971</v>
      </c>
      <c r="N1654" s="2" t="s">
        <v>23</v>
      </c>
      <c r="O1654" s="18" t="s">
        <v>1367</v>
      </c>
      <c r="P1654" s="18" t="s">
        <v>0</v>
      </c>
      <c r="Q1654" s="6" t="s">
        <v>4475</v>
      </c>
      <c r="T1654" s="23">
        <v>45105</v>
      </c>
      <c r="U1654" s="23">
        <v>48850</v>
      </c>
      <c r="X1654" s="20">
        <v>40000</v>
      </c>
      <c r="Z1654" s="6" t="s">
        <v>5978</v>
      </c>
      <c r="AA1654" s="13">
        <f>+(0.56/1000)</f>
        <v>5.6000000000000006E-4</v>
      </c>
      <c r="AB1654">
        <v>18.4296504</v>
      </c>
      <c r="AC1654">
        <v>19.166836415999999</v>
      </c>
    </row>
    <row r="1655" spans="1:29" x14ac:dyDescent="0.3">
      <c r="A1655">
        <v>146487</v>
      </c>
      <c r="B1655" s="25" t="s">
        <v>5984</v>
      </c>
      <c r="C1655" t="s">
        <v>20</v>
      </c>
      <c r="D1655" t="s">
        <v>21</v>
      </c>
      <c r="E1655">
        <v>2222222</v>
      </c>
      <c r="F1655" s="8" t="s">
        <v>22</v>
      </c>
      <c r="G1655" s="2">
        <v>98</v>
      </c>
      <c r="H1655" t="s">
        <v>4143</v>
      </c>
      <c r="J1655" s="9" t="s">
        <v>5371</v>
      </c>
      <c r="K1655" t="s">
        <v>5064</v>
      </c>
      <c r="L1655" s="2">
        <v>1</v>
      </c>
      <c r="M1655" s="24" t="s">
        <v>5971</v>
      </c>
      <c r="N1655" s="2" t="s">
        <v>23</v>
      </c>
      <c r="O1655" s="18" t="s">
        <v>1368</v>
      </c>
      <c r="P1655" s="18" t="s">
        <v>0</v>
      </c>
      <c r="Q1655" s="6" t="s">
        <v>4475</v>
      </c>
      <c r="T1655" s="23">
        <v>45820</v>
      </c>
      <c r="U1655" s="23">
        <v>46550</v>
      </c>
      <c r="X1655" s="20">
        <v>3900</v>
      </c>
      <c r="Z1655" s="6" t="s">
        <v>5978</v>
      </c>
      <c r="AA1655" s="14">
        <f t="shared" ref="AA1655:AA1659" si="218">+(0.6/1000)</f>
        <v>5.9999999999999995E-4</v>
      </c>
      <c r="AB1655">
        <v>1.1778899999999999</v>
      </c>
      <c r="AC1655">
        <v>1.2250056</v>
      </c>
    </row>
    <row r="1656" spans="1:29" x14ac:dyDescent="0.3">
      <c r="A1656">
        <v>146647</v>
      </c>
      <c r="B1656" s="25" t="s">
        <v>5984</v>
      </c>
      <c r="C1656" t="s">
        <v>20</v>
      </c>
      <c r="D1656" t="s">
        <v>21</v>
      </c>
      <c r="E1656">
        <v>2222222</v>
      </c>
      <c r="F1656" s="8" t="s">
        <v>22</v>
      </c>
      <c r="G1656" s="2">
        <v>98</v>
      </c>
      <c r="H1656" t="s">
        <v>4143</v>
      </c>
      <c r="J1656" s="9" t="s">
        <v>4898</v>
      </c>
      <c r="K1656" t="s">
        <v>4884</v>
      </c>
      <c r="L1656" s="2">
        <v>1</v>
      </c>
      <c r="M1656" s="24" t="s">
        <v>5971</v>
      </c>
      <c r="N1656" s="2" t="s">
        <v>23</v>
      </c>
      <c r="O1656" s="18" t="s">
        <v>1369</v>
      </c>
      <c r="P1656" s="18" t="s">
        <v>3781</v>
      </c>
      <c r="Q1656" s="6" t="s">
        <v>4475</v>
      </c>
      <c r="T1656" s="23">
        <v>45834</v>
      </c>
      <c r="U1656" s="23">
        <v>47295</v>
      </c>
      <c r="X1656" s="20">
        <v>4000</v>
      </c>
      <c r="Z1656" s="6" t="s">
        <v>5978</v>
      </c>
      <c r="AA1656" s="14">
        <f t="shared" si="218"/>
        <v>5.9999999999999995E-4</v>
      </c>
      <c r="AB1656">
        <v>1.9106099999999997</v>
      </c>
      <c r="AC1656">
        <v>1.9870343999999998</v>
      </c>
    </row>
    <row r="1657" spans="1:29" x14ac:dyDescent="0.3">
      <c r="A1657">
        <v>150110</v>
      </c>
      <c r="B1657" s="25" t="s">
        <v>5984</v>
      </c>
      <c r="C1657" t="s">
        <v>20</v>
      </c>
      <c r="D1657" t="s">
        <v>21</v>
      </c>
      <c r="E1657">
        <v>2222222</v>
      </c>
      <c r="F1657" s="8" t="s">
        <v>22</v>
      </c>
      <c r="G1657" s="2">
        <v>98</v>
      </c>
      <c r="H1657" t="s">
        <v>4143</v>
      </c>
      <c r="J1657" s="9" t="s">
        <v>5073</v>
      </c>
      <c r="K1657" t="s">
        <v>4911</v>
      </c>
      <c r="L1657" s="2">
        <v>1</v>
      </c>
      <c r="M1657" s="24" t="s">
        <v>5971</v>
      </c>
      <c r="N1657" s="2" t="s">
        <v>23</v>
      </c>
      <c r="O1657" s="18" t="s">
        <v>1370</v>
      </c>
      <c r="P1657" s="18" t="s">
        <v>3781</v>
      </c>
      <c r="Q1657" s="6" t="s">
        <v>4475</v>
      </c>
      <c r="T1657" s="23">
        <v>46073</v>
      </c>
      <c r="U1657" s="23">
        <v>47536</v>
      </c>
      <c r="X1657" s="20">
        <v>3500</v>
      </c>
      <c r="Z1657" s="6" t="s">
        <v>5978</v>
      </c>
      <c r="AA1657" s="14">
        <f t="shared" si="218"/>
        <v>5.9999999999999995E-4</v>
      </c>
      <c r="AB1657">
        <v>1.9451519999999998</v>
      </c>
      <c r="AC1657">
        <v>2.02295808</v>
      </c>
    </row>
    <row r="1658" spans="1:29" x14ac:dyDescent="0.3">
      <c r="A1658">
        <v>151065</v>
      </c>
      <c r="B1658" s="25" t="s">
        <v>5984</v>
      </c>
      <c r="C1658" t="s">
        <v>20</v>
      </c>
      <c r="D1658" t="s">
        <v>21</v>
      </c>
      <c r="E1658">
        <v>2222222</v>
      </c>
      <c r="F1658" s="8" t="s">
        <v>22</v>
      </c>
      <c r="G1658" s="2">
        <v>98</v>
      </c>
      <c r="H1658" t="s">
        <v>4143</v>
      </c>
      <c r="J1658" s="9" t="s">
        <v>4836</v>
      </c>
      <c r="K1658" t="s">
        <v>5402</v>
      </c>
      <c r="L1658" s="2">
        <v>1</v>
      </c>
      <c r="M1658" s="24" t="s">
        <v>5971</v>
      </c>
      <c r="N1658" s="2" t="s">
        <v>23</v>
      </c>
      <c r="O1658" s="18" t="s">
        <v>1371</v>
      </c>
      <c r="P1658" s="18" t="s">
        <v>3781</v>
      </c>
      <c r="Q1658" s="6" t="s">
        <v>4475</v>
      </c>
      <c r="T1658" s="23">
        <v>46139</v>
      </c>
      <c r="U1658" s="23">
        <v>48700</v>
      </c>
      <c r="X1658" s="20">
        <v>9000</v>
      </c>
      <c r="Z1658" s="6" t="s">
        <v>5978</v>
      </c>
      <c r="AA1658" s="14">
        <f t="shared" si="218"/>
        <v>5.9999999999999995E-4</v>
      </c>
      <c r="AB1658">
        <v>5.3276399999999997</v>
      </c>
      <c r="AC1658">
        <v>5.5407456000000002</v>
      </c>
    </row>
    <row r="1659" spans="1:29" x14ac:dyDescent="0.3">
      <c r="A1659">
        <v>146326</v>
      </c>
      <c r="B1659" s="25" t="s">
        <v>5984</v>
      </c>
      <c r="C1659" t="s">
        <v>20</v>
      </c>
      <c r="D1659" t="s">
        <v>21</v>
      </c>
      <c r="E1659">
        <v>2222222</v>
      </c>
      <c r="F1659" s="8" t="s">
        <v>22</v>
      </c>
      <c r="G1659" s="2">
        <v>98</v>
      </c>
      <c r="H1659" t="s">
        <v>4144</v>
      </c>
      <c r="J1659" s="9" t="s">
        <v>5204</v>
      </c>
      <c r="K1659" t="s">
        <v>4865</v>
      </c>
      <c r="L1659" s="2">
        <v>1</v>
      </c>
      <c r="M1659" s="24" t="s">
        <v>5971</v>
      </c>
      <c r="N1659" s="2" t="s">
        <v>23</v>
      </c>
      <c r="O1659" s="18" t="s">
        <v>1372</v>
      </c>
      <c r="P1659" s="18" t="s">
        <v>0</v>
      </c>
      <c r="Q1659" s="6" t="s">
        <v>4475</v>
      </c>
      <c r="T1659" s="23">
        <v>45810</v>
      </c>
      <c r="U1659" s="23">
        <v>46723</v>
      </c>
      <c r="X1659" s="20">
        <v>2000</v>
      </c>
      <c r="Z1659" s="6" t="s">
        <v>5978</v>
      </c>
      <c r="AA1659" s="14">
        <f t="shared" si="218"/>
        <v>5.9999999999999995E-4</v>
      </c>
      <c r="AB1659">
        <v>0.20489399999999999</v>
      </c>
      <c r="AC1659">
        <v>0.21308975999999999</v>
      </c>
    </row>
    <row r="1660" spans="1:29" x14ac:dyDescent="0.3">
      <c r="A1660">
        <v>136616</v>
      </c>
      <c r="B1660" s="25" t="s">
        <v>5984</v>
      </c>
      <c r="C1660" t="s">
        <v>20</v>
      </c>
      <c r="D1660" t="s">
        <v>21</v>
      </c>
      <c r="E1660">
        <v>2222222</v>
      </c>
      <c r="F1660" s="8" t="s">
        <v>22</v>
      </c>
      <c r="G1660" s="2">
        <v>98</v>
      </c>
      <c r="H1660" t="s">
        <v>4145</v>
      </c>
      <c r="J1660" s="9" t="s">
        <v>4836</v>
      </c>
      <c r="K1660" t="s">
        <v>5019</v>
      </c>
      <c r="L1660" s="2">
        <v>1</v>
      </c>
      <c r="M1660" s="24" t="s">
        <v>5971</v>
      </c>
      <c r="N1660" s="2" t="s">
        <v>23</v>
      </c>
      <c r="O1660" s="18" t="s">
        <v>1373</v>
      </c>
      <c r="P1660" s="18" t="s">
        <v>3781</v>
      </c>
      <c r="Q1660" s="6" t="s">
        <v>4475</v>
      </c>
      <c r="T1660" s="23">
        <v>45181</v>
      </c>
      <c r="U1660" s="23">
        <v>46642</v>
      </c>
      <c r="X1660" s="20">
        <v>2000</v>
      </c>
      <c r="Z1660" s="6" t="s">
        <v>5978</v>
      </c>
      <c r="AA1660" s="13">
        <f t="shared" ref="AA1660:AA1661" si="219">+(0.56/1000)</f>
        <v>5.6000000000000006E-4</v>
      </c>
      <c r="AB1660">
        <v>0.41907600000000006</v>
      </c>
      <c r="AC1660">
        <v>0.43583904000000007</v>
      </c>
    </row>
    <row r="1661" spans="1:29" x14ac:dyDescent="0.3">
      <c r="A1661">
        <v>138265</v>
      </c>
      <c r="B1661" s="25" t="s">
        <v>5984</v>
      </c>
      <c r="C1661" t="s">
        <v>20</v>
      </c>
      <c r="D1661" t="s">
        <v>21</v>
      </c>
      <c r="E1661">
        <v>2222222</v>
      </c>
      <c r="F1661" s="8" t="s">
        <v>22</v>
      </c>
      <c r="G1661" s="2">
        <v>98</v>
      </c>
      <c r="H1661" t="s">
        <v>4145</v>
      </c>
      <c r="J1661" s="9" t="s">
        <v>5088</v>
      </c>
      <c r="K1661" t="s">
        <v>5411</v>
      </c>
      <c r="L1661" s="2">
        <v>1</v>
      </c>
      <c r="M1661" s="24" t="s">
        <v>5971</v>
      </c>
      <c r="N1661" s="2" t="s">
        <v>23</v>
      </c>
      <c r="O1661" s="18" t="s">
        <v>1374</v>
      </c>
      <c r="P1661" s="18" t="s">
        <v>3781</v>
      </c>
      <c r="Q1661" s="6" t="s">
        <v>4475</v>
      </c>
      <c r="T1661" s="23">
        <v>45278</v>
      </c>
      <c r="U1661" s="23">
        <v>47104</v>
      </c>
      <c r="X1661" s="20">
        <v>15000</v>
      </c>
      <c r="Z1661" s="6" t="s">
        <v>5978</v>
      </c>
      <c r="AA1661" s="13">
        <f t="shared" si="219"/>
        <v>5.6000000000000006E-4</v>
      </c>
      <c r="AB1661">
        <v>4.818296000000001</v>
      </c>
      <c r="AC1661">
        <v>5.0110278400000015</v>
      </c>
    </row>
    <row r="1662" spans="1:29" x14ac:dyDescent="0.3">
      <c r="A1662">
        <v>141714</v>
      </c>
      <c r="B1662" s="25" t="s">
        <v>5984</v>
      </c>
      <c r="C1662" t="s">
        <v>20</v>
      </c>
      <c r="D1662" t="s">
        <v>21</v>
      </c>
      <c r="E1662">
        <v>2222222</v>
      </c>
      <c r="F1662" s="8" t="s">
        <v>22</v>
      </c>
      <c r="G1662" s="2">
        <v>98</v>
      </c>
      <c r="H1662" t="s">
        <v>4145</v>
      </c>
      <c r="J1662" s="9" t="s">
        <v>5514</v>
      </c>
      <c r="K1662" t="s">
        <v>5203</v>
      </c>
      <c r="L1662" s="2">
        <v>1</v>
      </c>
      <c r="M1662" s="24" t="s">
        <v>5971</v>
      </c>
      <c r="N1662" s="2" t="s">
        <v>23</v>
      </c>
      <c r="O1662" s="18" t="s">
        <v>1375</v>
      </c>
      <c r="P1662" s="18" t="s">
        <v>0</v>
      </c>
      <c r="Q1662" s="6" t="s">
        <v>4475</v>
      </c>
      <c r="T1662" s="23">
        <v>45478</v>
      </c>
      <c r="U1662" s="23">
        <v>47760</v>
      </c>
      <c r="X1662" s="20">
        <v>16000</v>
      </c>
      <c r="Z1662" s="6" t="s">
        <v>5978</v>
      </c>
      <c r="AA1662" s="14">
        <f t="shared" ref="AA1662:AA1675" si="220">+(0.6/1000)</f>
        <v>5.9999999999999995E-4</v>
      </c>
      <c r="AB1662">
        <v>3.0807359999999999</v>
      </c>
      <c r="AC1662">
        <v>3.2039654400000002</v>
      </c>
    </row>
    <row r="1663" spans="1:29" x14ac:dyDescent="0.3">
      <c r="A1663">
        <v>141942</v>
      </c>
      <c r="B1663" s="25" t="s">
        <v>5984</v>
      </c>
      <c r="C1663" t="s">
        <v>20</v>
      </c>
      <c r="D1663" t="s">
        <v>21</v>
      </c>
      <c r="E1663">
        <v>2222222</v>
      </c>
      <c r="F1663" s="8" t="s">
        <v>22</v>
      </c>
      <c r="G1663" s="2">
        <v>98</v>
      </c>
      <c r="H1663" t="s">
        <v>4145</v>
      </c>
      <c r="J1663" s="9" t="s">
        <v>4917</v>
      </c>
      <c r="K1663" t="s">
        <v>5409</v>
      </c>
      <c r="L1663" s="2">
        <v>1</v>
      </c>
      <c r="M1663" s="24" t="s">
        <v>5971</v>
      </c>
      <c r="N1663" s="2" t="s">
        <v>23</v>
      </c>
      <c r="O1663" s="18" t="s">
        <v>1376</v>
      </c>
      <c r="P1663" s="18" t="s">
        <v>3781</v>
      </c>
      <c r="Q1663" s="6" t="s">
        <v>4475</v>
      </c>
      <c r="T1663" s="23">
        <v>45490</v>
      </c>
      <c r="U1663" s="23">
        <v>47315</v>
      </c>
      <c r="X1663" s="20">
        <v>6000</v>
      </c>
      <c r="Z1663" s="6" t="s">
        <v>5978</v>
      </c>
      <c r="AA1663" s="14">
        <f t="shared" si="220"/>
        <v>5.9999999999999995E-4</v>
      </c>
      <c r="AB1663">
        <v>2.5124939999999998</v>
      </c>
      <c r="AC1663">
        <v>2.6129937599999997</v>
      </c>
    </row>
    <row r="1664" spans="1:29" x14ac:dyDescent="0.3">
      <c r="A1664">
        <v>145986</v>
      </c>
      <c r="B1664" s="25" t="s">
        <v>5984</v>
      </c>
      <c r="C1664" t="s">
        <v>20</v>
      </c>
      <c r="D1664" t="s">
        <v>21</v>
      </c>
      <c r="E1664">
        <v>2222222</v>
      </c>
      <c r="F1664" s="8" t="s">
        <v>22</v>
      </c>
      <c r="G1664" s="2">
        <v>98</v>
      </c>
      <c r="H1664" t="s">
        <v>4145</v>
      </c>
      <c r="J1664" s="9" t="s">
        <v>4955</v>
      </c>
      <c r="K1664" t="s">
        <v>4863</v>
      </c>
      <c r="L1664" s="2">
        <v>1</v>
      </c>
      <c r="M1664" s="24" t="s">
        <v>5971</v>
      </c>
      <c r="N1664" s="2" t="s">
        <v>23</v>
      </c>
      <c r="O1664" s="18" t="s">
        <v>1377</v>
      </c>
      <c r="P1664" s="18" t="s">
        <v>3781</v>
      </c>
      <c r="Q1664" s="6" t="s">
        <v>4475</v>
      </c>
      <c r="T1664" s="23">
        <v>45782</v>
      </c>
      <c r="U1664" s="23">
        <v>47242</v>
      </c>
      <c r="X1664" s="20">
        <v>4000</v>
      </c>
      <c r="Z1664" s="6" t="s">
        <v>5978</v>
      </c>
      <c r="AA1664" s="14">
        <f t="shared" si="220"/>
        <v>5.9999999999999995E-4</v>
      </c>
      <c r="AB1664">
        <v>1.868268</v>
      </c>
      <c r="AC1664">
        <v>1.9429987200000001</v>
      </c>
    </row>
    <row r="1665" spans="1:29" x14ac:dyDescent="0.3">
      <c r="A1665">
        <v>147108</v>
      </c>
      <c r="B1665" s="25" t="s">
        <v>5984</v>
      </c>
      <c r="C1665" t="s">
        <v>20</v>
      </c>
      <c r="D1665" t="s">
        <v>21</v>
      </c>
      <c r="E1665">
        <v>2222222</v>
      </c>
      <c r="F1665" s="8" t="s">
        <v>22</v>
      </c>
      <c r="G1665" s="2">
        <v>98</v>
      </c>
      <c r="H1665" t="s">
        <v>4145</v>
      </c>
      <c r="J1665" s="9" t="s">
        <v>4967</v>
      </c>
      <c r="K1665" t="s">
        <v>4832</v>
      </c>
      <c r="L1665" s="2">
        <v>1</v>
      </c>
      <c r="M1665" s="24" t="s">
        <v>5971</v>
      </c>
      <c r="N1665" s="2" t="s">
        <v>23</v>
      </c>
      <c r="O1665" s="18" t="s">
        <v>1378</v>
      </c>
      <c r="P1665" s="18" t="s">
        <v>3781</v>
      </c>
      <c r="Q1665" s="6" t="s">
        <v>4475</v>
      </c>
      <c r="T1665" s="23">
        <v>45866</v>
      </c>
      <c r="U1665" s="23">
        <v>46595</v>
      </c>
      <c r="X1665" s="20">
        <v>3500</v>
      </c>
      <c r="Z1665" s="6" t="s">
        <v>5978</v>
      </c>
      <c r="AA1665" s="14">
        <f t="shared" si="220"/>
        <v>5.9999999999999995E-4</v>
      </c>
      <c r="AB1665">
        <v>1.1388780000000001</v>
      </c>
      <c r="AC1665">
        <v>1.18443312</v>
      </c>
    </row>
    <row r="1666" spans="1:29" x14ac:dyDescent="0.3">
      <c r="A1666">
        <v>147439</v>
      </c>
      <c r="B1666" s="25" t="s">
        <v>5984</v>
      </c>
      <c r="C1666" t="s">
        <v>20</v>
      </c>
      <c r="D1666" t="s">
        <v>21</v>
      </c>
      <c r="E1666">
        <v>2222222</v>
      </c>
      <c r="F1666" s="8" t="s">
        <v>22</v>
      </c>
      <c r="G1666" s="2">
        <v>98</v>
      </c>
      <c r="H1666" t="s">
        <v>4145</v>
      </c>
      <c r="J1666" s="9" t="s">
        <v>4903</v>
      </c>
      <c r="K1666" t="s">
        <v>4836</v>
      </c>
      <c r="L1666" s="2">
        <v>1</v>
      </c>
      <c r="M1666" s="24" t="s">
        <v>5971</v>
      </c>
      <c r="N1666" s="2" t="s">
        <v>23</v>
      </c>
      <c r="O1666" s="18" t="s">
        <v>1379</v>
      </c>
      <c r="P1666" s="18" t="s">
        <v>3781</v>
      </c>
      <c r="Q1666" s="6" t="s">
        <v>4475</v>
      </c>
      <c r="T1666" s="23">
        <v>45891</v>
      </c>
      <c r="U1666" s="23">
        <v>49542</v>
      </c>
      <c r="X1666" s="20">
        <v>10000</v>
      </c>
      <c r="Z1666" s="6" t="s">
        <v>5978</v>
      </c>
      <c r="AA1666" s="14">
        <f t="shared" si="220"/>
        <v>5.9999999999999995E-4</v>
      </c>
      <c r="AB1666">
        <v>5.7289019999999997</v>
      </c>
      <c r="AC1666">
        <v>5.9580580799999998</v>
      </c>
    </row>
    <row r="1667" spans="1:29" x14ac:dyDescent="0.3">
      <c r="A1667">
        <v>147880</v>
      </c>
      <c r="B1667" s="25" t="s">
        <v>5984</v>
      </c>
      <c r="C1667" t="s">
        <v>20</v>
      </c>
      <c r="D1667" t="s">
        <v>21</v>
      </c>
      <c r="E1667">
        <v>2222222</v>
      </c>
      <c r="F1667" s="8" t="s">
        <v>22</v>
      </c>
      <c r="G1667" s="2">
        <v>98</v>
      </c>
      <c r="H1667" t="s">
        <v>4145</v>
      </c>
      <c r="J1667" s="9" t="s">
        <v>4815</v>
      </c>
      <c r="K1667" t="s">
        <v>4824</v>
      </c>
      <c r="L1667" s="2">
        <v>1</v>
      </c>
      <c r="M1667" s="24" t="s">
        <v>5971</v>
      </c>
      <c r="N1667" s="2" t="s">
        <v>23</v>
      </c>
      <c r="O1667" s="18" t="s">
        <v>1380</v>
      </c>
      <c r="P1667" s="18" t="s">
        <v>0</v>
      </c>
      <c r="Q1667" s="6" t="s">
        <v>4475</v>
      </c>
      <c r="T1667" s="23">
        <v>45923</v>
      </c>
      <c r="U1667" s="23">
        <v>47384</v>
      </c>
      <c r="X1667" s="20">
        <v>5000</v>
      </c>
      <c r="Z1667" s="6" t="s">
        <v>5978</v>
      </c>
      <c r="AA1667" s="14">
        <f t="shared" si="220"/>
        <v>5.9999999999999995E-4</v>
      </c>
      <c r="AB1667">
        <v>0.78271799999999991</v>
      </c>
      <c r="AC1667">
        <v>0.81402671999999998</v>
      </c>
    </row>
    <row r="1668" spans="1:29" x14ac:dyDescent="0.3">
      <c r="A1668">
        <v>147938</v>
      </c>
      <c r="B1668" s="25" t="s">
        <v>5984</v>
      </c>
      <c r="C1668" t="s">
        <v>20</v>
      </c>
      <c r="D1668" t="s">
        <v>21</v>
      </c>
      <c r="E1668">
        <v>2222222</v>
      </c>
      <c r="F1668" s="8" t="s">
        <v>22</v>
      </c>
      <c r="G1668" s="2">
        <v>98</v>
      </c>
      <c r="H1668" t="s">
        <v>4145</v>
      </c>
      <c r="J1668" s="9" t="s">
        <v>4852</v>
      </c>
      <c r="K1668" t="s">
        <v>5481</v>
      </c>
      <c r="L1668" s="2">
        <v>1</v>
      </c>
      <c r="M1668" s="24" t="s">
        <v>5971</v>
      </c>
      <c r="N1668" s="2" t="s">
        <v>23</v>
      </c>
      <c r="O1668" s="18" t="s">
        <v>892</v>
      </c>
      <c r="P1668" s="18" t="s">
        <v>0</v>
      </c>
      <c r="Q1668" s="6" t="s">
        <v>4475</v>
      </c>
      <c r="T1668" s="23">
        <v>45924</v>
      </c>
      <c r="U1668" s="23">
        <v>47020</v>
      </c>
      <c r="X1668" s="20">
        <v>2500</v>
      </c>
      <c r="Z1668" s="6" t="s">
        <v>5978</v>
      </c>
      <c r="AA1668" s="14">
        <f t="shared" si="220"/>
        <v>5.9999999999999995E-4</v>
      </c>
      <c r="AB1668">
        <v>1.1565479999999999</v>
      </c>
      <c r="AC1668">
        <v>1.20280992</v>
      </c>
    </row>
    <row r="1669" spans="1:29" x14ac:dyDescent="0.3">
      <c r="A1669">
        <v>149084</v>
      </c>
      <c r="B1669" s="25" t="s">
        <v>5984</v>
      </c>
      <c r="C1669" t="s">
        <v>20</v>
      </c>
      <c r="D1669" t="s">
        <v>21</v>
      </c>
      <c r="E1669">
        <v>2222222</v>
      </c>
      <c r="F1669" s="8" t="s">
        <v>22</v>
      </c>
      <c r="G1669" s="2">
        <v>98</v>
      </c>
      <c r="H1669" t="s">
        <v>4145</v>
      </c>
      <c r="J1669" s="9" t="s">
        <v>4900</v>
      </c>
      <c r="K1669" t="s">
        <v>4966</v>
      </c>
      <c r="L1669" s="2">
        <v>1</v>
      </c>
      <c r="M1669" s="24" t="s">
        <v>5971</v>
      </c>
      <c r="N1669" s="2" t="s">
        <v>23</v>
      </c>
      <c r="O1669" s="18" t="s">
        <v>1381</v>
      </c>
      <c r="P1669" s="18" t="s">
        <v>0</v>
      </c>
      <c r="Q1669" s="6" t="s">
        <v>4475</v>
      </c>
      <c r="T1669" s="23">
        <v>45998</v>
      </c>
      <c r="U1669" s="23">
        <v>47093</v>
      </c>
      <c r="X1669" s="20">
        <v>1350</v>
      </c>
      <c r="Z1669" s="6" t="s">
        <v>5978</v>
      </c>
      <c r="AA1669" s="14">
        <f t="shared" si="220"/>
        <v>5.9999999999999995E-4</v>
      </c>
      <c r="AB1669">
        <v>0.68252399999999991</v>
      </c>
      <c r="AC1669">
        <v>0.70982495999999995</v>
      </c>
    </row>
    <row r="1670" spans="1:29" x14ac:dyDescent="0.3">
      <c r="A1670">
        <v>149108</v>
      </c>
      <c r="B1670" s="25" t="s">
        <v>5984</v>
      </c>
      <c r="C1670" t="s">
        <v>20</v>
      </c>
      <c r="D1670" t="s">
        <v>21</v>
      </c>
      <c r="E1670">
        <v>2222222</v>
      </c>
      <c r="F1670" s="8" t="s">
        <v>22</v>
      </c>
      <c r="G1670" s="2">
        <v>98</v>
      </c>
      <c r="H1670" t="s">
        <v>4145</v>
      </c>
      <c r="J1670" s="9" t="s">
        <v>5515</v>
      </c>
      <c r="K1670" t="s">
        <v>5516</v>
      </c>
      <c r="L1670" s="2">
        <v>1</v>
      </c>
      <c r="M1670" s="24" t="s">
        <v>5971</v>
      </c>
      <c r="N1670" s="2" t="s">
        <v>23</v>
      </c>
      <c r="O1670" s="18" t="s">
        <v>1382</v>
      </c>
      <c r="P1670" s="18" t="s">
        <v>3781</v>
      </c>
      <c r="Q1670" s="6" t="s">
        <v>4475</v>
      </c>
      <c r="T1670" s="23">
        <v>45999</v>
      </c>
      <c r="U1670" s="23">
        <v>46728</v>
      </c>
      <c r="X1670" s="20">
        <v>2220</v>
      </c>
      <c r="Z1670" s="6" t="s">
        <v>5978</v>
      </c>
      <c r="AA1670" s="14">
        <f t="shared" si="220"/>
        <v>5.9999999999999995E-4</v>
      </c>
      <c r="AB1670">
        <v>0.98820599999999992</v>
      </c>
      <c r="AC1670">
        <v>1.02773424</v>
      </c>
    </row>
    <row r="1671" spans="1:29" x14ac:dyDescent="0.3">
      <c r="A1671">
        <v>151022</v>
      </c>
      <c r="B1671" s="25" t="s">
        <v>5984</v>
      </c>
      <c r="C1671" t="s">
        <v>20</v>
      </c>
      <c r="D1671" t="s">
        <v>21</v>
      </c>
      <c r="E1671">
        <v>2222222</v>
      </c>
      <c r="F1671" s="8" t="s">
        <v>22</v>
      </c>
      <c r="G1671" s="2">
        <v>98</v>
      </c>
      <c r="H1671" t="s">
        <v>4145</v>
      </c>
      <c r="J1671" s="9" t="s">
        <v>5011</v>
      </c>
      <c r="K1671" t="s">
        <v>5097</v>
      </c>
      <c r="L1671" s="2">
        <v>1</v>
      </c>
      <c r="M1671" s="24" t="s">
        <v>5971</v>
      </c>
      <c r="N1671" s="2" t="s">
        <v>23</v>
      </c>
      <c r="O1671" s="18" t="s">
        <v>1383</v>
      </c>
      <c r="P1671" s="18" t="s">
        <v>3781</v>
      </c>
      <c r="Q1671" s="6" t="s">
        <v>4475</v>
      </c>
      <c r="T1671" s="23">
        <v>46134</v>
      </c>
      <c r="U1671" s="23">
        <v>47230</v>
      </c>
      <c r="X1671" s="20">
        <v>5000</v>
      </c>
      <c r="Z1671" s="6" t="s">
        <v>5978</v>
      </c>
      <c r="AA1671" s="14">
        <f t="shared" si="220"/>
        <v>5.9999999999999995E-4</v>
      </c>
      <c r="AB1671">
        <v>2.8070999999999997</v>
      </c>
      <c r="AC1671">
        <v>2.919384</v>
      </c>
    </row>
    <row r="1672" spans="1:29" x14ac:dyDescent="0.3">
      <c r="A1672">
        <v>151035</v>
      </c>
      <c r="B1672" s="25" t="s">
        <v>5984</v>
      </c>
      <c r="C1672" t="s">
        <v>20</v>
      </c>
      <c r="D1672" t="s">
        <v>21</v>
      </c>
      <c r="E1672">
        <v>2222222</v>
      </c>
      <c r="F1672" s="8" t="s">
        <v>22</v>
      </c>
      <c r="G1672" s="2">
        <v>98</v>
      </c>
      <c r="H1672" t="s">
        <v>4145</v>
      </c>
      <c r="J1672" s="9" t="s">
        <v>4852</v>
      </c>
      <c r="K1672" t="s">
        <v>5481</v>
      </c>
      <c r="L1672" s="2">
        <v>1</v>
      </c>
      <c r="M1672" s="24" t="s">
        <v>5971</v>
      </c>
      <c r="N1672" s="2" t="s">
        <v>23</v>
      </c>
      <c r="O1672" s="18" t="s">
        <v>892</v>
      </c>
      <c r="P1672" s="18" t="s">
        <v>0</v>
      </c>
      <c r="Q1672" s="6" t="s">
        <v>4475</v>
      </c>
      <c r="T1672" s="23">
        <v>46134</v>
      </c>
      <c r="U1672" s="23">
        <v>47960</v>
      </c>
      <c r="X1672" s="20">
        <v>4300</v>
      </c>
      <c r="Z1672" s="6" t="s">
        <v>5978</v>
      </c>
      <c r="AA1672" s="14">
        <f t="shared" si="220"/>
        <v>5.9999999999999995E-4</v>
      </c>
      <c r="AB1672">
        <v>2.4985620000000002</v>
      </c>
      <c r="AC1672">
        <v>2.5985044800000003</v>
      </c>
    </row>
    <row r="1673" spans="1:29" x14ac:dyDescent="0.3">
      <c r="A1673">
        <v>151898</v>
      </c>
      <c r="B1673" s="25" t="s">
        <v>5984</v>
      </c>
      <c r="C1673" t="s">
        <v>20</v>
      </c>
      <c r="D1673" t="s">
        <v>21</v>
      </c>
      <c r="E1673">
        <v>2222222</v>
      </c>
      <c r="F1673" s="8" t="s">
        <v>22</v>
      </c>
      <c r="G1673" s="2">
        <v>98</v>
      </c>
      <c r="H1673" t="s">
        <v>4145</v>
      </c>
      <c r="J1673" s="9" t="s">
        <v>5088</v>
      </c>
      <c r="K1673" t="s">
        <v>5411</v>
      </c>
      <c r="L1673" s="2">
        <v>1</v>
      </c>
      <c r="M1673" s="24" t="s">
        <v>5971</v>
      </c>
      <c r="N1673" s="2" t="s">
        <v>23</v>
      </c>
      <c r="O1673" s="18" t="s">
        <v>1374</v>
      </c>
      <c r="P1673" s="18" t="s">
        <v>3781</v>
      </c>
      <c r="Q1673" s="6" t="s">
        <v>4475</v>
      </c>
      <c r="T1673" s="23">
        <v>46196</v>
      </c>
      <c r="U1673" s="23">
        <v>46286</v>
      </c>
      <c r="X1673" s="20">
        <v>200</v>
      </c>
      <c r="Z1673" s="6" t="s">
        <v>5978</v>
      </c>
      <c r="AA1673" s="14">
        <f t="shared" si="220"/>
        <v>5.9999999999999995E-4</v>
      </c>
      <c r="AB1673">
        <v>0.12</v>
      </c>
      <c r="AC1673">
        <v>0.12479999999999999</v>
      </c>
    </row>
    <row r="1674" spans="1:29" x14ac:dyDescent="0.3">
      <c r="A1674">
        <v>152016</v>
      </c>
      <c r="B1674" s="25" t="s">
        <v>5984</v>
      </c>
      <c r="C1674" t="s">
        <v>20</v>
      </c>
      <c r="D1674" t="s">
        <v>21</v>
      </c>
      <c r="E1674">
        <v>2222222</v>
      </c>
      <c r="F1674" s="8" t="s">
        <v>22</v>
      </c>
      <c r="G1674" s="2">
        <v>98</v>
      </c>
      <c r="H1674" t="s">
        <v>4145</v>
      </c>
      <c r="J1674" s="9" t="s">
        <v>4516</v>
      </c>
      <c r="K1674" t="s">
        <v>5517</v>
      </c>
      <c r="L1674" s="2">
        <v>1</v>
      </c>
      <c r="M1674" s="24" t="s">
        <v>5971</v>
      </c>
      <c r="N1674" s="2" t="s">
        <v>23</v>
      </c>
      <c r="O1674" s="18" t="s">
        <v>1384</v>
      </c>
      <c r="P1674" s="18" t="s">
        <v>3781</v>
      </c>
      <c r="Q1674" s="6" t="s">
        <v>4475</v>
      </c>
      <c r="T1674" s="23">
        <v>46229</v>
      </c>
      <c r="U1674" s="23">
        <v>46959</v>
      </c>
      <c r="X1674" s="20">
        <v>3300</v>
      </c>
      <c r="Z1674" s="6" t="s">
        <v>5978</v>
      </c>
      <c r="AA1674" s="14">
        <f t="shared" si="220"/>
        <v>5.9999999999999995E-4</v>
      </c>
      <c r="AB1674">
        <v>1.9799999999999998</v>
      </c>
      <c r="AC1674">
        <v>2.0591999999999997</v>
      </c>
    </row>
    <row r="1675" spans="1:29" x14ac:dyDescent="0.3">
      <c r="A1675">
        <v>152375</v>
      </c>
      <c r="B1675" s="25" t="s">
        <v>5984</v>
      </c>
      <c r="C1675" t="s">
        <v>20</v>
      </c>
      <c r="D1675" t="s">
        <v>21</v>
      </c>
      <c r="E1675">
        <v>2222222</v>
      </c>
      <c r="F1675" s="8" t="s">
        <v>22</v>
      </c>
      <c r="G1675" s="2">
        <v>98</v>
      </c>
      <c r="H1675" t="s">
        <v>4145</v>
      </c>
      <c r="J1675" s="9" t="s">
        <v>5152</v>
      </c>
      <c r="K1675" t="s">
        <v>4928</v>
      </c>
      <c r="L1675" s="2">
        <v>1</v>
      </c>
      <c r="M1675" s="24" t="s">
        <v>5971</v>
      </c>
      <c r="N1675" s="2" t="s">
        <v>23</v>
      </c>
      <c r="O1675" s="18" t="s">
        <v>1385</v>
      </c>
      <c r="P1675" s="18" t="s">
        <v>3781</v>
      </c>
      <c r="Q1675" s="6" t="s">
        <v>4475</v>
      </c>
      <c r="T1675" s="23">
        <v>46233</v>
      </c>
      <c r="U1675" s="23">
        <v>46323</v>
      </c>
      <c r="X1675" s="20">
        <v>2000</v>
      </c>
      <c r="Z1675" s="6" t="s">
        <v>5978</v>
      </c>
      <c r="AA1675" s="14">
        <f t="shared" si="220"/>
        <v>5.9999999999999995E-4</v>
      </c>
      <c r="AB1675">
        <v>1.2</v>
      </c>
      <c r="AC1675">
        <v>1.248</v>
      </c>
    </row>
    <row r="1676" spans="1:29" x14ac:dyDescent="0.3">
      <c r="A1676">
        <v>51320</v>
      </c>
      <c r="B1676" s="25" t="s">
        <v>5984</v>
      </c>
      <c r="C1676" t="s">
        <v>20</v>
      </c>
      <c r="D1676" t="s">
        <v>21</v>
      </c>
      <c r="E1676">
        <v>2222222</v>
      </c>
      <c r="F1676" s="8" t="s">
        <v>22</v>
      </c>
      <c r="G1676" s="2">
        <v>98</v>
      </c>
      <c r="H1676" t="s">
        <v>4146</v>
      </c>
      <c r="J1676" s="9" t="s">
        <v>4901</v>
      </c>
      <c r="K1676" t="s">
        <v>5270</v>
      </c>
      <c r="L1676" s="2">
        <v>1</v>
      </c>
      <c r="M1676" s="24" t="s">
        <v>5971</v>
      </c>
      <c r="N1676" s="2" t="s">
        <v>23</v>
      </c>
      <c r="O1676" s="18" t="s">
        <v>1386</v>
      </c>
      <c r="P1676" s="18" t="s">
        <v>0</v>
      </c>
      <c r="Q1676" s="6" t="s">
        <v>4475</v>
      </c>
      <c r="T1676" s="23">
        <v>40837</v>
      </c>
      <c r="U1676" s="23">
        <v>43394</v>
      </c>
      <c r="X1676" s="20">
        <v>7000</v>
      </c>
      <c r="Z1676" s="6" t="s">
        <v>5978</v>
      </c>
      <c r="AA1676" s="16">
        <f>+(0.36/1000)</f>
        <v>3.5999999999999997E-4</v>
      </c>
      <c r="AB1676">
        <v>2.2857227999999998</v>
      </c>
      <c r="AC1676">
        <v>2.3771517119999999</v>
      </c>
    </row>
    <row r="1677" spans="1:29" x14ac:dyDescent="0.3">
      <c r="A1677">
        <v>139227</v>
      </c>
      <c r="B1677" s="25" t="s">
        <v>5984</v>
      </c>
      <c r="C1677" t="s">
        <v>20</v>
      </c>
      <c r="D1677" t="s">
        <v>21</v>
      </c>
      <c r="E1677">
        <v>2222222</v>
      </c>
      <c r="F1677" s="8" t="s">
        <v>22</v>
      </c>
      <c r="G1677" s="2">
        <v>98</v>
      </c>
      <c r="H1677" t="s">
        <v>4147</v>
      </c>
      <c r="J1677" s="9" t="s">
        <v>5048</v>
      </c>
      <c r="K1677" t="s">
        <v>5195</v>
      </c>
      <c r="L1677" s="2">
        <v>1</v>
      </c>
      <c r="M1677" s="24" t="s">
        <v>5971</v>
      </c>
      <c r="N1677" s="2" t="s">
        <v>23</v>
      </c>
      <c r="O1677" s="18" t="s">
        <v>783</v>
      </c>
      <c r="P1677" s="18" t="s">
        <v>3781</v>
      </c>
      <c r="Q1677" s="6" t="s">
        <v>4475</v>
      </c>
      <c r="T1677" s="23">
        <v>45455</v>
      </c>
      <c r="U1677" s="23">
        <v>47281</v>
      </c>
      <c r="X1677" s="20">
        <v>10500</v>
      </c>
      <c r="Z1677" s="6" t="s">
        <v>5978</v>
      </c>
      <c r="AA1677" s="14">
        <f>+(0.6/1000)</f>
        <v>5.9999999999999995E-4</v>
      </c>
      <c r="AB1677">
        <v>4.2961679999999998</v>
      </c>
      <c r="AC1677">
        <v>4.4680147200000002</v>
      </c>
    </row>
    <row r="1678" spans="1:29" x14ac:dyDescent="0.3">
      <c r="A1678">
        <v>134909</v>
      </c>
      <c r="B1678" s="25" t="s">
        <v>5984</v>
      </c>
      <c r="C1678" t="s">
        <v>20</v>
      </c>
      <c r="D1678" t="s">
        <v>21</v>
      </c>
      <c r="E1678">
        <v>2222222</v>
      </c>
      <c r="F1678" s="8" t="s">
        <v>22</v>
      </c>
      <c r="G1678" s="2">
        <v>98</v>
      </c>
      <c r="H1678" t="s">
        <v>4148</v>
      </c>
      <c r="J1678" s="9" t="s">
        <v>4901</v>
      </c>
      <c r="K1678" t="s">
        <v>4875</v>
      </c>
      <c r="L1678" s="2">
        <v>1</v>
      </c>
      <c r="M1678" s="24" t="s">
        <v>5971</v>
      </c>
      <c r="N1678" s="2" t="s">
        <v>23</v>
      </c>
      <c r="O1678" s="18" t="s">
        <v>1387</v>
      </c>
      <c r="P1678" s="18" t="s">
        <v>0</v>
      </c>
      <c r="Q1678" s="6" t="s">
        <v>4475</v>
      </c>
      <c r="T1678" s="23">
        <v>45092</v>
      </c>
      <c r="U1678" s="23">
        <v>46553</v>
      </c>
      <c r="X1678" s="20">
        <v>5000</v>
      </c>
      <c r="Z1678" s="6" t="s">
        <v>5978</v>
      </c>
      <c r="AA1678" s="13">
        <f>+(0.56/1000)</f>
        <v>5.6000000000000006E-4</v>
      </c>
      <c r="AB1678">
        <v>0.84437360000000006</v>
      </c>
      <c r="AC1678">
        <v>0.87814854400000009</v>
      </c>
    </row>
    <row r="1679" spans="1:29" x14ac:dyDescent="0.3">
      <c r="A1679">
        <v>141553</v>
      </c>
      <c r="B1679" s="25" t="s">
        <v>5984</v>
      </c>
      <c r="C1679" t="s">
        <v>20</v>
      </c>
      <c r="D1679" t="s">
        <v>21</v>
      </c>
      <c r="E1679">
        <v>2222222</v>
      </c>
      <c r="F1679" s="8" t="s">
        <v>22</v>
      </c>
      <c r="G1679" s="2">
        <v>98</v>
      </c>
      <c r="H1679" t="s">
        <v>4149</v>
      </c>
      <c r="J1679" s="9" t="s">
        <v>4830</v>
      </c>
      <c r="K1679" t="s">
        <v>5153</v>
      </c>
      <c r="L1679" s="2">
        <v>1</v>
      </c>
      <c r="M1679" s="24" t="s">
        <v>5971</v>
      </c>
      <c r="N1679" s="2" t="s">
        <v>23</v>
      </c>
      <c r="O1679" s="18" t="s">
        <v>1388</v>
      </c>
      <c r="P1679" s="18" t="s">
        <v>3781</v>
      </c>
      <c r="Q1679" s="6" t="s">
        <v>4475</v>
      </c>
      <c r="T1679" s="23">
        <v>45460</v>
      </c>
      <c r="U1679" s="23">
        <v>46555</v>
      </c>
      <c r="X1679" s="20">
        <v>4000</v>
      </c>
      <c r="Z1679" s="6" t="s">
        <v>5978</v>
      </c>
      <c r="AA1679" s="14">
        <f>+(0.6/1000)</f>
        <v>5.9999999999999995E-4</v>
      </c>
      <c r="AB1679">
        <v>0.87600599999999995</v>
      </c>
      <c r="AC1679">
        <v>0.91104624000000001</v>
      </c>
    </row>
    <row r="1680" spans="1:29" x14ac:dyDescent="0.3">
      <c r="A1680">
        <v>134565</v>
      </c>
      <c r="B1680" s="25" t="s">
        <v>5984</v>
      </c>
      <c r="C1680" t="s">
        <v>20</v>
      </c>
      <c r="D1680" t="s">
        <v>21</v>
      </c>
      <c r="E1680">
        <v>2222222</v>
      </c>
      <c r="F1680" s="8" t="s">
        <v>22</v>
      </c>
      <c r="G1680" s="2">
        <v>98</v>
      </c>
      <c r="H1680" t="s">
        <v>4150</v>
      </c>
      <c r="J1680" s="9" t="s">
        <v>4896</v>
      </c>
      <c r="K1680" t="s">
        <v>4972</v>
      </c>
      <c r="L1680" s="2">
        <v>1</v>
      </c>
      <c r="M1680" s="24" t="s">
        <v>5971</v>
      </c>
      <c r="N1680" s="2" t="s">
        <v>23</v>
      </c>
      <c r="O1680" s="18" t="s">
        <v>1389</v>
      </c>
      <c r="P1680" s="18" t="s">
        <v>3781</v>
      </c>
      <c r="Q1680" s="6" t="s">
        <v>4475</v>
      </c>
      <c r="T1680" s="23">
        <v>45065</v>
      </c>
      <c r="U1680" s="23">
        <v>46525</v>
      </c>
      <c r="X1680" s="20">
        <v>5900</v>
      </c>
      <c r="Z1680" s="6" t="s">
        <v>5978</v>
      </c>
      <c r="AA1680" s="13">
        <f>+(0.56/1000)</f>
        <v>5.6000000000000006E-4</v>
      </c>
      <c r="AB1680">
        <v>0.41305600000000003</v>
      </c>
      <c r="AC1680">
        <v>0.42957824000000006</v>
      </c>
    </row>
    <row r="1681" spans="1:29" x14ac:dyDescent="0.3">
      <c r="A1681">
        <v>140957</v>
      </c>
      <c r="B1681" s="25" t="s">
        <v>5984</v>
      </c>
      <c r="C1681" t="s">
        <v>20</v>
      </c>
      <c r="D1681" t="s">
        <v>21</v>
      </c>
      <c r="E1681">
        <v>2222222</v>
      </c>
      <c r="F1681" s="8" t="s">
        <v>22</v>
      </c>
      <c r="G1681" s="2">
        <v>98</v>
      </c>
      <c r="H1681" t="s">
        <v>4150</v>
      </c>
      <c r="J1681" s="9" t="s">
        <v>4911</v>
      </c>
      <c r="K1681" t="s">
        <v>5132</v>
      </c>
      <c r="L1681" s="2">
        <v>1</v>
      </c>
      <c r="M1681" s="24" t="s">
        <v>5971</v>
      </c>
      <c r="N1681" s="2" t="s">
        <v>23</v>
      </c>
      <c r="O1681" s="18" t="s">
        <v>77</v>
      </c>
      <c r="P1681" s="18" t="s">
        <v>3781</v>
      </c>
      <c r="Q1681" s="6" t="s">
        <v>4475</v>
      </c>
      <c r="T1681" s="23">
        <v>45422</v>
      </c>
      <c r="U1681" s="23">
        <v>47339</v>
      </c>
      <c r="X1681" s="20">
        <v>24000</v>
      </c>
      <c r="Z1681" s="6" t="s">
        <v>5978</v>
      </c>
      <c r="AA1681" s="14">
        <f t="shared" ref="AA1681:AA1686" si="221">+(0.6/1000)</f>
        <v>5.9999999999999995E-4</v>
      </c>
      <c r="AB1681">
        <v>9.8766539999999985</v>
      </c>
      <c r="AC1681">
        <v>10.271720159999999</v>
      </c>
    </row>
    <row r="1682" spans="1:29" x14ac:dyDescent="0.3">
      <c r="A1682">
        <v>147192</v>
      </c>
      <c r="B1682" s="25" t="s">
        <v>5984</v>
      </c>
      <c r="C1682" t="s">
        <v>20</v>
      </c>
      <c r="D1682" t="s">
        <v>21</v>
      </c>
      <c r="E1682">
        <v>2222222</v>
      </c>
      <c r="F1682" s="8" t="s">
        <v>22</v>
      </c>
      <c r="G1682" s="2">
        <v>98</v>
      </c>
      <c r="H1682" t="s">
        <v>4150</v>
      </c>
      <c r="J1682" s="9" t="s">
        <v>5273</v>
      </c>
      <c r="K1682" t="s">
        <v>4932</v>
      </c>
      <c r="L1682" s="2">
        <v>1</v>
      </c>
      <c r="M1682" s="24" t="s">
        <v>5971</v>
      </c>
      <c r="N1682" s="2" t="s">
        <v>23</v>
      </c>
      <c r="O1682" s="18" t="s">
        <v>1390</v>
      </c>
      <c r="P1682" s="18" t="s">
        <v>3781</v>
      </c>
      <c r="Q1682" s="6" t="s">
        <v>4475</v>
      </c>
      <c r="T1682" s="23">
        <v>45881</v>
      </c>
      <c r="U1682" s="23">
        <v>48441</v>
      </c>
      <c r="X1682" s="20">
        <v>20000</v>
      </c>
      <c r="Z1682" s="6" t="s">
        <v>5978</v>
      </c>
      <c r="AA1682" s="14">
        <f t="shared" si="221"/>
        <v>5.9999999999999995E-4</v>
      </c>
      <c r="AB1682">
        <v>10.937519999999999</v>
      </c>
      <c r="AC1682">
        <v>11.3750208</v>
      </c>
    </row>
    <row r="1683" spans="1:29" x14ac:dyDescent="0.3">
      <c r="A1683">
        <v>150835</v>
      </c>
      <c r="B1683" s="25" t="s">
        <v>5984</v>
      </c>
      <c r="C1683" t="s">
        <v>20</v>
      </c>
      <c r="D1683" t="s">
        <v>21</v>
      </c>
      <c r="E1683">
        <v>2222222</v>
      </c>
      <c r="F1683" s="8" t="s">
        <v>22</v>
      </c>
      <c r="G1683" s="2">
        <v>98</v>
      </c>
      <c r="H1683" t="s">
        <v>4150</v>
      </c>
      <c r="J1683" s="9" t="s">
        <v>4911</v>
      </c>
      <c r="K1683" t="s">
        <v>5132</v>
      </c>
      <c r="L1683" s="2">
        <v>1</v>
      </c>
      <c r="M1683" s="24" t="s">
        <v>5971</v>
      </c>
      <c r="N1683" s="2" t="s">
        <v>23</v>
      </c>
      <c r="O1683" s="18" t="s">
        <v>77</v>
      </c>
      <c r="P1683" s="18" t="s">
        <v>3781</v>
      </c>
      <c r="Q1683" s="6" t="s">
        <v>4475</v>
      </c>
      <c r="T1683" s="23">
        <v>46121</v>
      </c>
      <c r="U1683" s="23">
        <v>47582</v>
      </c>
      <c r="X1683" s="20">
        <v>5000</v>
      </c>
      <c r="Z1683" s="6" t="s">
        <v>5978</v>
      </c>
      <c r="AA1683" s="14">
        <f t="shared" si="221"/>
        <v>5.9999999999999995E-4</v>
      </c>
      <c r="AB1683">
        <v>2.8517699999999997</v>
      </c>
      <c r="AC1683">
        <v>2.9658407999999996</v>
      </c>
    </row>
    <row r="1684" spans="1:29" x14ac:dyDescent="0.3">
      <c r="A1684">
        <v>151924</v>
      </c>
      <c r="B1684" s="25" t="s">
        <v>5984</v>
      </c>
      <c r="C1684" t="s">
        <v>20</v>
      </c>
      <c r="D1684" t="s">
        <v>21</v>
      </c>
      <c r="E1684">
        <v>2222222</v>
      </c>
      <c r="F1684" s="8" t="s">
        <v>22</v>
      </c>
      <c r="G1684" s="2">
        <v>98</v>
      </c>
      <c r="H1684" t="s">
        <v>4150</v>
      </c>
      <c r="J1684" s="9" t="s">
        <v>4911</v>
      </c>
      <c r="K1684" t="s">
        <v>5132</v>
      </c>
      <c r="L1684" s="2">
        <v>1</v>
      </c>
      <c r="M1684" s="24" t="s">
        <v>5971</v>
      </c>
      <c r="N1684" s="2" t="s">
        <v>23</v>
      </c>
      <c r="O1684" s="18" t="s">
        <v>77</v>
      </c>
      <c r="P1684" s="18" t="s">
        <v>3781</v>
      </c>
      <c r="Q1684" s="6" t="s">
        <v>4475</v>
      </c>
      <c r="T1684" s="23">
        <v>46202</v>
      </c>
      <c r="U1684" s="23">
        <v>46292</v>
      </c>
      <c r="X1684" s="20">
        <v>5000</v>
      </c>
      <c r="Z1684" s="6" t="s">
        <v>5978</v>
      </c>
      <c r="AA1684" s="14">
        <f t="shared" si="221"/>
        <v>5.9999999999999995E-4</v>
      </c>
      <c r="AB1684">
        <v>2.9999999999999996</v>
      </c>
      <c r="AC1684">
        <v>3.1199999999999997</v>
      </c>
    </row>
    <row r="1685" spans="1:29" x14ac:dyDescent="0.3">
      <c r="A1685">
        <v>151925</v>
      </c>
      <c r="B1685" s="25" t="s">
        <v>5984</v>
      </c>
      <c r="C1685" t="s">
        <v>20</v>
      </c>
      <c r="D1685" t="s">
        <v>21</v>
      </c>
      <c r="E1685">
        <v>2222222</v>
      </c>
      <c r="F1685" s="8" t="s">
        <v>22</v>
      </c>
      <c r="G1685" s="2">
        <v>98</v>
      </c>
      <c r="H1685" t="s">
        <v>4150</v>
      </c>
      <c r="J1685" s="9" t="s">
        <v>4880</v>
      </c>
      <c r="K1685" t="s">
        <v>5071</v>
      </c>
      <c r="L1685" s="2">
        <v>1</v>
      </c>
      <c r="M1685" s="24" t="s">
        <v>5971</v>
      </c>
      <c r="N1685" s="2" t="s">
        <v>23</v>
      </c>
      <c r="O1685" s="18" t="s">
        <v>1391</v>
      </c>
      <c r="P1685" s="18" t="s">
        <v>3781</v>
      </c>
      <c r="Q1685" s="6" t="s">
        <v>4475</v>
      </c>
      <c r="T1685" s="23">
        <v>46203</v>
      </c>
      <c r="U1685" s="23">
        <v>46293</v>
      </c>
      <c r="X1685" s="20">
        <v>4990</v>
      </c>
      <c r="Z1685" s="6" t="s">
        <v>5978</v>
      </c>
      <c r="AA1685" s="14">
        <f t="shared" si="221"/>
        <v>5.9999999999999995E-4</v>
      </c>
      <c r="AB1685">
        <v>2.9939999999999998</v>
      </c>
      <c r="AC1685">
        <v>3.1137600000000001</v>
      </c>
    </row>
    <row r="1686" spans="1:29" x14ac:dyDescent="0.3">
      <c r="A1686">
        <v>152390</v>
      </c>
      <c r="B1686" s="25" t="s">
        <v>5984</v>
      </c>
      <c r="C1686" t="s">
        <v>20</v>
      </c>
      <c r="D1686" t="s">
        <v>21</v>
      </c>
      <c r="E1686">
        <v>2222222</v>
      </c>
      <c r="F1686" s="8" t="s">
        <v>22</v>
      </c>
      <c r="G1686" s="2">
        <v>98</v>
      </c>
      <c r="H1686" t="s">
        <v>4150</v>
      </c>
      <c r="J1686" s="9" t="s">
        <v>4880</v>
      </c>
      <c r="K1686" t="s">
        <v>5071</v>
      </c>
      <c r="L1686" s="2">
        <v>1</v>
      </c>
      <c r="M1686" s="24" t="s">
        <v>5971</v>
      </c>
      <c r="N1686" s="2" t="s">
        <v>23</v>
      </c>
      <c r="O1686" s="18" t="s">
        <v>1391</v>
      </c>
      <c r="P1686" s="18" t="s">
        <v>3781</v>
      </c>
      <c r="Q1686" s="6" t="s">
        <v>4475</v>
      </c>
      <c r="T1686" s="23">
        <v>46234</v>
      </c>
      <c r="U1686" s="23">
        <v>46324</v>
      </c>
      <c r="X1686" s="20">
        <v>3990</v>
      </c>
      <c r="Z1686" s="6" t="s">
        <v>5978</v>
      </c>
      <c r="AA1686" s="14">
        <f t="shared" si="221"/>
        <v>5.9999999999999995E-4</v>
      </c>
      <c r="AB1686">
        <v>2.3939999999999997</v>
      </c>
      <c r="AC1686">
        <v>2.48976</v>
      </c>
    </row>
    <row r="1687" spans="1:29" x14ac:dyDescent="0.3">
      <c r="A1687">
        <v>100750</v>
      </c>
      <c r="B1687" s="25" t="s">
        <v>5984</v>
      </c>
      <c r="C1687" t="s">
        <v>20</v>
      </c>
      <c r="D1687" t="s">
        <v>21</v>
      </c>
      <c r="E1687">
        <v>2222222</v>
      </c>
      <c r="F1687" s="8" t="s">
        <v>22</v>
      </c>
      <c r="G1687" s="2">
        <v>98</v>
      </c>
      <c r="H1687" t="s">
        <v>4151</v>
      </c>
      <c r="J1687" s="9" t="s">
        <v>4865</v>
      </c>
      <c r="K1687" t="s">
        <v>5374</v>
      </c>
      <c r="L1687" s="2">
        <v>1</v>
      </c>
      <c r="M1687" s="24" t="s">
        <v>5971</v>
      </c>
      <c r="N1687" s="2" t="s">
        <v>23</v>
      </c>
      <c r="O1687" s="18" t="s">
        <v>1392</v>
      </c>
      <c r="P1687" s="18" t="s">
        <v>0</v>
      </c>
      <c r="Q1687" s="6" t="s">
        <v>4475</v>
      </c>
      <c r="T1687" s="23">
        <v>43453</v>
      </c>
      <c r="U1687" s="23">
        <v>43923</v>
      </c>
      <c r="X1687" s="20">
        <v>471</v>
      </c>
      <c r="Z1687" s="6" t="s">
        <v>5978</v>
      </c>
      <c r="AA1687" s="15">
        <f>+(0.42/1000)</f>
        <v>4.1999999999999996E-4</v>
      </c>
      <c r="AB1687">
        <v>0.19782</v>
      </c>
      <c r="AC1687">
        <v>0.20573279999999999</v>
      </c>
    </row>
    <row r="1688" spans="1:29" x14ac:dyDescent="0.3">
      <c r="A1688">
        <v>130387</v>
      </c>
      <c r="B1688" s="25" t="s">
        <v>5984</v>
      </c>
      <c r="C1688" t="s">
        <v>20</v>
      </c>
      <c r="D1688" t="s">
        <v>21</v>
      </c>
      <c r="E1688">
        <v>2222222</v>
      </c>
      <c r="F1688" s="8" t="s">
        <v>22</v>
      </c>
      <c r="G1688" s="2">
        <v>98</v>
      </c>
      <c r="H1688" t="s">
        <v>4151</v>
      </c>
      <c r="J1688" s="9" t="s">
        <v>4950</v>
      </c>
      <c r="K1688" t="s">
        <v>4857</v>
      </c>
      <c r="L1688" s="2">
        <v>1</v>
      </c>
      <c r="M1688" s="24" t="s">
        <v>5971</v>
      </c>
      <c r="N1688" s="2" t="s">
        <v>23</v>
      </c>
      <c r="O1688" s="18" t="s">
        <v>1393</v>
      </c>
      <c r="P1688" s="18" t="s">
        <v>0</v>
      </c>
      <c r="Q1688" s="6" t="s">
        <v>4475</v>
      </c>
      <c r="T1688" s="23">
        <v>44832</v>
      </c>
      <c r="U1688" s="23">
        <v>44928</v>
      </c>
      <c r="X1688" s="20">
        <v>4460</v>
      </c>
      <c r="Z1688" s="6" t="s">
        <v>5978</v>
      </c>
      <c r="AA1688" s="13">
        <f t="shared" ref="AA1688:AA1692" si="222">+(0.56/1000)</f>
        <v>5.6000000000000006E-4</v>
      </c>
      <c r="AB1688">
        <v>2.4976000000000003</v>
      </c>
      <c r="AC1688">
        <v>2.5975040000000003</v>
      </c>
    </row>
    <row r="1689" spans="1:29" x14ac:dyDescent="0.3">
      <c r="A1689">
        <v>135994</v>
      </c>
      <c r="B1689" s="25" t="s">
        <v>5984</v>
      </c>
      <c r="C1689" t="s">
        <v>20</v>
      </c>
      <c r="D1689" t="s">
        <v>21</v>
      </c>
      <c r="E1689">
        <v>2222222</v>
      </c>
      <c r="F1689" s="8" t="s">
        <v>22</v>
      </c>
      <c r="G1689" s="2">
        <v>98</v>
      </c>
      <c r="H1689" t="s">
        <v>4151</v>
      </c>
      <c r="J1689" s="9" t="s">
        <v>5518</v>
      </c>
      <c r="K1689" t="s">
        <v>4980</v>
      </c>
      <c r="L1689" s="2">
        <v>1</v>
      </c>
      <c r="M1689" s="24" t="s">
        <v>5971</v>
      </c>
      <c r="N1689" s="2" t="s">
        <v>23</v>
      </c>
      <c r="O1689" s="18" t="s">
        <v>1394</v>
      </c>
      <c r="P1689" s="18" t="s">
        <v>3781</v>
      </c>
      <c r="Q1689" s="6" t="s">
        <v>4475</v>
      </c>
      <c r="T1689" s="23">
        <v>45146</v>
      </c>
      <c r="U1689" s="23">
        <v>46606</v>
      </c>
      <c r="X1689" s="20">
        <v>5000</v>
      </c>
      <c r="Z1689" s="6" t="s">
        <v>5978</v>
      </c>
      <c r="AA1689" s="13">
        <f t="shared" si="222"/>
        <v>5.6000000000000006E-4</v>
      </c>
      <c r="AB1689">
        <v>1.0468640000000002</v>
      </c>
      <c r="AC1689">
        <v>1.0887385600000004</v>
      </c>
    </row>
    <row r="1690" spans="1:29" x14ac:dyDescent="0.3">
      <c r="A1690">
        <v>138053</v>
      </c>
      <c r="B1690" s="25" t="s">
        <v>5984</v>
      </c>
      <c r="C1690" t="s">
        <v>20</v>
      </c>
      <c r="D1690" t="s">
        <v>21</v>
      </c>
      <c r="E1690">
        <v>2222222</v>
      </c>
      <c r="F1690" s="8" t="s">
        <v>22</v>
      </c>
      <c r="G1690" s="2">
        <v>98</v>
      </c>
      <c r="H1690" t="s">
        <v>4151</v>
      </c>
      <c r="J1690" s="9" t="s">
        <v>4918</v>
      </c>
      <c r="K1690" t="s">
        <v>4894</v>
      </c>
      <c r="L1690" s="2">
        <v>1</v>
      </c>
      <c r="M1690" s="24" t="s">
        <v>5971</v>
      </c>
      <c r="N1690" s="2" t="s">
        <v>23</v>
      </c>
      <c r="O1690" s="18" t="s">
        <v>823</v>
      </c>
      <c r="P1690" s="18" t="s">
        <v>3781</v>
      </c>
      <c r="Q1690" s="6" t="s">
        <v>4475</v>
      </c>
      <c r="T1690" s="23">
        <v>45257</v>
      </c>
      <c r="U1690" s="23">
        <v>47084</v>
      </c>
      <c r="X1690" s="20">
        <v>2900</v>
      </c>
      <c r="Z1690" s="6" t="s">
        <v>5978</v>
      </c>
      <c r="AA1690" s="13">
        <f t="shared" si="222"/>
        <v>5.6000000000000006E-4</v>
      </c>
      <c r="AB1690">
        <v>0.90503840000000013</v>
      </c>
      <c r="AC1690">
        <v>0.94123993600000022</v>
      </c>
    </row>
    <row r="1691" spans="1:29" x14ac:dyDescent="0.3">
      <c r="A1691">
        <v>140123</v>
      </c>
      <c r="B1691" s="25" t="s">
        <v>5984</v>
      </c>
      <c r="C1691" t="s">
        <v>20</v>
      </c>
      <c r="D1691" t="s">
        <v>21</v>
      </c>
      <c r="E1691">
        <v>2222222</v>
      </c>
      <c r="F1691" s="8" t="s">
        <v>22</v>
      </c>
      <c r="G1691" s="2">
        <v>98</v>
      </c>
      <c r="H1691" t="s">
        <v>4151</v>
      </c>
      <c r="J1691" s="9" t="s">
        <v>4836</v>
      </c>
      <c r="K1691" t="s">
        <v>5165</v>
      </c>
      <c r="L1691" s="2">
        <v>1</v>
      </c>
      <c r="M1691" s="24" t="s">
        <v>5971</v>
      </c>
      <c r="N1691" s="2" t="s">
        <v>23</v>
      </c>
      <c r="O1691" s="18" t="s">
        <v>577</v>
      </c>
      <c r="P1691" s="18" t="s">
        <v>3781</v>
      </c>
      <c r="Q1691" s="6" t="s">
        <v>4475</v>
      </c>
      <c r="T1691" s="23">
        <v>45365</v>
      </c>
      <c r="U1691" s="23">
        <v>47190</v>
      </c>
      <c r="X1691" s="20">
        <v>3700</v>
      </c>
      <c r="Z1691" s="6" t="s">
        <v>5978</v>
      </c>
      <c r="AA1691" s="13">
        <f t="shared" si="222"/>
        <v>5.6000000000000006E-4</v>
      </c>
      <c r="AB1691">
        <v>1.2955992000000003</v>
      </c>
      <c r="AC1691">
        <v>1.3474231680000004</v>
      </c>
    </row>
    <row r="1692" spans="1:29" x14ac:dyDescent="0.3">
      <c r="A1692">
        <v>140519</v>
      </c>
      <c r="B1692" s="25" t="s">
        <v>5984</v>
      </c>
      <c r="C1692" t="s">
        <v>20</v>
      </c>
      <c r="D1692" t="s">
        <v>21</v>
      </c>
      <c r="E1692">
        <v>2222222</v>
      </c>
      <c r="F1692" s="8" t="s">
        <v>22</v>
      </c>
      <c r="G1692" s="2">
        <v>98</v>
      </c>
      <c r="H1692" t="s">
        <v>4151</v>
      </c>
      <c r="J1692" s="9" t="s">
        <v>4900</v>
      </c>
      <c r="K1692" t="s">
        <v>4946</v>
      </c>
      <c r="L1692" s="2">
        <v>1</v>
      </c>
      <c r="M1692" s="24" t="s">
        <v>5971</v>
      </c>
      <c r="N1692" s="2" t="s">
        <v>23</v>
      </c>
      <c r="O1692" s="18" t="s">
        <v>1395</v>
      </c>
      <c r="P1692" s="18" t="s">
        <v>0</v>
      </c>
      <c r="Q1692" s="6" t="s">
        <v>4475</v>
      </c>
      <c r="T1692" s="23">
        <v>45392</v>
      </c>
      <c r="U1692" s="23">
        <v>47218</v>
      </c>
      <c r="X1692" s="20">
        <v>5000</v>
      </c>
      <c r="Z1692" s="6" t="s">
        <v>5978</v>
      </c>
      <c r="AA1692" s="13">
        <f t="shared" si="222"/>
        <v>5.6000000000000006E-4</v>
      </c>
      <c r="AB1692">
        <v>1.7956456000000003</v>
      </c>
      <c r="AC1692">
        <v>1.8674714240000003</v>
      </c>
    </row>
    <row r="1693" spans="1:29" x14ac:dyDescent="0.3">
      <c r="A1693">
        <v>140956</v>
      </c>
      <c r="B1693" s="25" t="s">
        <v>5984</v>
      </c>
      <c r="C1693" t="s">
        <v>20</v>
      </c>
      <c r="D1693" t="s">
        <v>21</v>
      </c>
      <c r="E1693">
        <v>2222222</v>
      </c>
      <c r="F1693" s="8" t="s">
        <v>22</v>
      </c>
      <c r="G1693" s="2">
        <v>98</v>
      </c>
      <c r="H1693" t="s">
        <v>4151</v>
      </c>
      <c r="J1693" s="9" t="s">
        <v>4836</v>
      </c>
      <c r="K1693" t="s">
        <v>5019</v>
      </c>
      <c r="L1693" s="2">
        <v>1</v>
      </c>
      <c r="M1693" s="24" t="s">
        <v>5971</v>
      </c>
      <c r="N1693" s="2" t="s">
        <v>23</v>
      </c>
      <c r="O1693" s="18" t="s">
        <v>1396</v>
      </c>
      <c r="P1693" s="18" t="s">
        <v>3781</v>
      </c>
      <c r="Q1693" s="6" t="s">
        <v>4475</v>
      </c>
      <c r="T1693" s="23">
        <v>45421</v>
      </c>
      <c r="U1693" s="23">
        <v>46515</v>
      </c>
      <c r="X1693" s="20">
        <v>5000</v>
      </c>
      <c r="Z1693" s="6" t="s">
        <v>5978</v>
      </c>
      <c r="AA1693" s="14">
        <f t="shared" ref="AA1693:AA1723" si="223">+(0.6/1000)</f>
        <v>5.9999999999999995E-4</v>
      </c>
      <c r="AB1693">
        <v>1.011414</v>
      </c>
      <c r="AC1693">
        <v>1.05187056</v>
      </c>
    </row>
    <row r="1694" spans="1:29" x14ac:dyDescent="0.3">
      <c r="A1694">
        <v>141646</v>
      </c>
      <c r="B1694" s="25" t="s">
        <v>5984</v>
      </c>
      <c r="C1694" t="s">
        <v>20</v>
      </c>
      <c r="D1694" t="s">
        <v>21</v>
      </c>
      <c r="E1694">
        <v>2222222</v>
      </c>
      <c r="F1694" s="8" t="s">
        <v>22</v>
      </c>
      <c r="G1694" s="2">
        <v>98</v>
      </c>
      <c r="H1694" t="s">
        <v>4151</v>
      </c>
      <c r="J1694" s="9" t="s">
        <v>4967</v>
      </c>
      <c r="K1694" t="s">
        <v>5320</v>
      </c>
      <c r="L1694" s="2">
        <v>1</v>
      </c>
      <c r="M1694" s="24" t="s">
        <v>5971</v>
      </c>
      <c r="N1694" s="2" t="s">
        <v>23</v>
      </c>
      <c r="O1694" s="18" t="s">
        <v>1397</v>
      </c>
      <c r="P1694" s="18" t="s">
        <v>3781</v>
      </c>
      <c r="Q1694" s="6" t="s">
        <v>4475</v>
      </c>
      <c r="T1694" s="23">
        <v>45468</v>
      </c>
      <c r="U1694" s="23">
        <v>46929</v>
      </c>
      <c r="X1694" s="20">
        <v>5000</v>
      </c>
      <c r="Z1694" s="6" t="s">
        <v>5978</v>
      </c>
      <c r="AA1694" s="14">
        <f t="shared" si="223"/>
        <v>5.9999999999999995E-4</v>
      </c>
      <c r="AB1694">
        <v>1.721706</v>
      </c>
      <c r="AC1694">
        <v>1.79057424</v>
      </c>
    </row>
    <row r="1695" spans="1:29" x14ac:dyDescent="0.3">
      <c r="A1695">
        <v>142420</v>
      </c>
      <c r="B1695" s="25" t="s">
        <v>5984</v>
      </c>
      <c r="C1695" t="s">
        <v>20</v>
      </c>
      <c r="D1695" t="s">
        <v>21</v>
      </c>
      <c r="E1695">
        <v>2222222</v>
      </c>
      <c r="F1695" s="8" t="s">
        <v>22</v>
      </c>
      <c r="G1695" s="2">
        <v>98</v>
      </c>
      <c r="H1695" t="s">
        <v>4151</v>
      </c>
      <c r="J1695" s="9" t="s">
        <v>4990</v>
      </c>
      <c r="K1695" t="s">
        <v>4884</v>
      </c>
      <c r="L1695" s="2">
        <v>1</v>
      </c>
      <c r="M1695" s="24" t="s">
        <v>5971</v>
      </c>
      <c r="N1695" s="2" t="s">
        <v>23</v>
      </c>
      <c r="O1695" s="18" t="s">
        <v>1398</v>
      </c>
      <c r="P1695" s="18" t="s">
        <v>3781</v>
      </c>
      <c r="Q1695" s="6" t="s">
        <v>4475</v>
      </c>
      <c r="T1695" s="23">
        <v>45519</v>
      </c>
      <c r="U1695" s="23">
        <v>46979</v>
      </c>
      <c r="X1695" s="20">
        <v>5000</v>
      </c>
      <c r="Z1695" s="6" t="s">
        <v>5978</v>
      </c>
      <c r="AA1695" s="14">
        <f t="shared" si="223"/>
        <v>5.9999999999999995E-4</v>
      </c>
      <c r="AB1695">
        <v>1.8410879999999998</v>
      </c>
      <c r="AC1695">
        <v>1.9147315199999999</v>
      </c>
    </row>
    <row r="1696" spans="1:29" x14ac:dyDescent="0.3">
      <c r="A1696">
        <v>142547</v>
      </c>
      <c r="B1696" s="25" t="s">
        <v>5984</v>
      </c>
      <c r="C1696" t="s">
        <v>20</v>
      </c>
      <c r="D1696" t="s">
        <v>21</v>
      </c>
      <c r="E1696">
        <v>2222222</v>
      </c>
      <c r="F1696" s="8" t="s">
        <v>22</v>
      </c>
      <c r="G1696" s="2">
        <v>98</v>
      </c>
      <c r="H1696" t="s">
        <v>4151</v>
      </c>
      <c r="J1696" s="9" t="s">
        <v>4903</v>
      </c>
      <c r="K1696" t="s">
        <v>4893</v>
      </c>
      <c r="L1696" s="2">
        <v>1</v>
      </c>
      <c r="M1696" s="24" t="s">
        <v>5971</v>
      </c>
      <c r="N1696" s="2" t="s">
        <v>23</v>
      </c>
      <c r="O1696" s="18" t="s">
        <v>1364</v>
      </c>
      <c r="P1696" s="18" t="s">
        <v>3781</v>
      </c>
      <c r="Q1696" s="6" t="s">
        <v>4475</v>
      </c>
      <c r="T1696" s="23">
        <v>45534</v>
      </c>
      <c r="U1696" s="23">
        <v>47362</v>
      </c>
      <c r="X1696" s="20">
        <v>10700</v>
      </c>
      <c r="Z1696" s="6" t="s">
        <v>5978</v>
      </c>
      <c r="AA1696" s="14">
        <f t="shared" si="223"/>
        <v>5.9999999999999995E-4</v>
      </c>
      <c r="AB1696">
        <v>4.6678319999999998</v>
      </c>
      <c r="AC1696">
        <v>4.85454528</v>
      </c>
    </row>
    <row r="1697" spans="1:29" x14ac:dyDescent="0.3">
      <c r="A1697">
        <v>143401</v>
      </c>
      <c r="B1697" s="25" t="s">
        <v>5984</v>
      </c>
      <c r="C1697" t="s">
        <v>20</v>
      </c>
      <c r="D1697" t="s">
        <v>21</v>
      </c>
      <c r="E1697">
        <v>2222222</v>
      </c>
      <c r="F1697" s="8" t="s">
        <v>22</v>
      </c>
      <c r="G1697" s="2">
        <v>98</v>
      </c>
      <c r="H1697" t="s">
        <v>4151</v>
      </c>
      <c r="J1697" s="9" t="s">
        <v>5045</v>
      </c>
      <c r="K1697" t="s">
        <v>5075</v>
      </c>
      <c r="L1697" s="2">
        <v>1</v>
      </c>
      <c r="M1697" s="24" t="s">
        <v>5971</v>
      </c>
      <c r="N1697" s="2" t="s">
        <v>23</v>
      </c>
      <c r="O1697" s="18" t="s">
        <v>1399</v>
      </c>
      <c r="P1697" s="18" t="s">
        <v>3781</v>
      </c>
      <c r="Q1697" s="6" t="s">
        <v>4475</v>
      </c>
      <c r="T1697" s="23">
        <v>45588</v>
      </c>
      <c r="U1697" s="23">
        <v>46317</v>
      </c>
      <c r="X1697" s="20">
        <v>5000</v>
      </c>
      <c r="Z1697" s="6" t="s">
        <v>5978</v>
      </c>
      <c r="AA1697" s="14">
        <f t="shared" si="223"/>
        <v>5.9999999999999995E-4</v>
      </c>
      <c r="AB1697">
        <v>0.43823999999999996</v>
      </c>
      <c r="AC1697">
        <v>0.4557696</v>
      </c>
    </row>
    <row r="1698" spans="1:29" x14ac:dyDescent="0.3">
      <c r="A1698">
        <v>143781</v>
      </c>
      <c r="B1698" s="25" t="s">
        <v>5984</v>
      </c>
      <c r="C1698" t="s">
        <v>20</v>
      </c>
      <c r="D1698" t="s">
        <v>21</v>
      </c>
      <c r="E1698">
        <v>2222222</v>
      </c>
      <c r="F1698" s="8" t="s">
        <v>22</v>
      </c>
      <c r="G1698" s="2">
        <v>98</v>
      </c>
      <c r="H1698" t="s">
        <v>4151</v>
      </c>
      <c r="J1698" s="9" t="s">
        <v>5226</v>
      </c>
      <c r="K1698" t="s">
        <v>5165</v>
      </c>
      <c r="L1698" s="2">
        <v>1</v>
      </c>
      <c r="M1698" s="24" t="s">
        <v>5971</v>
      </c>
      <c r="N1698" s="2" t="s">
        <v>23</v>
      </c>
      <c r="O1698" s="18" t="s">
        <v>1400</v>
      </c>
      <c r="P1698" s="18" t="s">
        <v>3781</v>
      </c>
      <c r="Q1698" s="6" t="s">
        <v>4475</v>
      </c>
      <c r="T1698" s="23">
        <v>45618</v>
      </c>
      <c r="U1698" s="23">
        <v>47536</v>
      </c>
      <c r="X1698" s="20">
        <v>20000</v>
      </c>
      <c r="Z1698" s="6" t="s">
        <v>5978</v>
      </c>
      <c r="AA1698" s="14">
        <f t="shared" si="223"/>
        <v>5.9999999999999995E-4</v>
      </c>
      <c r="AB1698">
        <v>9.5692439999999994</v>
      </c>
      <c r="AC1698">
        <v>9.9520137599999998</v>
      </c>
    </row>
    <row r="1699" spans="1:29" x14ac:dyDescent="0.3">
      <c r="A1699">
        <v>143798</v>
      </c>
      <c r="B1699" s="25" t="s">
        <v>5984</v>
      </c>
      <c r="C1699" t="s">
        <v>20</v>
      </c>
      <c r="D1699" t="s">
        <v>21</v>
      </c>
      <c r="E1699">
        <v>2222222</v>
      </c>
      <c r="F1699" s="8" t="s">
        <v>22</v>
      </c>
      <c r="G1699" s="2">
        <v>98</v>
      </c>
      <c r="H1699" t="s">
        <v>4151</v>
      </c>
      <c r="J1699" s="9" t="s">
        <v>5039</v>
      </c>
      <c r="K1699" t="s">
        <v>5280</v>
      </c>
      <c r="L1699" s="2">
        <v>1</v>
      </c>
      <c r="M1699" s="24" t="s">
        <v>5971</v>
      </c>
      <c r="N1699" s="2" t="s">
        <v>23</v>
      </c>
      <c r="O1699" s="18" t="s">
        <v>1401</v>
      </c>
      <c r="P1699" s="18" t="s">
        <v>3781</v>
      </c>
      <c r="Q1699" s="6" t="s">
        <v>4475</v>
      </c>
      <c r="T1699" s="23">
        <v>45621</v>
      </c>
      <c r="U1699" s="23">
        <v>49365</v>
      </c>
      <c r="X1699" s="20">
        <v>34650</v>
      </c>
      <c r="Z1699" s="6" t="s">
        <v>5978</v>
      </c>
      <c r="AA1699" s="14">
        <f t="shared" si="223"/>
        <v>5.9999999999999995E-4</v>
      </c>
      <c r="AB1699">
        <v>19.087205999999998</v>
      </c>
      <c r="AC1699">
        <v>19.850694239999999</v>
      </c>
    </row>
    <row r="1700" spans="1:29" x14ac:dyDescent="0.3">
      <c r="A1700">
        <v>143967</v>
      </c>
      <c r="B1700" s="25" t="s">
        <v>5984</v>
      </c>
      <c r="C1700" t="s">
        <v>20</v>
      </c>
      <c r="D1700" t="s">
        <v>21</v>
      </c>
      <c r="E1700">
        <v>2222222</v>
      </c>
      <c r="F1700" s="8" t="s">
        <v>22</v>
      </c>
      <c r="G1700" s="2">
        <v>98</v>
      </c>
      <c r="H1700" t="s">
        <v>4151</v>
      </c>
      <c r="J1700" s="9" t="s">
        <v>4836</v>
      </c>
      <c r="K1700" t="s">
        <v>5038</v>
      </c>
      <c r="L1700" s="2">
        <v>1</v>
      </c>
      <c r="M1700" s="24" t="s">
        <v>5971</v>
      </c>
      <c r="N1700" s="2" t="s">
        <v>23</v>
      </c>
      <c r="O1700" s="18" t="s">
        <v>1402</v>
      </c>
      <c r="P1700" s="18" t="s">
        <v>3781</v>
      </c>
      <c r="Q1700" s="6" t="s">
        <v>4475</v>
      </c>
      <c r="T1700" s="23">
        <v>45629</v>
      </c>
      <c r="U1700" s="23">
        <v>46543</v>
      </c>
      <c r="X1700" s="20">
        <v>1500</v>
      </c>
      <c r="Z1700" s="6" t="s">
        <v>5978</v>
      </c>
      <c r="AA1700" s="14">
        <f t="shared" si="223"/>
        <v>5.9999999999999995E-4</v>
      </c>
      <c r="AB1700">
        <v>0.37454399999999999</v>
      </c>
      <c r="AC1700">
        <v>0.38952576</v>
      </c>
    </row>
    <row r="1701" spans="1:29" x14ac:dyDescent="0.3">
      <c r="A1701">
        <v>145060</v>
      </c>
      <c r="B1701" s="25" t="s">
        <v>5984</v>
      </c>
      <c r="C1701" t="s">
        <v>20</v>
      </c>
      <c r="D1701" t="s">
        <v>21</v>
      </c>
      <c r="E1701">
        <v>2222222</v>
      </c>
      <c r="F1701" s="8" t="s">
        <v>22</v>
      </c>
      <c r="G1701" s="2">
        <v>98</v>
      </c>
      <c r="H1701" t="s">
        <v>4151</v>
      </c>
      <c r="J1701" s="9" t="s">
        <v>5143</v>
      </c>
      <c r="K1701" t="s">
        <v>5165</v>
      </c>
      <c r="L1701" s="2">
        <v>1</v>
      </c>
      <c r="M1701" s="24" t="s">
        <v>5971</v>
      </c>
      <c r="N1701" s="2" t="s">
        <v>23</v>
      </c>
      <c r="O1701" s="18" t="s">
        <v>1403</v>
      </c>
      <c r="P1701" s="18" t="s">
        <v>3781</v>
      </c>
      <c r="Q1701" s="6" t="s">
        <v>4475</v>
      </c>
      <c r="T1701" s="23">
        <v>45708</v>
      </c>
      <c r="U1701" s="23">
        <v>46440</v>
      </c>
      <c r="X1701" s="20">
        <v>1300</v>
      </c>
      <c r="Z1701" s="6" t="s">
        <v>5978</v>
      </c>
      <c r="AA1701" s="14">
        <f t="shared" si="223"/>
        <v>5.9999999999999995E-4</v>
      </c>
      <c r="AB1701">
        <v>0.25583999999999996</v>
      </c>
      <c r="AC1701">
        <v>0.26607359999999997</v>
      </c>
    </row>
    <row r="1702" spans="1:29" x14ac:dyDescent="0.3">
      <c r="A1702">
        <v>145367</v>
      </c>
      <c r="B1702" s="25" t="s">
        <v>5984</v>
      </c>
      <c r="C1702" t="s">
        <v>20</v>
      </c>
      <c r="D1702" t="s">
        <v>21</v>
      </c>
      <c r="E1702">
        <v>2222222</v>
      </c>
      <c r="F1702" s="8" t="s">
        <v>22</v>
      </c>
      <c r="G1702" s="2">
        <v>98</v>
      </c>
      <c r="H1702" t="s">
        <v>4151</v>
      </c>
      <c r="J1702" s="9" t="s">
        <v>5073</v>
      </c>
      <c r="K1702" t="s">
        <v>4845</v>
      </c>
      <c r="L1702" s="2">
        <v>1</v>
      </c>
      <c r="M1702" s="24" t="s">
        <v>5971</v>
      </c>
      <c r="N1702" s="2" t="s">
        <v>23</v>
      </c>
      <c r="O1702" s="18" t="s">
        <v>1404</v>
      </c>
      <c r="P1702" s="18" t="s">
        <v>3781</v>
      </c>
      <c r="Q1702" s="6" t="s">
        <v>4475</v>
      </c>
      <c r="T1702" s="23">
        <v>45733</v>
      </c>
      <c r="U1702" s="23">
        <v>46462</v>
      </c>
      <c r="X1702" s="20">
        <v>3000</v>
      </c>
      <c r="Z1702" s="6" t="s">
        <v>5978</v>
      </c>
      <c r="AA1702" s="14">
        <f t="shared" si="223"/>
        <v>5.9999999999999995E-4</v>
      </c>
      <c r="AB1702">
        <v>0.66928799999999999</v>
      </c>
      <c r="AC1702">
        <v>0.69605952000000004</v>
      </c>
    </row>
    <row r="1703" spans="1:29" x14ac:dyDescent="0.3">
      <c r="A1703">
        <v>145374</v>
      </c>
      <c r="B1703" s="25" t="s">
        <v>5984</v>
      </c>
      <c r="C1703" t="s">
        <v>20</v>
      </c>
      <c r="D1703" t="s">
        <v>21</v>
      </c>
      <c r="E1703">
        <v>2222222</v>
      </c>
      <c r="F1703" s="8" t="s">
        <v>22</v>
      </c>
      <c r="G1703" s="2">
        <v>98</v>
      </c>
      <c r="H1703" t="s">
        <v>4151</v>
      </c>
      <c r="J1703" s="9" t="s">
        <v>4901</v>
      </c>
      <c r="K1703" t="s">
        <v>5519</v>
      </c>
      <c r="L1703" s="2">
        <v>1</v>
      </c>
      <c r="M1703" s="24" t="s">
        <v>5971</v>
      </c>
      <c r="N1703" s="2" t="s">
        <v>23</v>
      </c>
      <c r="O1703" s="18" t="s">
        <v>1405</v>
      </c>
      <c r="P1703" s="18" t="s">
        <v>0</v>
      </c>
      <c r="Q1703" s="6" t="s">
        <v>4475</v>
      </c>
      <c r="T1703" s="23">
        <v>45734</v>
      </c>
      <c r="U1703" s="23">
        <v>46647</v>
      </c>
      <c r="X1703" s="20">
        <v>1570</v>
      </c>
      <c r="Z1703" s="6" t="s">
        <v>5978</v>
      </c>
      <c r="AA1703" s="14">
        <f t="shared" si="223"/>
        <v>5.9999999999999995E-4</v>
      </c>
      <c r="AB1703">
        <v>0.48955199999999993</v>
      </c>
      <c r="AC1703">
        <v>0.50913407999999993</v>
      </c>
    </row>
    <row r="1704" spans="1:29" x14ac:dyDescent="0.3">
      <c r="A1704">
        <v>145739</v>
      </c>
      <c r="B1704" s="25" t="s">
        <v>5984</v>
      </c>
      <c r="C1704" t="s">
        <v>20</v>
      </c>
      <c r="D1704" t="s">
        <v>21</v>
      </c>
      <c r="E1704">
        <v>2222222</v>
      </c>
      <c r="F1704" s="8" t="s">
        <v>22</v>
      </c>
      <c r="G1704" s="2">
        <v>98</v>
      </c>
      <c r="H1704" t="s">
        <v>4151</v>
      </c>
      <c r="J1704" s="9" t="s">
        <v>4990</v>
      </c>
      <c r="K1704" t="s">
        <v>4884</v>
      </c>
      <c r="L1704" s="2">
        <v>1</v>
      </c>
      <c r="M1704" s="24" t="s">
        <v>5971</v>
      </c>
      <c r="N1704" s="2" t="s">
        <v>23</v>
      </c>
      <c r="O1704" s="18" t="s">
        <v>1398</v>
      </c>
      <c r="P1704" s="18" t="s">
        <v>3781</v>
      </c>
      <c r="Q1704" s="6" t="s">
        <v>4475</v>
      </c>
      <c r="T1704" s="23">
        <v>45760</v>
      </c>
      <c r="U1704" s="23">
        <v>46856</v>
      </c>
      <c r="X1704" s="20">
        <v>4000</v>
      </c>
      <c r="Z1704" s="6" t="s">
        <v>5978</v>
      </c>
      <c r="AA1704" s="14">
        <f t="shared" si="223"/>
        <v>5.9999999999999995E-4</v>
      </c>
      <c r="AB1704">
        <v>1.5468959999999998</v>
      </c>
      <c r="AC1704">
        <v>1.60877184</v>
      </c>
    </row>
    <row r="1705" spans="1:29" x14ac:dyDescent="0.3">
      <c r="A1705">
        <v>145834</v>
      </c>
      <c r="B1705" s="25" t="s">
        <v>5984</v>
      </c>
      <c r="C1705" t="s">
        <v>20</v>
      </c>
      <c r="D1705" t="s">
        <v>21</v>
      </c>
      <c r="E1705">
        <v>2222222</v>
      </c>
      <c r="F1705" s="8" t="s">
        <v>22</v>
      </c>
      <c r="G1705" s="2">
        <v>98</v>
      </c>
      <c r="H1705" t="s">
        <v>4151</v>
      </c>
      <c r="J1705" s="9" t="s">
        <v>5031</v>
      </c>
      <c r="K1705" t="s">
        <v>4863</v>
      </c>
      <c r="L1705" s="2">
        <v>1</v>
      </c>
      <c r="M1705" s="24" t="s">
        <v>5971</v>
      </c>
      <c r="N1705" s="2" t="s">
        <v>23</v>
      </c>
      <c r="O1705" s="18" t="s">
        <v>1406</v>
      </c>
      <c r="P1705" s="18" t="s">
        <v>3781</v>
      </c>
      <c r="Q1705" s="6" t="s">
        <v>4475</v>
      </c>
      <c r="T1705" s="23">
        <v>45769</v>
      </c>
      <c r="U1705" s="23">
        <v>46865</v>
      </c>
      <c r="X1705" s="20">
        <v>3000</v>
      </c>
      <c r="Z1705" s="6" t="s">
        <v>5978</v>
      </c>
      <c r="AA1705" s="14">
        <f t="shared" si="223"/>
        <v>5.9999999999999995E-4</v>
      </c>
      <c r="AB1705">
        <v>1.1601719999999998</v>
      </c>
      <c r="AC1705">
        <v>1.2065788799999997</v>
      </c>
    </row>
    <row r="1706" spans="1:29" x14ac:dyDescent="0.3">
      <c r="A1706">
        <v>145854</v>
      </c>
      <c r="B1706" s="25" t="s">
        <v>5984</v>
      </c>
      <c r="C1706" t="s">
        <v>20</v>
      </c>
      <c r="D1706" t="s">
        <v>21</v>
      </c>
      <c r="E1706">
        <v>2222222</v>
      </c>
      <c r="F1706" s="8" t="s">
        <v>22</v>
      </c>
      <c r="G1706" s="2">
        <v>98</v>
      </c>
      <c r="H1706" t="s">
        <v>4151</v>
      </c>
      <c r="J1706" s="9" t="s">
        <v>4836</v>
      </c>
      <c r="K1706" t="s">
        <v>5520</v>
      </c>
      <c r="L1706" s="2">
        <v>1</v>
      </c>
      <c r="M1706" s="24" t="s">
        <v>5971</v>
      </c>
      <c r="N1706" s="2" t="s">
        <v>23</v>
      </c>
      <c r="O1706" s="18" t="s">
        <v>1407</v>
      </c>
      <c r="P1706" s="18" t="s">
        <v>3781</v>
      </c>
      <c r="Q1706" s="6" t="s">
        <v>4475</v>
      </c>
      <c r="T1706" s="23">
        <v>45771</v>
      </c>
      <c r="U1706" s="23">
        <v>46501</v>
      </c>
      <c r="X1706" s="20">
        <v>5000</v>
      </c>
      <c r="Z1706" s="6" t="s">
        <v>5978</v>
      </c>
      <c r="AA1706" s="14">
        <f t="shared" si="223"/>
        <v>5.9999999999999995E-4</v>
      </c>
      <c r="AB1706">
        <v>1.2542519999999999</v>
      </c>
      <c r="AC1706">
        <v>1.3044220799999999</v>
      </c>
    </row>
    <row r="1707" spans="1:29" x14ac:dyDescent="0.3">
      <c r="A1707">
        <v>145910</v>
      </c>
      <c r="B1707" s="25" t="s">
        <v>5984</v>
      </c>
      <c r="C1707" t="s">
        <v>20</v>
      </c>
      <c r="D1707" t="s">
        <v>21</v>
      </c>
      <c r="E1707">
        <v>2222222</v>
      </c>
      <c r="F1707" s="8" t="s">
        <v>22</v>
      </c>
      <c r="G1707" s="2">
        <v>98</v>
      </c>
      <c r="H1707" t="s">
        <v>4151</v>
      </c>
      <c r="J1707" s="9" t="s">
        <v>4911</v>
      </c>
      <c r="K1707" t="s">
        <v>4941</v>
      </c>
      <c r="L1707" s="2">
        <v>1</v>
      </c>
      <c r="M1707" s="24" t="s">
        <v>5971</v>
      </c>
      <c r="N1707" s="2" t="s">
        <v>23</v>
      </c>
      <c r="O1707" s="18" t="s">
        <v>729</v>
      </c>
      <c r="P1707" s="18" t="s">
        <v>3781</v>
      </c>
      <c r="Q1707" s="6" t="s">
        <v>4475</v>
      </c>
      <c r="T1707" s="23">
        <v>45775</v>
      </c>
      <c r="U1707" s="23">
        <v>46871</v>
      </c>
      <c r="X1707" s="20">
        <v>3500</v>
      </c>
      <c r="Z1707" s="6" t="s">
        <v>5978</v>
      </c>
      <c r="AA1707" s="14">
        <f t="shared" si="223"/>
        <v>5.9999999999999995E-4</v>
      </c>
      <c r="AB1707">
        <v>1.3608359999999999</v>
      </c>
      <c r="AC1707">
        <v>1.4152694399999999</v>
      </c>
    </row>
    <row r="1708" spans="1:29" x14ac:dyDescent="0.3">
      <c r="A1708">
        <v>145991</v>
      </c>
      <c r="B1708" s="25" t="s">
        <v>5984</v>
      </c>
      <c r="C1708" t="s">
        <v>20</v>
      </c>
      <c r="D1708" t="s">
        <v>21</v>
      </c>
      <c r="E1708">
        <v>2222222</v>
      </c>
      <c r="F1708" s="8" t="s">
        <v>22</v>
      </c>
      <c r="G1708" s="2">
        <v>98</v>
      </c>
      <c r="H1708" t="s">
        <v>4151</v>
      </c>
      <c r="J1708" s="9" t="s">
        <v>5122</v>
      </c>
      <c r="K1708" t="s">
        <v>4924</v>
      </c>
      <c r="L1708" s="2">
        <v>1</v>
      </c>
      <c r="M1708" s="24" t="s">
        <v>5971</v>
      </c>
      <c r="N1708" s="2" t="s">
        <v>23</v>
      </c>
      <c r="O1708" s="18" t="s">
        <v>1408</v>
      </c>
      <c r="P1708" s="18" t="s">
        <v>3781</v>
      </c>
      <c r="Q1708" s="6" t="s">
        <v>4475</v>
      </c>
      <c r="T1708" s="23">
        <v>45781</v>
      </c>
      <c r="U1708" s="23">
        <v>47060</v>
      </c>
      <c r="X1708" s="20">
        <v>3000</v>
      </c>
      <c r="Z1708" s="6" t="s">
        <v>5978</v>
      </c>
      <c r="AA1708" s="14">
        <f t="shared" si="223"/>
        <v>5.9999999999999995E-4</v>
      </c>
      <c r="AB1708">
        <v>1.3207979999999999</v>
      </c>
      <c r="AC1708">
        <v>1.3736299199999999</v>
      </c>
    </row>
    <row r="1709" spans="1:29" x14ac:dyDescent="0.3">
      <c r="A1709">
        <v>146439</v>
      </c>
      <c r="B1709" s="25" t="s">
        <v>5984</v>
      </c>
      <c r="C1709" t="s">
        <v>20</v>
      </c>
      <c r="D1709" t="s">
        <v>21</v>
      </c>
      <c r="E1709">
        <v>2222222</v>
      </c>
      <c r="F1709" s="8" t="s">
        <v>22</v>
      </c>
      <c r="G1709" s="2">
        <v>98</v>
      </c>
      <c r="H1709" t="s">
        <v>4151</v>
      </c>
      <c r="J1709" s="9" t="s">
        <v>5373</v>
      </c>
      <c r="K1709" t="s">
        <v>5521</v>
      </c>
      <c r="L1709" s="2">
        <v>1</v>
      </c>
      <c r="M1709" s="24" t="s">
        <v>5971</v>
      </c>
      <c r="N1709" s="2" t="s">
        <v>23</v>
      </c>
      <c r="O1709" s="18" t="s">
        <v>1409</v>
      </c>
      <c r="P1709" s="18" t="s">
        <v>3781</v>
      </c>
      <c r="Q1709" s="6" t="s">
        <v>4475</v>
      </c>
      <c r="T1709" s="23">
        <v>45825</v>
      </c>
      <c r="U1709" s="23">
        <v>49477</v>
      </c>
      <c r="X1709" s="20">
        <v>20000</v>
      </c>
      <c r="Z1709" s="6" t="s">
        <v>5978</v>
      </c>
      <c r="AA1709" s="14">
        <f t="shared" si="223"/>
        <v>5.9999999999999995E-4</v>
      </c>
      <c r="AB1709">
        <v>11.284716</v>
      </c>
      <c r="AC1709">
        <v>11.736104640000001</v>
      </c>
    </row>
    <row r="1710" spans="1:29" x14ac:dyDescent="0.3">
      <c r="A1710">
        <v>146445</v>
      </c>
      <c r="B1710" s="25" t="s">
        <v>5984</v>
      </c>
      <c r="C1710" t="s">
        <v>20</v>
      </c>
      <c r="D1710" t="s">
        <v>21</v>
      </c>
      <c r="E1710">
        <v>2222222</v>
      </c>
      <c r="F1710" s="8" t="s">
        <v>22</v>
      </c>
      <c r="G1710" s="2">
        <v>98</v>
      </c>
      <c r="H1710" t="s">
        <v>4151</v>
      </c>
      <c r="J1710" s="9" t="s">
        <v>5522</v>
      </c>
      <c r="K1710" t="s">
        <v>4942</v>
      </c>
      <c r="L1710" s="2">
        <v>1</v>
      </c>
      <c r="M1710" s="24" t="s">
        <v>5971</v>
      </c>
      <c r="N1710" s="2" t="s">
        <v>23</v>
      </c>
      <c r="O1710" s="18" t="s">
        <v>1410</v>
      </c>
      <c r="P1710" s="18" t="s">
        <v>3781</v>
      </c>
      <c r="Q1710" s="6" t="s">
        <v>4475</v>
      </c>
      <c r="T1710" s="23">
        <v>45817</v>
      </c>
      <c r="U1710" s="23">
        <v>47283</v>
      </c>
      <c r="X1710" s="20">
        <v>5000</v>
      </c>
      <c r="Z1710" s="6" t="s">
        <v>5978</v>
      </c>
      <c r="AA1710" s="14">
        <f t="shared" si="223"/>
        <v>5.9999999999999995E-4</v>
      </c>
      <c r="AB1710">
        <v>2.3882219999999998</v>
      </c>
      <c r="AC1710">
        <v>2.4837508800000001</v>
      </c>
    </row>
    <row r="1711" spans="1:29" x14ac:dyDescent="0.3">
      <c r="A1711">
        <v>146571</v>
      </c>
      <c r="B1711" s="25" t="s">
        <v>5984</v>
      </c>
      <c r="C1711" t="s">
        <v>20</v>
      </c>
      <c r="D1711" t="s">
        <v>21</v>
      </c>
      <c r="E1711">
        <v>2222222</v>
      </c>
      <c r="F1711" s="8" t="s">
        <v>22</v>
      </c>
      <c r="G1711" s="2">
        <v>98</v>
      </c>
      <c r="H1711" t="s">
        <v>4151</v>
      </c>
      <c r="J1711" s="9" t="s">
        <v>4964</v>
      </c>
      <c r="K1711" t="s">
        <v>4852</v>
      </c>
      <c r="L1711" s="2">
        <v>1</v>
      </c>
      <c r="M1711" s="24" t="s">
        <v>5971</v>
      </c>
      <c r="N1711" s="2" t="s">
        <v>23</v>
      </c>
      <c r="O1711" s="18" t="s">
        <v>1411</v>
      </c>
      <c r="P1711" s="18" t="s">
        <v>0</v>
      </c>
      <c r="Q1711" s="6" t="s">
        <v>4475</v>
      </c>
      <c r="T1711" s="23">
        <v>45827</v>
      </c>
      <c r="U1711" s="23">
        <v>46557</v>
      </c>
      <c r="X1711" s="20">
        <v>5000</v>
      </c>
      <c r="Z1711" s="6" t="s">
        <v>5978</v>
      </c>
      <c r="AA1711" s="14">
        <f t="shared" si="223"/>
        <v>5.9999999999999995E-4</v>
      </c>
      <c r="AB1711">
        <v>1.5101819999999997</v>
      </c>
      <c r="AC1711">
        <v>1.5705892799999996</v>
      </c>
    </row>
    <row r="1712" spans="1:29" x14ac:dyDescent="0.3">
      <c r="A1712">
        <v>146922</v>
      </c>
      <c r="B1712" s="25" t="s">
        <v>5984</v>
      </c>
      <c r="C1712" t="s">
        <v>20</v>
      </c>
      <c r="D1712" t="s">
        <v>21</v>
      </c>
      <c r="E1712">
        <v>2222222</v>
      </c>
      <c r="F1712" s="8" t="s">
        <v>22</v>
      </c>
      <c r="G1712" s="2">
        <v>98</v>
      </c>
      <c r="H1712" t="s">
        <v>4151</v>
      </c>
      <c r="J1712" s="9" t="s">
        <v>5096</v>
      </c>
      <c r="K1712" t="s">
        <v>5118</v>
      </c>
      <c r="L1712" s="2">
        <v>1</v>
      </c>
      <c r="M1712" s="24" t="s">
        <v>5971</v>
      </c>
      <c r="N1712" s="2" t="s">
        <v>23</v>
      </c>
      <c r="O1712" s="18" t="s">
        <v>1412</v>
      </c>
      <c r="P1712" s="18" t="s">
        <v>3781</v>
      </c>
      <c r="Q1712" s="6" t="s">
        <v>4475</v>
      </c>
      <c r="T1712" s="23">
        <v>45853</v>
      </c>
      <c r="U1712" s="23">
        <v>46948</v>
      </c>
      <c r="X1712" s="20">
        <v>5000</v>
      </c>
      <c r="Z1712" s="6" t="s">
        <v>5978</v>
      </c>
      <c r="AA1712" s="14">
        <f t="shared" si="223"/>
        <v>5.9999999999999995E-4</v>
      </c>
      <c r="AB1712">
        <v>2.1363839999999996</v>
      </c>
      <c r="AC1712">
        <v>2.2218393599999997</v>
      </c>
    </row>
    <row r="1713" spans="1:29" x14ac:dyDescent="0.3">
      <c r="A1713">
        <v>147076</v>
      </c>
      <c r="B1713" s="25" t="s">
        <v>5984</v>
      </c>
      <c r="C1713" t="s">
        <v>20</v>
      </c>
      <c r="D1713" t="s">
        <v>21</v>
      </c>
      <c r="E1713">
        <v>2222222</v>
      </c>
      <c r="F1713" s="8" t="s">
        <v>22</v>
      </c>
      <c r="G1713" s="2">
        <v>98</v>
      </c>
      <c r="H1713" t="s">
        <v>4151</v>
      </c>
      <c r="J1713" s="9" t="s">
        <v>5322</v>
      </c>
      <c r="K1713" t="s">
        <v>4844</v>
      </c>
      <c r="L1713" s="2">
        <v>1</v>
      </c>
      <c r="M1713" s="24" t="s">
        <v>5971</v>
      </c>
      <c r="N1713" s="2" t="s">
        <v>23</v>
      </c>
      <c r="O1713" s="18" t="s">
        <v>1413</v>
      </c>
      <c r="P1713" s="18" t="s">
        <v>0</v>
      </c>
      <c r="Q1713" s="6" t="s">
        <v>4475</v>
      </c>
      <c r="T1713" s="23">
        <v>45862</v>
      </c>
      <c r="U1713" s="23">
        <v>47322</v>
      </c>
      <c r="X1713" s="20">
        <v>4500</v>
      </c>
      <c r="Z1713" s="6" t="s">
        <v>5978</v>
      </c>
      <c r="AA1713" s="14">
        <f t="shared" si="223"/>
        <v>5.9999999999999995E-4</v>
      </c>
      <c r="AB1713">
        <v>2.2407779999999997</v>
      </c>
      <c r="AC1713">
        <v>2.3304091199999997</v>
      </c>
    </row>
    <row r="1714" spans="1:29" x14ac:dyDescent="0.3">
      <c r="A1714">
        <v>147277</v>
      </c>
      <c r="B1714" s="25" t="s">
        <v>5984</v>
      </c>
      <c r="C1714" t="s">
        <v>20</v>
      </c>
      <c r="D1714" t="s">
        <v>21</v>
      </c>
      <c r="E1714">
        <v>2222222</v>
      </c>
      <c r="F1714" s="8" t="s">
        <v>22</v>
      </c>
      <c r="G1714" s="2">
        <v>98</v>
      </c>
      <c r="H1714" t="s">
        <v>4151</v>
      </c>
      <c r="J1714" s="9" t="s">
        <v>4950</v>
      </c>
      <c r="K1714" t="s">
        <v>5523</v>
      </c>
      <c r="L1714" s="2">
        <v>1</v>
      </c>
      <c r="M1714" s="24" t="s">
        <v>5971</v>
      </c>
      <c r="N1714" s="2" t="s">
        <v>23</v>
      </c>
      <c r="O1714" s="18" t="s">
        <v>1414</v>
      </c>
      <c r="P1714" s="18" t="s">
        <v>0</v>
      </c>
      <c r="Q1714" s="6" t="s">
        <v>4475</v>
      </c>
      <c r="T1714" s="23">
        <v>45877</v>
      </c>
      <c r="U1714" s="23">
        <v>46514</v>
      </c>
      <c r="X1714" s="20">
        <v>10310</v>
      </c>
      <c r="Z1714" s="6" t="s">
        <v>5978</v>
      </c>
      <c r="AA1714" s="14">
        <f t="shared" si="223"/>
        <v>5.9999999999999995E-4</v>
      </c>
      <c r="AB1714">
        <v>3.1065659999999995</v>
      </c>
      <c r="AC1714">
        <v>3.2308286399999995</v>
      </c>
    </row>
    <row r="1715" spans="1:29" x14ac:dyDescent="0.3">
      <c r="A1715">
        <v>147284</v>
      </c>
      <c r="B1715" s="25" t="s">
        <v>5984</v>
      </c>
      <c r="C1715" t="s">
        <v>20</v>
      </c>
      <c r="D1715" t="s">
        <v>21</v>
      </c>
      <c r="E1715">
        <v>2222222</v>
      </c>
      <c r="F1715" s="8" t="s">
        <v>22</v>
      </c>
      <c r="G1715" s="2">
        <v>98</v>
      </c>
      <c r="H1715" t="s">
        <v>4151</v>
      </c>
      <c r="J1715" s="9" t="s">
        <v>5045</v>
      </c>
      <c r="K1715" t="s">
        <v>5110</v>
      </c>
      <c r="L1715" s="2">
        <v>1</v>
      </c>
      <c r="M1715" s="24" t="s">
        <v>5971</v>
      </c>
      <c r="N1715" s="2" t="s">
        <v>23</v>
      </c>
      <c r="O1715" s="18" t="s">
        <v>1415</v>
      </c>
      <c r="P1715" s="18" t="s">
        <v>3781</v>
      </c>
      <c r="Q1715" s="6" t="s">
        <v>4475</v>
      </c>
      <c r="T1715" s="23">
        <v>45877</v>
      </c>
      <c r="U1715" s="23">
        <v>46973</v>
      </c>
      <c r="X1715" s="20">
        <v>3000</v>
      </c>
      <c r="Z1715" s="6" t="s">
        <v>5978</v>
      </c>
      <c r="AA1715" s="14">
        <f t="shared" si="223"/>
        <v>5.9999999999999995E-4</v>
      </c>
      <c r="AB1715">
        <v>1.348266</v>
      </c>
      <c r="AC1715">
        <v>1.4021966400000001</v>
      </c>
    </row>
    <row r="1716" spans="1:29" x14ac:dyDescent="0.3">
      <c r="A1716">
        <v>147456</v>
      </c>
      <c r="B1716" s="25" t="s">
        <v>5984</v>
      </c>
      <c r="C1716" t="s">
        <v>20</v>
      </c>
      <c r="D1716" t="s">
        <v>21</v>
      </c>
      <c r="E1716">
        <v>2222222</v>
      </c>
      <c r="F1716" s="8" t="s">
        <v>22</v>
      </c>
      <c r="G1716" s="2">
        <v>98</v>
      </c>
      <c r="H1716" t="s">
        <v>4151</v>
      </c>
      <c r="J1716" s="9" t="s">
        <v>4891</v>
      </c>
      <c r="K1716" t="s">
        <v>5524</v>
      </c>
      <c r="L1716" s="2">
        <v>1</v>
      </c>
      <c r="M1716" s="24" t="s">
        <v>5971</v>
      </c>
      <c r="N1716" s="2" t="s">
        <v>23</v>
      </c>
      <c r="O1716" s="18" t="s">
        <v>1416</v>
      </c>
      <c r="P1716" s="18" t="s">
        <v>3781</v>
      </c>
      <c r="Q1716" s="6" t="s">
        <v>4475</v>
      </c>
      <c r="T1716" s="23">
        <v>45890</v>
      </c>
      <c r="U1716" s="23">
        <v>47350</v>
      </c>
      <c r="X1716" s="20">
        <v>5000</v>
      </c>
      <c r="Z1716" s="6" t="s">
        <v>5978</v>
      </c>
      <c r="AA1716" s="14">
        <f t="shared" si="223"/>
        <v>5.9999999999999995E-4</v>
      </c>
      <c r="AB1716">
        <v>2.4882239999999998</v>
      </c>
      <c r="AC1716">
        <v>2.58775296</v>
      </c>
    </row>
    <row r="1717" spans="1:29" x14ac:dyDescent="0.3">
      <c r="A1717">
        <v>147831</v>
      </c>
      <c r="B1717" s="25" t="s">
        <v>5984</v>
      </c>
      <c r="C1717" t="s">
        <v>20</v>
      </c>
      <c r="D1717" t="s">
        <v>21</v>
      </c>
      <c r="E1717">
        <v>2222222</v>
      </c>
      <c r="F1717" s="8" t="s">
        <v>22</v>
      </c>
      <c r="G1717" s="2">
        <v>98</v>
      </c>
      <c r="H1717" t="s">
        <v>4151</v>
      </c>
      <c r="J1717" s="9" t="s">
        <v>5486</v>
      </c>
      <c r="K1717" t="s">
        <v>4963</v>
      </c>
      <c r="L1717" s="2">
        <v>1</v>
      </c>
      <c r="M1717" s="24" t="s">
        <v>5971</v>
      </c>
      <c r="N1717" s="2" t="s">
        <v>23</v>
      </c>
      <c r="O1717" s="18" t="s">
        <v>1417</v>
      </c>
      <c r="P1717" s="18" t="s">
        <v>3781</v>
      </c>
      <c r="Q1717" s="6" t="s">
        <v>4475</v>
      </c>
      <c r="T1717" s="23">
        <v>45915</v>
      </c>
      <c r="U1717" s="23">
        <v>46827</v>
      </c>
      <c r="X1717" s="20">
        <v>1920</v>
      </c>
      <c r="Z1717" s="6" t="s">
        <v>5978</v>
      </c>
      <c r="AA1717" s="14">
        <f t="shared" si="223"/>
        <v>5.9999999999999995E-4</v>
      </c>
      <c r="AB1717">
        <v>0.81171599999999988</v>
      </c>
      <c r="AC1717">
        <v>0.84418463999999993</v>
      </c>
    </row>
    <row r="1718" spans="1:29" x14ac:dyDescent="0.3">
      <c r="A1718">
        <v>147891</v>
      </c>
      <c r="B1718" s="25" t="s">
        <v>5984</v>
      </c>
      <c r="C1718" t="s">
        <v>20</v>
      </c>
      <c r="D1718" t="s">
        <v>21</v>
      </c>
      <c r="E1718">
        <v>2222222</v>
      </c>
      <c r="F1718" s="8" t="s">
        <v>22</v>
      </c>
      <c r="G1718" s="2">
        <v>98</v>
      </c>
      <c r="H1718" t="s">
        <v>4151</v>
      </c>
      <c r="J1718" s="9" t="s">
        <v>5143</v>
      </c>
      <c r="K1718" t="s">
        <v>5165</v>
      </c>
      <c r="L1718" s="2">
        <v>1</v>
      </c>
      <c r="M1718" s="24" t="s">
        <v>5971</v>
      </c>
      <c r="N1718" s="2" t="s">
        <v>23</v>
      </c>
      <c r="O1718" s="18" t="s">
        <v>1403</v>
      </c>
      <c r="P1718" s="18" t="s">
        <v>3781</v>
      </c>
      <c r="Q1718" s="6" t="s">
        <v>4475</v>
      </c>
      <c r="T1718" s="23">
        <v>45919</v>
      </c>
      <c r="U1718" s="23">
        <v>46284</v>
      </c>
      <c r="X1718" s="20">
        <v>5000</v>
      </c>
      <c r="Z1718" s="6" t="s">
        <v>5978</v>
      </c>
      <c r="AA1718" s="14">
        <f t="shared" si="223"/>
        <v>5.9999999999999995E-4</v>
      </c>
      <c r="AB1718">
        <v>0.53745599999999993</v>
      </c>
      <c r="AC1718">
        <v>0.55895423999999994</v>
      </c>
    </row>
    <row r="1719" spans="1:29" x14ac:dyDescent="0.3">
      <c r="A1719">
        <v>147984</v>
      </c>
      <c r="B1719" s="25" t="s">
        <v>5984</v>
      </c>
      <c r="C1719" t="s">
        <v>20</v>
      </c>
      <c r="D1719" t="s">
        <v>21</v>
      </c>
      <c r="E1719">
        <v>2222222</v>
      </c>
      <c r="F1719" s="8" t="s">
        <v>22</v>
      </c>
      <c r="G1719" s="2">
        <v>98</v>
      </c>
      <c r="H1719" t="s">
        <v>4151</v>
      </c>
      <c r="J1719" s="9" t="s">
        <v>4891</v>
      </c>
      <c r="K1719" t="s">
        <v>4861</v>
      </c>
      <c r="L1719" s="2">
        <v>1</v>
      </c>
      <c r="M1719" s="24" t="s">
        <v>5971</v>
      </c>
      <c r="N1719" s="2" t="s">
        <v>23</v>
      </c>
      <c r="O1719" s="18" t="s">
        <v>1418</v>
      </c>
      <c r="P1719" s="18" t="s">
        <v>3781</v>
      </c>
      <c r="Q1719" s="6" t="s">
        <v>4475</v>
      </c>
      <c r="T1719" s="23">
        <v>45926</v>
      </c>
      <c r="U1719" s="23">
        <v>46838</v>
      </c>
      <c r="X1719" s="20">
        <v>2500</v>
      </c>
      <c r="Z1719" s="6" t="s">
        <v>5978</v>
      </c>
      <c r="AA1719" s="14">
        <f t="shared" si="223"/>
        <v>5.9999999999999995E-4</v>
      </c>
      <c r="AB1719">
        <v>1.0686599999999999</v>
      </c>
      <c r="AC1719">
        <v>1.1114063999999999</v>
      </c>
    </row>
    <row r="1720" spans="1:29" x14ac:dyDescent="0.3">
      <c r="A1720">
        <v>147991</v>
      </c>
      <c r="B1720" s="25" t="s">
        <v>5984</v>
      </c>
      <c r="C1720" t="s">
        <v>20</v>
      </c>
      <c r="D1720" t="s">
        <v>21</v>
      </c>
      <c r="E1720">
        <v>2222222</v>
      </c>
      <c r="F1720" s="8" t="s">
        <v>22</v>
      </c>
      <c r="G1720" s="2">
        <v>98</v>
      </c>
      <c r="H1720" t="s">
        <v>4151</v>
      </c>
      <c r="J1720" s="9" t="s">
        <v>4936</v>
      </c>
      <c r="K1720" t="s">
        <v>5127</v>
      </c>
      <c r="L1720" s="2">
        <v>1</v>
      </c>
      <c r="M1720" s="24" t="s">
        <v>5971</v>
      </c>
      <c r="N1720" s="2" t="s">
        <v>23</v>
      </c>
      <c r="O1720" s="18" t="s">
        <v>1419</v>
      </c>
      <c r="P1720" s="18" t="s">
        <v>0</v>
      </c>
      <c r="Q1720" s="6" t="s">
        <v>4475</v>
      </c>
      <c r="T1720" s="23">
        <v>45930</v>
      </c>
      <c r="U1720" s="23">
        <v>47757</v>
      </c>
      <c r="X1720" s="20">
        <v>15250</v>
      </c>
      <c r="Z1720" s="6" t="s">
        <v>5978</v>
      </c>
      <c r="AA1720" s="14">
        <f t="shared" si="223"/>
        <v>5.9999999999999995E-4</v>
      </c>
      <c r="AB1720">
        <v>8.1470939999999992</v>
      </c>
      <c r="AC1720">
        <v>8.4729777599999991</v>
      </c>
    </row>
    <row r="1721" spans="1:29" x14ac:dyDescent="0.3">
      <c r="A1721">
        <v>148014</v>
      </c>
      <c r="B1721" s="25" t="s">
        <v>5984</v>
      </c>
      <c r="C1721" t="s">
        <v>20</v>
      </c>
      <c r="D1721" t="s">
        <v>21</v>
      </c>
      <c r="E1721">
        <v>2222222</v>
      </c>
      <c r="F1721" s="8" t="s">
        <v>22</v>
      </c>
      <c r="G1721" s="2">
        <v>98</v>
      </c>
      <c r="H1721" t="s">
        <v>4151</v>
      </c>
      <c r="J1721" s="9" t="s">
        <v>4956</v>
      </c>
      <c r="K1721" t="s">
        <v>4894</v>
      </c>
      <c r="L1721" s="2">
        <v>1</v>
      </c>
      <c r="M1721" s="24" t="s">
        <v>5971</v>
      </c>
      <c r="N1721" s="2" t="s">
        <v>23</v>
      </c>
      <c r="O1721" s="18" t="s">
        <v>1420</v>
      </c>
      <c r="P1721" s="18" t="s">
        <v>3781</v>
      </c>
      <c r="Q1721" s="6" t="s">
        <v>4475</v>
      </c>
      <c r="T1721" s="23">
        <v>45931</v>
      </c>
      <c r="U1721" s="23">
        <v>47392</v>
      </c>
      <c r="X1721" s="20">
        <v>5000</v>
      </c>
      <c r="Z1721" s="6" t="s">
        <v>5978</v>
      </c>
      <c r="AA1721" s="14">
        <f t="shared" si="223"/>
        <v>5.9999999999999995E-4</v>
      </c>
      <c r="AB1721">
        <v>2.5564079999999998</v>
      </c>
      <c r="AC1721">
        <v>2.6586643199999997</v>
      </c>
    </row>
    <row r="1722" spans="1:29" x14ac:dyDescent="0.3">
      <c r="A1722">
        <v>148147</v>
      </c>
      <c r="B1722" s="25" t="s">
        <v>5984</v>
      </c>
      <c r="C1722" t="s">
        <v>20</v>
      </c>
      <c r="D1722" t="s">
        <v>21</v>
      </c>
      <c r="E1722">
        <v>2222222</v>
      </c>
      <c r="F1722" s="8" t="s">
        <v>22</v>
      </c>
      <c r="G1722" s="2">
        <v>98</v>
      </c>
      <c r="H1722" t="s">
        <v>4151</v>
      </c>
      <c r="J1722" s="9" t="s">
        <v>4852</v>
      </c>
      <c r="K1722" t="s">
        <v>4900</v>
      </c>
      <c r="L1722" s="2">
        <v>1</v>
      </c>
      <c r="M1722" s="24" t="s">
        <v>5971</v>
      </c>
      <c r="N1722" s="2" t="s">
        <v>23</v>
      </c>
      <c r="O1722" s="18" t="s">
        <v>1421</v>
      </c>
      <c r="P1722" s="18" t="s">
        <v>0</v>
      </c>
      <c r="Q1722" s="6" t="s">
        <v>4475</v>
      </c>
      <c r="T1722" s="23">
        <v>45939</v>
      </c>
      <c r="U1722" s="23">
        <v>47034</v>
      </c>
      <c r="X1722" s="20">
        <v>2800</v>
      </c>
      <c r="Z1722" s="6" t="s">
        <v>5978</v>
      </c>
      <c r="AA1722" s="14">
        <f t="shared" si="223"/>
        <v>5.9999999999999995E-4</v>
      </c>
      <c r="AB1722">
        <v>1.3357139999999998</v>
      </c>
      <c r="AC1722">
        <v>1.3891425599999998</v>
      </c>
    </row>
    <row r="1723" spans="1:29" x14ac:dyDescent="0.3">
      <c r="A1723">
        <v>148293</v>
      </c>
      <c r="B1723" s="25" t="s">
        <v>5984</v>
      </c>
      <c r="C1723" t="s">
        <v>20</v>
      </c>
      <c r="D1723" t="s">
        <v>21</v>
      </c>
      <c r="E1723">
        <v>2222222</v>
      </c>
      <c r="F1723" s="8" t="s">
        <v>22</v>
      </c>
      <c r="G1723" s="2">
        <v>98</v>
      </c>
      <c r="H1723" t="s">
        <v>4151</v>
      </c>
      <c r="J1723" s="9" t="s">
        <v>4836</v>
      </c>
      <c r="K1723" t="s">
        <v>5019</v>
      </c>
      <c r="L1723" s="2">
        <v>1</v>
      </c>
      <c r="M1723" s="24" t="s">
        <v>5971</v>
      </c>
      <c r="N1723" s="2" t="s">
        <v>23</v>
      </c>
      <c r="O1723" s="18" t="s">
        <v>1396</v>
      </c>
      <c r="P1723" s="18" t="s">
        <v>3781</v>
      </c>
      <c r="Q1723" s="6" t="s">
        <v>4475</v>
      </c>
      <c r="T1723" s="23">
        <v>45954</v>
      </c>
      <c r="U1723" s="23">
        <v>47779</v>
      </c>
      <c r="X1723" s="20">
        <v>10000</v>
      </c>
      <c r="Z1723" s="6" t="s">
        <v>5978</v>
      </c>
      <c r="AA1723" s="14">
        <f t="shared" si="223"/>
        <v>5.9999999999999995E-4</v>
      </c>
      <c r="AB1723">
        <v>5.3108879999999994</v>
      </c>
      <c r="AC1723">
        <v>5.5233235199999999</v>
      </c>
    </row>
    <row r="1724" spans="1:29" x14ac:dyDescent="0.3">
      <c r="A1724">
        <v>148523</v>
      </c>
      <c r="B1724" s="25" t="s">
        <v>5984</v>
      </c>
      <c r="C1724" t="s">
        <v>20</v>
      </c>
      <c r="D1724" t="s">
        <v>21</v>
      </c>
      <c r="E1724">
        <v>2222222</v>
      </c>
      <c r="F1724" s="8" t="s">
        <v>22</v>
      </c>
      <c r="G1724" s="2">
        <v>98</v>
      </c>
      <c r="H1724" t="s">
        <v>4151</v>
      </c>
      <c r="J1724" s="9" t="s">
        <v>5051</v>
      </c>
      <c r="K1724" t="s">
        <v>5525</v>
      </c>
      <c r="L1724" s="2">
        <v>1</v>
      </c>
      <c r="M1724" s="24" t="s">
        <v>5971</v>
      </c>
      <c r="N1724" s="2" t="s">
        <v>23</v>
      </c>
      <c r="O1724" s="18" t="s">
        <v>1422</v>
      </c>
      <c r="P1724" s="18" t="s">
        <v>3781</v>
      </c>
      <c r="Q1724" s="6" t="s">
        <v>4475</v>
      </c>
      <c r="T1724" s="23">
        <v>44701</v>
      </c>
      <c r="U1724" s="23">
        <v>46517</v>
      </c>
      <c r="X1724" s="20">
        <v>10900</v>
      </c>
      <c r="Z1724" s="6" t="s">
        <v>5978</v>
      </c>
      <c r="AA1724" s="15">
        <f>+(0.42/1000)</f>
        <v>4.1999999999999996E-4</v>
      </c>
      <c r="AB1724">
        <v>1.0848431999999999</v>
      </c>
      <c r="AC1724">
        <v>1.128236928</v>
      </c>
    </row>
    <row r="1725" spans="1:29" x14ac:dyDescent="0.3">
      <c r="A1725">
        <v>148577</v>
      </c>
      <c r="B1725" s="25" t="s">
        <v>5984</v>
      </c>
      <c r="C1725" t="s">
        <v>20</v>
      </c>
      <c r="D1725" t="s">
        <v>21</v>
      </c>
      <c r="E1725">
        <v>2222222</v>
      </c>
      <c r="F1725" s="8" t="s">
        <v>22</v>
      </c>
      <c r="G1725" s="2">
        <v>98</v>
      </c>
      <c r="H1725" t="s">
        <v>4151</v>
      </c>
      <c r="J1725" s="9" t="s">
        <v>5526</v>
      </c>
      <c r="K1725" t="s">
        <v>5527</v>
      </c>
      <c r="L1725" s="2">
        <v>1</v>
      </c>
      <c r="M1725" s="24" t="s">
        <v>5971</v>
      </c>
      <c r="N1725" s="2" t="s">
        <v>23</v>
      </c>
      <c r="O1725" s="18" t="s">
        <v>1423</v>
      </c>
      <c r="P1725" s="18" t="s">
        <v>3781</v>
      </c>
      <c r="Q1725" s="6" t="s">
        <v>4475</v>
      </c>
      <c r="T1725" s="23">
        <v>45742</v>
      </c>
      <c r="U1725" s="23">
        <v>46817</v>
      </c>
      <c r="X1725" s="20">
        <v>3000</v>
      </c>
      <c r="Z1725" s="6" t="s">
        <v>5978</v>
      </c>
      <c r="AA1725" s="14">
        <f t="shared" ref="AA1725:AA1763" si="224">+(0.6/1000)</f>
        <v>5.9999999999999995E-4</v>
      </c>
      <c r="AB1725">
        <v>1.086408</v>
      </c>
      <c r="AC1725">
        <v>1.12986432</v>
      </c>
    </row>
    <row r="1726" spans="1:29" x14ac:dyDescent="0.3">
      <c r="A1726">
        <v>148611</v>
      </c>
      <c r="B1726" s="25" t="s">
        <v>5984</v>
      </c>
      <c r="C1726" t="s">
        <v>20</v>
      </c>
      <c r="D1726" t="s">
        <v>21</v>
      </c>
      <c r="E1726">
        <v>2222222</v>
      </c>
      <c r="F1726" s="8" t="s">
        <v>22</v>
      </c>
      <c r="G1726" s="2">
        <v>98</v>
      </c>
      <c r="H1726" t="s">
        <v>4151</v>
      </c>
      <c r="J1726" s="9" t="s">
        <v>4967</v>
      </c>
      <c r="K1726" t="s">
        <v>5320</v>
      </c>
      <c r="L1726" s="2">
        <v>1</v>
      </c>
      <c r="M1726" s="24" t="s">
        <v>5971</v>
      </c>
      <c r="N1726" s="2" t="s">
        <v>23</v>
      </c>
      <c r="O1726" s="18" t="s">
        <v>1397</v>
      </c>
      <c r="P1726" s="18" t="s">
        <v>3781</v>
      </c>
      <c r="Q1726" s="6" t="s">
        <v>4475</v>
      </c>
      <c r="T1726" s="23">
        <v>45967</v>
      </c>
      <c r="U1726" s="23">
        <v>47063</v>
      </c>
      <c r="X1726" s="20">
        <v>4000</v>
      </c>
      <c r="Z1726" s="6" t="s">
        <v>5978</v>
      </c>
      <c r="AA1726" s="14">
        <f t="shared" si="224"/>
        <v>5.9999999999999995E-4</v>
      </c>
      <c r="AB1726">
        <v>1.9662599999999997</v>
      </c>
      <c r="AC1726">
        <v>2.0449103999999996</v>
      </c>
    </row>
    <row r="1727" spans="1:29" x14ac:dyDescent="0.3">
      <c r="A1727">
        <v>148787</v>
      </c>
      <c r="B1727" s="25" t="s">
        <v>5984</v>
      </c>
      <c r="C1727" t="s">
        <v>20</v>
      </c>
      <c r="D1727" t="s">
        <v>21</v>
      </c>
      <c r="E1727">
        <v>2222222</v>
      </c>
      <c r="F1727" s="8" t="s">
        <v>22</v>
      </c>
      <c r="G1727" s="2">
        <v>98</v>
      </c>
      <c r="H1727" t="s">
        <v>4151</v>
      </c>
      <c r="J1727" s="9" t="s">
        <v>4911</v>
      </c>
      <c r="K1727" t="s">
        <v>4941</v>
      </c>
      <c r="L1727" s="2">
        <v>1</v>
      </c>
      <c r="M1727" s="24" t="s">
        <v>5971</v>
      </c>
      <c r="N1727" s="2" t="s">
        <v>23</v>
      </c>
      <c r="O1727" s="18" t="s">
        <v>729</v>
      </c>
      <c r="P1727" s="18" t="s">
        <v>3781</v>
      </c>
      <c r="Q1727" s="6" t="s">
        <v>4475</v>
      </c>
      <c r="T1727" s="23">
        <v>45979</v>
      </c>
      <c r="U1727" s="23">
        <v>47075</v>
      </c>
      <c r="X1727" s="20">
        <v>4000</v>
      </c>
      <c r="Z1727" s="6" t="s">
        <v>5978</v>
      </c>
      <c r="AA1727" s="14">
        <f t="shared" si="224"/>
        <v>5.9999999999999995E-4</v>
      </c>
      <c r="AB1727">
        <v>1.9662599999999997</v>
      </c>
      <c r="AC1727">
        <v>2.0449103999999996</v>
      </c>
    </row>
    <row r="1728" spans="1:29" x14ac:dyDescent="0.3">
      <c r="A1728">
        <v>149110</v>
      </c>
      <c r="B1728" s="25" t="s">
        <v>5984</v>
      </c>
      <c r="C1728" t="s">
        <v>20</v>
      </c>
      <c r="D1728" t="s">
        <v>21</v>
      </c>
      <c r="E1728">
        <v>2222222</v>
      </c>
      <c r="F1728" s="8" t="s">
        <v>22</v>
      </c>
      <c r="G1728" s="2">
        <v>98</v>
      </c>
      <c r="H1728" t="s">
        <v>4151</v>
      </c>
      <c r="J1728" s="9" t="s">
        <v>5243</v>
      </c>
      <c r="K1728" t="s">
        <v>5160</v>
      </c>
      <c r="L1728" s="2">
        <v>1</v>
      </c>
      <c r="M1728" s="24" t="s">
        <v>5971</v>
      </c>
      <c r="N1728" s="2" t="s">
        <v>23</v>
      </c>
      <c r="O1728" s="18" t="s">
        <v>1424</v>
      </c>
      <c r="P1728" s="18" t="s">
        <v>0</v>
      </c>
      <c r="Q1728" s="6" t="s">
        <v>4475</v>
      </c>
      <c r="T1728" s="23">
        <v>45999</v>
      </c>
      <c r="U1728" s="23">
        <v>47097</v>
      </c>
      <c r="X1728" s="20">
        <v>5000</v>
      </c>
      <c r="Z1728" s="6" t="s">
        <v>5978</v>
      </c>
      <c r="AA1728" s="14">
        <f t="shared" si="224"/>
        <v>5.9999999999999995E-4</v>
      </c>
      <c r="AB1728">
        <v>2.5335779999999999</v>
      </c>
      <c r="AC1728">
        <v>2.63492112</v>
      </c>
    </row>
    <row r="1729" spans="1:29" x14ac:dyDescent="0.3">
      <c r="A1729">
        <v>149194</v>
      </c>
      <c r="B1729" s="25" t="s">
        <v>5984</v>
      </c>
      <c r="C1729" t="s">
        <v>20</v>
      </c>
      <c r="D1729" t="s">
        <v>21</v>
      </c>
      <c r="E1729">
        <v>2222222</v>
      </c>
      <c r="F1729" s="8" t="s">
        <v>22</v>
      </c>
      <c r="G1729" s="2">
        <v>98</v>
      </c>
      <c r="H1729" t="s">
        <v>4151</v>
      </c>
      <c r="J1729" s="9" t="s">
        <v>4900</v>
      </c>
      <c r="K1729" t="s">
        <v>4946</v>
      </c>
      <c r="L1729" s="2">
        <v>1</v>
      </c>
      <c r="M1729" s="24" t="s">
        <v>5971</v>
      </c>
      <c r="N1729" s="2" t="s">
        <v>23</v>
      </c>
      <c r="O1729" s="18" t="s">
        <v>1395</v>
      </c>
      <c r="P1729" s="18" t="s">
        <v>0</v>
      </c>
      <c r="Q1729" s="6" t="s">
        <v>4475</v>
      </c>
      <c r="T1729" s="23">
        <v>46003</v>
      </c>
      <c r="U1729" s="23">
        <v>47098</v>
      </c>
      <c r="X1729" s="20">
        <v>3550</v>
      </c>
      <c r="Z1729" s="6" t="s">
        <v>5978</v>
      </c>
      <c r="AA1729" s="14">
        <f t="shared" si="224"/>
        <v>5.9999999999999995E-4</v>
      </c>
      <c r="AB1729">
        <v>1.7947979999999999</v>
      </c>
      <c r="AC1729">
        <v>1.86658992</v>
      </c>
    </row>
    <row r="1730" spans="1:29" x14ac:dyDescent="0.3">
      <c r="A1730">
        <v>149296</v>
      </c>
      <c r="B1730" s="25" t="s">
        <v>5984</v>
      </c>
      <c r="C1730" t="s">
        <v>20</v>
      </c>
      <c r="D1730" t="s">
        <v>21</v>
      </c>
      <c r="E1730">
        <v>2222222</v>
      </c>
      <c r="F1730" s="8" t="s">
        <v>22</v>
      </c>
      <c r="G1730" s="2">
        <v>98</v>
      </c>
      <c r="H1730" t="s">
        <v>4151</v>
      </c>
      <c r="J1730" s="9" t="s">
        <v>5080</v>
      </c>
      <c r="K1730" t="s">
        <v>4905</v>
      </c>
      <c r="L1730" s="2">
        <v>1</v>
      </c>
      <c r="M1730" s="24" t="s">
        <v>5971</v>
      </c>
      <c r="N1730" s="2" t="s">
        <v>23</v>
      </c>
      <c r="O1730" s="18" t="s">
        <v>1425</v>
      </c>
      <c r="P1730" s="18" t="s">
        <v>0</v>
      </c>
      <c r="Q1730" s="6" t="s">
        <v>4475</v>
      </c>
      <c r="T1730" s="23">
        <v>46010</v>
      </c>
      <c r="U1730" s="23">
        <v>46375</v>
      </c>
      <c r="X1730" s="20">
        <v>3100</v>
      </c>
      <c r="Z1730" s="6" t="s">
        <v>5978</v>
      </c>
      <c r="AA1730" s="14">
        <f t="shared" si="224"/>
        <v>5.9999999999999995E-4</v>
      </c>
      <c r="AB1730">
        <v>0.81233999999999995</v>
      </c>
      <c r="AC1730">
        <v>0.84483359999999996</v>
      </c>
    </row>
    <row r="1731" spans="1:29" x14ac:dyDescent="0.3">
      <c r="A1731">
        <v>149345</v>
      </c>
      <c r="B1731" s="25" t="s">
        <v>5984</v>
      </c>
      <c r="C1731" t="s">
        <v>20</v>
      </c>
      <c r="D1731" t="s">
        <v>21</v>
      </c>
      <c r="E1731">
        <v>2222222</v>
      </c>
      <c r="F1731" s="8" t="s">
        <v>22</v>
      </c>
      <c r="G1731" s="2">
        <v>98</v>
      </c>
      <c r="H1731" t="s">
        <v>4151</v>
      </c>
      <c r="J1731" s="9" t="s">
        <v>4901</v>
      </c>
      <c r="K1731" t="s">
        <v>5519</v>
      </c>
      <c r="L1731" s="2">
        <v>1</v>
      </c>
      <c r="M1731" s="24" t="s">
        <v>5971</v>
      </c>
      <c r="N1731" s="2" t="s">
        <v>23</v>
      </c>
      <c r="O1731" s="18" t="s">
        <v>1405</v>
      </c>
      <c r="P1731" s="18" t="s">
        <v>0</v>
      </c>
      <c r="Q1731" s="6" t="s">
        <v>4475</v>
      </c>
      <c r="T1731" s="23">
        <v>46015</v>
      </c>
      <c r="U1731" s="23">
        <v>46379</v>
      </c>
      <c r="X1731" s="20">
        <v>500</v>
      </c>
      <c r="Z1731" s="6" t="s">
        <v>5978</v>
      </c>
      <c r="AA1731" s="14">
        <f t="shared" si="224"/>
        <v>5.9999999999999995E-4</v>
      </c>
      <c r="AB1731">
        <v>0.131358</v>
      </c>
      <c r="AC1731">
        <v>0.13661232000000001</v>
      </c>
    </row>
    <row r="1732" spans="1:29" x14ac:dyDescent="0.3">
      <c r="A1732">
        <v>149493</v>
      </c>
      <c r="B1732" s="25" t="s">
        <v>5984</v>
      </c>
      <c r="C1732" t="s">
        <v>20</v>
      </c>
      <c r="D1732" t="s">
        <v>21</v>
      </c>
      <c r="E1732">
        <v>2222222</v>
      </c>
      <c r="F1732" s="8" t="s">
        <v>22</v>
      </c>
      <c r="G1732" s="2">
        <v>98</v>
      </c>
      <c r="H1732" t="s">
        <v>4151</v>
      </c>
      <c r="J1732" s="9" t="s">
        <v>5017</v>
      </c>
      <c r="K1732" t="s">
        <v>5075</v>
      </c>
      <c r="L1732" s="2">
        <v>1</v>
      </c>
      <c r="M1732" s="24" t="s">
        <v>5971</v>
      </c>
      <c r="N1732" s="2" t="s">
        <v>23</v>
      </c>
      <c r="O1732" s="18" t="s">
        <v>1426</v>
      </c>
      <c r="P1732" s="18" t="s">
        <v>3781</v>
      </c>
      <c r="Q1732" s="6" t="s">
        <v>4475</v>
      </c>
      <c r="T1732" s="23">
        <v>46029</v>
      </c>
      <c r="U1732" s="23">
        <v>46759</v>
      </c>
      <c r="X1732" s="20">
        <v>3500</v>
      </c>
      <c r="Z1732" s="6" t="s">
        <v>5978</v>
      </c>
      <c r="AA1732" s="14">
        <f t="shared" si="224"/>
        <v>5.9999999999999995E-4</v>
      </c>
      <c r="AB1732">
        <v>1.6413059999999999</v>
      </c>
      <c r="AC1732">
        <v>1.7069582400000001</v>
      </c>
    </row>
    <row r="1733" spans="1:29" x14ac:dyDescent="0.3">
      <c r="A1733">
        <v>149620</v>
      </c>
      <c r="B1733" s="25" t="s">
        <v>5984</v>
      </c>
      <c r="C1733" t="s">
        <v>20</v>
      </c>
      <c r="D1733" t="s">
        <v>21</v>
      </c>
      <c r="E1733">
        <v>2222222</v>
      </c>
      <c r="F1733" s="8" t="s">
        <v>22</v>
      </c>
      <c r="G1733" s="2">
        <v>98</v>
      </c>
      <c r="H1733" t="s">
        <v>4151</v>
      </c>
      <c r="J1733" s="9" t="s">
        <v>4838</v>
      </c>
      <c r="K1733" t="s">
        <v>4826</v>
      </c>
      <c r="L1733" s="2">
        <v>1</v>
      </c>
      <c r="M1733" s="24" t="s">
        <v>5971</v>
      </c>
      <c r="N1733" s="2" t="s">
        <v>23</v>
      </c>
      <c r="O1733" s="18" t="s">
        <v>1427</v>
      </c>
      <c r="P1733" s="18" t="s">
        <v>0</v>
      </c>
      <c r="Q1733" s="6" t="s">
        <v>4475</v>
      </c>
      <c r="T1733" s="23">
        <v>46037</v>
      </c>
      <c r="U1733" s="23">
        <v>46766</v>
      </c>
      <c r="X1733" s="20">
        <v>3000</v>
      </c>
      <c r="Z1733" s="6" t="s">
        <v>5978</v>
      </c>
      <c r="AA1733" s="14">
        <f t="shared" si="224"/>
        <v>5.9999999999999995E-4</v>
      </c>
      <c r="AB1733">
        <v>1.4038139999999999</v>
      </c>
      <c r="AC1733">
        <v>1.45996656</v>
      </c>
    </row>
    <row r="1734" spans="1:29" x14ac:dyDescent="0.3">
      <c r="A1734">
        <v>149728</v>
      </c>
      <c r="B1734" s="25" t="s">
        <v>5984</v>
      </c>
      <c r="C1734" t="s">
        <v>20</v>
      </c>
      <c r="D1734" t="s">
        <v>21</v>
      </c>
      <c r="E1734">
        <v>2222222</v>
      </c>
      <c r="F1734" s="8" t="s">
        <v>22</v>
      </c>
      <c r="G1734" s="2">
        <v>98</v>
      </c>
      <c r="H1734" t="s">
        <v>4151</v>
      </c>
      <c r="J1734" s="9" t="s">
        <v>4988</v>
      </c>
      <c r="K1734" t="s">
        <v>4857</v>
      </c>
      <c r="L1734" s="2">
        <v>1</v>
      </c>
      <c r="M1734" s="24" t="s">
        <v>5971</v>
      </c>
      <c r="N1734" s="2" t="s">
        <v>23</v>
      </c>
      <c r="O1734" s="18" t="s">
        <v>1215</v>
      </c>
      <c r="P1734" s="18" t="s">
        <v>0</v>
      </c>
      <c r="Q1734" s="6" t="s">
        <v>4475</v>
      </c>
      <c r="T1734" s="23">
        <v>46049</v>
      </c>
      <c r="U1734" s="23">
        <v>46604</v>
      </c>
      <c r="X1734" s="20">
        <v>5000</v>
      </c>
      <c r="Z1734" s="6" t="s">
        <v>5978</v>
      </c>
      <c r="AA1734" s="14">
        <f t="shared" si="224"/>
        <v>5.9999999999999995E-4</v>
      </c>
      <c r="AB1734">
        <v>2.2465499999999996</v>
      </c>
      <c r="AC1734">
        <v>2.3364119999999997</v>
      </c>
    </row>
    <row r="1735" spans="1:29" x14ac:dyDescent="0.3">
      <c r="A1735">
        <v>149968</v>
      </c>
      <c r="B1735" s="25" t="s">
        <v>5984</v>
      </c>
      <c r="C1735" t="s">
        <v>20</v>
      </c>
      <c r="D1735" t="s">
        <v>21</v>
      </c>
      <c r="E1735">
        <v>2222222</v>
      </c>
      <c r="F1735" s="8" t="s">
        <v>22</v>
      </c>
      <c r="G1735" s="2">
        <v>98</v>
      </c>
      <c r="H1735" t="s">
        <v>4151</v>
      </c>
      <c r="J1735" s="9" t="s">
        <v>4815</v>
      </c>
      <c r="K1735" t="s">
        <v>5190</v>
      </c>
      <c r="L1735" s="2">
        <v>1</v>
      </c>
      <c r="M1735" s="24" t="s">
        <v>5971</v>
      </c>
      <c r="N1735" s="2" t="s">
        <v>23</v>
      </c>
      <c r="O1735" s="18" t="s">
        <v>1428</v>
      </c>
      <c r="P1735" s="18" t="s">
        <v>0</v>
      </c>
      <c r="Q1735" s="6" t="s">
        <v>4475</v>
      </c>
      <c r="T1735" s="23">
        <v>46062</v>
      </c>
      <c r="U1735" s="23">
        <v>47525</v>
      </c>
      <c r="X1735" s="20">
        <v>4200</v>
      </c>
      <c r="Z1735" s="6" t="s">
        <v>5978</v>
      </c>
      <c r="AA1735" s="14">
        <f t="shared" si="224"/>
        <v>5.9999999999999995E-4</v>
      </c>
      <c r="AB1735">
        <v>2.3341979999999998</v>
      </c>
      <c r="AC1735">
        <v>2.4275659199999997</v>
      </c>
    </row>
    <row r="1736" spans="1:29" x14ac:dyDescent="0.3">
      <c r="A1736">
        <v>150010</v>
      </c>
      <c r="B1736" s="25" t="s">
        <v>5984</v>
      </c>
      <c r="C1736" t="s">
        <v>20</v>
      </c>
      <c r="D1736" t="s">
        <v>21</v>
      </c>
      <c r="E1736">
        <v>2222222</v>
      </c>
      <c r="F1736" s="8" t="s">
        <v>22</v>
      </c>
      <c r="G1736" s="2">
        <v>98</v>
      </c>
      <c r="H1736" t="s">
        <v>4151</v>
      </c>
      <c r="J1736" s="9" t="s">
        <v>5178</v>
      </c>
      <c r="K1736" t="s">
        <v>4999</v>
      </c>
      <c r="L1736" s="2">
        <v>1</v>
      </c>
      <c r="M1736" s="24" t="s">
        <v>5971</v>
      </c>
      <c r="N1736" s="2" t="s">
        <v>23</v>
      </c>
      <c r="O1736" s="18" t="s">
        <v>283</v>
      </c>
      <c r="P1736" s="18" t="s">
        <v>3781</v>
      </c>
      <c r="Q1736" s="6" t="s">
        <v>4475</v>
      </c>
      <c r="T1736" s="23">
        <v>46064</v>
      </c>
      <c r="U1736" s="23">
        <v>47162</v>
      </c>
      <c r="X1736" s="20">
        <v>4000</v>
      </c>
      <c r="Z1736" s="6" t="s">
        <v>5978</v>
      </c>
      <c r="AA1736" s="14">
        <f t="shared" si="224"/>
        <v>5.9999999999999995E-4</v>
      </c>
      <c r="AB1736">
        <v>2.1355439999999999</v>
      </c>
      <c r="AC1736">
        <v>2.2209657599999999</v>
      </c>
    </row>
    <row r="1737" spans="1:29" x14ac:dyDescent="0.3">
      <c r="A1737">
        <v>150430</v>
      </c>
      <c r="B1737" s="25" t="s">
        <v>5984</v>
      </c>
      <c r="C1737" t="s">
        <v>20</v>
      </c>
      <c r="D1737" t="s">
        <v>21</v>
      </c>
      <c r="E1737">
        <v>2222222</v>
      </c>
      <c r="F1737" s="8" t="s">
        <v>22</v>
      </c>
      <c r="G1737" s="2">
        <v>98</v>
      </c>
      <c r="H1737" t="s">
        <v>4151</v>
      </c>
      <c r="J1737" s="9" t="s">
        <v>4852</v>
      </c>
      <c r="K1737" t="s">
        <v>4900</v>
      </c>
      <c r="L1737" s="2">
        <v>1</v>
      </c>
      <c r="M1737" s="24" t="s">
        <v>5971</v>
      </c>
      <c r="N1737" s="2" t="s">
        <v>23</v>
      </c>
      <c r="O1737" s="18" t="s">
        <v>1421</v>
      </c>
      <c r="P1737" s="18" t="s">
        <v>0</v>
      </c>
      <c r="Q1737" s="6" t="s">
        <v>4475</v>
      </c>
      <c r="T1737" s="23">
        <v>46093</v>
      </c>
      <c r="U1737" s="23">
        <v>47373</v>
      </c>
      <c r="X1737" s="20">
        <v>4600</v>
      </c>
      <c r="Z1737" s="6" t="s">
        <v>5978</v>
      </c>
      <c r="AA1737" s="14">
        <f t="shared" si="224"/>
        <v>5.9999999999999995E-4</v>
      </c>
      <c r="AB1737">
        <v>2.5649879999999996</v>
      </c>
      <c r="AC1737">
        <v>2.6675875199999997</v>
      </c>
    </row>
    <row r="1738" spans="1:29" x14ac:dyDescent="0.3">
      <c r="A1738">
        <v>150612</v>
      </c>
      <c r="B1738" s="25" t="s">
        <v>5984</v>
      </c>
      <c r="C1738" t="s">
        <v>20</v>
      </c>
      <c r="D1738" t="s">
        <v>21</v>
      </c>
      <c r="E1738">
        <v>2222222</v>
      </c>
      <c r="F1738" s="8" t="s">
        <v>22</v>
      </c>
      <c r="G1738" s="2">
        <v>98</v>
      </c>
      <c r="H1738" t="s">
        <v>4151</v>
      </c>
      <c r="J1738" s="9" t="s">
        <v>5522</v>
      </c>
      <c r="K1738" t="s">
        <v>4942</v>
      </c>
      <c r="L1738" s="2">
        <v>1</v>
      </c>
      <c r="M1738" s="24" t="s">
        <v>5971</v>
      </c>
      <c r="N1738" s="2" t="s">
        <v>23</v>
      </c>
      <c r="O1738" s="18" t="s">
        <v>1410</v>
      </c>
      <c r="P1738" s="18" t="s">
        <v>3781</v>
      </c>
      <c r="Q1738" s="6" t="s">
        <v>4475</v>
      </c>
      <c r="T1738" s="23">
        <v>46104</v>
      </c>
      <c r="U1738" s="23">
        <v>47199</v>
      </c>
      <c r="X1738" s="20">
        <v>1390</v>
      </c>
      <c r="Z1738" s="6" t="s">
        <v>5978</v>
      </c>
      <c r="AA1738" s="14">
        <f t="shared" si="224"/>
        <v>5.9999999999999995E-4</v>
      </c>
      <c r="AB1738">
        <v>0.76076999999999995</v>
      </c>
      <c r="AC1738">
        <v>0.79120079999999993</v>
      </c>
    </row>
    <row r="1739" spans="1:29" x14ac:dyDescent="0.3">
      <c r="A1739">
        <v>150707</v>
      </c>
      <c r="B1739" s="25" t="s">
        <v>5984</v>
      </c>
      <c r="C1739" t="s">
        <v>20</v>
      </c>
      <c r="D1739" t="s">
        <v>21</v>
      </c>
      <c r="E1739">
        <v>2222222</v>
      </c>
      <c r="F1739" s="8" t="s">
        <v>22</v>
      </c>
      <c r="G1739" s="2">
        <v>98</v>
      </c>
      <c r="H1739" t="s">
        <v>4151</v>
      </c>
      <c r="J1739" s="9" t="s">
        <v>5096</v>
      </c>
      <c r="K1739" t="s">
        <v>4941</v>
      </c>
      <c r="L1739" s="2">
        <v>1</v>
      </c>
      <c r="M1739" s="24" t="s">
        <v>5971</v>
      </c>
      <c r="N1739" s="2" t="s">
        <v>23</v>
      </c>
      <c r="O1739" s="18" t="s">
        <v>1429</v>
      </c>
      <c r="P1739" s="18" t="s">
        <v>3781</v>
      </c>
      <c r="Q1739" s="6" t="s">
        <v>4475</v>
      </c>
      <c r="T1739" s="23">
        <v>46111</v>
      </c>
      <c r="U1739" s="23">
        <v>46476</v>
      </c>
      <c r="X1739" s="20">
        <v>5000</v>
      </c>
      <c r="Z1739" s="6" t="s">
        <v>5978</v>
      </c>
      <c r="AA1739" s="14">
        <f t="shared" si="224"/>
        <v>5.9999999999999995E-4</v>
      </c>
      <c r="AB1739">
        <v>2.0587439999999999</v>
      </c>
      <c r="AC1739">
        <v>2.14109376</v>
      </c>
    </row>
    <row r="1740" spans="1:29" x14ac:dyDescent="0.3">
      <c r="A1740">
        <v>150949</v>
      </c>
      <c r="B1740" s="25" t="s">
        <v>5984</v>
      </c>
      <c r="C1740" t="s">
        <v>20</v>
      </c>
      <c r="D1740" t="s">
        <v>21</v>
      </c>
      <c r="E1740">
        <v>2222222</v>
      </c>
      <c r="F1740" s="8" t="s">
        <v>22</v>
      </c>
      <c r="G1740" s="2">
        <v>98</v>
      </c>
      <c r="H1740" t="s">
        <v>4151</v>
      </c>
      <c r="J1740" s="9" t="s">
        <v>4815</v>
      </c>
      <c r="K1740" t="s">
        <v>5528</v>
      </c>
      <c r="L1740" s="2">
        <v>1</v>
      </c>
      <c r="M1740" s="24" t="s">
        <v>5971</v>
      </c>
      <c r="N1740" s="2" t="s">
        <v>23</v>
      </c>
      <c r="O1740" s="18" t="s">
        <v>1430</v>
      </c>
      <c r="P1740" s="18" t="s">
        <v>0</v>
      </c>
      <c r="Q1740" s="6" t="s">
        <v>4475</v>
      </c>
      <c r="T1740" s="23">
        <v>46128</v>
      </c>
      <c r="U1740" s="23">
        <v>46889</v>
      </c>
      <c r="X1740" s="20">
        <v>2200</v>
      </c>
      <c r="Z1740" s="6" t="s">
        <v>5978</v>
      </c>
      <c r="AA1740" s="14">
        <f t="shared" si="224"/>
        <v>5.9999999999999995E-4</v>
      </c>
      <c r="AB1740">
        <v>1.185144</v>
      </c>
      <c r="AC1740">
        <v>1.2325497599999999</v>
      </c>
    </row>
    <row r="1741" spans="1:29" x14ac:dyDescent="0.3">
      <c r="A1741">
        <v>151215</v>
      </c>
      <c r="B1741" s="25" t="s">
        <v>5984</v>
      </c>
      <c r="C1741" t="s">
        <v>20</v>
      </c>
      <c r="D1741" t="s">
        <v>21</v>
      </c>
      <c r="E1741">
        <v>2222222</v>
      </c>
      <c r="F1741" s="8" t="s">
        <v>22</v>
      </c>
      <c r="G1741" s="2">
        <v>98</v>
      </c>
      <c r="H1741" t="s">
        <v>4151</v>
      </c>
      <c r="J1741" s="9" t="s">
        <v>4918</v>
      </c>
      <c r="K1741" t="s">
        <v>4894</v>
      </c>
      <c r="L1741" s="2">
        <v>1</v>
      </c>
      <c r="M1741" s="24" t="s">
        <v>5971</v>
      </c>
      <c r="N1741" s="2" t="s">
        <v>23</v>
      </c>
      <c r="O1741" s="18" t="s">
        <v>823</v>
      </c>
      <c r="P1741" s="18" t="s">
        <v>3781</v>
      </c>
      <c r="Q1741" s="6" t="s">
        <v>4475</v>
      </c>
      <c r="T1741" s="23">
        <v>46147</v>
      </c>
      <c r="U1741" s="23">
        <v>46237</v>
      </c>
      <c r="X1741" s="20">
        <v>2210</v>
      </c>
      <c r="Z1741" s="6" t="s">
        <v>5978</v>
      </c>
      <c r="AA1741" s="14">
        <f t="shared" si="224"/>
        <v>5.9999999999999995E-4</v>
      </c>
      <c r="AB1741">
        <v>1.3259999999999998</v>
      </c>
      <c r="AC1741">
        <v>1.3790399999999998</v>
      </c>
    </row>
    <row r="1742" spans="1:29" x14ac:dyDescent="0.3">
      <c r="A1742">
        <v>151266</v>
      </c>
      <c r="B1742" s="25" t="s">
        <v>5984</v>
      </c>
      <c r="C1742" t="s">
        <v>20</v>
      </c>
      <c r="D1742" t="s">
        <v>21</v>
      </c>
      <c r="E1742">
        <v>2222222</v>
      </c>
      <c r="F1742" s="8" t="s">
        <v>22</v>
      </c>
      <c r="G1742" s="2">
        <v>98</v>
      </c>
      <c r="H1742" t="s">
        <v>4151</v>
      </c>
      <c r="J1742" s="9" t="s">
        <v>5373</v>
      </c>
      <c r="K1742" t="s">
        <v>5521</v>
      </c>
      <c r="L1742" s="2">
        <v>1</v>
      </c>
      <c r="M1742" s="24" t="s">
        <v>5971</v>
      </c>
      <c r="N1742" s="2" t="s">
        <v>23</v>
      </c>
      <c r="O1742" s="18" t="s">
        <v>1409</v>
      </c>
      <c r="P1742" s="18" t="s">
        <v>3781</v>
      </c>
      <c r="Q1742" s="6" t="s">
        <v>4475</v>
      </c>
      <c r="T1742" s="23">
        <v>46151</v>
      </c>
      <c r="U1742" s="23">
        <v>46241</v>
      </c>
      <c r="X1742" s="20">
        <v>4000</v>
      </c>
      <c r="Z1742" s="6" t="s">
        <v>5978</v>
      </c>
      <c r="AA1742" s="14">
        <f t="shared" si="224"/>
        <v>5.9999999999999995E-4</v>
      </c>
      <c r="AB1742">
        <v>2.4</v>
      </c>
      <c r="AC1742">
        <v>2.496</v>
      </c>
    </row>
    <row r="1743" spans="1:29" x14ac:dyDescent="0.3">
      <c r="A1743">
        <v>151354</v>
      </c>
      <c r="B1743" s="25" t="s">
        <v>5984</v>
      </c>
      <c r="C1743" t="s">
        <v>20</v>
      </c>
      <c r="D1743" t="s">
        <v>21</v>
      </c>
      <c r="E1743">
        <v>2222222</v>
      </c>
      <c r="F1743" s="8" t="s">
        <v>22</v>
      </c>
      <c r="G1743" s="2">
        <v>98</v>
      </c>
      <c r="H1743" t="s">
        <v>4151</v>
      </c>
      <c r="J1743" s="9" t="s">
        <v>4936</v>
      </c>
      <c r="K1743" t="s">
        <v>5127</v>
      </c>
      <c r="L1743" s="2">
        <v>1</v>
      </c>
      <c r="M1743" s="24" t="s">
        <v>5971</v>
      </c>
      <c r="N1743" s="2" t="s">
        <v>23</v>
      </c>
      <c r="O1743" s="18" t="s">
        <v>1419</v>
      </c>
      <c r="P1743" s="18" t="s">
        <v>0</v>
      </c>
      <c r="Q1743" s="6" t="s">
        <v>4475</v>
      </c>
      <c r="T1743" s="23">
        <v>46161</v>
      </c>
      <c r="U1743" s="23">
        <v>46251</v>
      </c>
      <c r="X1743" s="20">
        <v>1660</v>
      </c>
      <c r="Z1743" s="6" t="s">
        <v>5978</v>
      </c>
      <c r="AA1743" s="14">
        <f t="shared" si="224"/>
        <v>5.9999999999999995E-4</v>
      </c>
      <c r="AB1743">
        <v>0.99599999999999989</v>
      </c>
      <c r="AC1743">
        <v>1.0358399999999999</v>
      </c>
    </row>
    <row r="1744" spans="1:29" x14ac:dyDescent="0.3">
      <c r="A1744">
        <v>151355</v>
      </c>
      <c r="B1744" s="25" t="s">
        <v>5984</v>
      </c>
      <c r="C1744" t="s">
        <v>20</v>
      </c>
      <c r="D1744" t="s">
        <v>21</v>
      </c>
      <c r="E1744">
        <v>2222222</v>
      </c>
      <c r="F1744" s="8" t="s">
        <v>22</v>
      </c>
      <c r="G1744" s="2">
        <v>98</v>
      </c>
      <c r="H1744" t="s">
        <v>4151</v>
      </c>
      <c r="J1744" s="9" t="s">
        <v>4893</v>
      </c>
      <c r="K1744" t="s">
        <v>4880</v>
      </c>
      <c r="L1744" s="2">
        <v>1</v>
      </c>
      <c r="M1744" s="24" t="s">
        <v>5971</v>
      </c>
      <c r="N1744" s="2" t="s">
        <v>23</v>
      </c>
      <c r="O1744" s="18" t="s">
        <v>1431</v>
      </c>
      <c r="P1744" s="18" t="s">
        <v>3781</v>
      </c>
      <c r="Q1744" s="6" t="s">
        <v>4475</v>
      </c>
      <c r="T1744" s="23">
        <v>46157</v>
      </c>
      <c r="U1744" s="23">
        <v>46247</v>
      </c>
      <c r="X1744" s="20">
        <v>4430</v>
      </c>
      <c r="Z1744" s="6" t="s">
        <v>5978</v>
      </c>
      <c r="AA1744" s="14">
        <f t="shared" si="224"/>
        <v>5.9999999999999995E-4</v>
      </c>
      <c r="AB1744">
        <v>2.6579999999999999</v>
      </c>
      <c r="AC1744">
        <v>2.7643200000000001</v>
      </c>
    </row>
    <row r="1745" spans="1:29" x14ac:dyDescent="0.3">
      <c r="A1745">
        <v>151385</v>
      </c>
      <c r="B1745" s="25" t="s">
        <v>5984</v>
      </c>
      <c r="C1745" t="s">
        <v>20</v>
      </c>
      <c r="D1745" t="s">
        <v>21</v>
      </c>
      <c r="E1745">
        <v>2222222</v>
      </c>
      <c r="F1745" s="8" t="s">
        <v>22</v>
      </c>
      <c r="G1745" s="2">
        <v>98</v>
      </c>
      <c r="H1745" t="s">
        <v>4151</v>
      </c>
      <c r="J1745" s="9" t="s">
        <v>4815</v>
      </c>
      <c r="K1745" t="s">
        <v>5528</v>
      </c>
      <c r="L1745" s="2">
        <v>1</v>
      </c>
      <c r="M1745" s="24" t="s">
        <v>5971</v>
      </c>
      <c r="N1745" s="2" t="s">
        <v>23</v>
      </c>
      <c r="O1745" s="18" t="s">
        <v>1430</v>
      </c>
      <c r="P1745" s="18" t="s">
        <v>0</v>
      </c>
      <c r="Q1745" s="6" t="s">
        <v>4475</v>
      </c>
      <c r="T1745" s="23">
        <v>46161</v>
      </c>
      <c r="U1745" s="23">
        <v>46251</v>
      </c>
      <c r="X1745" s="20">
        <v>970</v>
      </c>
      <c r="Z1745" s="6" t="s">
        <v>5978</v>
      </c>
      <c r="AA1745" s="14">
        <f t="shared" si="224"/>
        <v>5.9999999999999995E-4</v>
      </c>
      <c r="AB1745">
        <v>0.58199999999999996</v>
      </c>
      <c r="AC1745">
        <v>0.60527999999999993</v>
      </c>
    </row>
    <row r="1746" spans="1:29" x14ac:dyDescent="0.3">
      <c r="A1746">
        <v>151439</v>
      </c>
      <c r="B1746" s="25" t="s">
        <v>5984</v>
      </c>
      <c r="C1746" t="s">
        <v>20</v>
      </c>
      <c r="D1746" t="s">
        <v>21</v>
      </c>
      <c r="E1746">
        <v>2222222</v>
      </c>
      <c r="F1746" s="8" t="s">
        <v>22</v>
      </c>
      <c r="G1746" s="2">
        <v>98</v>
      </c>
      <c r="H1746" t="s">
        <v>4151</v>
      </c>
      <c r="J1746" s="9" t="s">
        <v>4836</v>
      </c>
      <c r="K1746" t="s">
        <v>5409</v>
      </c>
      <c r="L1746" s="2">
        <v>1</v>
      </c>
      <c r="M1746" s="24" t="s">
        <v>5971</v>
      </c>
      <c r="N1746" s="2" t="s">
        <v>23</v>
      </c>
      <c r="O1746" s="18" t="s">
        <v>1432</v>
      </c>
      <c r="P1746" s="18" t="s">
        <v>3781</v>
      </c>
      <c r="Q1746" s="6" t="s">
        <v>4475</v>
      </c>
      <c r="T1746" s="23">
        <v>46163</v>
      </c>
      <c r="U1746" s="23">
        <v>47258</v>
      </c>
      <c r="X1746" s="20">
        <v>3100</v>
      </c>
      <c r="Z1746" s="6" t="s">
        <v>5978</v>
      </c>
      <c r="AA1746" s="14">
        <f t="shared" si="224"/>
        <v>5.9999999999999995E-4</v>
      </c>
      <c r="AB1746">
        <v>1.7790659999999998</v>
      </c>
      <c r="AC1746">
        <v>1.8502286399999999</v>
      </c>
    </row>
    <row r="1747" spans="1:29" x14ac:dyDescent="0.3">
      <c r="A1747">
        <v>151481</v>
      </c>
      <c r="B1747" s="25" t="s">
        <v>5984</v>
      </c>
      <c r="C1747" t="s">
        <v>20</v>
      </c>
      <c r="D1747" t="s">
        <v>21</v>
      </c>
      <c r="E1747">
        <v>2222222</v>
      </c>
      <c r="F1747" s="8" t="s">
        <v>22</v>
      </c>
      <c r="G1747" s="2">
        <v>98</v>
      </c>
      <c r="H1747" t="s">
        <v>4151</v>
      </c>
      <c r="J1747" s="9" t="s">
        <v>4852</v>
      </c>
      <c r="K1747" t="s">
        <v>4937</v>
      </c>
      <c r="L1747" s="2">
        <v>1</v>
      </c>
      <c r="M1747" s="24" t="s">
        <v>5971</v>
      </c>
      <c r="N1747" s="2" t="s">
        <v>23</v>
      </c>
      <c r="O1747" s="18" t="s">
        <v>1433</v>
      </c>
      <c r="P1747" s="18" t="s">
        <v>0</v>
      </c>
      <c r="Q1747" s="6" t="s">
        <v>4475</v>
      </c>
      <c r="T1747" s="23">
        <v>46168</v>
      </c>
      <c r="U1747" s="23">
        <v>46258</v>
      </c>
      <c r="X1747" s="20">
        <v>5000</v>
      </c>
      <c r="Z1747" s="6" t="s">
        <v>5978</v>
      </c>
      <c r="AA1747" s="14">
        <f t="shared" si="224"/>
        <v>5.9999999999999995E-4</v>
      </c>
      <c r="AB1747">
        <v>2.9999999999999996</v>
      </c>
      <c r="AC1747">
        <v>3.1199999999999997</v>
      </c>
    </row>
    <row r="1748" spans="1:29" x14ac:dyDescent="0.3">
      <c r="A1748">
        <v>151492</v>
      </c>
      <c r="B1748" s="25" t="s">
        <v>5984</v>
      </c>
      <c r="C1748" t="s">
        <v>20</v>
      </c>
      <c r="D1748" t="s">
        <v>21</v>
      </c>
      <c r="E1748">
        <v>2222222</v>
      </c>
      <c r="F1748" s="8" t="s">
        <v>22</v>
      </c>
      <c r="G1748" s="2">
        <v>98</v>
      </c>
      <c r="H1748" t="s">
        <v>4151</v>
      </c>
      <c r="J1748" s="9" t="s">
        <v>5226</v>
      </c>
      <c r="K1748" t="s">
        <v>5165</v>
      </c>
      <c r="L1748" s="2">
        <v>1</v>
      </c>
      <c r="M1748" s="24" t="s">
        <v>5971</v>
      </c>
      <c r="N1748" s="2" t="s">
        <v>23</v>
      </c>
      <c r="O1748" s="18" t="s">
        <v>1400</v>
      </c>
      <c r="P1748" s="18" t="s">
        <v>3781</v>
      </c>
      <c r="Q1748" s="6" t="s">
        <v>4475</v>
      </c>
      <c r="T1748" s="23">
        <v>46168</v>
      </c>
      <c r="U1748" s="23">
        <v>46258</v>
      </c>
      <c r="X1748" s="20">
        <v>1920</v>
      </c>
      <c r="Z1748" s="6" t="s">
        <v>5978</v>
      </c>
      <c r="AA1748" s="14">
        <f t="shared" si="224"/>
        <v>5.9999999999999995E-4</v>
      </c>
      <c r="AB1748">
        <v>1.1519999999999999</v>
      </c>
      <c r="AC1748">
        <v>1.19808</v>
      </c>
    </row>
    <row r="1749" spans="1:29" x14ac:dyDescent="0.3">
      <c r="A1749">
        <v>151689</v>
      </c>
      <c r="B1749" s="25" t="s">
        <v>5984</v>
      </c>
      <c r="C1749" t="s">
        <v>20</v>
      </c>
      <c r="D1749" t="s">
        <v>21</v>
      </c>
      <c r="E1749">
        <v>2222222</v>
      </c>
      <c r="F1749" s="8" t="s">
        <v>22</v>
      </c>
      <c r="G1749" s="2">
        <v>98</v>
      </c>
      <c r="H1749" t="s">
        <v>4151</v>
      </c>
      <c r="J1749" s="9" t="s">
        <v>5178</v>
      </c>
      <c r="K1749" t="s">
        <v>4999</v>
      </c>
      <c r="L1749" s="2">
        <v>1</v>
      </c>
      <c r="M1749" s="24" t="s">
        <v>5971</v>
      </c>
      <c r="N1749" s="2" t="s">
        <v>23</v>
      </c>
      <c r="O1749" s="18" t="s">
        <v>283</v>
      </c>
      <c r="P1749" s="18" t="s">
        <v>3781</v>
      </c>
      <c r="Q1749" s="6" t="s">
        <v>4475</v>
      </c>
      <c r="T1749" s="23">
        <v>46181</v>
      </c>
      <c r="U1749" s="23">
        <v>46271</v>
      </c>
      <c r="X1749" s="20">
        <v>4980</v>
      </c>
      <c r="Z1749" s="6" t="s">
        <v>5978</v>
      </c>
      <c r="AA1749" s="14">
        <f t="shared" si="224"/>
        <v>5.9999999999999995E-4</v>
      </c>
      <c r="AB1749">
        <v>2.9879999999999995</v>
      </c>
      <c r="AC1749">
        <v>3.1075199999999996</v>
      </c>
    </row>
    <row r="1750" spans="1:29" x14ac:dyDescent="0.3">
      <c r="A1750">
        <v>151702</v>
      </c>
      <c r="B1750" s="25" t="s">
        <v>5984</v>
      </c>
      <c r="C1750" t="s">
        <v>20</v>
      </c>
      <c r="D1750" t="s">
        <v>21</v>
      </c>
      <c r="E1750">
        <v>2222222</v>
      </c>
      <c r="F1750" s="8" t="s">
        <v>22</v>
      </c>
      <c r="G1750" s="2">
        <v>98</v>
      </c>
      <c r="H1750" t="s">
        <v>4151</v>
      </c>
      <c r="J1750" s="9" t="s">
        <v>5031</v>
      </c>
      <c r="K1750" t="s">
        <v>4863</v>
      </c>
      <c r="L1750" s="2">
        <v>1</v>
      </c>
      <c r="M1750" s="24" t="s">
        <v>5971</v>
      </c>
      <c r="N1750" s="2" t="s">
        <v>23</v>
      </c>
      <c r="O1750" s="18" t="s">
        <v>1406</v>
      </c>
      <c r="P1750" s="18" t="s">
        <v>3781</v>
      </c>
      <c r="Q1750" s="6" t="s">
        <v>4475</v>
      </c>
      <c r="T1750" s="23">
        <v>46182</v>
      </c>
      <c r="U1750" s="23">
        <v>47278</v>
      </c>
      <c r="X1750" s="20">
        <v>3000</v>
      </c>
      <c r="Z1750" s="6" t="s">
        <v>5978</v>
      </c>
      <c r="AA1750" s="14">
        <f t="shared" si="224"/>
        <v>5.9999999999999995E-4</v>
      </c>
      <c r="AB1750">
        <v>1.7617019999999999</v>
      </c>
      <c r="AC1750">
        <v>1.83217008</v>
      </c>
    </row>
    <row r="1751" spans="1:29" x14ac:dyDescent="0.3">
      <c r="A1751">
        <v>151935</v>
      </c>
      <c r="B1751" s="25" t="s">
        <v>5984</v>
      </c>
      <c r="C1751" t="s">
        <v>20</v>
      </c>
      <c r="D1751" t="s">
        <v>21</v>
      </c>
      <c r="E1751">
        <v>2222222</v>
      </c>
      <c r="F1751" s="8" t="s">
        <v>22</v>
      </c>
      <c r="G1751" s="2">
        <v>98</v>
      </c>
      <c r="H1751" t="s">
        <v>4151</v>
      </c>
      <c r="J1751" s="9" t="s">
        <v>4911</v>
      </c>
      <c r="K1751" t="s">
        <v>5181</v>
      </c>
      <c r="L1751" s="2">
        <v>1</v>
      </c>
      <c r="M1751" s="24" t="s">
        <v>5971</v>
      </c>
      <c r="N1751" s="2" t="s">
        <v>23</v>
      </c>
      <c r="O1751" s="18" t="s">
        <v>759</v>
      </c>
      <c r="P1751" s="18" t="s">
        <v>3781</v>
      </c>
      <c r="Q1751" s="6" t="s">
        <v>4475</v>
      </c>
      <c r="T1751" s="23">
        <v>46198</v>
      </c>
      <c r="U1751" s="23">
        <v>46929</v>
      </c>
      <c r="X1751" s="20">
        <v>2500</v>
      </c>
      <c r="Z1751" s="6" t="s">
        <v>5978</v>
      </c>
      <c r="AA1751" s="14">
        <f t="shared" si="224"/>
        <v>5.9999999999999995E-4</v>
      </c>
      <c r="AB1751">
        <v>1.4474339999999999</v>
      </c>
      <c r="AC1751">
        <v>1.50533136</v>
      </c>
    </row>
    <row r="1752" spans="1:29" x14ac:dyDescent="0.3">
      <c r="A1752">
        <v>151989</v>
      </c>
      <c r="B1752" s="25" t="s">
        <v>5984</v>
      </c>
      <c r="C1752" t="s">
        <v>20</v>
      </c>
      <c r="D1752" t="s">
        <v>21</v>
      </c>
      <c r="E1752">
        <v>2222222</v>
      </c>
      <c r="F1752" s="8" t="s">
        <v>22</v>
      </c>
      <c r="G1752" s="2">
        <v>98</v>
      </c>
      <c r="H1752" t="s">
        <v>4151</v>
      </c>
      <c r="J1752" s="9" t="s">
        <v>4936</v>
      </c>
      <c r="K1752" t="s">
        <v>5127</v>
      </c>
      <c r="L1752" s="2">
        <v>1</v>
      </c>
      <c r="M1752" s="24" t="s">
        <v>5971</v>
      </c>
      <c r="N1752" s="2" t="s">
        <v>23</v>
      </c>
      <c r="O1752" s="18" t="s">
        <v>1419</v>
      </c>
      <c r="P1752" s="18" t="s">
        <v>0</v>
      </c>
      <c r="Q1752" s="6" t="s">
        <v>4475</v>
      </c>
      <c r="T1752" s="23">
        <v>46203</v>
      </c>
      <c r="U1752" s="23">
        <v>46296</v>
      </c>
      <c r="X1752" s="20">
        <v>1000</v>
      </c>
      <c r="Z1752" s="6" t="s">
        <v>5978</v>
      </c>
      <c r="AA1752" s="14">
        <f t="shared" si="224"/>
        <v>5.9999999999999995E-4</v>
      </c>
      <c r="AB1752">
        <v>0.6</v>
      </c>
      <c r="AC1752">
        <v>0.624</v>
      </c>
    </row>
    <row r="1753" spans="1:29" x14ac:dyDescent="0.3">
      <c r="A1753">
        <v>152115</v>
      </c>
      <c r="B1753" s="25" t="s">
        <v>5984</v>
      </c>
      <c r="C1753" t="s">
        <v>20</v>
      </c>
      <c r="D1753" t="s">
        <v>21</v>
      </c>
      <c r="E1753">
        <v>2222222</v>
      </c>
      <c r="F1753" s="8" t="s">
        <v>22</v>
      </c>
      <c r="G1753" s="2">
        <v>98</v>
      </c>
      <c r="H1753" t="s">
        <v>4151</v>
      </c>
      <c r="J1753" s="9" t="s">
        <v>5045</v>
      </c>
      <c r="K1753" t="s">
        <v>5075</v>
      </c>
      <c r="L1753" s="2">
        <v>1</v>
      </c>
      <c r="M1753" s="24" t="s">
        <v>5971</v>
      </c>
      <c r="N1753" s="2" t="s">
        <v>23</v>
      </c>
      <c r="O1753" s="18" t="s">
        <v>1399</v>
      </c>
      <c r="P1753" s="18" t="s">
        <v>3781</v>
      </c>
      <c r="Q1753" s="6" t="s">
        <v>4475</v>
      </c>
      <c r="T1753" s="23">
        <v>46212</v>
      </c>
      <c r="U1753" s="23">
        <v>46242</v>
      </c>
      <c r="X1753" s="20">
        <v>500</v>
      </c>
      <c r="Z1753" s="6" t="s">
        <v>5978</v>
      </c>
      <c r="AA1753" s="14">
        <f t="shared" si="224"/>
        <v>5.9999999999999995E-4</v>
      </c>
      <c r="AB1753">
        <v>0.3</v>
      </c>
      <c r="AC1753">
        <v>0.312</v>
      </c>
    </row>
    <row r="1754" spans="1:29" x14ac:dyDescent="0.3">
      <c r="A1754">
        <v>152227</v>
      </c>
      <c r="B1754" s="25" t="s">
        <v>5984</v>
      </c>
      <c r="C1754" t="s">
        <v>20</v>
      </c>
      <c r="D1754" t="s">
        <v>21</v>
      </c>
      <c r="E1754">
        <v>2222222</v>
      </c>
      <c r="F1754" s="8" t="s">
        <v>22</v>
      </c>
      <c r="G1754" s="2">
        <v>98</v>
      </c>
      <c r="H1754" t="s">
        <v>4151</v>
      </c>
      <c r="J1754" s="9" t="s">
        <v>4901</v>
      </c>
      <c r="K1754" t="s">
        <v>5198</v>
      </c>
      <c r="L1754" s="2">
        <v>1</v>
      </c>
      <c r="M1754" s="24" t="s">
        <v>5971</v>
      </c>
      <c r="N1754" s="2" t="s">
        <v>23</v>
      </c>
      <c r="O1754" s="18" t="s">
        <v>1434</v>
      </c>
      <c r="P1754" s="18" t="s">
        <v>0</v>
      </c>
      <c r="Q1754" s="6" t="s">
        <v>4475</v>
      </c>
      <c r="T1754" s="23">
        <v>46220</v>
      </c>
      <c r="U1754" s="23">
        <v>46950</v>
      </c>
      <c r="X1754" s="20">
        <v>5000</v>
      </c>
      <c r="Z1754" s="6" t="s">
        <v>5978</v>
      </c>
      <c r="AA1754" s="14">
        <f t="shared" si="224"/>
        <v>5.9999999999999995E-4</v>
      </c>
      <c r="AB1754">
        <v>2.9999999999999996</v>
      </c>
      <c r="AC1754">
        <v>3.1199999999999997</v>
      </c>
    </row>
    <row r="1755" spans="1:29" x14ac:dyDescent="0.3">
      <c r="A1755">
        <v>152310</v>
      </c>
      <c r="B1755" s="25" t="s">
        <v>5984</v>
      </c>
      <c r="C1755" t="s">
        <v>20</v>
      </c>
      <c r="D1755" t="s">
        <v>21</v>
      </c>
      <c r="E1755">
        <v>2222222</v>
      </c>
      <c r="F1755" s="8" t="s">
        <v>22</v>
      </c>
      <c r="G1755" s="2">
        <v>98</v>
      </c>
      <c r="H1755" t="s">
        <v>4151</v>
      </c>
      <c r="J1755" s="9" t="s">
        <v>5128</v>
      </c>
      <c r="K1755" t="s">
        <v>5529</v>
      </c>
      <c r="L1755" s="2">
        <v>1</v>
      </c>
      <c r="M1755" s="24" t="s">
        <v>5971</v>
      </c>
      <c r="N1755" s="2" t="s">
        <v>23</v>
      </c>
      <c r="O1755" s="18" t="s">
        <v>1435</v>
      </c>
      <c r="P1755" s="18" t="s">
        <v>0</v>
      </c>
      <c r="Q1755" s="6" t="s">
        <v>4475</v>
      </c>
      <c r="T1755" s="23">
        <v>46227</v>
      </c>
      <c r="U1755" s="23">
        <v>46317</v>
      </c>
      <c r="X1755" s="20">
        <v>4700</v>
      </c>
      <c r="Z1755" s="6" t="s">
        <v>5978</v>
      </c>
      <c r="AA1755" s="14">
        <f t="shared" si="224"/>
        <v>5.9999999999999995E-4</v>
      </c>
      <c r="AB1755">
        <v>2.82</v>
      </c>
      <c r="AC1755">
        <v>2.9327999999999999</v>
      </c>
    </row>
    <row r="1756" spans="1:29" x14ac:dyDescent="0.3">
      <c r="A1756">
        <v>152364</v>
      </c>
      <c r="B1756" s="25" t="s">
        <v>5984</v>
      </c>
      <c r="C1756" t="s">
        <v>20</v>
      </c>
      <c r="D1756" t="s">
        <v>21</v>
      </c>
      <c r="E1756">
        <v>2222222</v>
      </c>
      <c r="F1756" s="8" t="s">
        <v>22</v>
      </c>
      <c r="G1756" s="2">
        <v>98</v>
      </c>
      <c r="H1756" t="s">
        <v>4151</v>
      </c>
      <c r="J1756" s="9" t="s">
        <v>5178</v>
      </c>
      <c r="K1756" t="s">
        <v>4999</v>
      </c>
      <c r="L1756" s="2">
        <v>1</v>
      </c>
      <c r="M1756" s="24" t="s">
        <v>5971</v>
      </c>
      <c r="N1756" s="2" t="s">
        <v>23</v>
      </c>
      <c r="O1756" s="18" t="s">
        <v>283</v>
      </c>
      <c r="P1756" s="18" t="s">
        <v>3781</v>
      </c>
      <c r="Q1756" s="6" t="s">
        <v>4475</v>
      </c>
      <c r="T1756" s="23">
        <v>46232</v>
      </c>
      <c r="U1756" s="23">
        <v>46305</v>
      </c>
      <c r="X1756" s="20">
        <v>4000</v>
      </c>
      <c r="Z1756" s="6" t="s">
        <v>5978</v>
      </c>
      <c r="AA1756" s="14">
        <f t="shared" si="224"/>
        <v>5.9999999999999995E-4</v>
      </c>
      <c r="AB1756">
        <v>2.4</v>
      </c>
      <c r="AC1756">
        <v>2.496</v>
      </c>
    </row>
    <row r="1757" spans="1:29" x14ac:dyDescent="0.3">
      <c r="A1757">
        <v>141499</v>
      </c>
      <c r="B1757" s="25" t="s">
        <v>5984</v>
      </c>
      <c r="C1757" t="s">
        <v>20</v>
      </c>
      <c r="D1757" t="s">
        <v>21</v>
      </c>
      <c r="E1757">
        <v>2222222</v>
      </c>
      <c r="F1757" s="8" t="s">
        <v>22</v>
      </c>
      <c r="G1757" s="2">
        <v>98</v>
      </c>
      <c r="H1757" t="s">
        <v>4152</v>
      </c>
      <c r="J1757" s="9" t="s">
        <v>4815</v>
      </c>
      <c r="K1757" t="s">
        <v>5211</v>
      </c>
      <c r="L1757" s="2">
        <v>1</v>
      </c>
      <c r="M1757" s="24" t="s">
        <v>5971</v>
      </c>
      <c r="N1757" s="2" t="s">
        <v>23</v>
      </c>
      <c r="O1757" s="18" t="s">
        <v>1436</v>
      </c>
      <c r="P1757" s="18" t="s">
        <v>0</v>
      </c>
      <c r="Q1757" s="6" t="s">
        <v>4475</v>
      </c>
      <c r="T1757" s="23">
        <v>45455</v>
      </c>
      <c r="U1757" s="23">
        <v>46550</v>
      </c>
      <c r="X1757" s="20">
        <v>4000</v>
      </c>
      <c r="Z1757" s="6" t="s">
        <v>5978</v>
      </c>
      <c r="AA1757" s="14">
        <f t="shared" si="224"/>
        <v>5.9999999999999995E-4</v>
      </c>
      <c r="AB1757">
        <v>0.87600599999999995</v>
      </c>
      <c r="AC1757">
        <v>0.91104624000000001</v>
      </c>
    </row>
    <row r="1758" spans="1:29" x14ac:dyDescent="0.3">
      <c r="A1758">
        <v>145111</v>
      </c>
      <c r="B1758" s="25" t="s">
        <v>5984</v>
      </c>
      <c r="C1758" t="s">
        <v>20</v>
      </c>
      <c r="D1758" t="s">
        <v>21</v>
      </c>
      <c r="E1758">
        <v>2222222</v>
      </c>
      <c r="F1758" s="8" t="s">
        <v>22</v>
      </c>
      <c r="G1758" s="2">
        <v>98</v>
      </c>
      <c r="H1758" t="s">
        <v>4152</v>
      </c>
      <c r="J1758" s="9" t="s">
        <v>5098</v>
      </c>
      <c r="K1758" t="s">
        <v>5246</v>
      </c>
      <c r="L1758" s="2">
        <v>1</v>
      </c>
      <c r="M1758" s="24" t="s">
        <v>5971</v>
      </c>
      <c r="N1758" s="2" t="s">
        <v>23</v>
      </c>
      <c r="O1758" s="18" t="s">
        <v>183</v>
      </c>
      <c r="P1758" s="18" t="s">
        <v>3781</v>
      </c>
      <c r="Q1758" s="6" t="s">
        <v>4475</v>
      </c>
      <c r="T1758" s="23">
        <v>45713</v>
      </c>
      <c r="U1758" s="23">
        <v>47176</v>
      </c>
      <c r="X1758" s="20">
        <v>5000</v>
      </c>
      <c r="Z1758" s="6" t="s">
        <v>5978</v>
      </c>
      <c r="AA1758" s="14">
        <f t="shared" si="224"/>
        <v>5.9999999999999995E-4</v>
      </c>
      <c r="AB1758">
        <v>2.1752400000000001</v>
      </c>
      <c r="AC1758">
        <v>2.2622496000000001</v>
      </c>
    </row>
    <row r="1759" spans="1:29" x14ac:dyDescent="0.3">
      <c r="A1759">
        <v>149129</v>
      </c>
      <c r="B1759" s="25" t="s">
        <v>5984</v>
      </c>
      <c r="C1759" t="s">
        <v>20</v>
      </c>
      <c r="D1759" t="s">
        <v>21</v>
      </c>
      <c r="E1759">
        <v>2222222</v>
      </c>
      <c r="F1759" s="8" t="s">
        <v>22</v>
      </c>
      <c r="G1759" s="2">
        <v>98</v>
      </c>
      <c r="H1759" t="s">
        <v>4152</v>
      </c>
      <c r="J1759" s="9" t="s">
        <v>4836</v>
      </c>
      <c r="K1759" t="s">
        <v>4516</v>
      </c>
      <c r="L1759" s="2">
        <v>1</v>
      </c>
      <c r="M1759" s="24" t="s">
        <v>5971</v>
      </c>
      <c r="N1759" s="2" t="s">
        <v>23</v>
      </c>
      <c r="O1759" s="18" t="s">
        <v>466</v>
      </c>
      <c r="P1759" s="18" t="s">
        <v>3781</v>
      </c>
      <c r="Q1759" s="6" t="s">
        <v>4475</v>
      </c>
      <c r="T1759" s="23">
        <v>46003</v>
      </c>
      <c r="U1759" s="23">
        <v>46550</v>
      </c>
      <c r="X1759" s="20">
        <v>4000</v>
      </c>
      <c r="Z1759" s="6" t="s">
        <v>5978</v>
      </c>
      <c r="AA1759" s="14">
        <f t="shared" si="224"/>
        <v>5.9999999999999995E-4</v>
      </c>
      <c r="AB1759">
        <v>1.5369959999999998</v>
      </c>
      <c r="AC1759">
        <v>1.5984758399999999</v>
      </c>
    </row>
    <row r="1760" spans="1:29" x14ac:dyDescent="0.3">
      <c r="A1760">
        <v>149623</v>
      </c>
      <c r="B1760" s="25" t="s">
        <v>5984</v>
      </c>
      <c r="C1760" t="s">
        <v>20</v>
      </c>
      <c r="D1760" t="s">
        <v>21</v>
      </c>
      <c r="E1760">
        <v>2222222</v>
      </c>
      <c r="F1760" s="8" t="s">
        <v>22</v>
      </c>
      <c r="G1760" s="2">
        <v>98</v>
      </c>
      <c r="H1760" t="s">
        <v>4152</v>
      </c>
      <c r="J1760" s="9" t="s">
        <v>5197</v>
      </c>
      <c r="K1760" t="s">
        <v>4825</v>
      </c>
      <c r="L1760" s="2">
        <v>1</v>
      </c>
      <c r="M1760" s="24" t="s">
        <v>5971</v>
      </c>
      <c r="N1760" s="2" t="s">
        <v>23</v>
      </c>
      <c r="O1760" s="18" t="s">
        <v>1437</v>
      </c>
      <c r="P1760" s="18" t="s">
        <v>0</v>
      </c>
      <c r="Q1760" s="6" t="s">
        <v>4475</v>
      </c>
      <c r="T1760" s="23">
        <v>46037</v>
      </c>
      <c r="U1760" s="23">
        <v>47132</v>
      </c>
      <c r="X1760" s="20">
        <v>2000</v>
      </c>
      <c r="Z1760" s="6" t="s">
        <v>5978</v>
      </c>
      <c r="AA1760" s="14">
        <f t="shared" si="224"/>
        <v>5.9999999999999995E-4</v>
      </c>
      <c r="AB1760">
        <v>1.038756</v>
      </c>
      <c r="AC1760">
        <v>1.0803062400000001</v>
      </c>
    </row>
    <row r="1761" spans="1:29" x14ac:dyDescent="0.3">
      <c r="A1761">
        <v>150108</v>
      </c>
      <c r="B1761" s="25" t="s">
        <v>5984</v>
      </c>
      <c r="C1761" t="s">
        <v>20</v>
      </c>
      <c r="D1761" t="s">
        <v>21</v>
      </c>
      <c r="E1761">
        <v>2222222</v>
      </c>
      <c r="F1761" s="8" t="s">
        <v>22</v>
      </c>
      <c r="G1761" s="2">
        <v>98</v>
      </c>
      <c r="H1761" t="s">
        <v>4152</v>
      </c>
      <c r="J1761" s="9" t="s">
        <v>4911</v>
      </c>
      <c r="K1761" t="s">
        <v>4941</v>
      </c>
      <c r="L1761" s="2">
        <v>1</v>
      </c>
      <c r="M1761" s="24" t="s">
        <v>5971</v>
      </c>
      <c r="N1761" s="2" t="s">
        <v>23</v>
      </c>
      <c r="O1761" s="18" t="s">
        <v>1438</v>
      </c>
      <c r="P1761" s="18" t="s">
        <v>3781</v>
      </c>
      <c r="Q1761" s="6" t="s">
        <v>4475</v>
      </c>
      <c r="T1761" s="23">
        <v>46072</v>
      </c>
      <c r="U1761" s="23">
        <v>47535</v>
      </c>
      <c r="X1761" s="20">
        <v>2850</v>
      </c>
      <c r="Z1761" s="6" t="s">
        <v>5978</v>
      </c>
      <c r="AA1761" s="14">
        <f t="shared" si="224"/>
        <v>5.9999999999999995E-4</v>
      </c>
      <c r="AB1761">
        <v>1.5839159999999999</v>
      </c>
      <c r="AC1761">
        <v>1.64727264</v>
      </c>
    </row>
    <row r="1762" spans="1:29" x14ac:dyDescent="0.3">
      <c r="A1762">
        <v>152353</v>
      </c>
      <c r="B1762" s="25" t="s">
        <v>5984</v>
      </c>
      <c r="C1762" t="s">
        <v>20</v>
      </c>
      <c r="D1762" t="s">
        <v>21</v>
      </c>
      <c r="E1762">
        <v>2222222</v>
      </c>
      <c r="F1762" s="8" t="s">
        <v>22</v>
      </c>
      <c r="G1762" s="2">
        <v>98</v>
      </c>
      <c r="H1762" t="s">
        <v>4152</v>
      </c>
      <c r="J1762" s="9" t="s">
        <v>4911</v>
      </c>
      <c r="K1762" t="s">
        <v>4941</v>
      </c>
      <c r="L1762" s="2">
        <v>1</v>
      </c>
      <c r="M1762" s="24" t="s">
        <v>5971</v>
      </c>
      <c r="N1762" s="2" t="s">
        <v>23</v>
      </c>
      <c r="O1762" s="18" t="s">
        <v>1438</v>
      </c>
      <c r="P1762" s="18" t="s">
        <v>3781</v>
      </c>
      <c r="Q1762" s="6" t="s">
        <v>4475</v>
      </c>
      <c r="T1762" s="23">
        <v>46231</v>
      </c>
      <c r="U1762" s="23">
        <v>46718</v>
      </c>
      <c r="X1762" s="20">
        <v>4000</v>
      </c>
      <c r="Z1762" s="6" t="s">
        <v>5978</v>
      </c>
      <c r="AA1762" s="14">
        <f t="shared" si="224"/>
        <v>5.9999999999999995E-4</v>
      </c>
      <c r="AB1762">
        <v>2.4</v>
      </c>
      <c r="AC1762">
        <v>2.496</v>
      </c>
    </row>
    <row r="1763" spans="1:29" x14ac:dyDescent="0.3">
      <c r="A1763">
        <v>150215</v>
      </c>
      <c r="B1763" s="25" t="s">
        <v>5984</v>
      </c>
      <c r="C1763" t="s">
        <v>20</v>
      </c>
      <c r="D1763" t="s">
        <v>21</v>
      </c>
      <c r="E1763">
        <v>2222222</v>
      </c>
      <c r="F1763" s="8" t="s">
        <v>22</v>
      </c>
      <c r="G1763" s="2">
        <v>98</v>
      </c>
      <c r="H1763" t="s">
        <v>4153</v>
      </c>
      <c r="J1763" s="9" t="s">
        <v>4852</v>
      </c>
      <c r="K1763" t="s">
        <v>5121</v>
      </c>
      <c r="L1763" s="2">
        <v>1</v>
      </c>
      <c r="M1763" s="24" t="s">
        <v>5971</v>
      </c>
      <c r="N1763" s="2" t="s">
        <v>23</v>
      </c>
      <c r="O1763" s="18" t="s">
        <v>1439</v>
      </c>
      <c r="P1763" s="18" t="s">
        <v>0</v>
      </c>
      <c r="Q1763" s="6" t="s">
        <v>4475</v>
      </c>
      <c r="T1763" s="23">
        <v>46081</v>
      </c>
      <c r="U1763" s="23">
        <v>47365</v>
      </c>
      <c r="X1763" s="20">
        <v>11800</v>
      </c>
      <c r="Z1763" s="6" t="s">
        <v>5978</v>
      </c>
      <c r="AA1763" s="14">
        <f t="shared" si="224"/>
        <v>5.9999999999999995E-4</v>
      </c>
      <c r="AB1763">
        <v>6.5258339999999988</v>
      </c>
      <c r="AC1763">
        <v>6.7868673599999987</v>
      </c>
    </row>
    <row r="1764" spans="1:29" x14ac:dyDescent="0.3">
      <c r="A1764">
        <v>136507</v>
      </c>
      <c r="B1764" s="25" t="s">
        <v>5984</v>
      </c>
      <c r="C1764" t="s">
        <v>20</v>
      </c>
      <c r="D1764" t="s">
        <v>21</v>
      </c>
      <c r="E1764">
        <v>2222222</v>
      </c>
      <c r="F1764" s="8" t="s">
        <v>22</v>
      </c>
      <c r="G1764" s="2">
        <v>98</v>
      </c>
      <c r="H1764" t="s">
        <v>4154</v>
      </c>
      <c r="J1764" s="9" t="s">
        <v>4955</v>
      </c>
      <c r="K1764" t="s">
        <v>4836</v>
      </c>
      <c r="L1764" s="2">
        <v>1</v>
      </c>
      <c r="M1764" s="24" t="s">
        <v>5971</v>
      </c>
      <c r="N1764" s="2" t="s">
        <v>23</v>
      </c>
      <c r="O1764" s="18" t="s">
        <v>1440</v>
      </c>
      <c r="P1764" s="18" t="s">
        <v>3781</v>
      </c>
      <c r="Q1764" s="6" t="s">
        <v>4475</v>
      </c>
      <c r="T1764" s="23">
        <v>45184</v>
      </c>
      <c r="U1764" s="23">
        <v>46919</v>
      </c>
      <c r="X1764" s="20">
        <v>50000</v>
      </c>
      <c r="Z1764" s="6" t="s">
        <v>5978</v>
      </c>
      <c r="AA1764" s="13">
        <f t="shared" ref="AA1764:AA1765" si="225">+(0.56/1000)</f>
        <v>5.6000000000000006E-4</v>
      </c>
      <c r="AB1764">
        <v>14.4311664</v>
      </c>
      <c r="AC1764">
        <v>15.008413056</v>
      </c>
    </row>
    <row r="1765" spans="1:29" x14ac:dyDescent="0.3">
      <c r="A1765">
        <v>136802</v>
      </c>
      <c r="B1765" s="25" t="s">
        <v>5984</v>
      </c>
      <c r="C1765" t="s">
        <v>20</v>
      </c>
      <c r="D1765" t="s">
        <v>21</v>
      </c>
      <c r="E1765">
        <v>2222222</v>
      </c>
      <c r="F1765" s="8" t="s">
        <v>22</v>
      </c>
      <c r="G1765" s="2">
        <v>98</v>
      </c>
      <c r="H1765" t="s">
        <v>4155</v>
      </c>
      <c r="J1765" s="9" t="s">
        <v>5020</v>
      </c>
      <c r="K1765" t="s">
        <v>4853</v>
      </c>
      <c r="L1765" s="2">
        <v>1</v>
      </c>
      <c r="M1765" s="24" t="s">
        <v>5971</v>
      </c>
      <c r="N1765" s="2" t="s">
        <v>23</v>
      </c>
      <c r="O1765" s="18" t="s">
        <v>1441</v>
      </c>
      <c r="P1765" s="18" t="s">
        <v>0</v>
      </c>
      <c r="Q1765" s="6" t="s">
        <v>4475</v>
      </c>
      <c r="T1765" s="23">
        <v>45190</v>
      </c>
      <c r="U1765" s="23">
        <v>46651</v>
      </c>
      <c r="X1765" s="20">
        <v>5000</v>
      </c>
      <c r="Z1765" s="6" t="s">
        <v>5978</v>
      </c>
      <c r="AA1765" s="13">
        <f t="shared" si="225"/>
        <v>5.6000000000000006E-4</v>
      </c>
      <c r="AB1765">
        <v>1.1141592</v>
      </c>
      <c r="AC1765">
        <v>1.1587255680000002</v>
      </c>
    </row>
    <row r="1766" spans="1:29" x14ac:dyDescent="0.3">
      <c r="A1766">
        <v>150928</v>
      </c>
      <c r="B1766" s="25" t="s">
        <v>5984</v>
      </c>
      <c r="C1766" t="s">
        <v>20</v>
      </c>
      <c r="D1766" t="s">
        <v>21</v>
      </c>
      <c r="E1766">
        <v>2222222</v>
      </c>
      <c r="F1766" s="8" t="s">
        <v>22</v>
      </c>
      <c r="G1766" s="2">
        <v>98</v>
      </c>
      <c r="H1766" t="s">
        <v>4155</v>
      </c>
      <c r="J1766" s="9" t="s">
        <v>4988</v>
      </c>
      <c r="K1766" t="s">
        <v>5035</v>
      </c>
      <c r="L1766" s="2">
        <v>1</v>
      </c>
      <c r="M1766" s="24" t="s">
        <v>5971</v>
      </c>
      <c r="N1766" s="2" t="s">
        <v>23</v>
      </c>
      <c r="O1766" s="18" t="s">
        <v>1442</v>
      </c>
      <c r="P1766" s="18" t="s">
        <v>0</v>
      </c>
      <c r="Q1766" s="6" t="s">
        <v>4475</v>
      </c>
      <c r="T1766" s="23">
        <v>46134</v>
      </c>
      <c r="U1766" s="23">
        <v>47960</v>
      </c>
      <c r="X1766" s="20">
        <v>31200</v>
      </c>
      <c r="Z1766" s="6" t="s">
        <v>5978</v>
      </c>
      <c r="AA1766" s="14">
        <f t="shared" ref="AA1766:AA1768" si="226">+(0.6/1000)</f>
        <v>5.9999999999999995E-4</v>
      </c>
      <c r="AB1766">
        <v>18.079583999999997</v>
      </c>
      <c r="AC1766">
        <v>18.802767359999997</v>
      </c>
    </row>
    <row r="1767" spans="1:29" x14ac:dyDescent="0.3">
      <c r="A1767">
        <v>149636</v>
      </c>
      <c r="B1767" s="25" t="s">
        <v>5984</v>
      </c>
      <c r="C1767" t="s">
        <v>20</v>
      </c>
      <c r="D1767" t="s">
        <v>21</v>
      </c>
      <c r="E1767">
        <v>2222222</v>
      </c>
      <c r="F1767" s="8" t="s">
        <v>22</v>
      </c>
      <c r="G1767" s="2">
        <v>98</v>
      </c>
      <c r="H1767" t="s">
        <v>4156</v>
      </c>
      <c r="J1767" s="9" t="s">
        <v>5322</v>
      </c>
      <c r="K1767" t="s">
        <v>4846</v>
      </c>
      <c r="L1767" s="2">
        <v>1</v>
      </c>
      <c r="M1767" s="24" t="s">
        <v>5971</v>
      </c>
      <c r="N1767" s="2" t="s">
        <v>23</v>
      </c>
      <c r="O1767" s="18" t="s">
        <v>1443</v>
      </c>
      <c r="P1767" s="18" t="s">
        <v>0</v>
      </c>
      <c r="Q1767" s="6" t="s">
        <v>4475</v>
      </c>
      <c r="T1767" s="23">
        <v>46037</v>
      </c>
      <c r="U1767" s="23">
        <v>46766</v>
      </c>
      <c r="X1767" s="20">
        <v>5000</v>
      </c>
      <c r="Z1767" s="6" t="s">
        <v>5978</v>
      </c>
      <c r="AA1767" s="14">
        <f t="shared" si="226"/>
        <v>5.9999999999999995E-4</v>
      </c>
      <c r="AB1767">
        <v>2.3447639999999996</v>
      </c>
      <c r="AC1767">
        <v>2.4385545599999996</v>
      </c>
    </row>
    <row r="1768" spans="1:29" x14ac:dyDescent="0.3">
      <c r="A1768">
        <v>151757</v>
      </c>
      <c r="B1768" s="25" t="s">
        <v>5984</v>
      </c>
      <c r="C1768" t="s">
        <v>20</v>
      </c>
      <c r="D1768" t="s">
        <v>21</v>
      </c>
      <c r="E1768">
        <v>2222222</v>
      </c>
      <c r="F1768" s="8" t="s">
        <v>22</v>
      </c>
      <c r="G1768" s="2">
        <v>98</v>
      </c>
      <c r="H1768" t="s">
        <v>4156</v>
      </c>
      <c r="J1768" s="9" t="s">
        <v>5322</v>
      </c>
      <c r="K1768" t="s">
        <v>4846</v>
      </c>
      <c r="L1768" s="2">
        <v>1</v>
      </c>
      <c r="M1768" s="24" t="s">
        <v>5971</v>
      </c>
      <c r="N1768" s="2" t="s">
        <v>23</v>
      </c>
      <c r="O1768" s="18" t="s">
        <v>1443</v>
      </c>
      <c r="P1768" s="18" t="s">
        <v>0</v>
      </c>
      <c r="Q1768" s="6" t="s">
        <v>4475</v>
      </c>
      <c r="T1768" s="23">
        <v>46193</v>
      </c>
      <c r="U1768" s="23">
        <v>48019</v>
      </c>
      <c r="X1768" s="20">
        <v>20000</v>
      </c>
      <c r="Z1768" s="6" t="s">
        <v>5978</v>
      </c>
      <c r="AA1768" s="14">
        <f t="shared" si="226"/>
        <v>5.9999999999999995E-4</v>
      </c>
      <c r="AB1768">
        <v>11.866763999999998</v>
      </c>
      <c r="AC1768">
        <v>12.341434559999998</v>
      </c>
    </row>
    <row r="1769" spans="1:29" x14ac:dyDescent="0.3">
      <c r="A1769">
        <v>115244</v>
      </c>
      <c r="B1769" s="25" t="s">
        <v>5984</v>
      </c>
      <c r="C1769" t="s">
        <v>20</v>
      </c>
      <c r="D1769" t="s">
        <v>21</v>
      </c>
      <c r="E1769">
        <v>2222222</v>
      </c>
      <c r="F1769" s="8" t="s">
        <v>22</v>
      </c>
      <c r="G1769" s="2">
        <v>98</v>
      </c>
      <c r="H1769" t="s">
        <v>4157</v>
      </c>
      <c r="J1769" s="9" t="s">
        <v>4936</v>
      </c>
      <c r="K1769" t="s">
        <v>5497</v>
      </c>
      <c r="L1769" s="2">
        <v>1</v>
      </c>
      <c r="M1769" s="24" t="s">
        <v>5971</v>
      </c>
      <c r="N1769" s="2" t="s">
        <v>23</v>
      </c>
      <c r="O1769" s="18" t="s">
        <v>1444</v>
      </c>
      <c r="P1769" s="18" t="s">
        <v>0</v>
      </c>
      <c r="Q1769" s="6" t="s">
        <v>4475</v>
      </c>
      <c r="T1769" s="23">
        <v>44083</v>
      </c>
      <c r="U1769" s="23">
        <v>46639</v>
      </c>
      <c r="X1769" s="20">
        <v>23790</v>
      </c>
      <c r="Z1769" s="6" t="s">
        <v>5978</v>
      </c>
      <c r="AA1769" s="15">
        <f t="shared" ref="AA1769:AA1770" si="227">+(0.42/1000)</f>
        <v>4.1999999999999996E-4</v>
      </c>
      <c r="AB1769">
        <v>7.5619571999999993</v>
      </c>
      <c r="AC1769">
        <v>7.8644354879999998</v>
      </c>
    </row>
    <row r="1770" spans="1:29" x14ac:dyDescent="0.3">
      <c r="A1770">
        <v>69977</v>
      </c>
      <c r="B1770" s="25" t="s">
        <v>5984</v>
      </c>
      <c r="C1770" t="s">
        <v>20</v>
      </c>
      <c r="D1770" t="s">
        <v>21</v>
      </c>
      <c r="E1770">
        <v>2222222</v>
      </c>
      <c r="F1770" s="8" t="s">
        <v>22</v>
      </c>
      <c r="G1770" s="2">
        <v>98</v>
      </c>
      <c r="H1770" t="s">
        <v>4158</v>
      </c>
      <c r="J1770" s="9" t="s">
        <v>4903</v>
      </c>
      <c r="K1770" t="s">
        <v>4884</v>
      </c>
      <c r="L1770" s="2">
        <v>1</v>
      </c>
      <c r="M1770" s="24" t="s">
        <v>5971</v>
      </c>
      <c r="N1770" s="2" t="s">
        <v>23</v>
      </c>
      <c r="O1770" s="18" t="s">
        <v>1445</v>
      </c>
      <c r="P1770" s="18" t="s">
        <v>3781</v>
      </c>
      <c r="Q1770" s="6" t="s">
        <v>4475</v>
      </c>
      <c r="T1770" s="23">
        <v>42416</v>
      </c>
      <c r="U1770" s="23">
        <v>43512</v>
      </c>
      <c r="X1770" s="20">
        <v>13270</v>
      </c>
      <c r="Z1770" s="6" t="s">
        <v>5978</v>
      </c>
      <c r="AA1770" s="15">
        <f t="shared" si="227"/>
        <v>4.1999999999999996E-4</v>
      </c>
      <c r="AB1770">
        <v>4.4719584000000001</v>
      </c>
      <c r="AC1770">
        <v>4.6508367360000005</v>
      </c>
    </row>
    <row r="1771" spans="1:29" x14ac:dyDescent="0.3">
      <c r="A1771">
        <v>145918</v>
      </c>
      <c r="B1771" s="25" t="s">
        <v>5984</v>
      </c>
      <c r="C1771" t="s">
        <v>20</v>
      </c>
      <c r="D1771" t="s">
        <v>21</v>
      </c>
      <c r="E1771">
        <v>2222222</v>
      </c>
      <c r="F1771" s="8" t="s">
        <v>22</v>
      </c>
      <c r="G1771" s="2">
        <v>98</v>
      </c>
      <c r="H1771" t="s">
        <v>4158</v>
      </c>
      <c r="J1771" s="9" t="s">
        <v>5297</v>
      </c>
      <c r="K1771" t="s">
        <v>4870</v>
      </c>
      <c r="L1771" s="2">
        <v>1</v>
      </c>
      <c r="M1771" s="24" t="s">
        <v>5971</v>
      </c>
      <c r="N1771" s="2" t="s">
        <v>23</v>
      </c>
      <c r="O1771" s="18" t="s">
        <v>1446</v>
      </c>
      <c r="P1771" s="18" t="s">
        <v>0</v>
      </c>
      <c r="Q1771" s="6" t="s">
        <v>4475</v>
      </c>
      <c r="T1771" s="23">
        <v>45776</v>
      </c>
      <c r="U1771" s="23">
        <v>46324</v>
      </c>
      <c r="X1771" s="20">
        <v>2100</v>
      </c>
      <c r="Z1771" s="6" t="s">
        <v>5978</v>
      </c>
      <c r="AA1771" s="14">
        <f t="shared" ref="AA1771:AA1776" si="228">+(0.6/1000)</f>
        <v>5.9999999999999995E-4</v>
      </c>
      <c r="AB1771">
        <v>0.23321999999999998</v>
      </c>
      <c r="AC1771">
        <v>0.24254879999999998</v>
      </c>
    </row>
    <row r="1772" spans="1:29" x14ac:dyDescent="0.3">
      <c r="A1772">
        <v>145954</v>
      </c>
      <c r="B1772" s="25" t="s">
        <v>5984</v>
      </c>
      <c r="C1772" t="s">
        <v>20</v>
      </c>
      <c r="D1772" t="s">
        <v>21</v>
      </c>
      <c r="E1772">
        <v>2222222</v>
      </c>
      <c r="F1772" s="8" t="s">
        <v>22</v>
      </c>
      <c r="G1772" s="2">
        <v>98</v>
      </c>
      <c r="H1772" t="s">
        <v>4158</v>
      </c>
      <c r="J1772" s="9" t="s">
        <v>5055</v>
      </c>
      <c r="K1772" t="s">
        <v>4991</v>
      </c>
      <c r="L1772" s="2">
        <v>1</v>
      </c>
      <c r="M1772" s="24" t="s">
        <v>5971</v>
      </c>
      <c r="N1772" s="2" t="s">
        <v>23</v>
      </c>
      <c r="O1772" s="18" t="s">
        <v>1447</v>
      </c>
      <c r="P1772" s="18" t="s">
        <v>3781</v>
      </c>
      <c r="Q1772" s="6" t="s">
        <v>4475</v>
      </c>
      <c r="T1772" s="23">
        <v>45777</v>
      </c>
      <c r="U1772" s="23">
        <v>46888</v>
      </c>
      <c r="X1772" s="20">
        <v>3600</v>
      </c>
      <c r="Z1772" s="6" t="s">
        <v>5978</v>
      </c>
      <c r="AA1772" s="14">
        <f t="shared" si="228"/>
        <v>5.9999999999999995E-4</v>
      </c>
      <c r="AB1772">
        <v>1.4406719999999997</v>
      </c>
      <c r="AC1772">
        <v>1.4982988799999997</v>
      </c>
    </row>
    <row r="1773" spans="1:29" x14ac:dyDescent="0.3">
      <c r="A1773">
        <v>147904</v>
      </c>
      <c r="B1773" s="25" t="s">
        <v>5984</v>
      </c>
      <c r="C1773" t="s">
        <v>20</v>
      </c>
      <c r="D1773" t="s">
        <v>21</v>
      </c>
      <c r="E1773">
        <v>2222222</v>
      </c>
      <c r="F1773" s="8" t="s">
        <v>22</v>
      </c>
      <c r="G1773" s="2">
        <v>98</v>
      </c>
      <c r="H1773" t="s">
        <v>4158</v>
      </c>
      <c r="J1773" s="9" t="s">
        <v>5269</v>
      </c>
      <c r="K1773" t="s">
        <v>5125</v>
      </c>
      <c r="L1773" s="2">
        <v>1</v>
      </c>
      <c r="M1773" s="24" t="s">
        <v>5971</v>
      </c>
      <c r="N1773" s="2" t="s">
        <v>23</v>
      </c>
      <c r="O1773" s="18" t="s">
        <v>1448</v>
      </c>
      <c r="P1773" s="18" t="s">
        <v>0</v>
      </c>
      <c r="Q1773" s="6" t="s">
        <v>4475</v>
      </c>
      <c r="T1773" s="23">
        <v>45922</v>
      </c>
      <c r="U1773" s="23">
        <v>47018</v>
      </c>
      <c r="X1773" s="20">
        <v>3000</v>
      </c>
      <c r="Z1773" s="6" t="s">
        <v>5978</v>
      </c>
      <c r="AA1773" s="14">
        <f t="shared" si="228"/>
        <v>5.9999999999999995E-4</v>
      </c>
      <c r="AB1773">
        <v>1.3878839999999999</v>
      </c>
      <c r="AC1773">
        <v>1.4433993599999999</v>
      </c>
    </row>
    <row r="1774" spans="1:29" x14ac:dyDescent="0.3">
      <c r="A1774">
        <v>148610</v>
      </c>
      <c r="B1774" s="25" t="s">
        <v>5984</v>
      </c>
      <c r="C1774" t="s">
        <v>20</v>
      </c>
      <c r="D1774" t="s">
        <v>21</v>
      </c>
      <c r="E1774">
        <v>2222222</v>
      </c>
      <c r="F1774" s="8" t="s">
        <v>22</v>
      </c>
      <c r="G1774" s="2">
        <v>98</v>
      </c>
      <c r="H1774" t="s">
        <v>4158</v>
      </c>
      <c r="J1774" s="9" t="s">
        <v>5055</v>
      </c>
      <c r="K1774" t="s">
        <v>4991</v>
      </c>
      <c r="L1774" s="2">
        <v>1</v>
      </c>
      <c r="M1774" s="24" t="s">
        <v>5971</v>
      </c>
      <c r="N1774" s="2" t="s">
        <v>23</v>
      </c>
      <c r="O1774" s="18" t="s">
        <v>1447</v>
      </c>
      <c r="P1774" s="18" t="s">
        <v>3781</v>
      </c>
      <c r="Q1774" s="6" t="s">
        <v>4475</v>
      </c>
      <c r="T1774" s="23">
        <v>45967</v>
      </c>
      <c r="U1774" s="23">
        <v>46884</v>
      </c>
      <c r="X1774" s="20">
        <v>5000</v>
      </c>
      <c r="Z1774" s="6" t="s">
        <v>5978</v>
      </c>
      <c r="AA1774" s="14">
        <f t="shared" si="228"/>
        <v>5.9999999999999995E-4</v>
      </c>
      <c r="AB1774">
        <v>2.325828</v>
      </c>
      <c r="AC1774">
        <v>2.4188611200000003</v>
      </c>
    </row>
    <row r="1775" spans="1:29" x14ac:dyDescent="0.3">
      <c r="A1775">
        <v>149246</v>
      </c>
      <c r="B1775" s="25" t="s">
        <v>5984</v>
      </c>
      <c r="C1775" t="s">
        <v>20</v>
      </c>
      <c r="D1775" t="s">
        <v>21</v>
      </c>
      <c r="E1775">
        <v>2222222</v>
      </c>
      <c r="F1775" s="8" t="s">
        <v>22</v>
      </c>
      <c r="G1775" s="2">
        <v>98</v>
      </c>
      <c r="H1775" t="s">
        <v>4158</v>
      </c>
      <c r="J1775" s="9" t="s">
        <v>4876</v>
      </c>
      <c r="K1775" t="s">
        <v>4853</v>
      </c>
      <c r="L1775" s="2">
        <v>1</v>
      </c>
      <c r="M1775" s="24" t="s">
        <v>5971</v>
      </c>
      <c r="N1775" s="2" t="s">
        <v>23</v>
      </c>
      <c r="O1775" s="18" t="s">
        <v>1449</v>
      </c>
      <c r="P1775" s="18" t="s">
        <v>0</v>
      </c>
      <c r="Q1775" s="6" t="s">
        <v>4475</v>
      </c>
      <c r="T1775" s="23">
        <v>46014</v>
      </c>
      <c r="U1775" s="23">
        <v>47109</v>
      </c>
      <c r="X1775" s="20">
        <v>30000</v>
      </c>
      <c r="Z1775" s="6" t="s">
        <v>5978</v>
      </c>
      <c r="AA1775" s="14">
        <f t="shared" si="228"/>
        <v>5.9999999999999995E-4</v>
      </c>
      <c r="AB1775">
        <v>15.093599999999999</v>
      </c>
      <c r="AC1775">
        <v>15.697343999999999</v>
      </c>
    </row>
    <row r="1776" spans="1:29" x14ac:dyDescent="0.3">
      <c r="A1776">
        <v>152291</v>
      </c>
      <c r="B1776" s="25" t="s">
        <v>5984</v>
      </c>
      <c r="C1776" t="s">
        <v>20</v>
      </c>
      <c r="D1776" t="s">
        <v>21</v>
      </c>
      <c r="E1776">
        <v>2222222</v>
      </c>
      <c r="F1776" s="8" t="s">
        <v>22</v>
      </c>
      <c r="G1776" s="2">
        <v>98</v>
      </c>
      <c r="H1776" t="s">
        <v>4158</v>
      </c>
      <c r="J1776" s="9" t="s">
        <v>5055</v>
      </c>
      <c r="K1776" t="s">
        <v>4991</v>
      </c>
      <c r="L1776" s="2">
        <v>1</v>
      </c>
      <c r="M1776" s="24" t="s">
        <v>5971</v>
      </c>
      <c r="N1776" s="2" t="s">
        <v>23</v>
      </c>
      <c r="O1776" s="18" t="s">
        <v>1447</v>
      </c>
      <c r="P1776" s="18" t="s">
        <v>3781</v>
      </c>
      <c r="Q1776" s="6" t="s">
        <v>4475</v>
      </c>
      <c r="T1776" s="23">
        <v>46225</v>
      </c>
      <c r="U1776" s="23">
        <v>47320</v>
      </c>
      <c r="X1776" s="20">
        <v>6200</v>
      </c>
      <c r="Z1776" s="6" t="s">
        <v>5978</v>
      </c>
      <c r="AA1776" s="14">
        <f t="shared" si="228"/>
        <v>5.9999999999999995E-4</v>
      </c>
      <c r="AB1776">
        <v>3.7199999999999998</v>
      </c>
      <c r="AC1776">
        <v>3.8687999999999998</v>
      </c>
    </row>
    <row r="1777" spans="1:29" x14ac:dyDescent="0.3">
      <c r="A1777">
        <v>139801</v>
      </c>
      <c r="B1777" s="25" t="s">
        <v>5984</v>
      </c>
      <c r="C1777" t="s">
        <v>20</v>
      </c>
      <c r="D1777" t="s">
        <v>21</v>
      </c>
      <c r="E1777">
        <v>2222222</v>
      </c>
      <c r="F1777" s="8" t="s">
        <v>22</v>
      </c>
      <c r="G1777" s="2">
        <v>98</v>
      </c>
      <c r="H1777" t="s">
        <v>4159</v>
      </c>
      <c r="J1777" s="9" t="s">
        <v>4827</v>
      </c>
      <c r="K1777" t="s">
        <v>4824</v>
      </c>
      <c r="L1777" s="2">
        <v>1</v>
      </c>
      <c r="M1777" s="24" t="s">
        <v>5971</v>
      </c>
      <c r="N1777" s="2" t="s">
        <v>23</v>
      </c>
      <c r="O1777" s="18" t="s">
        <v>1450</v>
      </c>
      <c r="P1777" s="18" t="s">
        <v>0</v>
      </c>
      <c r="Q1777" s="6" t="s">
        <v>4475</v>
      </c>
      <c r="T1777" s="23">
        <v>45351</v>
      </c>
      <c r="U1777" s="23">
        <v>47939</v>
      </c>
      <c r="X1777" s="20">
        <v>14500</v>
      </c>
      <c r="Z1777" s="6" t="s">
        <v>5978</v>
      </c>
      <c r="AA1777" s="13">
        <f t="shared" ref="AA1777:AA1778" si="229">+(0.56/1000)</f>
        <v>5.6000000000000006E-4</v>
      </c>
      <c r="AB1777">
        <v>6.3208992000000004</v>
      </c>
      <c r="AC1777">
        <v>6.5737351680000007</v>
      </c>
    </row>
    <row r="1778" spans="1:29" x14ac:dyDescent="0.3">
      <c r="A1778">
        <v>131429</v>
      </c>
      <c r="B1778" s="25" t="s">
        <v>5984</v>
      </c>
      <c r="C1778" t="s">
        <v>20</v>
      </c>
      <c r="D1778" t="s">
        <v>21</v>
      </c>
      <c r="E1778">
        <v>2222222</v>
      </c>
      <c r="F1778" s="8" t="s">
        <v>22</v>
      </c>
      <c r="G1778" s="2">
        <v>98</v>
      </c>
      <c r="H1778" t="s">
        <v>4160</v>
      </c>
      <c r="J1778" s="9" t="s">
        <v>4934</v>
      </c>
      <c r="K1778" t="s">
        <v>5530</v>
      </c>
      <c r="L1778" s="2">
        <v>1</v>
      </c>
      <c r="M1778" s="24" t="s">
        <v>5971</v>
      </c>
      <c r="N1778" s="2" t="s">
        <v>23</v>
      </c>
      <c r="O1778" s="18" t="s">
        <v>1069</v>
      </c>
      <c r="P1778" s="18" t="s">
        <v>0</v>
      </c>
      <c r="Q1778" s="6" t="s">
        <v>4475</v>
      </c>
      <c r="T1778" s="23">
        <v>44890</v>
      </c>
      <c r="U1778" s="23">
        <v>48557</v>
      </c>
      <c r="X1778" s="20">
        <v>12200</v>
      </c>
      <c r="Z1778" s="6" t="s">
        <v>5978</v>
      </c>
      <c r="AA1778" s="13">
        <f t="shared" si="229"/>
        <v>5.6000000000000006E-4</v>
      </c>
      <c r="AB1778">
        <v>5.5380360000000008</v>
      </c>
      <c r="AC1778">
        <v>5.7595574400000009</v>
      </c>
    </row>
    <row r="1779" spans="1:29" x14ac:dyDescent="0.3">
      <c r="A1779">
        <v>144929</v>
      </c>
      <c r="B1779" s="25" t="s">
        <v>5984</v>
      </c>
      <c r="C1779" t="s">
        <v>20</v>
      </c>
      <c r="D1779" t="s">
        <v>21</v>
      </c>
      <c r="E1779">
        <v>2222222</v>
      </c>
      <c r="F1779" s="8" t="s">
        <v>22</v>
      </c>
      <c r="G1779" s="2">
        <v>98</v>
      </c>
      <c r="H1779" t="s">
        <v>4161</v>
      </c>
      <c r="J1779" s="9" t="s">
        <v>4182</v>
      </c>
      <c r="K1779" t="s">
        <v>4878</v>
      </c>
      <c r="L1779" s="2">
        <v>1</v>
      </c>
      <c r="M1779" s="24" t="s">
        <v>5971</v>
      </c>
      <c r="N1779" s="2" t="s">
        <v>23</v>
      </c>
      <c r="O1779" s="18" t="s">
        <v>1451</v>
      </c>
      <c r="P1779" s="18" t="s">
        <v>0</v>
      </c>
      <c r="Q1779" s="6" t="s">
        <v>4475</v>
      </c>
      <c r="T1779" s="23">
        <v>45716</v>
      </c>
      <c r="U1779" s="23">
        <v>47177</v>
      </c>
      <c r="X1779" s="20">
        <v>14000</v>
      </c>
      <c r="Z1779" s="6" t="s">
        <v>5978</v>
      </c>
      <c r="AA1779" s="14">
        <f>+(0.6/1000)</f>
        <v>5.9999999999999995E-4</v>
      </c>
      <c r="AB1779">
        <v>6.1086239999999998</v>
      </c>
      <c r="AC1779">
        <v>6.3529689600000001</v>
      </c>
    </row>
    <row r="1780" spans="1:29" x14ac:dyDescent="0.3">
      <c r="A1780">
        <v>138487</v>
      </c>
      <c r="B1780" s="25" t="s">
        <v>5984</v>
      </c>
      <c r="C1780" t="s">
        <v>20</v>
      </c>
      <c r="D1780" t="s">
        <v>21</v>
      </c>
      <c r="E1780">
        <v>2222222</v>
      </c>
      <c r="F1780" s="8" t="s">
        <v>22</v>
      </c>
      <c r="G1780" s="2">
        <v>98</v>
      </c>
      <c r="H1780" t="s">
        <v>4162</v>
      </c>
      <c r="J1780" s="9" t="s">
        <v>4934</v>
      </c>
      <c r="K1780" t="s">
        <v>5281</v>
      </c>
      <c r="L1780" s="2">
        <v>1</v>
      </c>
      <c r="M1780" s="24" t="s">
        <v>5971</v>
      </c>
      <c r="N1780" s="2" t="s">
        <v>23</v>
      </c>
      <c r="O1780" s="18" t="s">
        <v>1452</v>
      </c>
      <c r="P1780" s="18" t="s">
        <v>0</v>
      </c>
      <c r="Q1780" s="6" t="s">
        <v>4475</v>
      </c>
      <c r="T1780" s="23">
        <v>45284</v>
      </c>
      <c r="U1780" s="23">
        <v>46744</v>
      </c>
      <c r="X1780" s="20">
        <v>2000</v>
      </c>
      <c r="Z1780" s="6" t="s">
        <v>5978</v>
      </c>
      <c r="AA1780" s="13">
        <f>+(0.56/1000)</f>
        <v>5.6000000000000006E-4</v>
      </c>
      <c r="AB1780">
        <v>0.52199840000000008</v>
      </c>
      <c r="AC1780">
        <v>0.54287833600000013</v>
      </c>
    </row>
    <row r="1781" spans="1:29" x14ac:dyDescent="0.3">
      <c r="A1781">
        <v>145888</v>
      </c>
      <c r="B1781" s="25" t="s">
        <v>5984</v>
      </c>
      <c r="C1781" t="s">
        <v>20</v>
      </c>
      <c r="D1781" t="s">
        <v>21</v>
      </c>
      <c r="E1781">
        <v>2222222</v>
      </c>
      <c r="F1781" s="8" t="s">
        <v>22</v>
      </c>
      <c r="G1781" s="2">
        <v>98</v>
      </c>
      <c r="H1781" t="s">
        <v>4162</v>
      </c>
      <c r="J1781" s="9" t="s">
        <v>4852</v>
      </c>
      <c r="K1781" t="s">
        <v>4846</v>
      </c>
      <c r="L1781" s="2">
        <v>1</v>
      </c>
      <c r="M1781" s="24" t="s">
        <v>5971</v>
      </c>
      <c r="N1781" s="2" t="s">
        <v>23</v>
      </c>
      <c r="O1781" s="18" t="s">
        <v>1453</v>
      </c>
      <c r="P1781" s="18" t="s">
        <v>0</v>
      </c>
      <c r="Q1781" s="6" t="s">
        <v>4475</v>
      </c>
      <c r="T1781" s="23">
        <v>45772</v>
      </c>
      <c r="U1781" s="23">
        <v>46868</v>
      </c>
      <c r="X1781" s="20">
        <v>2360</v>
      </c>
      <c r="Z1781" s="6" t="s">
        <v>5978</v>
      </c>
      <c r="AA1781" s="14">
        <f t="shared" ref="AA1781:AA1783" si="230">+(0.6/1000)</f>
        <v>5.9999999999999995E-4</v>
      </c>
      <c r="AB1781">
        <v>0.91263599999999989</v>
      </c>
      <c r="AC1781">
        <v>0.94914143999999989</v>
      </c>
    </row>
    <row r="1782" spans="1:29" x14ac:dyDescent="0.3">
      <c r="A1782">
        <v>146654</v>
      </c>
      <c r="B1782" s="25" t="s">
        <v>5984</v>
      </c>
      <c r="C1782" t="s">
        <v>20</v>
      </c>
      <c r="D1782" t="s">
        <v>21</v>
      </c>
      <c r="E1782">
        <v>2222222</v>
      </c>
      <c r="F1782" s="8" t="s">
        <v>22</v>
      </c>
      <c r="G1782" s="2">
        <v>98</v>
      </c>
      <c r="H1782" t="s">
        <v>4162</v>
      </c>
      <c r="J1782" s="9" t="s">
        <v>5017</v>
      </c>
      <c r="K1782" t="s">
        <v>4516</v>
      </c>
      <c r="L1782" s="2">
        <v>1</v>
      </c>
      <c r="M1782" s="24" t="s">
        <v>5971</v>
      </c>
      <c r="N1782" s="2" t="s">
        <v>23</v>
      </c>
      <c r="O1782" s="18" t="s">
        <v>1454</v>
      </c>
      <c r="P1782" s="18" t="s">
        <v>3781</v>
      </c>
      <c r="Q1782" s="6" t="s">
        <v>4475</v>
      </c>
      <c r="T1782" s="23">
        <v>45833</v>
      </c>
      <c r="U1782" s="23">
        <v>46563</v>
      </c>
      <c r="X1782" s="20">
        <v>1000</v>
      </c>
      <c r="Z1782" s="6" t="s">
        <v>5978</v>
      </c>
      <c r="AA1782" s="14">
        <f t="shared" si="230"/>
        <v>5.9999999999999995E-4</v>
      </c>
      <c r="AB1782">
        <v>0.30051600000000001</v>
      </c>
      <c r="AC1782">
        <v>0.31253664000000003</v>
      </c>
    </row>
    <row r="1783" spans="1:29" x14ac:dyDescent="0.3">
      <c r="A1783">
        <v>151076</v>
      </c>
      <c r="B1783" s="25" t="s">
        <v>5984</v>
      </c>
      <c r="C1783" t="s">
        <v>20</v>
      </c>
      <c r="D1783" t="s">
        <v>21</v>
      </c>
      <c r="E1783">
        <v>2222222</v>
      </c>
      <c r="F1783" s="8" t="s">
        <v>22</v>
      </c>
      <c r="G1783" s="2">
        <v>98</v>
      </c>
      <c r="H1783" t="s">
        <v>4163</v>
      </c>
      <c r="J1783" s="9" t="s">
        <v>4990</v>
      </c>
      <c r="K1783" t="s">
        <v>4926</v>
      </c>
      <c r="L1783" s="2">
        <v>1</v>
      </c>
      <c r="M1783" s="24" t="s">
        <v>5971</v>
      </c>
      <c r="N1783" s="2" t="s">
        <v>23</v>
      </c>
      <c r="O1783" s="18" t="s">
        <v>1455</v>
      </c>
      <c r="P1783" s="18" t="s">
        <v>3781</v>
      </c>
      <c r="Q1783" s="6" t="s">
        <v>4475</v>
      </c>
      <c r="T1783" s="23">
        <v>46136</v>
      </c>
      <c r="U1783" s="23">
        <v>47232</v>
      </c>
      <c r="X1783" s="20">
        <v>5000</v>
      </c>
      <c r="Z1783" s="6" t="s">
        <v>5978</v>
      </c>
      <c r="AA1783" s="14">
        <f t="shared" si="230"/>
        <v>5.9999999999999995E-4</v>
      </c>
      <c r="AB1783">
        <v>2.8070999999999997</v>
      </c>
      <c r="AC1783">
        <v>2.919384</v>
      </c>
    </row>
    <row r="1784" spans="1:29" x14ac:dyDescent="0.3">
      <c r="A1784">
        <v>127126</v>
      </c>
      <c r="B1784" s="25" t="s">
        <v>5984</v>
      </c>
      <c r="C1784" t="s">
        <v>20</v>
      </c>
      <c r="D1784" t="s">
        <v>21</v>
      </c>
      <c r="E1784">
        <v>2222222</v>
      </c>
      <c r="F1784" s="8" t="s">
        <v>22</v>
      </c>
      <c r="G1784" s="2">
        <v>98</v>
      </c>
      <c r="H1784" t="s">
        <v>4164</v>
      </c>
      <c r="J1784" s="9" t="s">
        <v>4988</v>
      </c>
      <c r="K1784" t="s">
        <v>5531</v>
      </c>
      <c r="L1784" s="2">
        <v>1</v>
      </c>
      <c r="M1784" s="24" t="s">
        <v>5971</v>
      </c>
      <c r="N1784" s="2" t="s">
        <v>23</v>
      </c>
      <c r="O1784" s="18" t="s">
        <v>1456</v>
      </c>
      <c r="P1784" s="18" t="s">
        <v>0</v>
      </c>
      <c r="Q1784" s="6" t="s">
        <v>4475</v>
      </c>
      <c r="T1784" s="23">
        <v>44662</v>
      </c>
      <c r="U1784" s="23">
        <v>46488</v>
      </c>
      <c r="X1784" s="20">
        <v>20000</v>
      </c>
      <c r="Z1784" s="6" t="s">
        <v>5978</v>
      </c>
      <c r="AA1784" s="15">
        <f>+(0.42/1000)</f>
        <v>4.1999999999999996E-4</v>
      </c>
      <c r="AB1784">
        <v>1.6875347999999999</v>
      </c>
      <c r="AC1784">
        <v>1.7550361919999999</v>
      </c>
    </row>
    <row r="1785" spans="1:29" x14ac:dyDescent="0.3">
      <c r="A1785">
        <v>136287</v>
      </c>
      <c r="B1785" s="25" t="s">
        <v>5984</v>
      </c>
      <c r="C1785" t="s">
        <v>20</v>
      </c>
      <c r="D1785" t="s">
        <v>21</v>
      </c>
      <c r="E1785">
        <v>2222222</v>
      </c>
      <c r="F1785" s="8" t="s">
        <v>22</v>
      </c>
      <c r="G1785" s="2">
        <v>98</v>
      </c>
      <c r="H1785" t="s">
        <v>4164</v>
      </c>
      <c r="J1785" s="9" t="s">
        <v>4838</v>
      </c>
      <c r="K1785" t="s">
        <v>4875</v>
      </c>
      <c r="L1785" s="2">
        <v>1</v>
      </c>
      <c r="M1785" s="24" t="s">
        <v>5971</v>
      </c>
      <c r="N1785" s="2" t="s">
        <v>23</v>
      </c>
      <c r="O1785" s="18" t="s">
        <v>1457</v>
      </c>
      <c r="P1785" s="18" t="s">
        <v>0</v>
      </c>
      <c r="Q1785" s="6" t="s">
        <v>4475</v>
      </c>
      <c r="T1785" s="23">
        <v>45163</v>
      </c>
      <c r="U1785" s="23">
        <v>47719</v>
      </c>
      <c r="X1785" s="20">
        <v>2380</v>
      </c>
      <c r="Z1785" s="6" t="s">
        <v>5978</v>
      </c>
      <c r="AA1785" s="13">
        <f>+(0.56/1000)</f>
        <v>5.6000000000000006E-4</v>
      </c>
      <c r="AB1785">
        <v>1.3328000000000002</v>
      </c>
      <c r="AC1785">
        <v>1.3861120000000002</v>
      </c>
    </row>
    <row r="1786" spans="1:29" x14ac:dyDescent="0.3">
      <c r="A1786">
        <v>142665</v>
      </c>
      <c r="B1786" s="25" t="s">
        <v>5984</v>
      </c>
      <c r="C1786" t="s">
        <v>20</v>
      </c>
      <c r="D1786" t="s">
        <v>21</v>
      </c>
      <c r="E1786">
        <v>2222222</v>
      </c>
      <c r="F1786" s="8" t="s">
        <v>22</v>
      </c>
      <c r="G1786" s="2">
        <v>98</v>
      </c>
      <c r="H1786" t="s">
        <v>4164</v>
      </c>
      <c r="J1786" s="9" t="s">
        <v>4929</v>
      </c>
      <c r="K1786" t="s">
        <v>4852</v>
      </c>
      <c r="L1786" s="2">
        <v>1</v>
      </c>
      <c r="M1786" s="24" t="s">
        <v>5971</v>
      </c>
      <c r="N1786" s="2" t="s">
        <v>23</v>
      </c>
      <c r="O1786" s="18" t="s">
        <v>1458</v>
      </c>
      <c r="P1786" s="18" t="s">
        <v>0</v>
      </c>
      <c r="Q1786" s="6" t="s">
        <v>4475</v>
      </c>
      <c r="T1786" s="23">
        <v>45537</v>
      </c>
      <c r="U1786" s="23">
        <v>46267</v>
      </c>
      <c r="X1786" s="20">
        <v>4000</v>
      </c>
      <c r="Z1786" s="6" t="s">
        <v>5978</v>
      </c>
      <c r="AA1786" s="14">
        <f t="shared" ref="AA1786:AA1794" si="231">+(0.6/1000)</f>
        <v>5.9999999999999995E-4</v>
      </c>
      <c r="AB1786">
        <v>0.23591999999999996</v>
      </c>
      <c r="AC1786">
        <v>0.24535679999999996</v>
      </c>
    </row>
    <row r="1787" spans="1:29" x14ac:dyDescent="0.3">
      <c r="A1787">
        <v>144220</v>
      </c>
      <c r="B1787" s="25" t="s">
        <v>5984</v>
      </c>
      <c r="C1787" t="s">
        <v>20</v>
      </c>
      <c r="D1787" t="s">
        <v>21</v>
      </c>
      <c r="E1787">
        <v>2222222</v>
      </c>
      <c r="F1787" s="8" t="s">
        <v>22</v>
      </c>
      <c r="G1787" s="2">
        <v>98</v>
      </c>
      <c r="H1787" t="s">
        <v>4164</v>
      </c>
      <c r="J1787" s="9" t="s">
        <v>5017</v>
      </c>
      <c r="K1787" t="s">
        <v>5075</v>
      </c>
      <c r="L1787" s="2">
        <v>1</v>
      </c>
      <c r="M1787" s="24" t="s">
        <v>5971</v>
      </c>
      <c r="N1787" s="2" t="s">
        <v>23</v>
      </c>
      <c r="O1787" s="18" t="s">
        <v>1459</v>
      </c>
      <c r="P1787" s="18" t="s">
        <v>3781</v>
      </c>
      <c r="Q1787" s="6" t="s">
        <v>4475</v>
      </c>
      <c r="T1787" s="23">
        <v>45646</v>
      </c>
      <c r="U1787" s="23">
        <v>46740</v>
      </c>
      <c r="X1787" s="20">
        <v>5000</v>
      </c>
      <c r="Z1787" s="6" t="s">
        <v>5978</v>
      </c>
      <c r="AA1787" s="14">
        <f t="shared" si="231"/>
        <v>5.9999999999999995E-4</v>
      </c>
      <c r="AB1787">
        <v>1.6165559999999999</v>
      </c>
      <c r="AC1787">
        <v>1.68121824</v>
      </c>
    </row>
    <row r="1788" spans="1:29" x14ac:dyDescent="0.3">
      <c r="A1788">
        <v>144957</v>
      </c>
      <c r="B1788" s="25" t="s">
        <v>5984</v>
      </c>
      <c r="C1788" t="s">
        <v>20</v>
      </c>
      <c r="D1788" t="s">
        <v>21</v>
      </c>
      <c r="E1788">
        <v>2222222</v>
      </c>
      <c r="F1788" s="8" t="s">
        <v>22</v>
      </c>
      <c r="G1788" s="2">
        <v>98</v>
      </c>
      <c r="H1788" t="s">
        <v>4164</v>
      </c>
      <c r="J1788" s="9" t="s">
        <v>5502</v>
      </c>
      <c r="K1788" t="s">
        <v>4980</v>
      </c>
      <c r="L1788" s="2">
        <v>1</v>
      </c>
      <c r="M1788" s="24" t="s">
        <v>5971</v>
      </c>
      <c r="N1788" s="2" t="s">
        <v>23</v>
      </c>
      <c r="O1788" s="18" t="s">
        <v>1460</v>
      </c>
      <c r="P1788" s="18" t="s">
        <v>3781</v>
      </c>
      <c r="Q1788" s="6" t="s">
        <v>4475</v>
      </c>
      <c r="T1788" s="23">
        <v>45701</v>
      </c>
      <c r="U1788" s="23">
        <v>46798</v>
      </c>
      <c r="X1788" s="20">
        <v>4000</v>
      </c>
      <c r="Z1788" s="6" t="s">
        <v>5978</v>
      </c>
      <c r="AA1788" s="14">
        <f t="shared" si="231"/>
        <v>5.9999999999999995E-4</v>
      </c>
      <c r="AB1788">
        <v>1.4189339999999997</v>
      </c>
      <c r="AC1788">
        <v>1.4756913599999997</v>
      </c>
    </row>
    <row r="1789" spans="1:29" x14ac:dyDescent="0.3">
      <c r="A1789">
        <v>147776</v>
      </c>
      <c r="B1789" s="25" t="s">
        <v>5984</v>
      </c>
      <c r="C1789" t="s">
        <v>20</v>
      </c>
      <c r="D1789" t="s">
        <v>21</v>
      </c>
      <c r="E1789">
        <v>2222222</v>
      </c>
      <c r="F1789" s="8" t="s">
        <v>22</v>
      </c>
      <c r="G1789" s="2">
        <v>98</v>
      </c>
      <c r="H1789" t="s">
        <v>4164</v>
      </c>
      <c r="J1789" s="9" t="s">
        <v>5502</v>
      </c>
      <c r="K1789" t="s">
        <v>4980</v>
      </c>
      <c r="L1789" s="2">
        <v>1</v>
      </c>
      <c r="M1789" s="24" t="s">
        <v>5971</v>
      </c>
      <c r="N1789" s="2" t="s">
        <v>23</v>
      </c>
      <c r="O1789" s="18" t="s">
        <v>1460</v>
      </c>
      <c r="P1789" s="18" t="s">
        <v>3781</v>
      </c>
      <c r="Q1789" s="6" t="s">
        <v>4475</v>
      </c>
      <c r="T1789" s="23">
        <v>45911</v>
      </c>
      <c r="U1789" s="23">
        <v>47372</v>
      </c>
      <c r="X1789" s="20">
        <v>3365</v>
      </c>
      <c r="Z1789" s="6" t="s">
        <v>5978</v>
      </c>
      <c r="AA1789" s="14">
        <f t="shared" si="231"/>
        <v>5.9999999999999995E-4</v>
      </c>
      <c r="AB1789">
        <v>1.7085959999999998</v>
      </c>
      <c r="AC1789">
        <v>1.7769398399999998</v>
      </c>
    </row>
    <row r="1790" spans="1:29" x14ac:dyDescent="0.3">
      <c r="A1790">
        <v>150742</v>
      </c>
      <c r="B1790" s="25" t="s">
        <v>5984</v>
      </c>
      <c r="C1790" t="s">
        <v>20</v>
      </c>
      <c r="D1790" t="s">
        <v>21</v>
      </c>
      <c r="E1790">
        <v>2222222</v>
      </c>
      <c r="F1790" s="8" t="s">
        <v>22</v>
      </c>
      <c r="G1790" s="2">
        <v>98</v>
      </c>
      <c r="H1790" t="s">
        <v>4164</v>
      </c>
      <c r="J1790" s="9" t="s">
        <v>5017</v>
      </c>
      <c r="K1790" t="s">
        <v>5075</v>
      </c>
      <c r="L1790" s="2">
        <v>1</v>
      </c>
      <c r="M1790" s="24" t="s">
        <v>5971</v>
      </c>
      <c r="N1790" s="2" t="s">
        <v>23</v>
      </c>
      <c r="O1790" s="18" t="s">
        <v>1459</v>
      </c>
      <c r="P1790" s="18" t="s">
        <v>3781</v>
      </c>
      <c r="Q1790" s="6" t="s">
        <v>4475</v>
      </c>
      <c r="T1790" s="23">
        <v>46112</v>
      </c>
      <c r="U1790" s="23">
        <v>47207</v>
      </c>
      <c r="X1790" s="20">
        <v>5000</v>
      </c>
      <c r="Z1790" s="6" t="s">
        <v>5978</v>
      </c>
      <c r="AA1790" s="14">
        <f t="shared" si="231"/>
        <v>5.9999999999999995E-4</v>
      </c>
      <c r="AB1790">
        <v>2.79528</v>
      </c>
      <c r="AC1790">
        <v>2.9070912</v>
      </c>
    </row>
    <row r="1791" spans="1:29" x14ac:dyDescent="0.3">
      <c r="A1791">
        <v>151141</v>
      </c>
      <c r="B1791" s="25" t="s">
        <v>5984</v>
      </c>
      <c r="C1791" t="s">
        <v>20</v>
      </c>
      <c r="D1791" t="s">
        <v>21</v>
      </c>
      <c r="E1791">
        <v>2222222</v>
      </c>
      <c r="F1791" s="8" t="s">
        <v>22</v>
      </c>
      <c r="G1791" s="2">
        <v>98</v>
      </c>
      <c r="H1791" t="s">
        <v>4164</v>
      </c>
      <c r="J1791" s="9" t="s">
        <v>4929</v>
      </c>
      <c r="K1791" t="s">
        <v>4852</v>
      </c>
      <c r="L1791" s="2">
        <v>1</v>
      </c>
      <c r="M1791" s="24" t="s">
        <v>5971</v>
      </c>
      <c r="N1791" s="2" t="s">
        <v>23</v>
      </c>
      <c r="O1791" s="18" t="s">
        <v>1458</v>
      </c>
      <c r="P1791" s="18" t="s">
        <v>0</v>
      </c>
      <c r="Q1791" s="6" t="s">
        <v>4475</v>
      </c>
      <c r="T1791" s="23">
        <v>46141</v>
      </c>
      <c r="U1791" s="23">
        <v>46416</v>
      </c>
      <c r="X1791" s="20">
        <v>1000</v>
      </c>
      <c r="Z1791" s="6" t="s">
        <v>5978</v>
      </c>
      <c r="AA1791" s="14">
        <f t="shared" si="231"/>
        <v>5.9999999999999995E-4</v>
      </c>
      <c r="AB1791">
        <v>0.40891799999999995</v>
      </c>
      <c r="AC1791">
        <v>0.42527471999999994</v>
      </c>
    </row>
    <row r="1792" spans="1:29" x14ac:dyDescent="0.3">
      <c r="A1792">
        <v>151384</v>
      </c>
      <c r="B1792" s="25" t="s">
        <v>5984</v>
      </c>
      <c r="C1792" t="s">
        <v>20</v>
      </c>
      <c r="D1792" t="s">
        <v>21</v>
      </c>
      <c r="E1792">
        <v>2222222</v>
      </c>
      <c r="F1792" s="8" t="s">
        <v>22</v>
      </c>
      <c r="G1792" s="2">
        <v>98</v>
      </c>
      <c r="H1792" t="s">
        <v>4164</v>
      </c>
      <c r="J1792" s="9" t="s">
        <v>5351</v>
      </c>
      <c r="K1792" t="s">
        <v>4841</v>
      </c>
      <c r="L1792" s="2">
        <v>1</v>
      </c>
      <c r="M1792" s="24" t="s">
        <v>5971</v>
      </c>
      <c r="N1792" s="2" t="s">
        <v>23</v>
      </c>
      <c r="O1792" s="18" t="s">
        <v>1461</v>
      </c>
      <c r="P1792" s="18" t="s">
        <v>0</v>
      </c>
      <c r="Q1792" s="6" t="s">
        <v>4475</v>
      </c>
      <c r="T1792" s="23">
        <v>46173</v>
      </c>
      <c r="U1792" s="23">
        <v>49825</v>
      </c>
      <c r="X1792" s="20">
        <v>45000</v>
      </c>
      <c r="Z1792" s="6" t="s">
        <v>5978</v>
      </c>
      <c r="AA1792" s="14">
        <f t="shared" si="231"/>
        <v>5.9999999999999995E-4</v>
      </c>
      <c r="AB1792">
        <v>26.758848</v>
      </c>
      <c r="AC1792">
        <v>27.829201920000003</v>
      </c>
    </row>
    <row r="1793" spans="1:29" x14ac:dyDescent="0.3">
      <c r="A1793">
        <v>151967</v>
      </c>
      <c r="B1793" s="25" t="s">
        <v>5984</v>
      </c>
      <c r="C1793" t="s">
        <v>20</v>
      </c>
      <c r="D1793" t="s">
        <v>21</v>
      </c>
      <c r="E1793">
        <v>2222222</v>
      </c>
      <c r="F1793" s="8" t="s">
        <v>22</v>
      </c>
      <c r="G1793" s="2">
        <v>98</v>
      </c>
      <c r="H1793" t="s">
        <v>4164</v>
      </c>
      <c r="J1793" s="9" t="s">
        <v>4967</v>
      </c>
      <c r="K1793" t="s">
        <v>5025</v>
      </c>
      <c r="L1793" s="2">
        <v>1</v>
      </c>
      <c r="M1793" s="24" t="s">
        <v>5971</v>
      </c>
      <c r="N1793" s="2" t="s">
        <v>23</v>
      </c>
      <c r="O1793" s="18" t="s">
        <v>1462</v>
      </c>
      <c r="P1793" s="18" t="s">
        <v>3781</v>
      </c>
      <c r="Q1793" s="6" t="s">
        <v>4475</v>
      </c>
      <c r="T1793" s="23">
        <v>46202</v>
      </c>
      <c r="U1793" s="23">
        <v>48028</v>
      </c>
      <c r="X1793" s="20">
        <v>3050</v>
      </c>
      <c r="Z1793" s="6" t="s">
        <v>5978</v>
      </c>
      <c r="AA1793" s="14">
        <f t="shared" si="231"/>
        <v>5.9999999999999995E-4</v>
      </c>
      <c r="AB1793">
        <v>1.8107279999999999</v>
      </c>
      <c r="AC1793">
        <v>1.8831571199999999</v>
      </c>
    </row>
    <row r="1794" spans="1:29" x14ac:dyDescent="0.3">
      <c r="A1794">
        <v>149079</v>
      </c>
      <c r="B1794" s="25" t="s">
        <v>5984</v>
      </c>
      <c r="C1794" t="s">
        <v>20</v>
      </c>
      <c r="D1794" t="s">
        <v>21</v>
      </c>
      <c r="E1794">
        <v>2222222</v>
      </c>
      <c r="F1794" s="8" t="s">
        <v>22</v>
      </c>
      <c r="G1794" s="2">
        <v>98</v>
      </c>
      <c r="H1794" t="s">
        <v>4165</v>
      </c>
      <c r="J1794" s="9" t="s">
        <v>4947</v>
      </c>
      <c r="K1794" t="s">
        <v>4861</v>
      </c>
      <c r="L1794" s="2">
        <v>1</v>
      </c>
      <c r="M1794" s="24" t="s">
        <v>5971</v>
      </c>
      <c r="N1794" s="2" t="s">
        <v>23</v>
      </c>
      <c r="O1794" s="18" t="s">
        <v>1463</v>
      </c>
      <c r="P1794" s="18" t="s">
        <v>3781</v>
      </c>
      <c r="Q1794" s="6" t="s">
        <v>4475</v>
      </c>
      <c r="T1794" s="23">
        <v>46182</v>
      </c>
      <c r="U1794" s="23">
        <v>47643</v>
      </c>
      <c r="X1794" s="20">
        <v>23000</v>
      </c>
      <c r="Z1794" s="6" t="s">
        <v>5978</v>
      </c>
      <c r="AA1794" s="14">
        <f t="shared" si="231"/>
        <v>5.9999999999999995E-4</v>
      </c>
      <c r="AB1794">
        <v>13.586975999999998</v>
      </c>
      <c r="AC1794">
        <v>14.130455039999999</v>
      </c>
    </row>
    <row r="1795" spans="1:29" x14ac:dyDescent="0.3">
      <c r="A1795">
        <v>109567</v>
      </c>
      <c r="B1795" s="25" t="s">
        <v>5984</v>
      </c>
      <c r="C1795" t="s">
        <v>20</v>
      </c>
      <c r="D1795" t="s">
        <v>21</v>
      </c>
      <c r="E1795">
        <v>2222222</v>
      </c>
      <c r="F1795" s="8" t="s">
        <v>22</v>
      </c>
      <c r="G1795" s="2">
        <v>98</v>
      </c>
      <c r="H1795" t="s">
        <v>4166</v>
      </c>
      <c r="J1795" s="9" t="s">
        <v>4950</v>
      </c>
      <c r="K1795" t="s">
        <v>5197</v>
      </c>
      <c r="L1795" s="2">
        <v>1</v>
      </c>
      <c r="M1795" s="24" t="s">
        <v>5971</v>
      </c>
      <c r="N1795" s="2" t="s">
        <v>23</v>
      </c>
      <c r="O1795" s="18" t="s">
        <v>1464</v>
      </c>
      <c r="P1795" s="18" t="s">
        <v>0</v>
      </c>
      <c r="Q1795" s="6" t="s">
        <v>4475</v>
      </c>
      <c r="T1795" s="23">
        <v>43850</v>
      </c>
      <c r="U1795" s="23">
        <v>46465</v>
      </c>
      <c r="X1795" s="20">
        <v>51000</v>
      </c>
      <c r="Z1795" s="6" t="s">
        <v>5978</v>
      </c>
      <c r="AA1795" s="15">
        <f>+(0.42/1000)</f>
        <v>4.1999999999999996E-4</v>
      </c>
      <c r="AB1795">
        <v>3.2105765999999996</v>
      </c>
      <c r="AC1795">
        <v>3.3389996639999997</v>
      </c>
    </row>
    <row r="1796" spans="1:29" x14ac:dyDescent="0.3">
      <c r="A1796">
        <v>150660</v>
      </c>
      <c r="B1796" s="25" t="s">
        <v>5984</v>
      </c>
      <c r="C1796" t="s">
        <v>20</v>
      </c>
      <c r="D1796" t="s">
        <v>21</v>
      </c>
      <c r="E1796">
        <v>2222222</v>
      </c>
      <c r="F1796" s="8" t="s">
        <v>22</v>
      </c>
      <c r="G1796" s="2">
        <v>98</v>
      </c>
      <c r="H1796" t="s">
        <v>4166</v>
      </c>
      <c r="J1796" s="9" t="s">
        <v>4909</v>
      </c>
      <c r="K1796" t="s">
        <v>5071</v>
      </c>
      <c r="L1796" s="2">
        <v>1</v>
      </c>
      <c r="M1796" s="24" t="s">
        <v>5971</v>
      </c>
      <c r="N1796" s="2" t="s">
        <v>23</v>
      </c>
      <c r="O1796" s="18" t="s">
        <v>1465</v>
      </c>
      <c r="P1796" s="18" t="s">
        <v>3781</v>
      </c>
      <c r="Q1796" s="6" t="s">
        <v>4475</v>
      </c>
      <c r="T1796" s="23">
        <v>46107</v>
      </c>
      <c r="U1796" s="23">
        <v>46837</v>
      </c>
      <c r="X1796" s="20">
        <v>5000</v>
      </c>
      <c r="Z1796" s="6" t="s">
        <v>5978</v>
      </c>
      <c r="AA1796" s="14">
        <f t="shared" ref="AA1796:AA1798" si="232">+(0.6/1000)</f>
        <v>5.9999999999999995E-4</v>
      </c>
      <c r="AB1796">
        <v>2.5713299999999997</v>
      </c>
      <c r="AC1796">
        <v>2.6741831999999999</v>
      </c>
    </row>
    <row r="1797" spans="1:29" x14ac:dyDescent="0.3">
      <c r="A1797">
        <v>152095</v>
      </c>
      <c r="B1797" s="25" t="s">
        <v>5984</v>
      </c>
      <c r="C1797" t="s">
        <v>20</v>
      </c>
      <c r="D1797" t="s">
        <v>21</v>
      </c>
      <c r="E1797">
        <v>2222222</v>
      </c>
      <c r="F1797" s="8" t="s">
        <v>22</v>
      </c>
      <c r="G1797" s="2">
        <v>98</v>
      </c>
      <c r="H1797" t="s">
        <v>4166</v>
      </c>
      <c r="J1797" s="9" t="s">
        <v>5532</v>
      </c>
      <c r="K1797" t="s">
        <v>5018</v>
      </c>
      <c r="L1797" s="2">
        <v>1</v>
      </c>
      <c r="M1797" s="24" t="s">
        <v>5971</v>
      </c>
      <c r="N1797" s="2" t="s">
        <v>23</v>
      </c>
      <c r="O1797" s="18" t="s">
        <v>1466</v>
      </c>
      <c r="P1797" s="18" t="s">
        <v>0</v>
      </c>
      <c r="Q1797" s="6" t="s">
        <v>4475</v>
      </c>
      <c r="T1797" s="23">
        <v>46212</v>
      </c>
      <c r="U1797" s="23">
        <v>46942</v>
      </c>
      <c r="X1797" s="20">
        <v>2000</v>
      </c>
      <c r="Z1797" s="6" t="s">
        <v>5978</v>
      </c>
      <c r="AA1797" s="14">
        <f t="shared" si="232"/>
        <v>5.9999999999999995E-4</v>
      </c>
      <c r="AB1797">
        <v>1.2</v>
      </c>
      <c r="AC1797">
        <v>1.248</v>
      </c>
    </row>
    <row r="1798" spans="1:29" x14ac:dyDescent="0.3">
      <c r="A1798">
        <v>148397</v>
      </c>
      <c r="B1798" s="25" t="s">
        <v>5984</v>
      </c>
      <c r="C1798" t="s">
        <v>20</v>
      </c>
      <c r="D1798" t="s">
        <v>21</v>
      </c>
      <c r="E1798">
        <v>2222222</v>
      </c>
      <c r="F1798" s="8" t="s">
        <v>22</v>
      </c>
      <c r="G1798" s="2">
        <v>98</v>
      </c>
      <c r="H1798" t="s">
        <v>4167</v>
      </c>
      <c r="J1798" s="9" t="s">
        <v>4864</v>
      </c>
      <c r="K1798" t="s">
        <v>4827</v>
      </c>
      <c r="L1798" s="2">
        <v>1</v>
      </c>
      <c r="M1798" s="24" t="s">
        <v>5971</v>
      </c>
      <c r="N1798" s="2" t="s">
        <v>23</v>
      </c>
      <c r="O1798" s="18" t="s">
        <v>1467</v>
      </c>
      <c r="P1798" s="18" t="s">
        <v>0</v>
      </c>
      <c r="Q1798" s="6" t="s">
        <v>4475</v>
      </c>
      <c r="T1798" s="23">
        <v>45961</v>
      </c>
      <c r="U1798" s="23">
        <v>51439</v>
      </c>
      <c r="X1798" s="20">
        <v>40000</v>
      </c>
      <c r="Z1798" s="6" t="s">
        <v>5978</v>
      </c>
      <c r="AA1798" s="14">
        <f t="shared" si="232"/>
        <v>5.9999999999999995E-4</v>
      </c>
      <c r="AB1798">
        <v>23.542013999999998</v>
      </c>
      <c r="AC1798">
        <v>24.48369456</v>
      </c>
    </row>
    <row r="1799" spans="1:29" x14ac:dyDescent="0.3">
      <c r="A1799">
        <v>130657</v>
      </c>
      <c r="B1799" s="25" t="s">
        <v>5984</v>
      </c>
      <c r="C1799" t="s">
        <v>20</v>
      </c>
      <c r="D1799" t="s">
        <v>21</v>
      </c>
      <c r="E1799">
        <v>2222222</v>
      </c>
      <c r="F1799" s="8" t="s">
        <v>22</v>
      </c>
      <c r="G1799" s="2">
        <v>98</v>
      </c>
      <c r="H1799" t="s">
        <v>4168</v>
      </c>
      <c r="J1799" s="9" t="s">
        <v>5152</v>
      </c>
      <c r="K1799" t="s">
        <v>4926</v>
      </c>
      <c r="L1799" s="2">
        <v>1</v>
      </c>
      <c r="M1799" s="24" t="s">
        <v>5971</v>
      </c>
      <c r="N1799" s="2" t="s">
        <v>23</v>
      </c>
      <c r="O1799" s="18" t="s">
        <v>1468</v>
      </c>
      <c r="P1799" s="18" t="s">
        <v>3781</v>
      </c>
      <c r="Q1799" s="6" t="s">
        <v>4475</v>
      </c>
      <c r="T1799" s="23">
        <v>44851</v>
      </c>
      <c r="U1799" s="23">
        <v>45946</v>
      </c>
      <c r="X1799" s="20">
        <v>4000</v>
      </c>
      <c r="Z1799" s="6" t="s">
        <v>5978</v>
      </c>
      <c r="AA1799" s="13">
        <f>+(0.56/1000)</f>
        <v>5.6000000000000006E-4</v>
      </c>
      <c r="AB1799">
        <v>2.1453712</v>
      </c>
      <c r="AC1799">
        <v>2.2311860480000001</v>
      </c>
    </row>
    <row r="1800" spans="1:29" x14ac:dyDescent="0.3">
      <c r="A1800">
        <v>148224</v>
      </c>
      <c r="B1800" s="25" t="s">
        <v>5984</v>
      </c>
      <c r="C1800" t="s">
        <v>20</v>
      </c>
      <c r="D1800" t="s">
        <v>21</v>
      </c>
      <c r="E1800">
        <v>2222222</v>
      </c>
      <c r="F1800" s="8" t="s">
        <v>22</v>
      </c>
      <c r="G1800" s="2">
        <v>98</v>
      </c>
      <c r="H1800" t="s">
        <v>4169</v>
      </c>
      <c r="J1800" s="9" t="s">
        <v>5204</v>
      </c>
      <c r="K1800" t="s">
        <v>5533</v>
      </c>
      <c r="L1800" s="2">
        <v>1</v>
      </c>
      <c r="M1800" s="24" t="s">
        <v>5971</v>
      </c>
      <c r="N1800" s="2" t="s">
        <v>23</v>
      </c>
      <c r="O1800" s="18" t="s">
        <v>1469</v>
      </c>
      <c r="P1800" s="18" t="s">
        <v>0</v>
      </c>
      <c r="Q1800" s="6" t="s">
        <v>4475</v>
      </c>
      <c r="T1800" s="23">
        <v>45946</v>
      </c>
      <c r="U1800" s="23">
        <v>46492</v>
      </c>
      <c r="X1800" s="20">
        <v>2100</v>
      </c>
      <c r="Z1800" s="6" t="s">
        <v>5978</v>
      </c>
      <c r="AA1800" s="14">
        <f t="shared" ref="AA1800:AA1801" si="233">+(0.6/1000)</f>
        <v>5.9999999999999995E-4</v>
      </c>
      <c r="AB1800">
        <v>0.66944399999999993</v>
      </c>
      <c r="AC1800">
        <v>0.69622175999999991</v>
      </c>
    </row>
    <row r="1801" spans="1:29" x14ac:dyDescent="0.3">
      <c r="A1801">
        <v>149122</v>
      </c>
      <c r="B1801" s="25" t="s">
        <v>5984</v>
      </c>
      <c r="C1801" t="s">
        <v>20</v>
      </c>
      <c r="D1801" t="s">
        <v>21</v>
      </c>
      <c r="E1801">
        <v>2222222</v>
      </c>
      <c r="F1801" s="8" t="s">
        <v>22</v>
      </c>
      <c r="G1801" s="2">
        <v>98</v>
      </c>
      <c r="H1801" t="s">
        <v>4169</v>
      </c>
      <c r="J1801" s="9" t="s">
        <v>5204</v>
      </c>
      <c r="K1801" t="s">
        <v>5533</v>
      </c>
      <c r="L1801" s="2">
        <v>1</v>
      </c>
      <c r="M1801" s="24" t="s">
        <v>5971</v>
      </c>
      <c r="N1801" s="2" t="s">
        <v>23</v>
      </c>
      <c r="O1801" s="18" t="s">
        <v>1469</v>
      </c>
      <c r="P1801" s="18" t="s">
        <v>0</v>
      </c>
      <c r="Q1801" s="6" t="s">
        <v>4475</v>
      </c>
      <c r="T1801" s="23">
        <v>45999</v>
      </c>
      <c r="U1801" s="23">
        <v>47459</v>
      </c>
      <c r="X1801" s="20">
        <v>5000</v>
      </c>
      <c r="Z1801" s="6" t="s">
        <v>5978</v>
      </c>
      <c r="AA1801" s="14">
        <f t="shared" si="233"/>
        <v>5.9999999999999995E-4</v>
      </c>
      <c r="AB1801">
        <v>2.6827320000000001</v>
      </c>
      <c r="AC1801">
        <v>2.7900412800000001</v>
      </c>
    </row>
    <row r="1802" spans="1:29" x14ac:dyDescent="0.3">
      <c r="A1802">
        <v>139339</v>
      </c>
      <c r="B1802" s="25" t="s">
        <v>5984</v>
      </c>
      <c r="C1802" t="s">
        <v>20</v>
      </c>
      <c r="D1802" t="s">
        <v>21</v>
      </c>
      <c r="E1802">
        <v>2222222</v>
      </c>
      <c r="F1802" s="8" t="s">
        <v>22</v>
      </c>
      <c r="G1802" s="2">
        <v>98</v>
      </c>
      <c r="H1802" t="s">
        <v>4170</v>
      </c>
      <c r="J1802" s="9" t="s">
        <v>5534</v>
      </c>
      <c r="K1802" t="s">
        <v>5535</v>
      </c>
      <c r="L1802" s="2">
        <v>1</v>
      </c>
      <c r="M1802" s="24" t="s">
        <v>5971</v>
      </c>
      <c r="N1802" s="2" t="s">
        <v>23</v>
      </c>
      <c r="O1802" s="18" t="s">
        <v>1470</v>
      </c>
      <c r="P1802" s="18" t="s">
        <v>3781</v>
      </c>
      <c r="Q1802" s="6" t="s">
        <v>4475</v>
      </c>
      <c r="T1802" s="23">
        <v>45324</v>
      </c>
      <c r="U1802" s="23">
        <v>47152</v>
      </c>
      <c r="X1802" s="20">
        <v>5000</v>
      </c>
      <c r="Z1802" s="6" t="s">
        <v>5978</v>
      </c>
      <c r="AA1802" s="13">
        <f>+(0.56/1000)</f>
        <v>5.6000000000000006E-4</v>
      </c>
      <c r="AB1802">
        <v>1.7070256000000004</v>
      </c>
      <c r="AC1802">
        <v>1.7753066240000004</v>
      </c>
    </row>
    <row r="1803" spans="1:29" x14ac:dyDescent="0.3">
      <c r="A1803">
        <v>143852</v>
      </c>
      <c r="B1803" s="25" t="s">
        <v>5984</v>
      </c>
      <c r="C1803" t="s">
        <v>20</v>
      </c>
      <c r="D1803" t="s">
        <v>21</v>
      </c>
      <c r="E1803">
        <v>2222222</v>
      </c>
      <c r="F1803" s="8" t="s">
        <v>22</v>
      </c>
      <c r="G1803" s="2">
        <v>98</v>
      </c>
      <c r="H1803" t="s">
        <v>4170</v>
      </c>
      <c r="J1803" s="9" t="s">
        <v>4970</v>
      </c>
      <c r="K1803" t="s">
        <v>5266</v>
      </c>
      <c r="L1803" s="2">
        <v>1</v>
      </c>
      <c r="M1803" s="24" t="s">
        <v>5971</v>
      </c>
      <c r="N1803" s="2" t="s">
        <v>23</v>
      </c>
      <c r="O1803" s="18" t="s">
        <v>1471</v>
      </c>
      <c r="P1803" s="18" t="s">
        <v>3781</v>
      </c>
      <c r="Q1803" s="6" t="s">
        <v>4475</v>
      </c>
      <c r="T1803" s="23">
        <v>45621</v>
      </c>
      <c r="U1803" s="23">
        <v>46351</v>
      </c>
      <c r="X1803" s="20">
        <v>1200</v>
      </c>
      <c r="Z1803" s="6" t="s">
        <v>5978</v>
      </c>
      <c r="AA1803" s="14">
        <f t="shared" ref="AA1803:AA1811" si="234">+(0.6/1000)</f>
        <v>5.9999999999999995E-4</v>
      </c>
      <c r="AB1803">
        <v>0.13733399999999998</v>
      </c>
      <c r="AC1803">
        <v>0.14282735999999999</v>
      </c>
    </row>
    <row r="1804" spans="1:29" x14ac:dyDescent="0.3">
      <c r="A1804">
        <v>145148</v>
      </c>
      <c r="B1804" s="25" t="s">
        <v>5984</v>
      </c>
      <c r="C1804" t="s">
        <v>20</v>
      </c>
      <c r="D1804" t="s">
        <v>21</v>
      </c>
      <c r="E1804">
        <v>2222222</v>
      </c>
      <c r="F1804" s="8" t="s">
        <v>22</v>
      </c>
      <c r="G1804" s="2">
        <v>98</v>
      </c>
      <c r="H1804" t="s">
        <v>4170</v>
      </c>
      <c r="J1804" s="9" t="s">
        <v>4852</v>
      </c>
      <c r="K1804" t="s">
        <v>5191</v>
      </c>
      <c r="L1804" s="2">
        <v>1</v>
      </c>
      <c r="M1804" s="24" t="s">
        <v>5971</v>
      </c>
      <c r="N1804" s="2" t="s">
        <v>23</v>
      </c>
      <c r="O1804" s="18" t="s">
        <v>1472</v>
      </c>
      <c r="P1804" s="18" t="s">
        <v>0</v>
      </c>
      <c r="Q1804" s="6" t="s">
        <v>4475</v>
      </c>
      <c r="T1804" s="23">
        <v>45734</v>
      </c>
      <c r="U1804" s="23">
        <v>51273</v>
      </c>
      <c r="X1804" s="20">
        <v>37000</v>
      </c>
      <c r="Z1804" s="6" t="s">
        <v>5978</v>
      </c>
      <c r="AA1804" s="14">
        <f t="shared" si="234"/>
        <v>5.9999999999999995E-4</v>
      </c>
      <c r="AB1804">
        <v>21.564527999999996</v>
      </c>
      <c r="AC1804">
        <v>22.427109119999997</v>
      </c>
    </row>
    <row r="1805" spans="1:29" x14ac:dyDescent="0.3">
      <c r="A1805">
        <v>146034</v>
      </c>
      <c r="B1805" s="25" t="s">
        <v>5984</v>
      </c>
      <c r="C1805" t="s">
        <v>20</v>
      </c>
      <c r="D1805" t="s">
        <v>21</v>
      </c>
      <c r="E1805">
        <v>2222222</v>
      </c>
      <c r="F1805" s="8" t="s">
        <v>22</v>
      </c>
      <c r="G1805" s="2">
        <v>98</v>
      </c>
      <c r="H1805" t="s">
        <v>4170</v>
      </c>
      <c r="J1805" s="9" t="s">
        <v>4182</v>
      </c>
      <c r="K1805" t="s">
        <v>4961</v>
      </c>
      <c r="L1805" s="2">
        <v>1</v>
      </c>
      <c r="M1805" s="24" t="s">
        <v>5971</v>
      </c>
      <c r="N1805" s="2" t="s">
        <v>23</v>
      </c>
      <c r="O1805" s="18" t="s">
        <v>1473</v>
      </c>
      <c r="P1805" s="18" t="s">
        <v>0</v>
      </c>
      <c r="Q1805" s="6" t="s">
        <v>4475</v>
      </c>
      <c r="T1805" s="23">
        <v>45791</v>
      </c>
      <c r="U1805" s="23">
        <v>47616</v>
      </c>
      <c r="X1805" s="20">
        <v>10000</v>
      </c>
      <c r="Z1805" s="6" t="s">
        <v>5978</v>
      </c>
      <c r="AA1805" s="14">
        <f t="shared" si="234"/>
        <v>5.9999999999999995E-4</v>
      </c>
      <c r="AB1805">
        <v>5.8537499999999998</v>
      </c>
      <c r="AC1805">
        <v>6.0879000000000003</v>
      </c>
    </row>
    <row r="1806" spans="1:29" x14ac:dyDescent="0.3">
      <c r="A1806">
        <v>146185</v>
      </c>
      <c r="B1806" s="25" t="s">
        <v>5984</v>
      </c>
      <c r="C1806" t="s">
        <v>20</v>
      </c>
      <c r="D1806" t="s">
        <v>21</v>
      </c>
      <c r="E1806">
        <v>2222222</v>
      </c>
      <c r="F1806" s="8" t="s">
        <v>22</v>
      </c>
      <c r="G1806" s="2">
        <v>98</v>
      </c>
      <c r="H1806" t="s">
        <v>4170</v>
      </c>
      <c r="J1806" s="9" t="s">
        <v>5083</v>
      </c>
      <c r="K1806" t="s">
        <v>5071</v>
      </c>
      <c r="L1806" s="2">
        <v>1</v>
      </c>
      <c r="M1806" s="24" t="s">
        <v>5971</v>
      </c>
      <c r="N1806" s="2" t="s">
        <v>23</v>
      </c>
      <c r="O1806" s="18" t="s">
        <v>1474</v>
      </c>
      <c r="P1806" s="18" t="s">
        <v>3781</v>
      </c>
      <c r="Q1806" s="6" t="s">
        <v>4475</v>
      </c>
      <c r="T1806" s="23">
        <v>45805</v>
      </c>
      <c r="U1806" s="23">
        <v>48361</v>
      </c>
      <c r="X1806" s="20">
        <v>20000</v>
      </c>
      <c r="Z1806" s="6" t="s">
        <v>5978</v>
      </c>
      <c r="AA1806" s="14">
        <f t="shared" si="234"/>
        <v>5.9999999999999995E-4</v>
      </c>
      <c r="AB1806">
        <v>10.902311999999998</v>
      </c>
      <c r="AC1806">
        <v>11.338404479999999</v>
      </c>
    </row>
    <row r="1807" spans="1:29" x14ac:dyDescent="0.3">
      <c r="A1807">
        <v>146643</v>
      </c>
      <c r="B1807" s="25" t="s">
        <v>5984</v>
      </c>
      <c r="C1807" t="s">
        <v>20</v>
      </c>
      <c r="D1807" t="s">
        <v>21</v>
      </c>
      <c r="E1807">
        <v>2222222</v>
      </c>
      <c r="F1807" s="8" t="s">
        <v>22</v>
      </c>
      <c r="G1807" s="2">
        <v>98</v>
      </c>
      <c r="H1807" t="s">
        <v>4170</v>
      </c>
      <c r="J1807" s="9" t="s">
        <v>4970</v>
      </c>
      <c r="K1807" t="s">
        <v>5266</v>
      </c>
      <c r="L1807" s="2">
        <v>1</v>
      </c>
      <c r="M1807" s="24" t="s">
        <v>5971</v>
      </c>
      <c r="N1807" s="2" t="s">
        <v>23</v>
      </c>
      <c r="O1807" s="18" t="s">
        <v>1471</v>
      </c>
      <c r="P1807" s="18" t="s">
        <v>3781</v>
      </c>
      <c r="Q1807" s="6" t="s">
        <v>4475</v>
      </c>
      <c r="T1807" s="23">
        <v>45832</v>
      </c>
      <c r="U1807" s="23">
        <v>46745</v>
      </c>
      <c r="X1807" s="20">
        <v>1500</v>
      </c>
      <c r="Z1807" s="6" t="s">
        <v>5978</v>
      </c>
      <c r="AA1807" s="14">
        <f t="shared" si="234"/>
        <v>5.9999999999999995E-4</v>
      </c>
      <c r="AB1807">
        <v>0.55931399999999998</v>
      </c>
      <c r="AC1807">
        <v>0.58168655999999996</v>
      </c>
    </row>
    <row r="1808" spans="1:29" x14ac:dyDescent="0.3">
      <c r="A1808">
        <v>147154</v>
      </c>
      <c r="B1808" s="25" t="s">
        <v>5984</v>
      </c>
      <c r="C1808" t="s">
        <v>20</v>
      </c>
      <c r="D1808" t="s">
        <v>21</v>
      </c>
      <c r="E1808">
        <v>2222222</v>
      </c>
      <c r="F1808" s="8" t="s">
        <v>22</v>
      </c>
      <c r="G1808" s="2">
        <v>98</v>
      </c>
      <c r="H1808" t="s">
        <v>4170</v>
      </c>
      <c r="J1808" s="9" t="s">
        <v>5536</v>
      </c>
      <c r="K1808" t="s">
        <v>4926</v>
      </c>
      <c r="L1808" s="2">
        <v>1</v>
      </c>
      <c r="M1808" s="24" t="s">
        <v>5971</v>
      </c>
      <c r="N1808" s="2" t="s">
        <v>23</v>
      </c>
      <c r="O1808" s="18" t="s">
        <v>1475</v>
      </c>
      <c r="P1808" s="18" t="s">
        <v>3781</v>
      </c>
      <c r="Q1808" s="6" t="s">
        <v>4475</v>
      </c>
      <c r="T1808" s="23">
        <v>45868</v>
      </c>
      <c r="U1808" s="23">
        <v>46597</v>
      </c>
      <c r="X1808" s="20">
        <v>3100</v>
      </c>
      <c r="Z1808" s="6" t="s">
        <v>5978</v>
      </c>
      <c r="AA1808" s="14">
        <f t="shared" si="234"/>
        <v>5.9999999999999995E-4</v>
      </c>
      <c r="AB1808">
        <v>1.0719659999999998</v>
      </c>
      <c r="AC1808">
        <v>1.1148446399999998</v>
      </c>
    </row>
    <row r="1809" spans="1:29" x14ac:dyDescent="0.3">
      <c r="A1809">
        <v>150693</v>
      </c>
      <c r="B1809" s="25" t="s">
        <v>5984</v>
      </c>
      <c r="C1809" t="s">
        <v>20</v>
      </c>
      <c r="D1809" t="s">
        <v>21</v>
      </c>
      <c r="E1809">
        <v>2222222</v>
      </c>
      <c r="F1809" s="8" t="s">
        <v>22</v>
      </c>
      <c r="G1809" s="2">
        <v>98</v>
      </c>
      <c r="H1809" t="s">
        <v>4170</v>
      </c>
      <c r="J1809" s="9" t="s">
        <v>4852</v>
      </c>
      <c r="K1809" t="s">
        <v>5191</v>
      </c>
      <c r="L1809" s="2">
        <v>1</v>
      </c>
      <c r="M1809" s="24" t="s">
        <v>5971</v>
      </c>
      <c r="N1809" s="2" t="s">
        <v>23</v>
      </c>
      <c r="O1809" s="18" t="s">
        <v>1472</v>
      </c>
      <c r="P1809" s="18" t="s">
        <v>0</v>
      </c>
      <c r="Q1809" s="6" t="s">
        <v>4475</v>
      </c>
      <c r="T1809" s="23">
        <v>46108</v>
      </c>
      <c r="U1809" s="23">
        <v>47933</v>
      </c>
      <c r="X1809" s="20">
        <v>5000</v>
      </c>
      <c r="Z1809" s="6" t="s">
        <v>5978</v>
      </c>
      <c r="AA1809" s="14">
        <f t="shared" si="234"/>
        <v>5.9999999999999995E-4</v>
      </c>
      <c r="AB1809">
        <v>2.9293679999999997</v>
      </c>
      <c r="AC1809">
        <v>3.0465427199999997</v>
      </c>
    </row>
    <row r="1810" spans="1:29" x14ac:dyDescent="0.3">
      <c r="A1810">
        <v>151034</v>
      </c>
      <c r="B1810" s="25" t="s">
        <v>5984</v>
      </c>
      <c r="C1810" t="s">
        <v>20</v>
      </c>
      <c r="D1810" t="s">
        <v>21</v>
      </c>
      <c r="E1810">
        <v>2222222</v>
      </c>
      <c r="F1810" s="8" t="s">
        <v>22</v>
      </c>
      <c r="G1810" s="2">
        <v>98</v>
      </c>
      <c r="H1810" t="s">
        <v>4170</v>
      </c>
      <c r="J1810" s="9" t="s">
        <v>4970</v>
      </c>
      <c r="K1810" t="s">
        <v>5266</v>
      </c>
      <c r="L1810" s="2">
        <v>1</v>
      </c>
      <c r="M1810" s="24" t="s">
        <v>5971</v>
      </c>
      <c r="N1810" s="2" t="s">
        <v>23</v>
      </c>
      <c r="O1810" s="18" t="s">
        <v>1471</v>
      </c>
      <c r="P1810" s="18" t="s">
        <v>3781</v>
      </c>
      <c r="Q1810" s="6" t="s">
        <v>4475</v>
      </c>
      <c r="T1810" s="23">
        <v>46134</v>
      </c>
      <c r="U1810" s="23">
        <v>47960</v>
      </c>
      <c r="X1810" s="20">
        <v>5000</v>
      </c>
      <c r="Z1810" s="6" t="s">
        <v>5978</v>
      </c>
      <c r="AA1810" s="14">
        <f t="shared" si="234"/>
        <v>5.9999999999999995E-4</v>
      </c>
      <c r="AB1810">
        <v>2.8945979999999998</v>
      </c>
      <c r="AC1810">
        <v>3.0103819199999999</v>
      </c>
    </row>
    <row r="1811" spans="1:29" x14ac:dyDescent="0.3">
      <c r="A1811">
        <v>151719</v>
      </c>
      <c r="B1811" s="25" t="s">
        <v>5984</v>
      </c>
      <c r="C1811" t="s">
        <v>20</v>
      </c>
      <c r="D1811" t="s">
        <v>21</v>
      </c>
      <c r="E1811">
        <v>2222222</v>
      </c>
      <c r="F1811" s="8" t="s">
        <v>22</v>
      </c>
      <c r="G1811" s="2">
        <v>98</v>
      </c>
      <c r="H1811" t="s">
        <v>4170</v>
      </c>
      <c r="J1811" s="9" t="s">
        <v>4852</v>
      </c>
      <c r="K1811" t="s">
        <v>5191</v>
      </c>
      <c r="L1811" s="2">
        <v>1</v>
      </c>
      <c r="M1811" s="24" t="s">
        <v>5971</v>
      </c>
      <c r="N1811" s="2" t="s">
        <v>23</v>
      </c>
      <c r="O1811" s="18" t="s">
        <v>1472</v>
      </c>
      <c r="P1811" s="18" t="s">
        <v>0</v>
      </c>
      <c r="Q1811" s="6" t="s">
        <v>4475</v>
      </c>
      <c r="T1811" s="23">
        <v>46182</v>
      </c>
      <c r="U1811" s="23">
        <v>46272</v>
      </c>
      <c r="X1811" s="20">
        <v>4460</v>
      </c>
      <c r="Z1811" s="6" t="s">
        <v>5978</v>
      </c>
      <c r="AA1811" s="14">
        <f t="shared" si="234"/>
        <v>5.9999999999999995E-4</v>
      </c>
      <c r="AB1811">
        <v>2.6759999999999997</v>
      </c>
      <c r="AC1811">
        <v>2.7830399999999997</v>
      </c>
    </row>
    <row r="1812" spans="1:29" x14ac:dyDescent="0.3">
      <c r="A1812">
        <v>123024</v>
      </c>
      <c r="B1812" s="25" t="s">
        <v>5984</v>
      </c>
      <c r="C1812" t="s">
        <v>20</v>
      </c>
      <c r="D1812" t="s">
        <v>21</v>
      </c>
      <c r="E1812">
        <v>2222222</v>
      </c>
      <c r="F1812" s="8" t="s">
        <v>22</v>
      </c>
      <c r="G1812" s="2">
        <v>98</v>
      </c>
      <c r="H1812" t="s">
        <v>4171</v>
      </c>
      <c r="J1812" s="9" t="s">
        <v>4981</v>
      </c>
      <c r="K1812" t="s">
        <v>4887</v>
      </c>
      <c r="L1812" s="2">
        <v>1</v>
      </c>
      <c r="M1812" s="24" t="s">
        <v>5971</v>
      </c>
      <c r="N1812" s="2" t="s">
        <v>23</v>
      </c>
      <c r="O1812" s="18" t="s">
        <v>1476</v>
      </c>
      <c r="P1812" s="18" t="s">
        <v>3781</v>
      </c>
      <c r="Q1812" s="6" t="s">
        <v>4475</v>
      </c>
      <c r="T1812" s="23">
        <v>44459</v>
      </c>
      <c r="U1812" s="23">
        <v>47035</v>
      </c>
      <c r="X1812" s="20">
        <v>15000</v>
      </c>
      <c r="Z1812" s="6" t="s">
        <v>5978</v>
      </c>
      <c r="AA1812" s="15">
        <f>+(0.42/1000)</f>
        <v>4.1999999999999996E-4</v>
      </c>
      <c r="AB1812">
        <v>2.8290402000000001</v>
      </c>
      <c r="AC1812">
        <v>2.9422018080000001</v>
      </c>
    </row>
    <row r="1813" spans="1:29" x14ac:dyDescent="0.3">
      <c r="A1813">
        <v>141674</v>
      </c>
      <c r="B1813" s="25" t="s">
        <v>5984</v>
      </c>
      <c r="C1813" t="s">
        <v>20</v>
      </c>
      <c r="D1813" t="s">
        <v>21</v>
      </c>
      <c r="E1813">
        <v>2222222</v>
      </c>
      <c r="F1813" s="8" t="s">
        <v>22</v>
      </c>
      <c r="G1813" s="2">
        <v>98</v>
      </c>
      <c r="H1813" t="s">
        <v>4171</v>
      </c>
      <c r="J1813" s="9" t="s">
        <v>5055</v>
      </c>
      <c r="K1813" t="s">
        <v>5030</v>
      </c>
      <c r="L1813" s="2">
        <v>1</v>
      </c>
      <c r="M1813" s="24" t="s">
        <v>5971</v>
      </c>
      <c r="N1813" s="2" t="s">
        <v>23</v>
      </c>
      <c r="O1813" s="18" t="s">
        <v>1477</v>
      </c>
      <c r="P1813" s="18" t="s">
        <v>3781</v>
      </c>
      <c r="Q1813" s="6" t="s">
        <v>4475</v>
      </c>
      <c r="T1813" s="23">
        <v>45480</v>
      </c>
      <c r="U1813" s="23">
        <v>47670</v>
      </c>
      <c r="X1813" s="20">
        <v>13150</v>
      </c>
      <c r="Z1813" s="6" t="s">
        <v>5978</v>
      </c>
      <c r="AA1813" s="14">
        <f t="shared" ref="AA1813:AA1817" si="235">+(0.6/1000)</f>
        <v>5.9999999999999995E-4</v>
      </c>
      <c r="AB1813">
        <v>6.0896939999999997</v>
      </c>
      <c r="AC1813">
        <v>6.3332817600000002</v>
      </c>
    </row>
    <row r="1814" spans="1:29" x14ac:dyDescent="0.3">
      <c r="A1814">
        <v>149368</v>
      </c>
      <c r="B1814" s="25" t="s">
        <v>5984</v>
      </c>
      <c r="C1814" t="s">
        <v>20</v>
      </c>
      <c r="D1814" t="s">
        <v>21</v>
      </c>
      <c r="E1814">
        <v>2222222</v>
      </c>
      <c r="F1814" s="8" t="s">
        <v>22</v>
      </c>
      <c r="G1814" s="2">
        <v>98</v>
      </c>
      <c r="H1814" t="s">
        <v>4171</v>
      </c>
      <c r="J1814" s="9" t="s">
        <v>4852</v>
      </c>
      <c r="K1814" t="s">
        <v>4964</v>
      </c>
      <c r="L1814" s="2">
        <v>1</v>
      </c>
      <c r="M1814" s="24" t="s">
        <v>5971</v>
      </c>
      <c r="N1814" s="2" t="s">
        <v>23</v>
      </c>
      <c r="O1814" s="18" t="s">
        <v>1478</v>
      </c>
      <c r="P1814" s="18" t="s">
        <v>0</v>
      </c>
      <c r="Q1814" s="6" t="s">
        <v>4475</v>
      </c>
      <c r="T1814" s="23">
        <v>46022</v>
      </c>
      <c r="U1814" s="23">
        <v>47117</v>
      </c>
      <c r="X1814" s="20">
        <v>6800</v>
      </c>
      <c r="Z1814" s="6" t="s">
        <v>5978</v>
      </c>
      <c r="AA1814" s="14">
        <f t="shared" si="235"/>
        <v>5.9999999999999995E-4</v>
      </c>
      <c r="AB1814">
        <v>3.5115179999999997</v>
      </c>
      <c r="AC1814">
        <v>3.6519787199999998</v>
      </c>
    </row>
    <row r="1815" spans="1:29" x14ac:dyDescent="0.3">
      <c r="A1815">
        <v>144108</v>
      </c>
      <c r="B1815" s="25" t="s">
        <v>5984</v>
      </c>
      <c r="C1815" t="s">
        <v>20</v>
      </c>
      <c r="D1815" t="s">
        <v>21</v>
      </c>
      <c r="E1815">
        <v>2222222</v>
      </c>
      <c r="F1815" s="8" t="s">
        <v>22</v>
      </c>
      <c r="G1815" s="2">
        <v>98</v>
      </c>
      <c r="H1815" t="s">
        <v>4172</v>
      </c>
      <c r="J1815" s="9" t="s">
        <v>5537</v>
      </c>
      <c r="K1815" t="s">
        <v>5101</v>
      </c>
      <c r="L1815" s="2">
        <v>1</v>
      </c>
      <c r="M1815" s="24" t="s">
        <v>5971</v>
      </c>
      <c r="N1815" s="2" t="s">
        <v>23</v>
      </c>
      <c r="O1815" s="18" t="s">
        <v>1479</v>
      </c>
      <c r="P1815" s="18" t="s">
        <v>3781</v>
      </c>
      <c r="Q1815" s="6" t="s">
        <v>4475</v>
      </c>
      <c r="T1815" s="23">
        <v>45642</v>
      </c>
      <c r="U1815" s="23">
        <v>47467</v>
      </c>
      <c r="X1815" s="20">
        <v>17500</v>
      </c>
      <c r="Z1815" s="6" t="s">
        <v>5978</v>
      </c>
      <c r="AA1815" s="14">
        <f t="shared" si="235"/>
        <v>5.9999999999999995E-4</v>
      </c>
      <c r="AB1815">
        <v>9.8711099999999981</v>
      </c>
      <c r="AC1815">
        <v>10.265954399999998</v>
      </c>
    </row>
    <row r="1816" spans="1:29" x14ac:dyDescent="0.3">
      <c r="A1816">
        <v>148421</v>
      </c>
      <c r="B1816" s="25" t="s">
        <v>5984</v>
      </c>
      <c r="C1816" t="s">
        <v>20</v>
      </c>
      <c r="D1816" t="s">
        <v>21</v>
      </c>
      <c r="E1816">
        <v>2222222</v>
      </c>
      <c r="F1816" s="8" t="s">
        <v>22</v>
      </c>
      <c r="G1816" s="2">
        <v>98</v>
      </c>
      <c r="H1816" t="s">
        <v>4172</v>
      </c>
      <c r="J1816" s="9" t="s">
        <v>5538</v>
      </c>
      <c r="K1816" t="s">
        <v>5539</v>
      </c>
      <c r="L1816" s="2">
        <v>1</v>
      </c>
      <c r="M1816" s="24" t="s">
        <v>5971</v>
      </c>
      <c r="N1816" s="2" t="s">
        <v>23</v>
      </c>
      <c r="O1816" s="18" t="s">
        <v>1480</v>
      </c>
      <c r="P1816" s="18" t="s">
        <v>3781</v>
      </c>
      <c r="Q1816" s="6" t="s">
        <v>4475</v>
      </c>
      <c r="T1816" s="23">
        <v>45960</v>
      </c>
      <c r="U1816" s="23">
        <v>46505</v>
      </c>
      <c r="X1816" s="20">
        <v>20000</v>
      </c>
      <c r="Z1816" s="6" t="s">
        <v>5978</v>
      </c>
      <c r="AA1816" s="14">
        <f t="shared" si="235"/>
        <v>5.9999999999999995E-4</v>
      </c>
      <c r="AB1816">
        <v>11.554871999999998</v>
      </c>
      <c r="AC1816">
        <v>12.017066879999998</v>
      </c>
    </row>
    <row r="1817" spans="1:29" x14ac:dyDescent="0.3">
      <c r="A1817">
        <v>152097</v>
      </c>
      <c r="B1817" s="25" t="s">
        <v>5984</v>
      </c>
      <c r="C1817" t="s">
        <v>20</v>
      </c>
      <c r="D1817" t="s">
        <v>21</v>
      </c>
      <c r="E1817">
        <v>2222222</v>
      </c>
      <c r="F1817" s="8" t="s">
        <v>22</v>
      </c>
      <c r="G1817" s="2">
        <v>98</v>
      </c>
      <c r="H1817" t="s">
        <v>4172</v>
      </c>
      <c r="J1817" s="9" t="s">
        <v>5336</v>
      </c>
      <c r="K1817" t="s">
        <v>5128</v>
      </c>
      <c r="L1817" s="2">
        <v>1</v>
      </c>
      <c r="M1817" s="24" t="s">
        <v>5971</v>
      </c>
      <c r="N1817" s="2" t="s">
        <v>23</v>
      </c>
      <c r="O1817" s="18" t="s">
        <v>1481</v>
      </c>
      <c r="P1817" s="18" t="s">
        <v>0</v>
      </c>
      <c r="Q1817" s="6" t="s">
        <v>4475</v>
      </c>
      <c r="T1817" s="23">
        <v>46230</v>
      </c>
      <c r="U1817" s="23">
        <v>49151</v>
      </c>
      <c r="X1817" s="20">
        <v>100000</v>
      </c>
      <c r="Z1817" s="6" t="s">
        <v>5978</v>
      </c>
      <c r="AA1817" s="14">
        <f t="shared" si="235"/>
        <v>5.9999999999999995E-4</v>
      </c>
      <c r="AB1817">
        <v>59.999999999999993</v>
      </c>
      <c r="AC1817">
        <v>62.399999999999991</v>
      </c>
    </row>
    <row r="1818" spans="1:29" x14ac:dyDescent="0.3">
      <c r="A1818">
        <v>134752</v>
      </c>
      <c r="B1818" s="25" t="s">
        <v>5984</v>
      </c>
      <c r="C1818" t="s">
        <v>20</v>
      </c>
      <c r="D1818" t="s">
        <v>21</v>
      </c>
      <c r="E1818">
        <v>2222222</v>
      </c>
      <c r="F1818" s="8" t="s">
        <v>22</v>
      </c>
      <c r="G1818" s="2">
        <v>98</v>
      </c>
      <c r="H1818" t="s">
        <v>4173</v>
      </c>
      <c r="J1818" s="9" t="s">
        <v>4911</v>
      </c>
      <c r="K1818" t="s">
        <v>5448</v>
      </c>
      <c r="L1818" s="2">
        <v>1</v>
      </c>
      <c r="M1818" s="24" t="s">
        <v>5971</v>
      </c>
      <c r="N1818" s="2" t="s">
        <v>23</v>
      </c>
      <c r="O1818" s="18" t="s">
        <v>1482</v>
      </c>
      <c r="P1818" s="18" t="s">
        <v>3781</v>
      </c>
      <c r="Q1818" s="6" t="s">
        <v>4475</v>
      </c>
      <c r="T1818" s="23">
        <v>45079</v>
      </c>
      <c r="U1818" s="23">
        <v>46543</v>
      </c>
      <c r="X1818" s="20">
        <v>11800</v>
      </c>
      <c r="Z1818" s="6" t="s">
        <v>5978</v>
      </c>
      <c r="AA1818" s="13">
        <f t="shared" ref="AA1818:AA1820" si="236">+(0.56/1000)</f>
        <v>5.6000000000000006E-4</v>
      </c>
      <c r="AB1818">
        <v>1.9143544000000001</v>
      </c>
      <c r="AC1818">
        <v>1.9909285760000002</v>
      </c>
    </row>
    <row r="1819" spans="1:29" x14ac:dyDescent="0.3">
      <c r="A1819">
        <v>136943</v>
      </c>
      <c r="B1819" s="25" t="s">
        <v>5984</v>
      </c>
      <c r="C1819" t="s">
        <v>20</v>
      </c>
      <c r="D1819" t="s">
        <v>21</v>
      </c>
      <c r="E1819">
        <v>2222222</v>
      </c>
      <c r="F1819" s="8" t="s">
        <v>22</v>
      </c>
      <c r="G1819" s="2">
        <v>98</v>
      </c>
      <c r="H1819" t="s">
        <v>4173</v>
      </c>
      <c r="J1819" s="9" t="s">
        <v>5041</v>
      </c>
      <c r="K1819" t="s">
        <v>5085</v>
      </c>
      <c r="L1819" s="2">
        <v>1</v>
      </c>
      <c r="M1819" s="24" t="s">
        <v>5971</v>
      </c>
      <c r="N1819" s="2" t="s">
        <v>23</v>
      </c>
      <c r="O1819" s="18" t="s">
        <v>1483</v>
      </c>
      <c r="P1819" s="18" t="s">
        <v>0</v>
      </c>
      <c r="Q1819" s="6" t="s">
        <v>4475</v>
      </c>
      <c r="T1819" s="23">
        <v>45198</v>
      </c>
      <c r="U1819" s="23">
        <v>47029</v>
      </c>
      <c r="X1819" s="20">
        <v>17100</v>
      </c>
      <c r="Z1819" s="6" t="s">
        <v>5978</v>
      </c>
      <c r="AA1819" s="13">
        <f t="shared" si="236"/>
        <v>5.6000000000000006E-4</v>
      </c>
      <c r="AB1819">
        <v>5.2614464000000005</v>
      </c>
      <c r="AC1819">
        <v>5.4719042560000011</v>
      </c>
    </row>
    <row r="1820" spans="1:29" x14ac:dyDescent="0.3">
      <c r="A1820">
        <v>138949</v>
      </c>
      <c r="B1820" s="25" t="s">
        <v>5984</v>
      </c>
      <c r="C1820" t="s">
        <v>20</v>
      </c>
      <c r="D1820" t="s">
        <v>21</v>
      </c>
      <c r="E1820">
        <v>2222222</v>
      </c>
      <c r="F1820" s="8" t="s">
        <v>22</v>
      </c>
      <c r="G1820" s="2">
        <v>98</v>
      </c>
      <c r="H1820" t="s">
        <v>4173</v>
      </c>
      <c r="J1820" s="9" t="s">
        <v>5142</v>
      </c>
      <c r="K1820" t="s">
        <v>5019</v>
      </c>
      <c r="L1820" s="2">
        <v>1</v>
      </c>
      <c r="M1820" s="24" t="s">
        <v>5971</v>
      </c>
      <c r="N1820" s="2" t="s">
        <v>23</v>
      </c>
      <c r="O1820" s="18" t="s">
        <v>1484</v>
      </c>
      <c r="P1820" s="18" t="s">
        <v>3781</v>
      </c>
      <c r="Q1820" s="6" t="s">
        <v>4475</v>
      </c>
      <c r="T1820" s="23">
        <v>45307</v>
      </c>
      <c r="U1820" s="23">
        <v>47133</v>
      </c>
      <c r="X1820" s="20">
        <v>3000</v>
      </c>
      <c r="Z1820" s="6" t="s">
        <v>5978</v>
      </c>
      <c r="AA1820" s="13">
        <f t="shared" si="236"/>
        <v>5.6000000000000006E-4</v>
      </c>
      <c r="AB1820">
        <v>0.99563520000000016</v>
      </c>
      <c r="AC1820">
        <v>1.0354606080000002</v>
      </c>
    </row>
    <row r="1821" spans="1:29" x14ac:dyDescent="0.3">
      <c r="A1821">
        <v>143752</v>
      </c>
      <c r="B1821" s="25" t="s">
        <v>5984</v>
      </c>
      <c r="C1821" t="s">
        <v>20</v>
      </c>
      <c r="D1821" t="s">
        <v>21</v>
      </c>
      <c r="E1821">
        <v>2222222</v>
      </c>
      <c r="F1821" s="8" t="s">
        <v>22</v>
      </c>
      <c r="G1821" s="2">
        <v>98</v>
      </c>
      <c r="H1821" t="s">
        <v>4173</v>
      </c>
      <c r="J1821" s="9" t="s">
        <v>4905</v>
      </c>
      <c r="K1821" t="s">
        <v>4853</v>
      </c>
      <c r="L1821" s="2">
        <v>1</v>
      </c>
      <c r="M1821" s="24" t="s">
        <v>5971</v>
      </c>
      <c r="N1821" s="2" t="s">
        <v>23</v>
      </c>
      <c r="O1821" s="18" t="s">
        <v>1485</v>
      </c>
      <c r="P1821" s="18" t="s">
        <v>0</v>
      </c>
      <c r="Q1821" s="6" t="s">
        <v>4475</v>
      </c>
      <c r="T1821" s="23">
        <v>45615</v>
      </c>
      <c r="U1821" s="23">
        <v>46710</v>
      </c>
      <c r="X1821" s="20">
        <v>3300</v>
      </c>
      <c r="Z1821" s="6" t="s">
        <v>5978</v>
      </c>
      <c r="AA1821" s="14">
        <f t="shared" ref="AA1821:AA1825" si="237">+(0.6/1000)</f>
        <v>5.9999999999999995E-4</v>
      </c>
      <c r="AB1821">
        <v>1.0049039999999998</v>
      </c>
      <c r="AC1821">
        <v>1.0451001599999998</v>
      </c>
    </row>
    <row r="1822" spans="1:29" x14ac:dyDescent="0.3">
      <c r="A1822">
        <v>145167</v>
      </c>
      <c r="B1822" s="25" t="s">
        <v>5984</v>
      </c>
      <c r="C1822" t="s">
        <v>20</v>
      </c>
      <c r="D1822" t="s">
        <v>21</v>
      </c>
      <c r="E1822">
        <v>2222222</v>
      </c>
      <c r="F1822" s="8" t="s">
        <v>22</v>
      </c>
      <c r="G1822" s="2">
        <v>98</v>
      </c>
      <c r="H1822" t="s">
        <v>4173</v>
      </c>
      <c r="J1822" s="9" t="s">
        <v>5041</v>
      </c>
      <c r="K1822" t="s">
        <v>5085</v>
      </c>
      <c r="L1822" s="2">
        <v>1</v>
      </c>
      <c r="M1822" s="24" t="s">
        <v>5971</v>
      </c>
      <c r="N1822" s="2" t="s">
        <v>23</v>
      </c>
      <c r="O1822" s="18" t="s">
        <v>1483</v>
      </c>
      <c r="P1822" s="18" t="s">
        <v>0</v>
      </c>
      <c r="Q1822" s="6" t="s">
        <v>4475</v>
      </c>
      <c r="T1822" s="23">
        <v>45716</v>
      </c>
      <c r="U1822" s="23">
        <v>47542</v>
      </c>
      <c r="X1822" s="20">
        <v>8800</v>
      </c>
      <c r="Z1822" s="6" t="s">
        <v>5978</v>
      </c>
      <c r="AA1822" s="14">
        <f t="shared" si="237"/>
        <v>5.9999999999999995E-4</v>
      </c>
      <c r="AB1822">
        <v>4.1401859999999999</v>
      </c>
      <c r="AC1822">
        <v>4.3057934400000004</v>
      </c>
    </row>
    <row r="1823" spans="1:29" x14ac:dyDescent="0.3">
      <c r="A1823">
        <v>145236</v>
      </c>
      <c r="B1823" s="25" t="s">
        <v>5984</v>
      </c>
      <c r="C1823" t="s">
        <v>20</v>
      </c>
      <c r="D1823" t="s">
        <v>21</v>
      </c>
      <c r="E1823">
        <v>2222222</v>
      </c>
      <c r="F1823" s="8" t="s">
        <v>22</v>
      </c>
      <c r="G1823" s="2">
        <v>98</v>
      </c>
      <c r="H1823" t="s">
        <v>4173</v>
      </c>
      <c r="J1823" s="9" t="s">
        <v>5058</v>
      </c>
      <c r="K1823" t="s">
        <v>5540</v>
      </c>
      <c r="L1823" s="2">
        <v>1</v>
      </c>
      <c r="M1823" s="24" t="s">
        <v>5971</v>
      </c>
      <c r="N1823" s="2" t="s">
        <v>23</v>
      </c>
      <c r="O1823" s="18" t="s">
        <v>1486</v>
      </c>
      <c r="P1823" s="18" t="s">
        <v>0</v>
      </c>
      <c r="Q1823" s="6" t="s">
        <v>4475</v>
      </c>
      <c r="T1823" s="23">
        <v>45730</v>
      </c>
      <c r="U1823" s="23">
        <v>47555</v>
      </c>
      <c r="X1823" s="20">
        <v>45000</v>
      </c>
      <c r="Z1823" s="6" t="s">
        <v>5978</v>
      </c>
      <c r="AA1823" s="14">
        <f t="shared" si="237"/>
        <v>5.9999999999999995E-4</v>
      </c>
      <c r="AB1823">
        <v>21.540906</v>
      </c>
      <c r="AC1823">
        <v>22.402542239999999</v>
      </c>
    </row>
    <row r="1824" spans="1:29" x14ac:dyDescent="0.3">
      <c r="A1824">
        <v>145378</v>
      </c>
      <c r="B1824" s="25" t="s">
        <v>5984</v>
      </c>
      <c r="C1824" t="s">
        <v>20</v>
      </c>
      <c r="D1824" t="s">
        <v>21</v>
      </c>
      <c r="E1824">
        <v>2222222</v>
      </c>
      <c r="F1824" s="8" t="s">
        <v>22</v>
      </c>
      <c r="G1824" s="2">
        <v>98</v>
      </c>
      <c r="H1824" t="s">
        <v>4173</v>
      </c>
      <c r="J1824" s="9" t="s">
        <v>4826</v>
      </c>
      <c r="K1824" t="s">
        <v>5064</v>
      </c>
      <c r="L1824" s="2">
        <v>1</v>
      </c>
      <c r="M1824" s="24" t="s">
        <v>5971</v>
      </c>
      <c r="N1824" s="2" t="s">
        <v>23</v>
      </c>
      <c r="O1824" s="18" t="s">
        <v>1487</v>
      </c>
      <c r="P1824" s="18" t="s">
        <v>0</v>
      </c>
      <c r="Q1824" s="6" t="s">
        <v>4475</v>
      </c>
      <c r="T1824" s="23">
        <v>45734</v>
      </c>
      <c r="U1824" s="23">
        <v>47924</v>
      </c>
      <c r="X1824" s="20">
        <v>15500</v>
      </c>
      <c r="Z1824" s="6" t="s">
        <v>5978</v>
      </c>
      <c r="AA1824" s="14">
        <f t="shared" si="237"/>
        <v>5.9999999999999995E-4</v>
      </c>
      <c r="AB1824">
        <v>7.0794599999999992</v>
      </c>
      <c r="AC1824">
        <v>7.3626383999999998</v>
      </c>
    </row>
    <row r="1825" spans="1:29" x14ac:dyDescent="0.3">
      <c r="A1825">
        <v>148181</v>
      </c>
      <c r="B1825" s="25" t="s">
        <v>5984</v>
      </c>
      <c r="C1825" t="s">
        <v>20</v>
      </c>
      <c r="D1825" t="s">
        <v>21</v>
      </c>
      <c r="E1825">
        <v>2222222</v>
      </c>
      <c r="F1825" s="8" t="s">
        <v>22</v>
      </c>
      <c r="G1825" s="2">
        <v>98</v>
      </c>
      <c r="H1825" t="s">
        <v>4173</v>
      </c>
      <c r="J1825" s="9" t="s">
        <v>5041</v>
      </c>
      <c r="K1825" t="s">
        <v>5085</v>
      </c>
      <c r="L1825" s="2">
        <v>1</v>
      </c>
      <c r="M1825" s="24" t="s">
        <v>5971</v>
      </c>
      <c r="N1825" s="2" t="s">
        <v>23</v>
      </c>
      <c r="O1825" s="18" t="s">
        <v>1483</v>
      </c>
      <c r="P1825" s="18" t="s">
        <v>0</v>
      </c>
      <c r="Q1825" s="6" t="s">
        <v>4475</v>
      </c>
      <c r="T1825" s="23">
        <v>45944</v>
      </c>
      <c r="U1825" s="23">
        <v>47039</v>
      </c>
      <c r="X1825" s="20">
        <v>4000</v>
      </c>
      <c r="Z1825" s="6" t="s">
        <v>5978</v>
      </c>
      <c r="AA1825" s="14">
        <f t="shared" si="237"/>
        <v>5.9999999999999995E-4</v>
      </c>
      <c r="AB1825">
        <v>1.9081739999999998</v>
      </c>
      <c r="AC1825">
        <v>1.9845009599999999</v>
      </c>
    </row>
    <row r="1826" spans="1:29" x14ac:dyDescent="0.3">
      <c r="A1826">
        <v>148506</v>
      </c>
      <c r="B1826" s="25" t="s">
        <v>5984</v>
      </c>
      <c r="C1826" t="s">
        <v>20</v>
      </c>
      <c r="D1826" t="s">
        <v>21</v>
      </c>
      <c r="E1826">
        <v>2222222</v>
      </c>
      <c r="F1826" s="8" t="s">
        <v>22</v>
      </c>
      <c r="G1826" s="2">
        <v>98</v>
      </c>
      <c r="H1826" t="s">
        <v>4173</v>
      </c>
      <c r="J1826" s="9" t="s">
        <v>5541</v>
      </c>
      <c r="K1826" t="s">
        <v>4837</v>
      </c>
      <c r="L1826" s="2">
        <v>1</v>
      </c>
      <c r="M1826" s="24" t="s">
        <v>5971</v>
      </c>
      <c r="N1826" s="2" t="s">
        <v>23</v>
      </c>
      <c r="O1826" s="18" t="s">
        <v>1488</v>
      </c>
      <c r="P1826" s="18" t="s">
        <v>3781</v>
      </c>
      <c r="Q1826" s="6" t="s">
        <v>4475</v>
      </c>
      <c r="T1826" s="23">
        <v>43899</v>
      </c>
      <c r="U1826" s="23">
        <v>46731</v>
      </c>
      <c r="X1826" s="20">
        <v>38500</v>
      </c>
      <c r="Z1826" s="6" t="s">
        <v>5978</v>
      </c>
      <c r="AA1826" s="15">
        <f>+(0.42/1000)</f>
        <v>4.1999999999999996E-4</v>
      </c>
      <c r="AB1826">
        <v>4.8703157999999993</v>
      </c>
      <c r="AC1826">
        <v>5.0651284319999998</v>
      </c>
    </row>
    <row r="1827" spans="1:29" x14ac:dyDescent="0.3">
      <c r="A1827">
        <v>150065</v>
      </c>
      <c r="B1827" s="25" t="s">
        <v>5984</v>
      </c>
      <c r="C1827" t="s">
        <v>20</v>
      </c>
      <c r="D1827" t="s">
        <v>21</v>
      </c>
      <c r="E1827">
        <v>2222222</v>
      </c>
      <c r="F1827" s="8" t="s">
        <v>22</v>
      </c>
      <c r="G1827" s="2">
        <v>98</v>
      </c>
      <c r="H1827" t="s">
        <v>4173</v>
      </c>
      <c r="J1827" s="9" t="s">
        <v>5058</v>
      </c>
      <c r="K1827" t="s">
        <v>5540</v>
      </c>
      <c r="L1827" s="2">
        <v>1</v>
      </c>
      <c r="M1827" s="24" t="s">
        <v>5971</v>
      </c>
      <c r="N1827" s="2" t="s">
        <v>23</v>
      </c>
      <c r="O1827" s="18" t="s">
        <v>1486</v>
      </c>
      <c r="P1827" s="18" t="s">
        <v>0</v>
      </c>
      <c r="Q1827" s="6" t="s">
        <v>4475</v>
      </c>
      <c r="T1827" s="23">
        <v>46068</v>
      </c>
      <c r="U1827" s="23">
        <v>46800</v>
      </c>
      <c r="X1827" s="20">
        <v>2000</v>
      </c>
      <c r="Z1827" s="6" t="s">
        <v>5978</v>
      </c>
      <c r="AA1827" s="14">
        <f t="shared" ref="AA1827:AA1828" si="238">+(0.6/1000)</f>
        <v>5.9999999999999995E-4</v>
      </c>
      <c r="AB1827">
        <v>0.98264999999999991</v>
      </c>
      <c r="AC1827">
        <v>1.0219559999999999</v>
      </c>
    </row>
    <row r="1828" spans="1:29" x14ac:dyDescent="0.3">
      <c r="A1828">
        <v>151919</v>
      </c>
      <c r="B1828" s="25" t="s">
        <v>5984</v>
      </c>
      <c r="C1828" t="s">
        <v>20</v>
      </c>
      <c r="D1828" t="s">
        <v>21</v>
      </c>
      <c r="E1828">
        <v>2222222</v>
      </c>
      <c r="F1828" s="8" t="s">
        <v>22</v>
      </c>
      <c r="G1828" s="2">
        <v>98</v>
      </c>
      <c r="H1828" t="s">
        <v>4173</v>
      </c>
      <c r="J1828" s="9" t="s">
        <v>4852</v>
      </c>
      <c r="K1828" t="s">
        <v>4841</v>
      </c>
      <c r="L1828" s="2">
        <v>1</v>
      </c>
      <c r="M1828" s="24" t="s">
        <v>5971</v>
      </c>
      <c r="N1828" s="2" t="s">
        <v>23</v>
      </c>
      <c r="O1828" s="18" t="s">
        <v>1489</v>
      </c>
      <c r="P1828" s="18" t="s">
        <v>0</v>
      </c>
      <c r="Q1828" s="6" t="s">
        <v>4475</v>
      </c>
      <c r="T1828" s="23">
        <v>46209</v>
      </c>
      <c r="U1828" s="23">
        <v>49130</v>
      </c>
      <c r="X1828" s="20">
        <v>31000</v>
      </c>
      <c r="Z1828" s="6" t="s">
        <v>5978</v>
      </c>
      <c r="AA1828" s="14">
        <f t="shared" si="238"/>
        <v>5.9999999999999995E-4</v>
      </c>
      <c r="AB1828">
        <v>18.599999999999998</v>
      </c>
      <c r="AC1828">
        <v>19.343999999999998</v>
      </c>
    </row>
    <row r="1829" spans="1:29" x14ac:dyDescent="0.3">
      <c r="A1829">
        <v>137377</v>
      </c>
      <c r="B1829" s="25" t="s">
        <v>5984</v>
      </c>
      <c r="C1829" t="s">
        <v>20</v>
      </c>
      <c r="D1829" t="s">
        <v>21</v>
      </c>
      <c r="E1829">
        <v>2222222</v>
      </c>
      <c r="F1829" s="8" t="s">
        <v>22</v>
      </c>
      <c r="G1829" s="2">
        <v>98</v>
      </c>
      <c r="H1829" t="s">
        <v>4174</v>
      </c>
      <c r="J1829" s="9" t="s">
        <v>4826</v>
      </c>
      <c r="K1829" t="s">
        <v>5174</v>
      </c>
      <c r="L1829" s="2">
        <v>1</v>
      </c>
      <c r="M1829" s="24" t="s">
        <v>5971</v>
      </c>
      <c r="N1829" s="2" t="s">
        <v>23</v>
      </c>
      <c r="O1829" s="18" t="s">
        <v>1490</v>
      </c>
      <c r="P1829" s="18" t="s">
        <v>0</v>
      </c>
      <c r="Q1829" s="6" t="s">
        <v>4475</v>
      </c>
      <c r="T1829" s="23">
        <v>45219</v>
      </c>
      <c r="U1829" s="23">
        <v>45766</v>
      </c>
      <c r="X1829" s="20">
        <v>1400</v>
      </c>
      <c r="Z1829" s="6" t="s">
        <v>5978</v>
      </c>
      <c r="AA1829" s="13">
        <f t="shared" ref="AA1829:AA1830" si="239">+(0.56/1000)</f>
        <v>5.6000000000000006E-4</v>
      </c>
      <c r="AB1829">
        <v>0.78400000000000003</v>
      </c>
      <c r="AC1829">
        <v>0.81536000000000008</v>
      </c>
    </row>
    <row r="1830" spans="1:29" x14ac:dyDescent="0.3">
      <c r="A1830">
        <v>135280</v>
      </c>
      <c r="B1830" s="25" t="s">
        <v>5984</v>
      </c>
      <c r="C1830" t="s">
        <v>20</v>
      </c>
      <c r="D1830" t="s">
        <v>21</v>
      </c>
      <c r="E1830">
        <v>2222222</v>
      </c>
      <c r="F1830" s="8" t="s">
        <v>22</v>
      </c>
      <c r="G1830" s="2">
        <v>98</v>
      </c>
      <c r="H1830" t="s">
        <v>4175</v>
      </c>
      <c r="J1830" s="9" t="s">
        <v>4815</v>
      </c>
      <c r="K1830" t="s">
        <v>4852</v>
      </c>
      <c r="L1830" s="2">
        <v>1</v>
      </c>
      <c r="M1830" s="24" t="s">
        <v>5971</v>
      </c>
      <c r="N1830" s="2" t="s">
        <v>23</v>
      </c>
      <c r="O1830" s="18" t="s">
        <v>1491</v>
      </c>
      <c r="P1830" s="18" t="s">
        <v>0</v>
      </c>
      <c r="Q1830" s="6" t="s">
        <v>4475</v>
      </c>
      <c r="T1830" s="23">
        <v>45103</v>
      </c>
      <c r="U1830" s="23">
        <v>46564</v>
      </c>
      <c r="X1830" s="20">
        <v>5000</v>
      </c>
      <c r="Z1830" s="6" t="s">
        <v>5978</v>
      </c>
      <c r="AA1830" s="13">
        <f t="shared" si="239"/>
        <v>5.6000000000000006E-4</v>
      </c>
      <c r="AB1830">
        <v>0.81121600000000005</v>
      </c>
      <c r="AC1830">
        <v>0.84366464000000008</v>
      </c>
    </row>
    <row r="1831" spans="1:29" x14ac:dyDescent="0.3">
      <c r="A1831">
        <v>144920</v>
      </c>
      <c r="B1831" s="25" t="s">
        <v>5984</v>
      </c>
      <c r="C1831" t="s">
        <v>20</v>
      </c>
      <c r="D1831" t="s">
        <v>21</v>
      </c>
      <c r="E1831">
        <v>2222222</v>
      </c>
      <c r="F1831" s="8" t="s">
        <v>22</v>
      </c>
      <c r="G1831" s="2">
        <v>98</v>
      </c>
      <c r="H1831" t="s">
        <v>4175</v>
      </c>
      <c r="J1831" s="9" t="s">
        <v>4815</v>
      </c>
      <c r="K1831" t="s">
        <v>4852</v>
      </c>
      <c r="L1831" s="2">
        <v>1</v>
      </c>
      <c r="M1831" s="24" t="s">
        <v>5971</v>
      </c>
      <c r="N1831" s="2" t="s">
        <v>23</v>
      </c>
      <c r="O1831" s="18" t="s">
        <v>1491</v>
      </c>
      <c r="P1831" s="18" t="s">
        <v>0</v>
      </c>
      <c r="Q1831" s="6" t="s">
        <v>4475</v>
      </c>
      <c r="T1831" s="23">
        <v>45698</v>
      </c>
      <c r="U1831" s="23">
        <v>46430</v>
      </c>
      <c r="X1831" s="20">
        <v>1000</v>
      </c>
      <c r="Z1831" s="6" t="s">
        <v>5978</v>
      </c>
      <c r="AA1831" s="14">
        <f t="shared" ref="AA1831:AA1833" si="240">+(0.6/1000)</f>
        <v>5.9999999999999995E-4</v>
      </c>
      <c r="AB1831">
        <v>0.223302</v>
      </c>
      <c r="AC1831">
        <v>0.23223408000000001</v>
      </c>
    </row>
    <row r="1832" spans="1:29" x14ac:dyDescent="0.3">
      <c r="A1832">
        <v>151296</v>
      </c>
      <c r="B1832" s="25" t="s">
        <v>5984</v>
      </c>
      <c r="C1832" t="s">
        <v>20</v>
      </c>
      <c r="D1832" t="s">
        <v>21</v>
      </c>
      <c r="E1832">
        <v>2222222</v>
      </c>
      <c r="F1832" s="8" t="s">
        <v>22</v>
      </c>
      <c r="G1832" s="2">
        <v>98</v>
      </c>
      <c r="H1832" t="s">
        <v>4176</v>
      </c>
      <c r="J1832" s="9" t="s">
        <v>4936</v>
      </c>
      <c r="K1832" t="s">
        <v>4857</v>
      </c>
      <c r="L1832" s="2">
        <v>1</v>
      </c>
      <c r="M1832" s="24" t="s">
        <v>5971</v>
      </c>
      <c r="N1832" s="2" t="s">
        <v>23</v>
      </c>
      <c r="O1832" s="18" t="s">
        <v>784</v>
      </c>
      <c r="P1832" s="18" t="s">
        <v>0</v>
      </c>
      <c r="Q1832" s="6" t="s">
        <v>4475</v>
      </c>
      <c r="T1832" s="23">
        <v>46154</v>
      </c>
      <c r="U1832" s="23">
        <v>46244</v>
      </c>
      <c r="X1832" s="20">
        <v>4995</v>
      </c>
      <c r="Z1832" s="6" t="s">
        <v>5978</v>
      </c>
      <c r="AA1832" s="14">
        <f t="shared" si="240"/>
        <v>5.9999999999999995E-4</v>
      </c>
      <c r="AB1832">
        <v>2.9969999999999999</v>
      </c>
      <c r="AC1832">
        <v>3.1168800000000001</v>
      </c>
    </row>
    <row r="1833" spans="1:29" x14ac:dyDescent="0.3">
      <c r="A1833">
        <v>145895</v>
      </c>
      <c r="B1833" s="25" t="s">
        <v>5984</v>
      </c>
      <c r="C1833" t="s">
        <v>20</v>
      </c>
      <c r="D1833" t="s">
        <v>21</v>
      </c>
      <c r="E1833">
        <v>2222222</v>
      </c>
      <c r="F1833" s="8" t="s">
        <v>22</v>
      </c>
      <c r="G1833" s="2">
        <v>98</v>
      </c>
      <c r="H1833" t="s">
        <v>4177</v>
      </c>
      <c r="J1833" s="9" t="s">
        <v>4953</v>
      </c>
      <c r="K1833" t="s">
        <v>5085</v>
      </c>
      <c r="L1833" s="2">
        <v>1</v>
      </c>
      <c r="M1833" s="24" t="s">
        <v>5971</v>
      </c>
      <c r="N1833" s="2" t="s">
        <v>23</v>
      </c>
      <c r="O1833" s="18" t="s">
        <v>1492</v>
      </c>
      <c r="P1833" s="18" t="s">
        <v>0</v>
      </c>
      <c r="Q1833" s="6" t="s">
        <v>4475</v>
      </c>
      <c r="T1833" s="23">
        <v>45778</v>
      </c>
      <c r="U1833" s="23">
        <v>50160</v>
      </c>
      <c r="X1833" s="20">
        <v>28900</v>
      </c>
      <c r="Z1833" s="6" t="s">
        <v>5978</v>
      </c>
      <c r="AA1833" s="14">
        <f t="shared" si="240"/>
        <v>5.9999999999999995E-4</v>
      </c>
      <c r="AB1833">
        <v>16.504313999999997</v>
      </c>
      <c r="AC1833">
        <v>17.164486559999997</v>
      </c>
    </row>
    <row r="1834" spans="1:29" x14ac:dyDescent="0.3">
      <c r="A1834">
        <v>128790</v>
      </c>
      <c r="B1834" s="25" t="s">
        <v>5984</v>
      </c>
      <c r="C1834" t="s">
        <v>20</v>
      </c>
      <c r="D1834" t="s">
        <v>21</v>
      </c>
      <c r="E1834">
        <v>2222222</v>
      </c>
      <c r="F1834" s="8" t="s">
        <v>22</v>
      </c>
      <c r="G1834" s="2">
        <v>98</v>
      </c>
      <c r="H1834" t="s">
        <v>4178</v>
      </c>
      <c r="J1834" s="9" t="s">
        <v>5542</v>
      </c>
      <c r="K1834" t="s">
        <v>5025</v>
      </c>
      <c r="L1834" s="2">
        <v>1</v>
      </c>
      <c r="M1834" s="24" t="s">
        <v>5971</v>
      </c>
      <c r="N1834" s="2" t="s">
        <v>23</v>
      </c>
      <c r="O1834" s="18" t="s">
        <v>1493</v>
      </c>
      <c r="P1834" s="18" t="s">
        <v>3781</v>
      </c>
      <c r="Q1834" s="6" t="s">
        <v>4475</v>
      </c>
      <c r="T1834" s="23">
        <v>44769</v>
      </c>
      <c r="U1834" s="23">
        <v>46229</v>
      </c>
      <c r="X1834" s="20">
        <v>1977.83</v>
      </c>
      <c r="Z1834" s="6" t="s">
        <v>5978</v>
      </c>
      <c r="AA1834" s="15">
        <f>+(0.42/1000)</f>
        <v>4.1999999999999996E-4</v>
      </c>
      <c r="AB1834">
        <v>0.73185839999999991</v>
      </c>
      <c r="AC1834">
        <v>0.76113273599999998</v>
      </c>
    </row>
    <row r="1835" spans="1:29" x14ac:dyDescent="0.3">
      <c r="A1835">
        <v>131919</v>
      </c>
      <c r="B1835" s="25" t="s">
        <v>5984</v>
      </c>
      <c r="C1835" t="s">
        <v>20</v>
      </c>
      <c r="D1835" t="s">
        <v>21</v>
      </c>
      <c r="E1835">
        <v>2222222</v>
      </c>
      <c r="F1835" s="8" t="s">
        <v>22</v>
      </c>
      <c r="G1835" s="2">
        <v>98</v>
      </c>
      <c r="H1835" t="s">
        <v>4178</v>
      </c>
      <c r="J1835" s="9" t="s">
        <v>5542</v>
      </c>
      <c r="K1835" t="s">
        <v>5025</v>
      </c>
      <c r="L1835" s="2">
        <v>1</v>
      </c>
      <c r="M1835" s="24" t="s">
        <v>5971</v>
      </c>
      <c r="N1835" s="2" t="s">
        <v>23</v>
      </c>
      <c r="O1835" s="18" t="s">
        <v>1493</v>
      </c>
      <c r="P1835" s="18" t="s">
        <v>3781</v>
      </c>
      <c r="Q1835" s="6" t="s">
        <v>4475</v>
      </c>
      <c r="T1835" s="23">
        <v>44914</v>
      </c>
      <c r="U1835" s="23">
        <v>45004</v>
      </c>
      <c r="X1835" s="20">
        <v>3000</v>
      </c>
      <c r="Z1835" s="6" t="s">
        <v>5978</v>
      </c>
      <c r="AA1835" s="13">
        <f>+(0.56/1000)</f>
        <v>5.6000000000000006E-4</v>
      </c>
      <c r="AB1835">
        <v>1.6800000000000002</v>
      </c>
      <c r="AC1835">
        <v>1.7472000000000003</v>
      </c>
    </row>
    <row r="1836" spans="1:29" x14ac:dyDescent="0.3">
      <c r="A1836">
        <v>126590</v>
      </c>
      <c r="B1836" s="25" t="s">
        <v>5984</v>
      </c>
      <c r="C1836" t="s">
        <v>20</v>
      </c>
      <c r="D1836" t="s">
        <v>21</v>
      </c>
      <c r="E1836">
        <v>2222222</v>
      </c>
      <c r="F1836" s="8" t="s">
        <v>22</v>
      </c>
      <c r="G1836" s="2">
        <v>98</v>
      </c>
      <c r="H1836" t="s">
        <v>4179</v>
      </c>
      <c r="J1836" s="9" t="s">
        <v>4988</v>
      </c>
      <c r="K1836" t="s">
        <v>5543</v>
      </c>
      <c r="L1836" s="2">
        <v>1</v>
      </c>
      <c r="M1836" s="24" t="s">
        <v>5971</v>
      </c>
      <c r="N1836" s="2" t="s">
        <v>23</v>
      </c>
      <c r="O1836" s="18" t="s">
        <v>1494</v>
      </c>
      <c r="P1836" s="18" t="s">
        <v>0</v>
      </c>
      <c r="Q1836" s="6" t="s">
        <v>4475</v>
      </c>
      <c r="T1836" s="23">
        <v>44634</v>
      </c>
      <c r="U1836" s="23">
        <v>46459</v>
      </c>
      <c r="X1836" s="20">
        <v>7000</v>
      </c>
      <c r="Z1836" s="6" t="s">
        <v>5978</v>
      </c>
      <c r="AA1836" s="15">
        <f t="shared" ref="AA1836:AA1837" si="241">+(0.42/1000)</f>
        <v>4.1999999999999996E-4</v>
      </c>
      <c r="AB1836">
        <v>0.52757039999999988</v>
      </c>
      <c r="AC1836">
        <v>0.54867321599999985</v>
      </c>
    </row>
    <row r="1837" spans="1:29" x14ac:dyDescent="0.3">
      <c r="A1837">
        <v>118990</v>
      </c>
      <c r="B1837" s="25" t="s">
        <v>5984</v>
      </c>
      <c r="C1837" t="s">
        <v>20</v>
      </c>
      <c r="D1837" t="s">
        <v>21</v>
      </c>
      <c r="E1837">
        <v>2222222</v>
      </c>
      <c r="F1837" s="8" t="s">
        <v>22</v>
      </c>
      <c r="G1837" s="2">
        <v>98</v>
      </c>
      <c r="H1837" t="s">
        <v>4180</v>
      </c>
      <c r="J1837" s="9" t="s">
        <v>4836</v>
      </c>
      <c r="K1837" t="s">
        <v>4031</v>
      </c>
      <c r="L1837" s="2">
        <v>1</v>
      </c>
      <c r="M1837" s="24" t="s">
        <v>5971</v>
      </c>
      <c r="N1837" s="2" t="s">
        <v>23</v>
      </c>
      <c r="O1837" s="18" t="s">
        <v>1495</v>
      </c>
      <c r="P1837" s="18" t="s">
        <v>3781</v>
      </c>
      <c r="Q1837" s="6" t="s">
        <v>4475</v>
      </c>
      <c r="T1837" s="23">
        <v>44253</v>
      </c>
      <c r="U1837" s="23">
        <v>46083</v>
      </c>
      <c r="X1837" s="20">
        <v>24520</v>
      </c>
      <c r="Z1837" s="6" t="s">
        <v>5978</v>
      </c>
      <c r="AA1837" s="15">
        <f t="shared" si="241"/>
        <v>4.1999999999999996E-4</v>
      </c>
      <c r="AB1837">
        <v>8.2727609999999991</v>
      </c>
      <c r="AC1837">
        <v>8.6036714399999994</v>
      </c>
    </row>
    <row r="1838" spans="1:29" x14ac:dyDescent="0.3">
      <c r="A1838">
        <v>131419</v>
      </c>
      <c r="B1838" s="25" t="s">
        <v>5984</v>
      </c>
      <c r="C1838" t="s">
        <v>20</v>
      </c>
      <c r="D1838" t="s">
        <v>21</v>
      </c>
      <c r="E1838">
        <v>2222222</v>
      </c>
      <c r="F1838" s="8" t="s">
        <v>22</v>
      </c>
      <c r="G1838" s="2">
        <v>98</v>
      </c>
      <c r="H1838" t="s">
        <v>4180</v>
      </c>
      <c r="J1838" s="9" t="s">
        <v>4917</v>
      </c>
      <c r="K1838" t="s">
        <v>4880</v>
      </c>
      <c r="L1838" s="2">
        <v>1</v>
      </c>
      <c r="M1838" s="24" t="s">
        <v>5971</v>
      </c>
      <c r="N1838" s="2" t="s">
        <v>23</v>
      </c>
      <c r="O1838" s="18" t="s">
        <v>1496</v>
      </c>
      <c r="P1838" s="18" t="s">
        <v>3781</v>
      </c>
      <c r="Q1838" s="6" t="s">
        <v>4475</v>
      </c>
      <c r="T1838" s="23">
        <v>44889</v>
      </c>
      <c r="U1838" s="23">
        <v>46350</v>
      </c>
      <c r="X1838" s="20">
        <v>5000</v>
      </c>
      <c r="Z1838" s="6" t="s">
        <v>5978</v>
      </c>
      <c r="AA1838" s="13">
        <f>+(0.56/1000)</f>
        <v>5.6000000000000006E-4</v>
      </c>
      <c r="AB1838">
        <v>0.40083120000000005</v>
      </c>
      <c r="AC1838">
        <v>0.41686444800000005</v>
      </c>
    </row>
    <row r="1839" spans="1:29" x14ac:dyDescent="0.3">
      <c r="A1839">
        <v>145092</v>
      </c>
      <c r="B1839" s="25" t="s">
        <v>5984</v>
      </c>
      <c r="C1839" t="s">
        <v>20</v>
      </c>
      <c r="D1839" t="s">
        <v>21</v>
      </c>
      <c r="E1839">
        <v>2222222</v>
      </c>
      <c r="F1839" s="8" t="s">
        <v>22</v>
      </c>
      <c r="G1839" s="2">
        <v>98</v>
      </c>
      <c r="H1839" t="s">
        <v>4180</v>
      </c>
      <c r="J1839" s="9" t="s">
        <v>5164</v>
      </c>
      <c r="K1839" t="s">
        <v>5132</v>
      </c>
      <c r="L1839" s="2">
        <v>1</v>
      </c>
      <c r="M1839" s="24" t="s">
        <v>5971</v>
      </c>
      <c r="N1839" s="2" t="s">
        <v>23</v>
      </c>
      <c r="O1839" s="18" t="s">
        <v>1497</v>
      </c>
      <c r="P1839" s="18" t="s">
        <v>3781</v>
      </c>
      <c r="Q1839" s="6" t="s">
        <v>4475</v>
      </c>
      <c r="T1839" s="23">
        <v>45716</v>
      </c>
      <c r="U1839" s="23">
        <v>53022</v>
      </c>
      <c r="X1839" s="20">
        <v>60000</v>
      </c>
      <c r="Z1839" s="6" t="s">
        <v>5978</v>
      </c>
      <c r="AA1839" s="14">
        <f t="shared" ref="AA1839:AA1842" si="242">+(0.6/1000)</f>
        <v>5.9999999999999995E-4</v>
      </c>
      <c r="AB1839">
        <v>35.238011999999998</v>
      </c>
      <c r="AC1839">
        <v>36.647532479999995</v>
      </c>
    </row>
    <row r="1840" spans="1:29" x14ac:dyDescent="0.3">
      <c r="A1840">
        <v>148117</v>
      </c>
      <c r="B1840" s="25" t="s">
        <v>5984</v>
      </c>
      <c r="C1840" t="s">
        <v>20</v>
      </c>
      <c r="D1840" t="s">
        <v>21</v>
      </c>
      <c r="E1840">
        <v>2222222</v>
      </c>
      <c r="F1840" s="8" t="s">
        <v>22</v>
      </c>
      <c r="G1840" s="2">
        <v>98</v>
      </c>
      <c r="H1840" t="s">
        <v>4180</v>
      </c>
      <c r="J1840" s="9" t="s">
        <v>5544</v>
      </c>
      <c r="K1840" t="s">
        <v>4832</v>
      </c>
      <c r="L1840" s="2">
        <v>1</v>
      </c>
      <c r="M1840" s="24" t="s">
        <v>5971</v>
      </c>
      <c r="N1840" s="2" t="s">
        <v>23</v>
      </c>
      <c r="O1840" s="18" t="s">
        <v>1498</v>
      </c>
      <c r="P1840" s="18" t="s">
        <v>3781</v>
      </c>
      <c r="Q1840" s="6" t="s">
        <v>4475</v>
      </c>
      <c r="T1840" s="23">
        <v>45938</v>
      </c>
      <c r="U1840" s="23">
        <v>46484</v>
      </c>
      <c r="X1840" s="20">
        <v>3000</v>
      </c>
      <c r="Z1840" s="6" t="s">
        <v>5978</v>
      </c>
      <c r="AA1840" s="14">
        <f t="shared" si="242"/>
        <v>5.9999999999999995E-4</v>
      </c>
      <c r="AB1840">
        <v>0.95633999999999997</v>
      </c>
      <c r="AC1840">
        <v>0.99459359999999997</v>
      </c>
    </row>
    <row r="1841" spans="1:29" x14ac:dyDescent="0.3">
      <c r="A1841">
        <v>149648</v>
      </c>
      <c r="B1841" s="25" t="s">
        <v>5984</v>
      </c>
      <c r="C1841" t="s">
        <v>20</v>
      </c>
      <c r="D1841" t="s">
        <v>21</v>
      </c>
      <c r="E1841">
        <v>2222222</v>
      </c>
      <c r="F1841" s="8" t="s">
        <v>22</v>
      </c>
      <c r="G1841" s="2">
        <v>98</v>
      </c>
      <c r="H1841" t="s">
        <v>4180</v>
      </c>
      <c r="J1841" s="9" t="s">
        <v>4836</v>
      </c>
      <c r="K1841" t="s">
        <v>4872</v>
      </c>
      <c r="L1841" s="2">
        <v>1</v>
      </c>
      <c r="M1841" s="24" t="s">
        <v>5971</v>
      </c>
      <c r="N1841" s="2" t="s">
        <v>23</v>
      </c>
      <c r="O1841" s="18" t="s">
        <v>1499</v>
      </c>
      <c r="P1841" s="18" t="s">
        <v>3781</v>
      </c>
      <c r="Q1841" s="6" t="s">
        <v>4475</v>
      </c>
      <c r="T1841" s="23">
        <v>46038</v>
      </c>
      <c r="U1841" s="23">
        <v>47498</v>
      </c>
      <c r="X1841" s="20">
        <v>5000</v>
      </c>
      <c r="Z1841" s="6" t="s">
        <v>5978</v>
      </c>
      <c r="AA1841" s="14">
        <f t="shared" si="242"/>
        <v>5.9999999999999995E-4</v>
      </c>
      <c r="AB1841">
        <v>2.7287159999999995</v>
      </c>
      <c r="AC1841">
        <v>2.8378646399999994</v>
      </c>
    </row>
    <row r="1842" spans="1:29" x14ac:dyDescent="0.3">
      <c r="A1842">
        <v>150100</v>
      </c>
      <c r="B1842" s="25" t="s">
        <v>5984</v>
      </c>
      <c r="C1842" t="s">
        <v>20</v>
      </c>
      <c r="D1842" t="s">
        <v>21</v>
      </c>
      <c r="E1842">
        <v>2222222</v>
      </c>
      <c r="F1842" s="8" t="s">
        <v>22</v>
      </c>
      <c r="G1842" s="2">
        <v>98</v>
      </c>
      <c r="H1842" t="s">
        <v>4180</v>
      </c>
      <c r="J1842" s="9" t="s">
        <v>5017</v>
      </c>
      <c r="K1842" t="s">
        <v>5070</v>
      </c>
      <c r="L1842" s="2">
        <v>1</v>
      </c>
      <c r="M1842" s="24" t="s">
        <v>5971</v>
      </c>
      <c r="N1842" s="2" t="s">
        <v>23</v>
      </c>
      <c r="O1842" s="18" t="s">
        <v>1500</v>
      </c>
      <c r="P1842" s="18" t="s">
        <v>3781</v>
      </c>
      <c r="Q1842" s="6" t="s">
        <v>4475</v>
      </c>
      <c r="T1842" s="23">
        <v>46072</v>
      </c>
      <c r="U1842" s="23">
        <v>47535</v>
      </c>
      <c r="X1842" s="20">
        <v>5000</v>
      </c>
      <c r="Z1842" s="6" t="s">
        <v>5978</v>
      </c>
      <c r="AA1842" s="14">
        <f t="shared" si="242"/>
        <v>5.9999999999999995E-4</v>
      </c>
      <c r="AB1842">
        <v>2.7787860000000002</v>
      </c>
      <c r="AC1842">
        <v>2.8899374400000002</v>
      </c>
    </row>
    <row r="1843" spans="1:29" x14ac:dyDescent="0.3">
      <c r="A1843">
        <v>125479</v>
      </c>
      <c r="B1843" s="25" t="s">
        <v>5984</v>
      </c>
      <c r="C1843" t="s">
        <v>20</v>
      </c>
      <c r="D1843" t="s">
        <v>21</v>
      </c>
      <c r="E1843">
        <v>2222222</v>
      </c>
      <c r="F1843" s="8" t="s">
        <v>22</v>
      </c>
      <c r="G1843" s="2">
        <v>98</v>
      </c>
      <c r="H1843" t="s">
        <v>4181</v>
      </c>
      <c r="J1843" s="9" t="s">
        <v>5545</v>
      </c>
      <c r="K1843" t="s">
        <v>5546</v>
      </c>
      <c r="L1843" s="2">
        <v>1</v>
      </c>
      <c r="M1843" s="24" t="s">
        <v>5971</v>
      </c>
      <c r="N1843" s="2" t="s">
        <v>23</v>
      </c>
      <c r="O1843" s="18" t="s">
        <v>1501</v>
      </c>
      <c r="P1843" s="18" t="s">
        <v>3781</v>
      </c>
      <c r="Q1843" s="6" t="s">
        <v>4475</v>
      </c>
      <c r="T1843" s="23">
        <v>44579</v>
      </c>
      <c r="U1843" s="23">
        <v>46404</v>
      </c>
      <c r="X1843" s="20">
        <v>15000</v>
      </c>
      <c r="Z1843" s="6" t="s">
        <v>5978</v>
      </c>
      <c r="AA1843" s="15">
        <f>+(0.42/1000)</f>
        <v>4.1999999999999996E-4</v>
      </c>
      <c r="AB1843">
        <v>0.84963479999999991</v>
      </c>
      <c r="AC1843">
        <v>0.88362019199999997</v>
      </c>
    </row>
    <row r="1844" spans="1:29" x14ac:dyDescent="0.3">
      <c r="A1844">
        <v>152100</v>
      </c>
      <c r="B1844" s="25" t="s">
        <v>5984</v>
      </c>
      <c r="C1844" t="s">
        <v>20</v>
      </c>
      <c r="D1844" t="s">
        <v>21</v>
      </c>
      <c r="E1844">
        <v>2222222</v>
      </c>
      <c r="F1844" s="8" t="s">
        <v>22</v>
      </c>
      <c r="G1844" s="2">
        <v>98</v>
      </c>
      <c r="H1844" t="s">
        <v>4182</v>
      </c>
      <c r="J1844" s="9" t="s">
        <v>5547</v>
      </c>
      <c r="K1844" t="s">
        <v>5548</v>
      </c>
      <c r="L1844" s="2">
        <v>1</v>
      </c>
      <c r="M1844" s="24" t="s">
        <v>5971</v>
      </c>
      <c r="N1844" s="2" t="s">
        <v>23</v>
      </c>
      <c r="O1844" s="18" t="s">
        <v>1502</v>
      </c>
      <c r="P1844" s="18" t="s">
        <v>0</v>
      </c>
      <c r="Q1844" s="6" t="s">
        <v>4475</v>
      </c>
      <c r="T1844" s="23">
        <v>46225</v>
      </c>
      <c r="U1844" s="23">
        <v>48416</v>
      </c>
      <c r="X1844" s="20">
        <v>80000</v>
      </c>
      <c r="Z1844" s="6" t="s">
        <v>5978</v>
      </c>
      <c r="AA1844" s="14">
        <f t="shared" ref="AA1844:AA1845" si="243">+(0.6/1000)</f>
        <v>5.9999999999999995E-4</v>
      </c>
      <c r="AB1844">
        <v>47.999999999999993</v>
      </c>
      <c r="AC1844">
        <v>49.919999999999995</v>
      </c>
    </row>
    <row r="1845" spans="1:29" x14ac:dyDescent="0.3">
      <c r="A1845">
        <v>142763</v>
      </c>
      <c r="B1845" s="25" t="s">
        <v>5984</v>
      </c>
      <c r="C1845" t="s">
        <v>20</v>
      </c>
      <c r="D1845" t="s">
        <v>21</v>
      </c>
      <c r="E1845">
        <v>2222222</v>
      </c>
      <c r="F1845" s="8" t="s">
        <v>22</v>
      </c>
      <c r="G1845" s="2">
        <v>98</v>
      </c>
      <c r="H1845" t="s">
        <v>4183</v>
      </c>
      <c r="J1845" s="9" t="s">
        <v>5336</v>
      </c>
      <c r="K1845" t="s">
        <v>4953</v>
      </c>
      <c r="L1845" s="2">
        <v>1</v>
      </c>
      <c r="M1845" s="24" t="s">
        <v>5971</v>
      </c>
      <c r="N1845" s="2" t="s">
        <v>23</v>
      </c>
      <c r="O1845" s="18" t="s">
        <v>1503</v>
      </c>
      <c r="P1845" s="18" t="s">
        <v>0</v>
      </c>
      <c r="Q1845" s="6" t="s">
        <v>4475</v>
      </c>
      <c r="T1845" s="23">
        <v>45555</v>
      </c>
      <c r="U1845" s="23">
        <v>46650</v>
      </c>
      <c r="X1845" s="20">
        <v>8500</v>
      </c>
      <c r="Z1845" s="6" t="s">
        <v>5978</v>
      </c>
      <c r="AA1845" s="14">
        <f t="shared" si="243"/>
        <v>5.9999999999999995E-4</v>
      </c>
      <c r="AB1845">
        <v>2.2596719999999997</v>
      </c>
      <c r="AC1845">
        <v>2.3500588799999997</v>
      </c>
    </row>
    <row r="1846" spans="1:29" x14ac:dyDescent="0.3">
      <c r="A1846">
        <v>108902</v>
      </c>
      <c r="B1846" s="25" t="s">
        <v>5984</v>
      </c>
      <c r="C1846" t="s">
        <v>20</v>
      </c>
      <c r="D1846" t="s">
        <v>21</v>
      </c>
      <c r="E1846">
        <v>2222222</v>
      </c>
      <c r="F1846" s="8" t="s">
        <v>22</v>
      </c>
      <c r="G1846" s="2">
        <v>98</v>
      </c>
      <c r="H1846" t="s">
        <v>4184</v>
      </c>
      <c r="J1846" s="9" t="s">
        <v>4901</v>
      </c>
      <c r="K1846" t="s">
        <v>4827</v>
      </c>
      <c r="L1846" s="2">
        <v>1</v>
      </c>
      <c r="M1846" s="24" t="s">
        <v>5971</v>
      </c>
      <c r="N1846" s="2" t="s">
        <v>23</v>
      </c>
      <c r="O1846" s="18" t="s">
        <v>526</v>
      </c>
      <c r="P1846" s="18" t="s">
        <v>0</v>
      </c>
      <c r="Q1846" s="6" t="s">
        <v>4475</v>
      </c>
      <c r="T1846" s="23">
        <v>43796</v>
      </c>
      <c r="U1846" s="23">
        <v>46540</v>
      </c>
      <c r="X1846" s="20">
        <v>8240</v>
      </c>
      <c r="Z1846" s="6" t="s">
        <v>5978</v>
      </c>
      <c r="AA1846" s="15">
        <f t="shared" ref="AA1846:AA1849" si="244">+(0.42/1000)</f>
        <v>4.1999999999999996E-4</v>
      </c>
      <c r="AB1846">
        <v>3.4185437999999997</v>
      </c>
      <c r="AC1846">
        <v>3.555285552</v>
      </c>
    </row>
    <row r="1847" spans="1:29" x14ac:dyDescent="0.3">
      <c r="A1847">
        <v>108903</v>
      </c>
      <c r="B1847" s="25" t="s">
        <v>5984</v>
      </c>
      <c r="C1847" t="s">
        <v>20</v>
      </c>
      <c r="D1847" t="s">
        <v>21</v>
      </c>
      <c r="E1847">
        <v>2222222</v>
      </c>
      <c r="F1847" s="8" t="s">
        <v>22</v>
      </c>
      <c r="G1847" s="2">
        <v>98</v>
      </c>
      <c r="H1847" t="s">
        <v>4184</v>
      </c>
      <c r="J1847" s="9" t="s">
        <v>4901</v>
      </c>
      <c r="K1847" t="s">
        <v>4827</v>
      </c>
      <c r="L1847" s="2">
        <v>1</v>
      </c>
      <c r="M1847" s="24" t="s">
        <v>5971</v>
      </c>
      <c r="N1847" s="2" t="s">
        <v>23</v>
      </c>
      <c r="O1847" s="18" t="s">
        <v>526</v>
      </c>
      <c r="P1847" s="18" t="s">
        <v>0</v>
      </c>
      <c r="Q1847" s="6" t="s">
        <v>4475</v>
      </c>
      <c r="T1847" s="23">
        <v>43796</v>
      </c>
      <c r="U1847" s="23">
        <v>43983</v>
      </c>
      <c r="X1847" s="20">
        <v>3000</v>
      </c>
      <c r="Z1847" s="6" t="s">
        <v>5978</v>
      </c>
      <c r="AA1847" s="15">
        <f t="shared" si="244"/>
        <v>4.1999999999999996E-4</v>
      </c>
      <c r="AB1847">
        <v>1.2599999999999998</v>
      </c>
      <c r="AC1847">
        <v>1.3103999999999998</v>
      </c>
    </row>
    <row r="1848" spans="1:29" x14ac:dyDescent="0.3">
      <c r="A1848">
        <v>114466</v>
      </c>
      <c r="B1848" s="25" t="s">
        <v>5984</v>
      </c>
      <c r="C1848" t="s">
        <v>20</v>
      </c>
      <c r="D1848" t="s">
        <v>21</v>
      </c>
      <c r="E1848">
        <v>2222222</v>
      </c>
      <c r="F1848" s="8" t="s">
        <v>22</v>
      </c>
      <c r="G1848" s="2">
        <v>98</v>
      </c>
      <c r="H1848" t="s">
        <v>4184</v>
      </c>
      <c r="J1848" s="9" t="s">
        <v>5204</v>
      </c>
      <c r="K1848" t="s">
        <v>5426</v>
      </c>
      <c r="L1848" s="2">
        <v>1</v>
      </c>
      <c r="M1848" s="24" t="s">
        <v>5971</v>
      </c>
      <c r="N1848" s="2" t="s">
        <v>23</v>
      </c>
      <c r="O1848" s="18" t="s">
        <v>1504</v>
      </c>
      <c r="P1848" s="18" t="s">
        <v>0</v>
      </c>
      <c r="Q1848" s="6" t="s">
        <v>4475</v>
      </c>
      <c r="T1848" s="23">
        <v>44055</v>
      </c>
      <c r="U1848" s="23">
        <v>47346</v>
      </c>
      <c r="X1848" s="20">
        <v>21635</v>
      </c>
      <c r="Z1848" s="6" t="s">
        <v>5978</v>
      </c>
      <c r="AA1848" s="15">
        <f t="shared" si="244"/>
        <v>4.1999999999999996E-4</v>
      </c>
      <c r="AB1848">
        <v>4.539175199999999</v>
      </c>
      <c r="AC1848">
        <v>4.720742207999999</v>
      </c>
    </row>
    <row r="1849" spans="1:29" x14ac:dyDescent="0.3">
      <c r="A1849">
        <v>118027</v>
      </c>
      <c r="B1849" s="25" t="s">
        <v>5984</v>
      </c>
      <c r="C1849" t="s">
        <v>20</v>
      </c>
      <c r="D1849" t="s">
        <v>21</v>
      </c>
      <c r="E1849">
        <v>2222222</v>
      </c>
      <c r="F1849" s="8" t="s">
        <v>22</v>
      </c>
      <c r="G1849" s="2">
        <v>98</v>
      </c>
      <c r="H1849" t="s">
        <v>4184</v>
      </c>
      <c r="J1849" s="9" t="s">
        <v>5549</v>
      </c>
      <c r="K1849" t="s">
        <v>4992</v>
      </c>
      <c r="L1849" s="2">
        <v>1</v>
      </c>
      <c r="M1849" s="24" t="s">
        <v>5971</v>
      </c>
      <c r="N1849" s="2" t="s">
        <v>23</v>
      </c>
      <c r="O1849" s="18" t="s">
        <v>1505</v>
      </c>
      <c r="P1849" s="18" t="s">
        <v>3781</v>
      </c>
      <c r="Q1849" s="6" t="s">
        <v>4475</v>
      </c>
      <c r="T1849" s="23">
        <v>44217</v>
      </c>
      <c r="U1849" s="23">
        <v>49785</v>
      </c>
      <c r="X1849" s="20">
        <v>40000</v>
      </c>
      <c r="Z1849" s="6" t="s">
        <v>5978</v>
      </c>
      <c r="AA1849" s="15">
        <f t="shared" si="244"/>
        <v>4.1999999999999996E-4</v>
      </c>
      <c r="AB1849">
        <v>13.584085199999999</v>
      </c>
      <c r="AC1849">
        <v>14.127448608</v>
      </c>
    </row>
    <row r="1850" spans="1:29" x14ac:dyDescent="0.3">
      <c r="A1850">
        <v>129569</v>
      </c>
      <c r="B1850" s="25" t="s">
        <v>5984</v>
      </c>
      <c r="C1850" t="s">
        <v>20</v>
      </c>
      <c r="D1850" t="s">
        <v>21</v>
      </c>
      <c r="E1850">
        <v>2222222</v>
      </c>
      <c r="F1850" s="8" t="s">
        <v>22</v>
      </c>
      <c r="G1850" s="2">
        <v>98</v>
      </c>
      <c r="H1850" t="s">
        <v>4184</v>
      </c>
      <c r="J1850" s="9" t="s">
        <v>4929</v>
      </c>
      <c r="K1850" t="s">
        <v>5270</v>
      </c>
      <c r="L1850" s="2">
        <v>1</v>
      </c>
      <c r="M1850" s="24" t="s">
        <v>5971</v>
      </c>
      <c r="N1850" s="2" t="s">
        <v>23</v>
      </c>
      <c r="O1850" s="18" t="s">
        <v>1506</v>
      </c>
      <c r="P1850" s="18" t="s">
        <v>0</v>
      </c>
      <c r="Q1850" s="6" t="s">
        <v>4475</v>
      </c>
      <c r="T1850" s="23">
        <v>44789</v>
      </c>
      <c r="U1850" s="23">
        <v>46980</v>
      </c>
      <c r="X1850" s="20">
        <v>31330</v>
      </c>
      <c r="Z1850" s="6" t="s">
        <v>5978</v>
      </c>
      <c r="AA1850" s="13">
        <f t="shared" ref="AA1850:AA1864" si="245">+(0.56/1000)</f>
        <v>5.6000000000000006E-4</v>
      </c>
      <c r="AB1850">
        <v>8.0679648000000004</v>
      </c>
      <c r="AC1850">
        <v>8.3906833920000015</v>
      </c>
    </row>
    <row r="1851" spans="1:29" x14ac:dyDescent="0.3">
      <c r="A1851">
        <v>132955</v>
      </c>
      <c r="B1851" s="25" t="s">
        <v>5984</v>
      </c>
      <c r="C1851" t="s">
        <v>20</v>
      </c>
      <c r="D1851" t="s">
        <v>21</v>
      </c>
      <c r="E1851">
        <v>2222222</v>
      </c>
      <c r="F1851" s="8" t="s">
        <v>22</v>
      </c>
      <c r="G1851" s="2">
        <v>98</v>
      </c>
      <c r="H1851" t="s">
        <v>4184</v>
      </c>
      <c r="J1851" s="9" t="s">
        <v>5550</v>
      </c>
      <c r="K1851" t="s">
        <v>4926</v>
      </c>
      <c r="L1851" s="2">
        <v>1</v>
      </c>
      <c r="M1851" s="24" t="s">
        <v>5971</v>
      </c>
      <c r="N1851" s="2" t="s">
        <v>23</v>
      </c>
      <c r="O1851" s="18" t="s">
        <v>735</v>
      </c>
      <c r="P1851" s="18" t="s">
        <v>3781</v>
      </c>
      <c r="Q1851" s="6" t="s">
        <v>4475</v>
      </c>
      <c r="T1851" s="23">
        <v>44986</v>
      </c>
      <c r="U1851" s="23">
        <v>47544</v>
      </c>
      <c r="X1851" s="20">
        <v>12000</v>
      </c>
      <c r="Z1851" s="6" t="s">
        <v>5978</v>
      </c>
      <c r="AA1851" s="13">
        <f t="shared" si="245"/>
        <v>5.6000000000000006E-4</v>
      </c>
      <c r="AB1851">
        <v>4.4354688000000007</v>
      </c>
      <c r="AC1851">
        <v>4.612887552000001</v>
      </c>
    </row>
    <row r="1852" spans="1:29" x14ac:dyDescent="0.3">
      <c r="A1852">
        <v>133927</v>
      </c>
      <c r="B1852" s="25" t="s">
        <v>5984</v>
      </c>
      <c r="C1852" t="s">
        <v>20</v>
      </c>
      <c r="D1852" t="s">
        <v>21</v>
      </c>
      <c r="E1852">
        <v>2222222</v>
      </c>
      <c r="F1852" s="8" t="s">
        <v>22</v>
      </c>
      <c r="G1852" s="2">
        <v>98</v>
      </c>
      <c r="H1852" t="s">
        <v>4184</v>
      </c>
      <c r="J1852" s="9" t="s">
        <v>4838</v>
      </c>
      <c r="K1852" t="s">
        <v>5068</v>
      </c>
      <c r="L1852" s="2">
        <v>1</v>
      </c>
      <c r="M1852" s="24" t="s">
        <v>5971</v>
      </c>
      <c r="N1852" s="2" t="s">
        <v>23</v>
      </c>
      <c r="O1852" s="18" t="s">
        <v>1507</v>
      </c>
      <c r="P1852" s="18" t="s">
        <v>0</v>
      </c>
      <c r="Q1852" s="6" t="s">
        <v>4475</v>
      </c>
      <c r="T1852" s="23">
        <v>45037</v>
      </c>
      <c r="U1852" s="23">
        <v>47685</v>
      </c>
      <c r="X1852" s="20">
        <v>30000</v>
      </c>
      <c r="Z1852" s="6" t="s">
        <v>5978</v>
      </c>
      <c r="AA1852" s="13">
        <f t="shared" si="245"/>
        <v>5.6000000000000006E-4</v>
      </c>
      <c r="AB1852">
        <v>11.621618400000001</v>
      </c>
      <c r="AC1852">
        <v>12.086483136000002</v>
      </c>
    </row>
    <row r="1853" spans="1:29" x14ac:dyDescent="0.3">
      <c r="A1853">
        <v>134177</v>
      </c>
      <c r="B1853" s="25" t="s">
        <v>5984</v>
      </c>
      <c r="C1853" t="s">
        <v>20</v>
      </c>
      <c r="D1853" t="s">
        <v>21</v>
      </c>
      <c r="E1853">
        <v>2222222</v>
      </c>
      <c r="F1853" s="8" t="s">
        <v>22</v>
      </c>
      <c r="G1853" s="2">
        <v>98</v>
      </c>
      <c r="H1853" t="s">
        <v>4184</v>
      </c>
      <c r="J1853" s="9" t="s">
        <v>4901</v>
      </c>
      <c r="K1853" t="s">
        <v>4964</v>
      </c>
      <c r="L1853" s="2">
        <v>1</v>
      </c>
      <c r="M1853" s="24" t="s">
        <v>5971</v>
      </c>
      <c r="N1853" s="2" t="s">
        <v>23</v>
      </c>
      <c r="O1853" s="18" t="s">
        <v>1508</v>
      </c>
      <c r="P1853" s="18" t="s">
        <v>0</v>
      </c>
      <c r="Q1853" s="6" t="s">
        <v>4475</v>
      </c>
      <c r="T1853" s="23">
        <v>45061</v>
      </c>
      <c r="U1853" s="23">
        <v>46340</v>
      </c>
      <c r="X1853" s="20">
        <v>13000</v>
      </c>
      <c r="Z1853" s="6" t="s">
        <v>5978</v>
      </c>
      <c r="AA1853" s="13">
        <f t="shared" si="245"/>
        <v>5.6000000000000006E-4</v>
      </c>
      <c r="AB1853">
        <v>0.88600400000000012</v>
      </c>
      <c r="AC1853">
        <v>0.92144416000000018</v>
      </c>
    </row>
    <row r="1854" spans="1:29" x14ac:dyDescent="0.3">
      <c r="A1854">
        <v>134515</v>
      </c>
      <c r="B1854" s="25" t="s">
        <v>5984</v>
      </c>
      <c r="C1854" t="s">
        <v>20</v>
      </c>
      <c r="D1854" t="s">
        <v>21</v>
      </c>
      <c r="E1854">
        <v>2222222</v>
      </c>
      <c r="F1854" s="8" t="s">
        <v>22</v>
      </c>
      <c r="G1854" s="2">
        <v>98</v>
      </c>
      <c r="H1854" t="s">
        <v>4184</v>
      </c>
      <c r="J1854" s="9" t="s">
        <v>5270</v>
      </c>
      <c r="K1854" t="s">
        <v>5224</v>
      </c>
      <c r="L1854" s="2">
        <v>1</v>
      </c>
      <c r="M1854" s="24" t="s">
        <v>5971</v>
      </c>
      <c r="N1854" s="2" t="s">
        <v>23</v>
      </c>
      <c r="O1854" s="18" t="s">
        <v>1509</v>
      </c>
      <c r="P1854" s="18" t="s">
        <v>0</v>
      </c>
      <c r="Q1854" s="6" t="s">
        <v>4475</v>
      </c>
      <c r="T1854" s="23">
        <v>45075</v>
      </c>
      <c r="U1854" s="23">
        <v>47788</v>
      </c>
      <c r="X1854" s="20">
        <v>100000</v>
      </c>
      <c r="Z1854" s="6" t="s">
        <v>5978</v>
      </c>
      <c r="AA1854" s="13">
        <f t="shared" si="245"/>
        <v>5.6000000000000006E-4</v>
      </c>
      <c r="AB1854">
        <v>35.627720800000006</v>
      </c>
      <c r="AC1854">
        <v>37.052829632000005</v>
      </c>
    </row>
    <row r="1855" spans="1:29" x14ac:dyDescent="0.3">
      <c r="A1855">
        <v>134631</v>
      </c>
      <c r="B1855" s="25" t="s">
        <v>5984</v>
      </c>
      <c r="C1855" t="s">
        <v>20</v>
      </c>
      <c r="D1855" t="s">
        <v>21</v>
      </c>
      <c r="E1855">
        <v>2222222</v>
      </c>
      <c r="F1855" s="8" t="s">
        <v>22</v>
      </c>
      <c r="G1855" s="2">
        <v>98</v>
      </c>
      <c r="H1855" t="s">
        <v>4184</v>
      </c>
      <c r="J1855" s="9" t="s">
        <v>5214</v>
      </c>
      <c r="K1855" t="s">
        <v>5457</v>
      </c>
      <c r="L1855" s="2">
        <v>1</v>
      </c>
      <c r="M1855" s="24" t="s">
        <v>5971</v>
      </c>
      <c r="N1855" s="2" t="s">
        <v>23</v>
      </c>
      <c r="O1855" s="18" t="s">
        <v>1510</v>
      </c>
      <c r="P1855" s="18" t="s">
        <v>0</v>
      </c>
      <c r="Q1855" s="6" t="s">
        <v>4475</v>
      </c>
      <c r="T1855" s="23">
        <v>45068</v>
      </c>
      <c r="U1855" s="23">
        <v>46528</v>
      </c>
      <c r="X1855" s="20">
        <v>5000</v>
      </c>
      <c r="Z1855" s="6" t="s">
        <v>5978</v>
      </c>
      <c r="AA1855" s="13">
        <f t="shared" si="245"/>
        <v>5.6000000000000006E-4</v>
      </c>
      <c r="AB1855">
        <v>0.77264320000000009</v>
      </c>
      <c r="AC1855">
        <v>0.80354892800000011</v>
      </c>
    </row>
    <row r="1856" spans="1:29" x14ac:dyDescent="0.3">
      <c r="A1856">
        <v>135720</v>
      </c>
      <c r="B1856" s="25" t="s">
        <v>5984</v>
      </c>
      <c r="C1856" t="s">
        <v>20</v>
      </c>
      <c r="D1856" t="s">
        <v>21</v>
      </c>
      <c r="E1856">
        <v>2222222</v>
      </c>
      <c r="F1856" s="8" t="s">
        <v>22</v>
      </c>
      <c r="G1856" s="2">
        <v>98</v>
      </c>
      <c r="H1856" t="s">
        <v>4184</v>
      </c>
      <c r="J1856" s="9" t="s">
        <v>4836</v>
      </c>
      <c r="K1856" t="s">
        <v>5110</v>
      </c>
      <c r="L1856" s="2">
        <v>1</v>
      </c>
      <c r="M1856" s="24" t="s">
        <v>5971</v>
      </c>
      <c r="N1856" s="2" t="s">
        <v>23</v>
      </c>
      <c r="O1856" s="18" t="s">
        <v>1511</v>
      </c>
      <c r="P1856" s="18" t="s">
        <v>3781</v>
      </c>
      <c r="Q1856" s="6" t="s">
        <v>4475</v>
      </c>
      <c r="T1856" s="23">
        <v>45128</v>
      </c>
      <c r="U1856" s="23">
        <v>46588</v>
      </c>
      <c r="X1856" s="20">
        <v>5000</v>
      </c>
      <c r="Z1856" s="6" t="s">
        <v>5978</v>
      </c>
      <c r="AA1856" s="13">
        <f t="shared" si="245"/>
        <v>5.6000000000000006E-4</v>
      </c>
      <c r="AB1856">
        <v>0.91241360000000005</v>
      </c>
      <c r="AC1856">
        <v>0.94891014400000007</v>
      </c>
    </row>
    <row r="1857" spans="1:29" x14ac:dyDescent="0.3">
      <c r="A1857">
        <v>136354</v>
      </c>
      <c r="B1857" s="25" t="s">
        <v>5984</v>
      </c>
      <c r="C1857" t="s">
        <v>20</v>
      </c>
      <c r="D1857" t="s">
        <v>21</v>
      </c>
      <c r="E1857">
        <v>2222222</v>
      </c>
      <c r="F1857" s="8" t="s">
        <v>22</v>
      </c>
      <c r="G1857" s="2">
        <v>98</v>
      </c>
      <c r="H1857" t="s">
        <v>4184</v>
      </c>
      <c r="J1857" s="9" t="s">
        <v>4891</v>
      </c>
      <c r="K1857" t="s">
        <v>5030</v>
      </c>
      <c r="L1857" s="2">
        <v>1</v>
      </c>
      <c r="M1857" s="24" t="s">
        <v>5971</v>
      </c>
      <c r="N1857" s="2" t="s">
        <v>23</v>
      </c>
      <c r="O1857" s="18" t="s">
        <v>1512</v>
      </c>
      <c r="P1857" s="18" t="s">
        <v>3781</v>
      </c>
      <c r="Q1857" s="6" t="s">
        <v>4475</v>
      </c>
      <c r="T1857" s="23">
        <v>45169</v>
      </c>
      <c r="U1857" s="23">
        <v>47727</v>
      </c>
      <c r="X1857" s="20">
        <v>28000</v>
      </c>
      <c r="Z1857" s="6" t="s">
        <v>5978</v>
      </c>
      <c r="AA1857" s="13">
        <f t="shared" si="245"/>
        <v>5.6000000000000006E-4</v>
      </c>
      <c r="AB1857">
        <v>11.107633600000002</v>
      </c>
      <c r="AC1857">
        <v>11.551938944000002</v>
      </c>
    </row>
    <row r="1858" spans="1:29" x14ac:dyDescent="0.3">
      <c r="A1858">
        <v>137246</v>
      </c>
      <c r="B1858" s="25" t="s">
        <v>5984</v>
      </c>
      <c r="C1858" t="s">
        <v>20</v>
      </c>
      <c r="D1858" t="s">
        <v>21</v>
      </c>
      <c r="E1858">
        <v>2222222</v>
      </c>
      <c r="F1858" s="8" t="s">
        <v>22</v>
      </c>
      <c r="G1858" s="2">
        <v>98</v>
      </c>
      <c r="H1858" t="s">
        <v>4184</v>
      </c>
      <c r="J1858" s="9" t="s">
        <v>4911</v>
      </c>
      <c r="K1858" t="s">
        <v>5196</v>
      </c>
      <c r="L1858" s="2">
        <v>1</v>
      </c>
      <c r="M1858" s="24" t="s">
        <v>5971</v>
      </c>
      <c r="N1858" s="2" t="s">
        <v>23</v>
      </c>
      <c r="O1858" s="18" t="s">
        <v>1513</v>
      </c>
      <c r="P1858" s="18" t="s">
        <v>3781</v>
      </c>
      <c r="Q1858" s="6" t="s">
        <v>4475</v>
      </c>
      <c r="T1858" s="23">
        <v>45212</v>
      </c>
      <c r="U1858" s="23">
        <v>46307</v>
      </c>
      <c r="X1858" s="20">
        <v>4000</v>
      </c>
      <c r="Z1858" s="6" t="s">
        <v>5978</v>
      </c>
      <c r="AA1858" s="13">
        <f t="shared" si="245"/>
        <v>5.6000000000000006E-4</v>
      </c>
      <c r="AB1858">
        <v>0.23900240000000003</v>
      </c>
      <c r="AC1858">
        <v>0.24856249600000005</v>
      </c>
    </row>
    <row r="1859" spans="1:29" x14ac:dyDescent="0.3">
      <c r="A1859">
        <v>137400</v>
      </c>
      <c r="B1859" s="25" t="s">
        <v>5984</v>
      </c>
      <c r="C1859" t="s">
        <v>20</v>
      </c>
      <c r="D1859" t="s">
        <v>21</v>
      </c>
      <c r="E1859">
        <v>2222222</v>
      </c>
      <c r="F1859" s="8" t="s">
        <v>22</v>
      </c>
      <c r="G1859" s="2">
        <v>98</v>
      </c>
      <c r="H1859" t="s">
        <v>4184</v>
      </c>
      <c r="J1859" s="9" t="s">
        <v>5321</v>
      </c>
      <c r="K1859" t="s">
        <v>4900</v>
      </c>
      <c r="L1859" s="2">
        <v>1</v>
      </c>
      <c r="M1859" s="24" t="s">
        <v>5971</v>
      </c>
      <c r="N1859" s="2" t="s">
        <v>23</v>
      </c>
      <c r="O1859" s="18" t="s">
        <v>1514</v>
      </c>
      <c r="P1859" s="18" t="s">
        <v>0</v>
      </c>
      <c r="Q1859" s="6" t="s">
        <v>4475</v>
      </c>
      <c r="T1859" s="23">
        <v>45221</v>
      </c>
      <c r="U1859" s="23">
        <v>46316</v>
      </c>
      <c r="X1859" s="20">
        <v>2500</v>
      </c>
      <c r="Z1859" s="6" t="s">
        <v>5978</v>
      </c>
      <c r="AA1859" s="13">
        <f t="shared" si="245"/>
        <v>5.6000000000000006E-4</v>
      </c>
      <c r="AB1859">
        <v>0.14666960000000004</v>
      </c>
      <c r="AC1859">
        <v>0.15253638400000005</v>
      </c>
    </row>
    <row r="1860" spans="1:29" x14ac:dyDescent="0.3">
      <c r="A1860">
        <v>138631</v>
      </c>
      <c r="B1860" s="25" t="s">
        <v>5984</v>
      </c>
      <c r="C1860" t="s">
        <v>20</v>
      </c>
      <c r="D1860" t="s">
        <v>21</v>
      </c>
      <c r="E1860">
        <v>2222222</v>
      </c>
      <c r="F1860" s="8" t="s">
        <v>22</v>
      </c>
      <c r="G1860" s="2">
        <v>98</v>
      </c>
      <c r="H1860" t="s">
        <v>4184</v>
      </c>
      <c r="J1860" s="9" t="s">
        <v>4917</v>
      </c>
      <c r="K1860" t="s">
        <v>5075</v>
      </c>
      <c r="L1860" s="2">
        <v>1</v>
      </c>
      <c r="M1860" s="24" t="s">
        <v>5971</v>
      </c>
      <c r="N1860" s="2" t="s">
        <v>23</v>
      </c>
      <c r="O1860" s="18" t="s">
        <v>1515</v>
      </c>
      <c r="P1860" s="18" t="s">
        <v>3781</v>
      </c>
      <c r="Q1860" s="6" t="s">
        <v>4475</v>
      </c>
      <c r="T1860" s="23">
        <v>45288</v>
      </c>
      <c r="U1860" s="23">
        <v>47114</v>
      </c>
      <c r="X1860" s="20">
        <v>4100</v>
      </c>
      <c r="Z1860" s="6" t="s">
        <v>5978</v>
      </c>
      <c r="AA1860" s="13">
        <f t="shared" si="245"/>
        <v>5.6000000000000006E-4</v>
      </c>
      <c r="AB1860">
        <v>1.3169240000000002</v>
      </c>
      <c r="AC1860">
        <v>1.3696009600000003</v>
      </c>
    </row>
    <row r="1861" spans="1:29" x14ac:dyDescent="0.3">
      <c r="A1861">
        <v>139193</v>
      </c>
      <c r="B1861" s="25" t="s">
        <v>5984</v>
      </c>
      <c r="C1861" t="s">
        <v>20</v>
      </c>
      <c r="D1861" t="s">
        <v>21</v>
      </c>
      <c r="E1861">
        <v>2222222</v>
      </c>
      <c r="F1861" s="8" t="s">
        <v>22</v>
      </c>
      <c r="G1861" s="2">
        <v>98</v>
      </c>
      <c r="H1861" t="s">
        <v>4184</v>
      </c>
      <c r="J1861" s="9" t="s">
        <v>5137</v>
      </c>
      <c r="K1861" t="s">
        <v>4832</v>
      </c>
      <c r="L1861" s="2">
        <v>1</v>
      </c>
      <c r="M1861" s="24" t="s">
        <v>5971</v>
      </c>
      <c r="N1861" s="2" t="s">
        <v>23</v>
      </c>
      <c r="O1861" s="18" t="s">
        <v>1516</v>
      </c>
      <c r="P1861" s="18" t="s">
        <v>3781</v>
      </c>
      <c r="Q1861" s="6" t="s">
        <v>4475</v>
      </c>
      <c r="T1861" s="23">
        <v>45320</v>
      </c>
      <c r="U1861" s="23">
        <v>46780</v>
      </c>
      <c r="X1861" s="20">
        <v>2000</v>
      </c>
      <c r="Z1861" s="6" t="s">
        <v>5978</v>
      </c>
      <c r="AA1861" s="13">
        <f t="shared" si="245"/>
        <v>5.6000000000000006E-4</v>
      </c>
      <c r="AB1861">
        <v>0.52134320000000012</v>
      </c>
      <c r="AC1861">
        <v>0.54219692800000019</v>
      </c>
    </row>
    <row r="1862" spans="1:29" x14ac:dyDescent="0.3">
      <c r="A1862">
        <v>139391</v>
      </c>
      <c r="B1862" s="25" t="s">
        <v>5984</v>
      </c>
      <c r="C1862" t="s">
        <v>20</v>
      </c>
      <c r="D1862" t="s">
        <v>21</v>
      </c>
      <c r="E1862">
        <v>2222222</v>
      </c>
      <c r="F1862" s="8" t="s">
        <v>22</v>
      </c>
      <c r="G1862" s="2">
        <v>98</v>
      </c>
      <c r="H1862" t="s">
        <v>4184</v>
      </c>
      <c r="J1862" s="9" t="s">
        <v>4911</v>
      </c>
      <c r="K1862" t="s">
        <v>5196</v>
      </c>
      <c r="L1862" s="2">
        <v>1</v>
      </c>
      <c r="M1862" s="24" t="s">
        <v>5971</v>
      </c>
      <c r="N1862" s="2" t="s">
        <v>23</v>
      </c>
      <c r="O1862" s="18" t="s">
        <v>1517</v>
      </c>
      <c r="P1862" s="18" t="s">
        <v>3781</v>
      </c>
      <c r="Q1862" s="6" t="s">
        <v>4475</v>
      </c>
      <c r="T1862" s="23">
        <v>45328</v>
      </c>
      <c r="U1862" s="23">
        <v>46606</v>
      </c>
      <c r="X1862" s="20">
        <v>4260</v>
      </c>
      <c r="Z1862" s="6" t="s">
        <v>5978</v>
      </c>
      <c r="AA1862" s="13">
        <f t="shared" si="245"/>
        <v>5.6000000000000006E-4</v>
      </c>
      <c r="AB1862">
        <v>0.87763760000000013</v>
      </c>
      <c r="AC1862">
        <v>0.91274310400000014</v>
      </c>
    </row>
    <row r="1863" spans="1:29" x14ac:dyDescent="0.3">
      <c r="A1863">
        <v>139495</v>
      </c>
      <c r="B1863" s="25" t="s">
        <v>5984</v>
      </c>
      <c r="C1863" t="s">
        <v>20</v>
      </c>
      <c r="D1863" t="s">
        <v>21</v>
      </c>
      <c r="E1863">
        <v>2222222</v>
      </c>
      <c r="F1863" s="8" t="s">
        <v>22</v>
      </c>
      <c r="G1863" s="2">
        <v>98</v>
      </c>
      <c r="H1863" t="s">
        <v>4184</v>
      </c>
      <c r="J1863" s="9" t="s">
        <v>4898</v>
      </c>
      <c r="K1863" t="s">
        <v>5019</v>
      </c>
      <c r="L1863" s="2">
        <v>1</v>
      </c>
      <c r="M1863" s="24" t="s">
        <v>5971</v>
      </c>
      <c r="N1863" s="2" t="s">
        <v>23</v>
      </c>
      <c r="O1863" s="18" t="s">
        <v>1518</v>
      </c>
      <c r="P1863" s="18" t="s">
        <v>3781</v>
      </c>
      <c r="Q1863" s="6" t="s">
        <v>4475</v>
      </c>
      <c r="T1863" s="23">
        <v>45332</v>
      </c>
      <c r="U1863" s="23">
        <v>47525</v>
      </c>
      <c r="X1863" s="20">
        <v>20000</v>
      </c>
      <c r="Z1863" s="6" t="s">
        <v>5978</v>
      </c>
      <c r="AA1863" s="13">
        <f t="shared" si="245"/>
        <v>5.6000000000000006E-4</v>
      </c>
      <c r="AB1863">
        <v>7.9292024000000012</v>
      </c>
      <c r="AC1863">
        <v>8.2463704960000008</v>
      </c>
    </row>
    <row r="1864" spans="1:29" x14ac:dyDescent="0.3">
      <c r="A1864">
        <v>140336</v>
      </c>
      <c r="B1864" s="25" t="s">
        <v>5984</v>
      </c>
      <c r="C1864" t="s">
        <v>20</v>
      </c>
      <c r="D1864" t="s">
        <v>21</v>
      </c>
      <c r="E1864">
        <v>2222222</v>
      </c>
      <c r="F1864" s="8" t="s">
        <v>22</v>
      </c>
      <c r="G1864" s="2">
        <v>98</v>
      </c>
      <c r="H1864" t="s">
        <v>4184</v>
      </c>
      <c r="J1864" s="9" t="s">
        <v>4988</v>
      </c>
      <c r="K1864" t="s">
        <v>5010</v>
      </c>
      <c r="L1864" s="2">
        <v>1</v>
      </c>
      <c r="M1864" s="24" t="s">
        <v>5971</v>
      </c>
      <c r="N1864" s="2" t="s">
        <v>23</v>
      </c>
      <c r="O1864" s="18" t="s">
        <v>1519</v>
      </c>
      <c r="P1864" s="18" t="s">
        <v>0</v>
      </c>
      <c r="Q1864" s="6" t="s">
        <v>4475</v>
      </c>
      <c r="T1864" s="23">
        <v>45390</v>
      </c>
      <c r="U1864" s="23">
        <v>47581</v>
      </c>
      <c r="X1864" s="20">
        <v>15000</v>
      </c>
      <c r="Z1864" s="6" t="s">
        <v>5978</v>
      </c>
      <c r="AA1864" s="13">
        <f t="shared" si="245"/>
        <v>5.6000000000000006E-4</v>
      </c>
      <c r="AB1864">
        <v>6.1476184000000007</v>
      </c>
      <c r="AC1864">
        <v>6.3935231360000007</v>
      </c>
    </row>
    <row r="1865" spans="1:29" x14ac:dyDescent="0.3">
      <c r="A1865">
        <v>140461</v>
      </c>
      <c r="B1865" s="25" t="s">
        <v>5984</v>
      </c>
      <c r="C1865" t="s">
        <v>20</v>
      </c>
      <c r="D1865" t="s">
        <v>21</v>
      </c>
      <c r="E1865">
        <v>2222222</v>
      </c>
      <c r="F1865" s="8" t="s">
        <v>22</v>
      </c>
      <c r="G1865" s="2">
        <v>98</v>
      </c>
      <c r="H1865" t="s">
        <v>4184</v>
      </c>
      <c r="J1865" s="9" t="s">
        <v>4981</v>
      </c>
      <c r="K1865" t="s">
        <v>4859</v>
      </c>
      <c r="L1865" s="2">
        <v>1</v>
      </c>
      <c r="M1865" s="24" t="s">
        <v>5971</v>
      </c>
      <c r="N1865" s="2" t="s">
        <v>23</v>
      </c>
      <c r="O1865" s="18" t="s">
        <v>1520</v>
      </c>
      <c r="P1865" s="18" t="s">
        <v>3781</v>
      </c>
      <c r="Q1865" s="6" t="s">
        <v>4475</v>
      </c>
      <c r="T1865" s="23">
        <v>45450</v>
      </c>
      <c r="U1865" s="23">
        <v>46545</v>
      </c>
      <c r="X1865" s="20">
        <v>3000</v>
      </c>
      <c r="Z1865" s="6" t="s">
        <v>5978</v>
      </c>
      <c r="AA1865" s="14">
        <f t="shared" ref="AA1865:AA1928" si="246">+(0.6/1000)</f>
        <v>5.9999999999999995E-4</v>
      </c>
      <c r="AB1865">
        <v>0.6570419999999999</v>
      </c>
      <c r="AC1865">
        <v>0.68332367999999988</v>
      </c>
    </row>
    <row r="1866" spans="1:29" x14ac:dyDescent="0.3">
      <c r="A1866">
        <v>141141</v>
      </c>
      <c r="B1866" s="25" t="s">
        <v>5984</v>
      </c>
      <c r="C1866" t="s">
        <v>20</v>
      </c>
      <c r="D1866" t="s">
        <v>21</v>
      </c>
      <c r="E1866">
        <v>2222222</v>
      </c>
      <c r="F1866" s="8" t="s">
        <v>22</v>
      </c>
      <c r="G1866" s="2">
        <v>98</v>
      </c>
      <c r="H1866" t="s">
        <v>4184</v>
      </c>
      <c r="J1866" s="9" t="s">
        <v>4911</v>
      </c>
      <c r="K1866" t="s">
        <v>5075</v>
      </c>
      <c r="L1866" s="2">
        <v>1</v>
      </c>
      <c r="M1866" s="24" t="s">
        <v>5971</v>
      </c>
      <c r="N1866" s="2" t="s">
        <v>23</v>
      </c>
      <c r="O1866" s="18" t="s">
        <v>1521</v>
      </c>
      <c r="P1866" s="18" t="s">
        <v>3781</v>
      </c>
      <c r="Q1866" s="6" t="s">
        <v>4475</v>
      </c>
      <c r="T1866" s="23">
        <v>45433</v>
      </c>
      <c r="U1866" s="23">
        <v>46254</v>
      </c>
      <c r="X1866" s="20">
        <v>3440</v>
      </c>
      <c r="Z1866" s="6" t="s">
        <v>5978</v>
      </c>
      <c r="AA1866" s="14">
        <f t="shared" si="246"/>
        <v>5.9999999999999995E-4</v>
      </c>
      <c r="AB1866">
        <v>0.10164599999999999</v>
      </c>
      <c r="AC1866">
        <v>0.10571183999999999</v>
      </c>
    </row>
    <row r="1867" spans="1:29" x14ac:dyDescent="0.3">
      <c r="A1867">
        <v>141198</v>
      </c>
      <c r="B1867" s="25" t="s">
        <v>5984</v>
      </c>
      <c r="C1867" t="s">
        <v>20</v>
      </c>
      <c r="D1867" t="s">
        <v>21</v>
      </c>
      <c r="E1867">
        <v>2222222</v>
      </c>
      <c r="F1867" s="8" t="s">
        <v>22</v>
      </c>
      <c r="G1867" s="2">
        <v>98</v>
      </c>
      <c r="H1867" t="s">
        <v>4184</v>
      </c>
      <c r="J1867" s="9" t="s">
        <v>5477</v>
      </c>
      <c r="K1867" t="s">
        <v>4939</v>
      </c>
      <c r="L1867" s="2">
        <v>1</v>
      </c>
      <c r="M1867" s="24" t="s">
        <v>5971</v>
      </c>
      <c r="N1867" s="2" t="s">
        <v>23</v>
      </c>
      <c r="O1867" s="18" t="s">
        <v>1522</v>
      </c>
      <c r="P1867" s="18" t="s">
        <v>0</v>
      </c>
      <c r="Q1867" s="6" t="s">
        <v>4475</v>
      </c>
      <c r="T1867" s="23">
        <v>45439</v>
      </c>
      <c r="U1867" s="23">
        <v>47356</v>
      </c>
      <c r="X1867" s="20">
        <v>5220</v>
      </c>
      <c r="Z1867" s="6" t="s">
        <v>5978</v>
      </c>
      <c r="AA1867" s="14">
        <f t="shared" si="246"/>
        <v>5.9999999999999995E-4</v>
      </c>
      <c r="AB1867">
        <v>2.2451159999999999</v>
      </c>
      <c r="AC1867">
        <v>2.33492064</v>
      </c>
    </row>
    <row r="1868" spans="1:29" x14ac:dyDescent="0.3">
      <c r="A1868">
        <v>141368</v>
      </c>
      <c r="B1868" s="25" t="s">
        <v>5984</v>
      </c>
      <c r="C1868" t="s">
        <v>20</v>
      </c>
      <c r="D1868" t="s">
        <v>21</v>
      </c>
      <c r="E1868">
        <v>2222222</v>
      </c>
      <c r="F1868" s="8" t="s">
        <v>22</v>
      </c>
      <c r="G1868" s="2">
        <v>98</v>
      </c>
      <c r="H1868" t="s">
        <v>4184</v>
      </c>
      <c r="J1868" s="9" t="s">
        <v>4929</v>
      </c>
      <c r="K1868" t="s">
        <v>5270</v>
      </c>
      <c r="L1868" s="2">
        <v>1</v>
      </c>
      <c r="M1868" s="24" t="s">
        <v>5971</v>
      </c>
      <c r="N1868" s="2" t="s">
        <v>23</v>
      </c>
      <c r="O1868" s="18" t="s">
        <v>1506</v>
      </c>
      <c r="P1868" s="18" t="s">
        <v>0</v>
      </c>
      <c r="Q1868" s="6" t="s">
        <v>4475</v>
      </c>
      <c r="T1868" s="23">
        <v>45460</v>
      </c>
      <c r="U1868" s="23">
        <v>47286</v>
      </c>
      <c r="X1868" s="20">
        <v>20000</v>
      </c>
      <c r="Z1868" s="6" t="s">
        <v>5978</v>
      </c>
      <c r="AA1868" s="14">
        <f t="shared" si="246"/>
        <v>5.9999999999999995E-4</v>
      </c>
      <c r="AB1868">
        <v>8.1333899999999986</v>
      </c>
      <c r="AC1868">
        <v>8.4587255999999993</v>
      </c>
    </row>
    <row r="1869" spans="1:29" x14ac:dyDescent="0.3">
      <c r="A1869">
        <v>142527</v>
      </c>
      <c r="B1869" s="25" t="s">
        <v>5984</v>
      </c>
      <c r="C1869" t="s">
        <v>20</v>
      </c>
      <c r="D1869" t="s">
        <v>21</v>
      </c>
      <c r="E1869">
        <v>2222222</v>
      </c>
      <c r="F1869" s="8" t="s">
        <v>22</v>
      </c>
      <c r="G1869" s="2">
        <v>98</v>
      </c>
      <c r="H1869" t="s">
        <v>4184</v>
      </c>
      <c r="J1869" s="9" t="s">
        <v>4950</v>
      </c>
      <c r="K1869" t="s">
        <v>5421</v>
      </c>
      <c r="L1869" s="2">
        <v>1</v>
      </c>
      <c r="M1869" s="24" t="s">
        <v>5971</v>
      </c>
      <c r="N1869" s="2" t="s">
        <v>23</v>
      </c>
      <c r="O1869" s="18" t="s">
        <v>1523</v>
      </c>
      <c r="P1869" s="18" t="s">
        <v>0</v>
      </c>
      <c r="Q1869" s="6" t="s">
        <v>4475</v>
      </c>
      <c r="T1869" s="23">
        <v>45526</v>
      </c>
      <c r="U1869" s="23">
        <v>46986</v>
      </c>
      <c r="X1869" s="20">
        <v>2975</v>
      </c>
      <c r="Z1869" s="6" t="s">
        <v>5978</v>
      </c>
      <c r="AA1869" s="14">
        <f t="shared" si="246"/>
        <v>5.9999999999999995E-4</v>
      </c>
      <c r="AB1869">
        <v>1.095432</v>
      </c>
      <c r="AC1869">
        <v>1.13924928</v>
      </c>
    </row>
    <row r="1870" spans="1:29" x14ac:dyDescent="0.3">
      <c r="A1870">
        <v>143111</v>
      </c>
      <c r="B1870" s="25" t="s">
        <v>5984</v>
      </c>
      <c r="C1870" t="s">
        <v>20</v>
      </c>
      <c r="D1870" t="s">
        <v>21</v>
      </c>
      <c r="E1870">
        <v>2222222</v>
      </c>
      <c r="F1870" s="8" t="s">
        <v>22</v>
      </c>
      <c r="G1870" s="2">
        <v>98</v>
      </c>
      <c r="H1870" t="s">
        <v>4184</v>
      </c>
      <c r="J1870" s="9" t="s">
        <v>5141</v>
      </c>
      <c r="K1870" t="s">
        <v>4910</v>
      </c>
      <c r="L1870" s="2">
        <v>1</v>
      </c>
      <c r="M1870" s="24" t="s">
        <v>5971</v>
      </c>
      <c r="N1870" s="2" t="s">
        <v>23</v>
      </c>
      <c r="O1870" s="18" t="s">
        <v>1524</v>
      </c>
      <c r="P1870" s="18" t="s">
        <v>3781</v>
      </c>
      <c r="Q1870" s="6" t="s">
        <v>4475</v>
      </c>
      <c r="T1870" s="23">
        <v>45632</v>
      </c>
      <c r="U1870" s="23">
        <v>47457</v>
      </c>
      <c r="X1870" s="20">
        <v>16100</v>
      </c>
      <c r="Z1870" s="6" t="s">
        <v>5978</v>
      </c>
      <c r="AA1870" s="14">
        <f t="shared" si="246"/>
        <v>5.9999999999999995E-4</v>
      </c>
      <c r="AB1870">
        <v>7.3384799999999988</v>
      </c>
      <c r="AC1870">
        <v>7.6320191999999993</v>
      </c>
    </row>
    <row r="1871" spans="1:29" x14ac:dyDescent="0.3">
      <c r="A1871">
        <v>143121</v>
      </c>
      <c r="B1871" s="25" t="s">
        <v>5984</v>
      </c>
      <c r="C1871" t="s">
        <v>20</v>
      </c>
      <c r="D1871" t="s">
        <v>21</v>
      </c>
      <c r="E1871">
        <v>2222222</v>
      </c>
      <c r="F1871" s="8" t="s">
        <v>22</v>
      </c>
      <c r="G1871" s="2">
        <v>98</v>
      </c>
      <c r="H1871" t="s">
        <v>4184</v>
      </c>
      <c r="J1871" s="9" t="s">
        <v>5147</v>
      </c>
      <c r="K1871" t="s">
        <v>5145</v>
      </c>
      <c r="L1871" s="2">
        <v>1</v>
      </c>
      <c r="M1871" s="24" t="s">
        <v>5971</v>
      </c>
      <c r="N1871" s="2" t="s">
        <v>23</v>
      </c>
      <c r="O1871" s="18" t="s">
        <v>1525</v>
      </c>
      <c r="P1871" s="18" t="s">
        <v>3781</v>
      </c>
      <c r="Q1871" s="6" t="s">
        <v>4475</v>
      </c>
      <c r="T1871" s="23">
        <v>45570</v>
      </c>
      <c r="U1871" s="23">
        <v>46664</v>
      </c>
      <c r="X1871" s="20">
        <v>9800</v>
      </c>
      <c r="Z1871" s="6" t="s">
        <v>5978</v>
      </c>
      <c r="AA1871" s="14">
        <f t="shared" si="246"/>
        <v>5.9999999999999995E-4</v>
      </c>
      <c r="AB1871">
        <v>2.8153199999999998</v>
      </c>
      <c r="AC1871">
        <v>2.9279327999999998</v>
      </c>
    </row>
    <row r="1872" spans="1:29" x14ac:dyDescent="0.3">
      <c r="A1872">
        <v>143209</v>
      </c>
      <c r="B1872" s="25" t="s">
        <v>5984</v>
      </c>
      <c r="C1872" t="s">
        <v>20</v>
      </c>
      <c r="D1872" t="s">
        <v>21</v>
      </c>
      <c r="E1872">
        <v>2222222</v>
      </c>
      <c r="F1872" s="8" t="s">
        <v>22</v>
      </c>
      <c r="G1872" s="2">
        <v>98</v>
      </c>
      <c r="H1872" t="s">
        <v>4184</v>
      </c>
      <c r="J1872" s="9" t="s">
        <v>4871</v>
      </c>
      <c r="K1872" t="s">
        <v>4856</v>
      </c>
      <c r="L1872" s="2">
        <v>1</v>
      </c>
      <c r="M1872" s="24" t="s">
        <v>5971</v>
      </c>
      <c r="N1872" s="2" t="s">
        <v>23</v>
      </c>
      <c r="O1872" s="18" t="s">
        <v>471</v>
      </c>
      <c r="P1872" s="18" t="s">
        <v>0</v>
      </c>
      <c r="Q1872" s="6" t="s">
        <v>4475</v>
      </c>
      <c r="T1872" s="23">
        <v>45573</v>
      </c>
      <c r="U1872" s="23">
        <v>46302</v>
      </c>
      <c r="X1872" s="20">
        <v>5000</v>
      </c>
      <c r="Z1872" s="6" t="s">
        <v>5978</v>
      </c>
      <c r="AA1872" s="14">
        <f t="shared" si="246"/>
        <v>5.9999999999999995E-4</v>
      </c>
      <c r="AB1872">
        <v>0.43823999999999996</v>
      </c>
      <c r="AC1872">
        <v>0.4557696</v>
      </c>
    </row>
    <row r="1873" spans="1:29" x14ac:dyDescent="0.3">
      <c r="A1873">
        <v>144602</v>
      </c>
      <c r="B1873" s="25" t="s">
        <v>5984</v>
      </c>
      <c r="C1873" t="s">
        <v>20</v>
      </c>
      <c r="D1873" t="s">
        <v>21</v>
      </c>
      <c r="E1873">
        <v>2222222</v>
      </c>
      <c r="F1873" s="8" t="s">
        <v>22</v>
      </c>
      <c r="G1873" s="2">
        <v>98</v>
      </c>
      <c r="H1873" t="s">
        <v>4184</v>
      </c>
      <c r="J1873" s="9" t="s">
        <v>4929</v>
      </c>
      <c r="K1873" t="s">
        <v>5270</v>
      </c>
      <c r="L1873" s="2">
        <v>1</v>
      </c>
      <c r="M1873" s="24" t="s">
        <v>5971</v>
      </c>
      <c r="N1873" s="2" t="s">
        <v>23</v>
      </c>
      <c r="O1873" s="18" t="s">
        <v>1506</v>
      </c>
      <c r="P1873" s="18" t="s">
        <v>0</v>
      </c>
      <c r="Q1873" s="6" t="s">
        <v>4475</v>
      </c>
      <c r="T1873" s="23">
        <v>45688</v>
      </c>
      <c r="U1873" s="23">
        <v>47516</v>
      </c>
      <c r="X1873" s="20">
        <v>16400</v>
      </c>
      <c r="Z1873" s="6" t="s">
        <v>5978</v>
      </c>
      <c r="AA1873" s="14">
        <f t="shared" si="246"/>
        <v>5.9999999999999995E-4</v>
      </c>
      <c r="AB1873">
        <v>7.8026339999999994</v>
      </c>
      <c r="AC1873">
        <v>8.1147393599999997</v>
      </c>
    </row>
    <row r="1874" spans="1:29" x14ac:dyDescent="0.3">
      <c r="A1874">
        <v>144970</v>
      </c>
      <c r="B1874" s="25" t="s">
        <v>5984</v>
      </c>
      <c r="C1874" t="s">
        <v>20</v>
      </c>
      <c r="D1874" t="s">
        <v>21</v>
      </c>
      <c r="E1874">
        <v>2222222</v>
      </c>
      <c r="F1874" s="8" t="s">
        <v>22</v>
      </c>
      <c r="G1874" s="2">
        <v>98</v>
      </c>
      <c r="H1874" t="s">
        <v>4184</v>
      </c>
      <c r="J1874" s="9" t="s">
        <v>5281</v>
      </c>
      <c r="K1874" t="s">
        <v>5211</v>
      </c>
      <c r="L1874" s="2">
        <v>1</v>
      </c>
      <c r="M1874" s="24" t="s">
        <v>5971</v>
      </c>
      <c r="N1874" s="2" t="s">
        <v>23</v>
      </c>
      <c r="O1874" s="18" t="s">
        <v>1526</v>
      </c>
      <c r="P1874" s="18" t="s">
        <v>0</v>
      </c>
      <c r="Q1874" s="6" t="s">
        <v>4475</v>
      </c>
      <c r="T1874" s="23">
        <v>45704</v>
      </c>
      <c r="U1874" s="23">
        <v>46801</v>
      </c>
      <c r="X1874" s="20">
        <v>2000</v>
      </c>
      <c r="Z1874" s="6" t="s">
        <v>5978</v>
      </c>
      <c r="AA1874" s="14">
        <f t="shared" si="246"/>
        <v>5.9999999999999995E-4</v>
      </c>
      <c r="AB1874">
        <v>0.70946399999999998</v>
      </c>
      <c r="AC1874">
        <v>0.73784256000000004</v>
      </c>
    </row>
    <row r="1875" spans="1:29" x14ac:dyDescent="0.3">
      <c r="A1875">
        <v>145004</v>
      </c>
      <c r="B1875" s="25" t="s">
        <v>5984</v>
      </c>
      <c r="C1875" t="s">
        <v>20</v>
      </c>
      <c r="D1875" t="s">
        <v>21</v>
      </c>
      <c r="E1875">
        <v>2222222</v>
      </c>
      <c r="F1875" s="8" t="s">
        <v>22</v>
      </c>
      <c r="G1875" s="2">
        <v>98</v>
      </c>
      <c r="H1875" t="s">
        <v>4184</v>
      </c>
      <c r="J1875" s="9" t="s">
        <v>5147</v>
      </c>
      <c r="K1875" t="s">
        <v>5025</v>
      </c>
      <c r="L1875" s="2">
        <v>1</v>
      </c>
      <c r="M1875" s="24" t="s">
        <v>5971</v>
      </c>
      <c r="N1875" s="2" t="s">
        <v>23</v>
      </c>
      <c r="O1875" s="18" t="s">
        <v>1527</v>
      </c>
      <c r="P1875" s="18" t="s">
        <v>3781</v>
      </c>
      <c r="Q1875" s="6" t="s">
        <v>4475</v>
      </c>
      <c r="T1875" s="23">
        <v>45705</v>
      </c>
      <c r="U1875" s="23">
        <v>46831</v>
      </c>
      <c r="X1875" s="20">
        <v>5000</v>
      </c>
      <c r="Z1875" s="6" t="s">
        <v>5978</v>
      </c>
      <c r="AA1875" s="14">
        <f t="shared" si="246"/>
        <v>5.9999999999999995E-4</v>
      </c>
      <c r="AB1875">
        <v>1.458216</v>
      </c>
      <c r="AC1875">
        <v>1.51654464</v>
      </c>
    </row>
    <row r="1876" spans="1:29" x14ac:dyDescent="0.3">
      <c r="A1876">
        <v>145447</v>
      </c>
      <c r="B1876" s="25" t="s">
        <v>5984</v>
      </c>
      <c r="C1876" t="s">
        <v>20</v>
      </c>
      <c r="D1876" t="s">
        <v>21</v>
      </c>
      <c r="E1876">
        <v>2222222</v>
      </c>
      <c r="F1876" s="8" t="s">
        <v>22</v>
      </c>
      <c r="G1876" s="2">
        <v>98</v>
      </c>
      <c r="H1876" t="s">
        <v>4184</v>
      </c>
      <c r="J1876" s="9" t="s">
        <v>5063</v>
      </c>
      <c r="K1876" t="s">
        <v>5197</v>
      </c>
      <c r="L1876" s="2">
        <v>1</v>
      </c>
      <c r="M1876" s="24" t="s">
        <v>5971</v>
      </c>
      <c r="N1876" s="2" t="s">
        <v>23</v>
      </c>
      <c r="O1876" s="18" t="s">
        <v>1528</v>
      </c>
      <c r="P1876" s="18" t="s">
        <v>0</v>
      </c>
      <c r="Q1876" s="6" t="s">
        <v>4475</v>
      </c>
      <c r="T1876" s="23">
        <v>45738</v>
      </c>
      <c r="U1876" s="23">
        <v>47198</v>
      </c>
      <c r="X1876" s="20">
        <v>4000</v>
      </c>
      <c r="Z1876" s="6" t="s">
        <v>5978</v>
      </c>
      <c r="AA1876" s="14">
        <f t="shared" si="246"/>
        <v>5.9999999999999995E-4</v>
      </c>
      <c r="AB1876">
        <v>1.8264959999999997</v>
      </c>
      <c r="AC1876">
        <v>1.8995558399999997</v>
      </c>
    </row>
    <row r="1877" spans="1:29" x14ac:dyDescent="0.3">
      <c r="A1877">
        <v>145995</v>
      </c>
      <c r="B1877" s="25" t="s">
        <v>5984</v>
      </c>
      <c r="C1877" t="s">
        <v>20</v>
      </c>
      <c r="D1877" t="s">
        <v>21</v>
      </c>
      <c r="E1877">
        <v>2222222</v>
      </c>
      <c r="F1877" s="8" t="s">
        <v>22</v>
      </c>
      <c r="G1877" s="2">
        <v>98</v>
      </c>
      <c r="H1877" t="s">
        <v>4184</v>
      </c>
      <c r="J1877" s="9" t="s">
        <v>5551</v>
      </c>
      <c r="K1877" t="s">
        <v>5085</v>
      </c>
      <c r="L1877" s="2">
        <v>1</v>
      </c>
      <c r="M1877" s="24" t="s">
        <v>5971</v>
      </c>
      <c r="N1877" s="2" t="s">
        <v>23</v>
      </c>
      <c r="O1877" s="18" t="s">
        <v>1529</v>
      </c>
      <c r="P1877" s="18" t="s">
        <v>0</v>
      </c>
      <c r="Q1877" s="6" t="s">
        <v>4475</v>
      </c>
      <c r="T1877" s="23">
        <v>45782</v>
      </c>
      <c r="U1877" s="23">
        <v>46511</v>
      </c>
      <c r="X1877" s="20">
        <v>5000</v>
      </c>
      <c r="Z1877" s="6" t="s">
        <v>5978</v>
      </c>
      <c r="AA1877" s="14">
        <f t="shared" si="246"/>
        <v>5.9999999999999995E-4</v>
      </c>
      <c r="AB1877">
        <v>1.3823099999999999</v>
      </c>
      <c r="AC1877">
        <v>1.4376024000000001</v>
      </c>
    </row>
    <row r="1878" spans="1:29" x14ac:dyDescent="0.3">
      <c r="A1878">
        <v>146017</v>
      </c>
      <c r="B1878" s="25" t="s">
        <v>5984</v>
      </c>
      <c r="C1878" t="s">
        <v>20</v>
      </c>
      <c r="D1878" t="s">
        <v>21</v>
      </c>
      <c r="E1878">
        <v>2222222</v>
      </c>
      <c r="F1878" s="8" t="s">
        <v>22</v>
      </c>
      <c r="G1878" s="2">
        <v>98</v>
      </c>
      <c r="H1878" t="s">
        <v>4184</v>
      </c>
      <c r="J1878" s="9" t="s">
        <v>4988</v>
      </c>
      <c r="K1878" t="s">
        <v>5064</v>
      </c>
      <c r="L1878" s="2">
        <v>1</v>
      </c>
      <c r="M1878" s="24" t="s">
        <v>5971</v>
      </c>
      <c r="N1878" s="2" t="s">
        <v>23</v>
      </c>
      <c r="O1878" s="18" t="s">
        <v>1530</v>
      </c>
      <c r="P1878" s="18" t="s">
        <v>0</v>
      </c>
      <c r="Q1878" s="6" t="s">
        <v>4475</v>
      </c>
      <c r="T1878" s="23">
        <v>45783</v>
      </c>
      <c r="U1878" s="23">
        <v>47243</v>
      </c>
      <c r="X1878" s="20">
        <v>5000</v>
      </c>
      <c r="Z1878" s="6" t="s">
        <v>5978</v>
      </c>
      <c r="AA1878" s="14">
        <f t="shared" si="246"/>
        <v>5.9999999999999995E-4</v>
      </c>
      <c r="AB1878">
        <v>2.3352659999999998</v>
      </c>
      <c r="AC1878">
        <v>2.4286766399999999</v>
      </c>
    </row>
    <row r="1879" spans="1:29" x14ac:dyDescent="0.3">
      <c r="A1879">
        <v>146047</v>
      </c>
      <c r="B1879" s="25" t="s">
        <v>5984</v>
      </c>
      <c r="C1879" t="s">
        <v>20</v>
      </c>
      <c r="D1879" t="s">
        <v>21</v>
      </c>
      <c r="E1879">
        <v>2222222</v>
      </c>
      <c r="F1879" s="8" t="s">
        <v>22</v>
      </c>
      <c r="G1879" s="2">
        <v>98</v>
      </c>
      <c r="H1879" t="s">
        <v>4184</v>
      </c>
      <c r="J1879" s="9" t="s">
        <v>5550</v>
      </c>
      <c r="K1879" t="s">
        <v>4926</v>
      </c>
      <c r="L1879" s="2">
        <v>1</v>
      </c>
      <c r="M1879" s="24" t="s">
        <v>5971</v>
      </c>
      <c r="N1879" s="2" t="s">
        <v>23</v>
      </c>
      <c r="O1879" s="18" t="s">
        <v>735</v>
      </c>
      <c r="P1879" s="18" t="s">
        <v>3781</v>
      </c>
      <c r="Q1879" s="6" t="s">
        <v>4475</v>
      </c>
      <c r="T1879" s="23">
        <v>45805</v>
      </c>
      <c r="U1879" s="23">
        <v>49456</v>
      </c>
      <c r="X1879" s="20">
        <v>47000</v>
      </c>
      <c r="Z1879" s="6" t="s">
        <v>5978</v>
      </c>
      <c r="AA1879" s="14">
        <f t="shared" si="246"/>
        <v>5.9999999999999995E-4</v>
      </c>
      <c r="AB1879">
        <v>26.774957999999998</v>
      </c>
      <c r="AC1879">
        <v>27.845956319999999</v>
      </c>
    </row>
    <row r="1880" spans="1:29" x14ac:dyDescent="0.3">
      <c r="A1880">
        <v>146590</v>
      </c>
      <c r="B1880" s="25" t="s">
        <v>5984</v>
      </c>
      <c r="C1880" t="s">
        <v>20</v>
      </c>
      <c r="D1880" t="s">
        <v>21</v>
      </c>
      <c r="E1880">
        <v>2222222</v>
      </c>
      <c r="F1880" s="8" t="s">
        <v>22</v>
      </c>
      <c r="G1880" s="2">
        <v>98</v>
      </c>
      <c r="H1880" t="s">
        <v>4184</v>
      </c>
      <c r="J1880" s="9" t="s">
        <v>5165</v>
      </c>
      <c r="K1880" t="s">
        <v>4947</v>
      </c>
      <c r="L1880" s="2">
        <v>1</v>
      </c>
      <c r="M1880" s="24" t="s">
        <v>5971</v>
      </c>
      <c r="N1880" s="2" t="s">
        <v>23</v>
      </c>
      <c r="O1880" s="18" t="s">
        <v>1531</v>
      </c>
      <c r="P1880" s="18" t="s">
        <v>3781</v>
      </c>
      <c r="Q1880" s="6" t="s">
        <v>4475</v>
      </c>
      <c r="T1880" s="23">
        <v>45828</v>
      </c>
      <c r="U1880" s="23">
        <v>46558</v>
      </c>
      <c r="X1880" s="20">
        <v>3000</v>
      </c>
      <c r="Z1880" s="6" t="s">
        <v>5978</v>
      </c>
      <c r="AA1880" s="14">
        <f t="shared" si="246"/>
        <v>5.9999999999999995E-4</v>
      </c>
      <c r="AB1880">
        <v>0.46534799999999998</v>
      </c>
      <c r="AC1880">
        <v>0.48396191999999999</v>
      </c>
    </row>
    <row r="1881" spans="1:29" x14ac:dyDescent="0.3">
      <c r="A1881">
        <v>146617</v>
      </c>
      <c r="B1881" s="25" t="s">
        <v>5984</v>
      </c>
      <c r="C1881" t="s">
        <v>20</v>
      </c>
      <c r="D1881" t="s">
        <v>21</v>
      </c>
      <c r="E1881">
        <v>2222222</v>
      </c>
      <c r="F1881" s="8" t="s">
        <v>22</v>
      </c>
      <c r="G1881" s="2">
        <v>98</v>
      </c>
      <c r="H1881" t="s">
        <v>4184</v>
      </c>
      <c r="J1881" s="9" t="s">
        <v>5137</v>
      </c>
      <c r="K1881" t="s">
        <v>4832</v>
      </c>
      <c r="L1881" s="2">
        <v>1</v>
      </c>
      <c r="M1881" s="24" t="s">
        <v>5971</v>
      </c>
      <c r="N1881" s="2" t="s">
        <v>23</v>
      </c>
      <c r="O1881" s="18" t="s">
        <v>1516</v>
      </c>
      <c r="P1881" s="18" t="s">
        <v>3781</v>
      </c>
      <c r="Q1881" s="6" t="s">
        <v>4475</v>
      </c>
      <c r="T1881" s="23">
        <v>45831</v>
      </c>
      <c r="U1881" s="23">
        <v>46927</v>
      </c>
      <c r="X1881" s="20">
        <v>4000</v>
      </c>
      <c r="Z1881" s="6" t="s">
        <v>5978</v>
      </c>
      <c r="AA1881" s="14">
        <f t="shared" si="246"/>
        <v>5.9999999999999995E-4</v>
      </c>
      <c r="AB1881">
        <v>1.671216</v>
      </c>
      <c r="AC1881">
        <v>1.7380646400000002</v>
      </c>
    </row>
    <row r="1882" spans="1:29" x14ac:dyDescent="0.3">
      <c r="A1882">
        <v>146844</v>
      </c>
      <c r="B1882" s="25" t="s">
        <v>5984</v>
      </c>
      <c r="C1882" t="s">
        <v>20</v>
      </c>
      <c r="D1882" t="s">
        <v>21</v>
      </c>
      <c r="E1882">
        <v>2222222</v>
      </c>
      <c r="F1882" s="8" t="s">
        <v>22</v>
      </c>
      <c r="G1882" s="2">
        <v>98</v>
      </c>
      <c r="H1882" t="s">
        <v>4184</v>
      </c>
      <c r="J1882" s="9" t="s">
        <v>5552</v>
      </c>
      <c r="K1882" t="s">
        <v>4884</v>
      </c>
      <c r="L1882" s="2">
        <v>1</v>
      </c>
      <c r="M1882" s="24" t="s">
        <v>5971</v>
      </c>
      <c r="N1882" s="2" t="s">
        <v>23</v>
      </c>
      <c r="O1882" s="18" t="s">
        <v>1532</v>
      </c>
      <c r="P1882" s="18" t="s">
        <v>3781</v>
      </c>
      <c r="Q1882" s="6" t="s">
        <v>4475</v>
      </c>
      <c r="T1882" s="23">
        <v>45847</v>
      </c>
      <c r="U1882" s="23">
        <v>46395</v>
      </c>
      <c r="X1882" s="20">
        <v>2630</v>
      </c>
      <c r="Z1882" s="6" t="s">
        <v>5978</v>
      </c>
      <c r="AA1882" s="14">
        <f t="shared" si="246"/>
        <v>5.9999999999999995E-4</v>
      </c>
      <c r="AB1882">
        <v>0.57384599999999997</v>
      </c>
      <c r="AC1882">
        <v>0.59679983999999997</v>
      </c>
    </row>
    <row r="1883" spans="1:29" x14ac:dyDescent="0.3">
      <c r="A1883">
        <v>147035</v>
      </c>
      <c r="B1883" s="25" t="s">
        <v>5984</v>
      </c>
      <c r="C1883" t="s">
        <v>20</v>
      </c>
      <c r="D1883" t="s">
        <v>21</v>
      </c>
      <c r="E1883">
        <v>2222222</v>
      </c>
      <c r="F1883" s="8" t="s">
        <v>22</v>
      </c>
      <c r="G1883" s="2">
        <v>98</v>
      </c>
      <c r="H1883" t="s">
        <v>4184</v>
      </c>
      <c r="J1883" s="9" t="s">
        <v>5164</v>
      </c>
      <c r="K1883" t="s">
        <v>4924</v>
      </c>
      <c r="L1883" s="2">
        <v>1</v>
      </c>
      <c r="M1883" s="24" t="s">
        <v>5971</v>
      </c>
      <c r="N1883" s="2" t="s">
        <v>23</v>
      </c>
      <c r="O1883" s="18" t="s">
        <v>1533</v>
      </c>
      <c r="P1883" s="18" t="s">
        <v>3781</v>
      </c>
      <c r="Q1883" s="6" t="s">
        <v>4475</v>
      </c>
      <c r="T1883" s="23">
        <v>45863</v>
      </c>
      <c r="U1883" s="23">
        <v>46958</v>
      </c>
      <c r="X1883" s="20">
        <v>8000</v>
      </c>
      <c r="Z1883" s="6" t="s">
        <v>5978</v>
      </c>
      <c r="AA1883" s="14">
        <f t="shared" si="246"/>
        <v>5.9999999999999995E-4</v>
      </c>
      <c r="AB1883">
        <v>3.4181639999999995</v>
      </c>
      <c r="AC1883">
        <v>3.5548905599999996</v>
      </c>
    </row>
    <row r="1884" spans="1:29" x14ac:dyDescent="0.3">
      <c r="A1884">
        <v>147065</v>
      </c>
      <c r="B1884" s="25" t="s">
        <v>5984</v>
      </c>
      <c r="C1884" t="s">
        <v>20</v>
      </c>
      <c r="D1884" t="s">
        <v>21</v>
      </c>
      <c r="E1884">
        <v>2222222</v>
      </c>
      <c r="F1884" s="8" t="s">
        <v>22</v>
      </c>
      <c r="G1884" s="2">
        <v>98</v>
      </c>
      <c r="H1884" t="s">
        <v>4184</v>
      </c>
      <c r="J1884" s="9" t="s">
        <v>4911</v>
      </c>
      <c r="K1884" t="s">
        <v>5266</v>
      </c>
      <c r="L1884" s="2">
        <v>1</v>
      </c>
      <c r="M1884" s="24" t="s">
        <v>5971</v>
      </c>
      <c r="N1884" s="2" t="s">
        <v>23</v>
      </c>
      <c r="O1884" s="18" t="s">
        <v>470</v>
      </c>
      <c r="P1884" s="18" t="s">
        <v>3781</v>
      </c>
      <c r="Q1884" s="6" t="s">
        <v>4475</v>
      </c>
      <c r="T1884" s="23">
        <v>45861</v>
      </c>
      <c r="U1884" s="23">
        <v>46317</v>
      </c>
      <c r="X1884" s="20">
        <v>2000</v>
      </c>
      <c r="Z1884" s="6" t="s">
        <v>5978</v>
      </c>
      <c r="AA1884" s="14">
        <f t="shared" si="246"/>
        <v>5.9999999999999995E-4</v>
      </c>
      <c r="AB1884">
        <v>0.29464199999999996</v>
      </c>
      <c r="AC1884">
        <v>0.30642767999999998</v>
      </c>
    </row>
    <row r="1885" spans="1:29" x14ac:dyDescent="0.3">
      <c r="A1885">
        <v>147214</v>
      </c>
      <c r="B1885" s="25" t="s">
        <v>5984</v>
      </c>
      <c r="C1885" t="s">
        <v>20</v>
      </c>
      <c r="D1885" t="s">
        <v>21</v>
      </c>
      <c r="E1885">
        <v>2222222</v>
      </c>
      <c r="F1885" s="8" t="s">
        <v>22</v>
      </c>
      <c r="G1885" s="2">
        <v>98</v>
      </c>
      <c r="H1885" t="s">
        <v>4184</v>
      </c>
      <c r="J1885" s="9" t="s">
        <v>4892</v>
      </c>
      <c r="K1885" t="s">
        <v>5553</v>
      </c>
      <c r="L1885" s="2">
        <v>1</v>
      </c>
      <c r="M1885" s="24" t="s">
        <v>5971</v>
      </c>
      <c r="N1885" s="2" t="s">
        <v>23</v>
      </c>
      <c r="O1885" s="18" t="s">
        <v>1534</v>
      </c>
      <c r="P1885" s="18" t="s">
        <v>3781</v>
      </c>
      <c r="Q1885" s="6" t="s">
        <v>4475</v>
      </c>
      <c r="T1885" s="23">
        <v>45873</v>
      </c>
      <c r="U1885" s="23">
        <v>46786</v>
      </c>
      <c r="X1885" s="20">
        <v>1960</v>
      </c>
      <c r="Z1885" s="6" t="s">
        <v>5978</v>
      </c>
      <c r="AA1885" s="14">
        <f t="shared" si="246"/>
        <v>5.9999999999999995E-4</v>
      </c>
      <c r="AB1885">
        <v>0.80108400000000002</v>
      </c>
      <c r="AC1885">
        <v>0.83312736000000009</v>
      </c>
    </row>
    <row r="1886" spans="1:29" x14ac:dyDescent="0.3">
      <c r="A1886">
        <v>147308</v>
      </c>
      <c r="B1886" s="25" t="s">
        <v>5984</v>
      </c>
      <c r="C1886" t="s">
        <v>20</v>
      </c>
      <c r="D1886" t="s">
        <v>21</v>
      </c>
      <c r="E1886">
        <v>2222222</v>
      </c>
      <c r="F1886" s="8" t="s">
        <v>22</v>
      </c>
      <c r="G1886" s="2">
        <v>98</v>
      </c>
      <c r="H1886" t="s">
        <v>4184</v>
      </c>
      <c r="J1886" s="9" t="s">
        <v>5322</v>
      </c>
      <c r="K1886" t="s">
        <v>4848</v>
      </c>
      <c r="L1886" s="2">
        <v>1</v>
      </c>
      <c r="M1886" s="24" t="s">
        <v>5971</v>
      </c>
      <c r="N1886" s="2" t="s">
        <v>23</v>
      </c>
      <c r="O1886" s="18" t="s">
        <v>462</v>
      </c>
      <c r="P1886" s="18" t="s">
        <v>0</v>
      </c>
      <c r="Q1886" s="6" t="s">
        <v>4475</v>
      </c>
      <c r="T1886" s="23">
        <v>45881</v>
      </c>
      <c r="U1886" s="23">
        <v>46610</v>
      </c>
      <c r="X1886" s="20">
        <v>1850</v>
      </c>
      <c r="Z1886" s="6" t="s">
        <v>5978</v>
      </c>
      <c r="AA1886" s="14">
        <f t="shared" si="246"/>
        <v>5.9999999999999995E-4</v>
      </c>
      <c r="AB1886">
        <v>0.81726599999999983</v>
      </c>
      <c r="AC1886">
        <v>0.84995663999999982</v>
      </c>
    </row>
    <row r="1887" spans="1:29" x14ac:dyDescent="0.3">
      <c r="A1887">
        <v>147482</v>
      </c>
      <c r="B1887" s="25" t="s">
        <v>5984</v>
      </c>
      <c r="C1887" t="s">
        <v>20</v>
      </c>
      <c r="D1887" t="s">
        <v>21</v>
      </c>
      <c r="E1887">
        <v>2222222</v>
      </c>
      <c r="F1887" s="8" t="s">
        <v>22</v>
      </c>
      <c r="G1887" s="2">
        <v>98</v>
      </c>
      <c r="H1887" t="s">
        <v>4184</v>
      </c>
      <c r="J1887" s="9" t="s">
        <v>4779</v>
      </c>
      <c r="K1887" t="s">
        <v>5174</v>
      </c>
      <c r="L1887" s="2">
        <v>1</v>
      </c>
      <c r="M1887" s="24" t="s">
        <v>5971</v>
      </c>
      <c r="N1887" s="2" t="s">
        <v>23</v>
      </c>
      <c r="O1887" s="18" t="s">
        <v>1535</v>
      </c>
      <c r="P1887" s="18" t="s">
        <v>0</v>
      </c>
      <c r="Q1887" s="6" t="s">
        <v>4475</v>
      </c>
      <c r="T1887" s="23">
        <v>45937</v>
      </c>
      <c r="U1887" s="23">
        <v>46302</v>
      </c>
      <c r="X1887" s="20">
        <v>1000</v>
      </c>
      <c r="Z1887" s="6" t="s">
        <v>5978</v>
      </c>
      <c r="AA1887" s="14">
        <f t="shared" si="246"/>
        <v>5.9999999999999995E-4</v>
      </c>
      <c r="AB1887">
        <v>0.15934799999999999</v>
      </c>
      <c r="AC1887">
        <v>0.16572191999999999</v>
      </c>
    </row>
    <row r="1888" spans="1:29" x14ac:dyDescent="0.3">
      <c r="A1888">
        <v>147985</v>
      </c>
      <c r="B1888" s="25" t="s">
        <v>5984</v>
      </c>
      <c r="C1888" t="s">
        <v>20</v>
      </c>
      <c r="D1888" t="s">
        <v>21</v>
      </c>
      <c r="E1888">
        <v>2222222</v>
      </c>
      <c r="F1888" s="8" t="s">
        <v>22</v>
      </c>
      <c r="G1888" s="2">
        <v>98</v>
      </c>
      <c r="H1888" t="s">
        <v>4184</v>
      </c>
      <c r="J1888" s="9" t="s">
        <v>5090</v>
      </c>
      <c r="K1888" t="s">
        <v>4999</v>
      </c>
      <c r="L1888" s="2">
        <v>1</v>
      </c>
      <c r="M1888" s="24" t="s">
        <v>5971</v>
      </c>
      <c r="N1888" s="2" t="s">
        <v>23</v>
      </c>
      <c r="O1888" s="18" t="s">
        <v>1536</v>
      </c>
      <c r="P1888" s="18" t="s">
        <v>3781</v>
      </c>
      <c r="Q1888" s="6" t="s">
        <v>4475</v>
      </c>
      <c r="T1888" s="23">
        <v>45938</v>
      </c>
      <c r="U1888" s="23">
        <v>47763</v>
      </c>
      <c r="X1888" s="20">
        <v>20000</v>
      </c>
      <c r="Z1888" s="6" t="s">
        <v>5978</v>
      </c>
      <c r="AA1888" s="14">
        <f t="shared" si="246"/>
        <v>5.9999999999999995E-4</v>
      </c>
      <c r="AB1888">
        <v>10.621763999999999</v>
      </c>
      <c r="AC1888">
        <v>11.046634559999999</v>
      </c>
    </row>
    <row r="1889" spans="1:29" x14ac:dyDescent="0.3">
      <c r="A1889">
        <v>148028</v>
      </c>
      <c r="B1889" s="25" t="s">
        <v>5984</v>
      </c>
      <c r="C1889" t="s">
        <v>20</v>
      </c>
      <c r="D1889" t="s">
        <v>21</v>
      </c>
      <c r="E1889">
        <v>2222222</v>
      </c>
      <c r="F1889" s="8" t="s">
        <v>22</v>
      </c>
      <c r="G1889" s="2">
        <v>98</v>
      </c>
      <c r="H1889" t="s">
        <v>4184</v>
      </c>
      <c r="J1889" s="9" t="s">
        <v>4836</v>
      </c>
      <c r="K1889" t="s">
        <v>4858</v>
      </c>
      <c r="L1889" s="2">
        <v>1</v>
      </c>
      <c r="M1889" s="24" t="s">
        <v>5971</v>
      </c>
      <c r="N1889" s="2" t="s">
        <v>23</v>
      </c>
      <c r="O1889" s="18" t="s">
        <v>1537</v>
      </c>
      <c r="P1889" s="18" t="s">
        <v>3781</v>
      </c>
      <c r="Q1889" s="6" t="s">
        <v>4475</v>
      </c>
      <c r="T1889" s="23">
        <v>45930</v>
      </c>
      <c r="U1889" s="23">
        <v>46938</v>
      </c>
      <c r="X1889" s="20">
        <v>4750</v>
      </c>
      <c r="Z1889" s="6" t="s">
        <v>5978</v>
      </c>
      <c r="AA1889" s="14">
        <f t="shared" si="246"/>
        <v>5.9999999999999995E-4</v>
      </c>
      <c r="AB1889">
        <v>2.2051919999999998</v>
      </c>
      <c r="AC1889">
        <v>2.2933996799999998</v>
      </c>
    </row>
    <row r="1890" spans="1:29" x14ac:dyDescent="0.3">
      <c r="A1890">
        <v>148340</v>
      </c>
      <c r="B1890" s="25" t="s">
        <v>5984</v>
      </c>
      <c r="C1890" t="s">
        <v>20</v>
      </c>
      <c r="D1890" t="s">
        <v>21</v>
      </c>
      <c r="E1890">
        <v>2222222</v>
      </c>
      <c r="F1890" s="8" t="s">
        <v>22</v>
      </c>
      <c r="G1890" s="2">
        <v>98</v>
      </c>
      <c r="H1890" t="s">
        <v>4184</v>
      </c>
      <c r="J1890" s="9" t="s">
        <v>5554</v>
      </c>
      <c r="K1890" t="s">
        <v>4863</v>
      </c>
      <c r="L1890" s="2">
        <v>1</v>
      </c>
      <c r="M1890" s="24" t="s">
        <v>5971</v>
      </c>
      <c r="N1890" s="2" t="s">
        <v>23</v>
      </c>
      <c r="O1890" s="18" t="s">
        <v>1538</v>
      </c>
      <c r="P1890" s="18" t="s">
        <v>3781</v>
      </c>
      <c r="Q1890" s="6" t="s">
        <v>4475</v>
      </c>
      <c r="T1890" s="23">
        <v>45954</v>
      </c>
      <c r="U1890" s="23">
        <v>47050</v>
      </c>
      <c r="X1890" s="20">
        <v>8000</v>
      </c>
      <c r="Z1890" s="6" t="s">
        <v>5978</v>
      </c>
      <c r="AA1890" s="14">
        <f t="shared" si="246"/>
        <v>5.9999999999999995E-4</v>
      </c>
      <c r="AB1890">
        <v>3.7800779999999996</v>
      </c>
      <c r="AC1890">
        <v>3.9312811199999995</v>
      </c>
    </row>
    <row r="1891" spans="1:29" x14ac:dyDescent="0.3">
      <c r="A1891">
        <v>148451</v>
      </c>
      <c r="B1891" s="25" t="s">
        <v>5984</v>
      </c>
      <c r="C1891" t="s">
        <v>20</v>
      </c>
      <c r="D1891" t="s">
        <v>21</v>
      </c>
      <c r="E1891">
        <v>2222222</v>
      </c>
      <c r="F1891" s="8" t="s">
        <v>22</v>
      </c>
      <c r="G1891" s="2">
        <v>98</v>
      </c>
      <c r="H1891" t="s">
        <v>4184</v>
      </c>
      <c r="J1891" s="9" t="s">
        <v>4914</v>
      </c>
      <c r="K1891" t="s">
        <v>5075</v>
      </c>
      <c r="L1891" s="2">
        <v>1</v>
      </c>
      <c r="M1891" s="24" t="s">
        <v>5971</v>
      </c>
      <c r="N1891" s="2" t="s">
        <v>23</v>
      </c>
      <c r="O1891" s="18" t="s">
        <v>1539</v>
      </c>
      <c r="P1891" s="18" t="s">
        <v>3781</v>
      </c>
      <c r="Q1891" s="6" t="s">
        <v>4475</v>
      </c>
      <c r="T1891" s="23">
        <v>45961</v>
      </c>
      <c r="U1891" s="23">
        <v>47786</v>
      </c>
      <c r="X1891" s="20">
        <v>5000</v>
      </c>
      <c r="Z1891" s="6" t="s">
        <v>5978</v>
      </c>
      <c r="AA1891" s="14">
        <f t="shared" si="246"/>
        <v>5.9999999999999995E-4</v>
      </c>
      <c r="AB1891">
        <v>2.7233219999999996</v>
      </c>
      <c r="AC1891">
        <v>2.8322548799999998</v>
      </c>
    </row>
    <row r="1892" spans="1:29" x14ac:dyDescent="0.3">
      <c r="A1892">
        <v>148823</v>
      </c>
      <c r="B1892" s="25" t="s">
        <v>5984</v>
      </c>
      <c r="C1892" t="s">
        <v>20</v>
      </c>
      <c r="D1892" t="s">
        <v>21</v>
      </c>
      <c r="E1892">
        <v>2222222</v>
      </c>
      <c r="F1892" s="8" t="s">
        <v>22</v>
      </c>
      <c r="G1892" s="2">
        <v>98</v>
      </c>
      <c r="H1892" t="s">
        <v>4184</v>
      </c>
      <c r="J1892" s="9" t="s">
        <v>5550</v>
      </c>
      <c r="K1892" t="s">
        <v>4926</v>
      </c>
      <c r="L1892" s="2">
        <v>1</v>
      </c>
      <c r="M1892" s="24" t="s">
        <v>5971</v>
      </c>
      <c r="N1892" s="2" t="s">
        <v>23</v>
      </c>
      <c r="O1892" s="18" t="s">
        <v>735</v>
      </c>
      <c r="P1892" s="18" t="s">
        <v>3781</v>
      </c>
      <c r="Q1892" s="6" t="s">
        <v>4475</v>
      </c>
      <c r="T1892" s="23">
        <v>45981</v>
      </c>
      <c r="U1892" s="23">
        <v>47442</v>
      </c>
      <c r="X1892" s="20">
        <v>5000</v>
      </c>
      <c r="Z1892" s="6" t="s">
        <v>5978</v>
      </c>
      <c r="AA1892" s="14">
        <f t="shared" si="246"/>
        <v>5.9999999999999995E-4</v>
      </c>
      <c r="AB1892">
        <v>2.6842739999999998</v>
      </c>
      <c r="AC1892">
        <v>2.7916449599999997</v>
      </c>
    </row>
    <row r="1893" spans="1:29" x14ac:dyDescent="0.3">
      <c r="A1893">
        <v>148838</v>
      </c>
      <c r="B1893" s="25" t="s">
        <v>5984</v>
      </c>
      <c r="C1893" t="s">
        <v>20</v>
      </c>
      <c r="D1893" t="s">
        <v>21</v>
      </c>
      <c r="E1893">
        <v>2222222</v>
      </c>
      <c r="F1893" s="8" t="s">
        <v>22</v>
      </c>
      <c r="G1893" s="2">
        <v>98</v>
      </c>
      <c r="H1893" t="s">
        <v>4184</v>
      </c>
      <c r="J1893" s="9" t="s">
        <v>4916</v>
      </c>
      <c r="K1893" t="s">
        <v>5165</v>
      </c>
      <c r="L1893" s="2">
        <v>1</v>
      </c>
      <c r="M1893" s="24" t="s">
        <v>5971</v>
      </c>
      <c r="N1893" s="2" t="s">
        <v>23</v>
      </c>
      <c r="O1893" s="18" t="s">
        <v>1540</v>
      </c>
      <c r="P1893" s="18" t="s">
        <v>3781</v>
      </c>
      <c r="Q1893" s="6" t="s">
        <v>4475</v>
      </c>
      <c r="T1893" s="23">
        <v>45981</v>
      </c>
      <c r="U1893" s="23">
        <v>46711</v>
      </c>
      <c r="X1893" s="20">
        <v>1500</v>
      </c>
      <c r="Z1893" s="6" t="s">
        <v>5978</v>
      </c>
      <c r="AA1893" s="14">
        <f t="shared" si="246"/>
        <v>5.9999999999999995E-4</v>
      </c>
      <c r="AB1893">
        <v>0.63300599999999996</v>
      </c>
      <c r="AC1893">
        <v>0.65832623999999995</v>
      </c>
    </row>
    <row r="1894" spans="1:29" x14ac:dyDescent="0.3">
      <c r="A1894">
        <v>148893</v>
      </c>
      <c r="B1894" s="25" t="s">
        <v>5984</v>
      </c>
      <c r="C1894" t="s">
        <v>20</v>
      </c>
      <c r="D1894" t="s">
        <v>21</v>
      </c>
      <c r="E1894">
        <v>2222222</v>
      </c>
      <c r="F1894" s="8" t="s">
        <v>22</v>
      </c>
      <c r="G1894" s="2">
        <v>98</v>
      </c>
      <c r="H1894" t="s">
        <v>4184</v>
      </c>
      <c r="J1894" s="9" t="s">
        <v>5134</v>
      </c>
      <c r="K1894" t="s">
        <v>4844</v>
      </c>
      <c r="L1894" s="2">
        <v>1</v>
      </c>
      <c r="M1894" s="24" t="s">
        <v>5971</v>
      </c>
      <c r="N1894" s="2" t="s">
        <v>23</v>
      </c>
      <c r="O1894" s="18" t="s">
        <v>1541</v>
      </c>
      <c r="P1894" s="18" t="s">
        <v>0</v>
      </c>
      <c r="Q1894" s="6" t="s">
        <v>4475</v>
      </c>
      <c r="T1894" s="23">
        <v>45990</v>
      </c>
      <c r="U1894" s="23">
        <v>46720</v>
      </c>
      <c r="X1894" s="20">
        <v>2000</v>
      </c>
      <c r="Z1894" s="6" t="s">
        <v>5978</v>
      </c>
      <c r="AA1894" s="14">
        <f t="shared" si="246"/>
        <v>5.9999999999999995E-4</v>
      </c>
      <c r="AB1894">
        <v>0.84395399999999987</v>
      </c>
      <c r="AC1894">
        <v>0.87771215999999985</v>
      </c>
    </row>
    <row r="1895" spans="1:29" x14ac:dyDescent="0.3">
      <c r="A1895">
        <v>149007</v>
      </c>
      <c r="B1895" s="25" t="s">
        <v>5984</v>
      </c>
      <c r="C1895" t="s">
        <v>20</v>
      </c>
      <c r="D1895" t="s">
        <v>21</v>
      </c>
      <c r="E1895">
        <v>2222222</v>
      </c>
      <c r="F1895" s="8" t="s">
        <v>22</v>
      </c>
      <c r="G1895" s="2">
        <v>98</v>
      </c>
      <c r="H1895" t="s">
        <v>4184</v>
      </c>
      <c r="J1895" s="9" t="s">
        <v>5549</v>
      </c>
      <c r="K1895" t="s">
        <v>4992</v>
      </c>
      <c r="L1895" s="2">
        <v>1</v>
      </c>
      <c r="M1895" s="24" t="s">
        <v>5971</v>
      </c>
      <c r="N1895" s="2" t="s">
        <v>23</v>
      </c>
      <c r="O1895" s="18" t="s">
        <v>1505</v>
      </c>
      <c r="P1895" s="18" t="s">
        <v>3781</v>
      </c>
      <c r="Q1895" s="6" t="s">
        <v>4475</v>
      </c>
      <c r="T1895" s="23">
        <v>45993</v>
      </c>
      <c r="U1895" s="23">
        <v>46910</v>
      </c>
      <c r="X1895" s="20">
        <v>4000</v>
      </c>
      <c r="Z1895" s="6" t="s">
        <v>5978</v>
      </c>
      <c r="AA1895" s="14">
        <f t="shared" si="246"/>
        <v>5.9999999999999995E-4</v>
      </c>
      <c r="AB1895">
        <v>1.9259219999999997</v>
      </c>
      <c r="AC1895">
        <v>2.0029588799999996</v>
      </c>
    </row>
    <row r="1896" spans="1:29" x14ac:dyDescent="0.3">
      <c r="A1896">
        <v>149163</v>
      </c>
      <c r="B1896" s="25" t="s">
        <v>5984</v>
      </c>
      <c r="C1896" t="s">
        <v>20</v>
      </c>
      <c r="D1896" t="s">
        <v>21</v>
      </c>
      <c r="E1896">
        <v>2222222</v>
      </c>
      <c r="F1896" s="8" t="s">
        <v>22</v>
      </c>
      <c r="G1896" s="2">
        <v>98</v>
      </c>
      <c r="H1896" t="s">
        <v>4184</v>
      </c>
      <c r="J1896" s="9" t="s">
        <v>5060</v>
      </c>
      <c r="K1896" t="s">
        <v>4863</v>
      </c>
      <c r="L1896" s="2">
        <v>1</v>
      </c>
      <c r="M1896" s="24" t="s">
        <v>5971</v>
      </c>
      <c r="N1896" s="2" t="s">
        <v>23</v>
      </c>
      <c r="O1896" s="18" t="s">
        <v>1542</v>
      </c>
      <c r="P1896" s="18" t="s">
        <v>3781</v>
      </c>
      <c r="Q1896" s="6" t="s">
        <v>4475</v>
      </c>
      <c r="T1896" s="23">
        <v>46002</v>
      </c>
      <c r="U1896" s="23">
        <v>47462</v>
      </c>
      <c r="X1896" s="20">
        <v>5000</v>
      </c>
      <c r="Z1896" s="6" t="s">
        <v>5978</v>
      </c>
      <c r="AA1896" s="14">
        <f t="shared" si="246"/>
        <v>5.9999999999999995E-4</v>
      </c>
      <c r="AB1896">
        <v>2.6583719999999995</v>
      </c>
      <c r="AC1896">
        <v>2.7647068799999994</v>
      </c>
    </row>
    <row r="1897" spans="1:29" x14ac:dyDescent="0.3">
      <c r="A1897">
        <v>149209</v>
      </c>
      <c r="B1897" s="25" t="s">
        <v>5984</v>
      </c>
      <c r="C1897" t="s">
        <v>20</v>
      </c>
      <c r="D1897" t="s">
        <v>21</v>
      </c>
      <c r="E1897">
        <v>2222222</v>
      </c>
      <c r="F1897" s="8" t="s">
        <v>22</v>
      </c>
      <c r="G1897" s="2">
        <v>98</v>
      </c>
      <c r="H1897" t="s">
        <v>4184</v>
      </c>
      <c r="J1897" s="9" t="s">
        <v>4815</v>
      </c>
      <c r="K1897" t="s">
        <v>4852</v>
      </c>
      <c r="L1897" s="2">
        <v>1</v>
      </c>
      <c r="M1897" s="24" t="s">
        <v>5971</v>
      </c>
      <c r="N1897" s="2" t="s">
        <v>23</v>
      </c>
      <c r="O1897" s="18" t="s">
        <v>1543</v>
      </c>
      <c r="P1897" s="18" t="s">
        <v>0</v>
      </c>
      <c r="Q1897" s="6" t="s">
        <v>4475</v>
      </c>
      <c r="T1897" s="23">
        <v>46005</v>
      </c>
      <c r="U1897" s="23">
        <v>47467</v>
      </c>
      <c r="X1897" s="20">
        <v>4000</v>
      </c>
      <c r="Z1897" s="6" t="s">
        <v>5978</v>
      </c>
      <c r="AA1897" s="14">
        <f t="shared" si="246"/>
        <v>5.9999999999999995E-4</v>
      </c>
      <c r="AB1897">
        <v>2.1461999999999999</v>
      </c>
      <c r="AC1897">
        <v>2.2320479999999998</v>
      </c>
    </row>
    <row r="1898" spans="1:29" x14ac:dyDescent="0.3">
      <c r="A1898">
        <v>149229</v>
      </c>
      <c r="B1898" s="25" t="s">
        <v>5984</v>
      </c>
      <c r="C1898" t="s">
        <v>20</v>
      </c>
      <c r="D1898" t="s">
        <v>21</v>
      </c>
      <c r="E1898">
        <v>2222222</v>
      </c>
      <c r="F1898" s="8" t="s">
        <v>22</v>
      </c>
      <c r="G1898" s="2">
        <v>98</v>
      </c>
      <c r="H1898" t="s">
        <v>4184</v>
      </c>
      <c r="J1898" s="9" t="s">
        <v>4889</v>
      </c>
      <c r="K1898" t="s">
        <v>5181</v>
      </c>
      <c r="L1898" s="2">
        <v>1</v>
      </c>
      <c r="M1898" s="24" t="s">
        <v>5971</v>
      </c>
      <c r="N1898" s="2" t="s">
        <v>23</v>
      </c>
      <c r="O1898" s="18" t="s">
        <v>1287</v>
      </c>
      <c r="P1898" s="18" t="s">
        <v>3781</v>
      </c>
      <c r="Q1898" s="6" t="s">
        <v>4475</v>
      </c>
      <c r="T1898" s="23">
        <v>46007</v>
      </c>
      <c r="U1898" s="23">
        <v>46371</v>
      </c>
      <c r="X1898" s="20">
        <v>860</v>
      </c>
      <c r="Z1898" s="6" t="s">
        <v>5978</v>
      </c>
      <c r="AA1898" s="14">
        <f t="shared" si="246"/>
        <v>5.9999999999999995E-4</v>
      </c>
      <c r="AB1898">
        <v>0.22595399999999996</v>
      </c>
      <c r="AC1898">
        <v>0.23499215999999998</v>
      </c>
    </row>
    <row r="1899" spans="1:29" x14ac:dyDescent="0.3">
      <c r="A1899">
        <v>149287</v>
      </c>
      <c r="B1899" s="25" t="s">
        <v>5984</v>
      </c>
      <c r="C1899" t="s">
        <v>20</v>
      </c>
      <c r="D1899" t="s">
        <v>21</v>
      </c>
      <c r="E1899">
        <v>2222222</v>
      </c>
      <c r="F1899" s="8" t="s">
        <v>22</v>
      </c>
      <c r="G1899" s="2">
        <v>98</v>
      </c>
      <c r="H1899" t="s">
        <v>4184</v>
      </c>
      <c r="J1899" s="9" t="s">
        <v>4900</v>
      </c>
      <c r="K1899" t="s">
        <v>4901</v>
      </c>
      <c r="L1899" s="2">
        <v>1</v>
      </c>
      <c r="M1899" s="24" t="s">
        <v>5971</v>
      </c>
      <c r="N1899" s="2" t="s">
        <v>23</v>
      </c>
      <c r="O1899" s="18" t="s">
        <v>1544</v>
      </c>
      <c r="P1899" s="18" t="s">
        <v>0</v>
      </c>
      <c r="Q1899" s="6" t="s">
        <v>4475</v>
      </c>
      <c r="T1899" s="23">
        <v>46010</v>
      </c>
      <c r="U1899" s="23">
        <v>46561</v>
      </c>
      <c r="X1899" s="20">
        <v>1700</v>
      </c>
      <c r="Z1899" s="6" t="s">
        <v>5978</v>
      </c>
      <c r="AA1899" s="14">
        <f t="shared" si="246"/>
        <v>5.9999999999999995E-4</v>
      </c>
      <c r="AB1899">
        <v>0.65495999999999988</v>
      </c>
      <c r="AC1899">
        <v>0.68115839999999994</v>
      </c>
    </row>
    <row r="1900" spans="1:29" x14ac:dyDescent="0.3">
      <c r="A1900">
        <v>149486</v>
      </c>
      <c r="B1900" s="25" t="s">
        <v>5984</v>
      </c>
      <c r="C1900" t="s">
        <v>20</v>
      </c>
      <c r="D1900" t="s">
        <v>21</v>
      </c>
      <c r="E1900">
        <v>2222222</v>
      </c>
      <c r="F1900" s="8" t="s">
        <v>22</v>
      </c>
      <c r="G1900" s="2">
        <v>98</v>
      </c>
      <c r="H1900" t="s">
        <v>4184</v>
      </c>
      <c r="J1900" s="9" t="s">
        <v>4830</v>
      </c>
      <c r="K1900" t="s">
        <v>4887</v>
      </c>
      <c r="L1900" s="2">
        <v>1</v>
      </c>
      <c r="M1900" s="24" t="s">
        <v>5971</v>
      </c>
      <c r="N1900" s="2" t="s">
        <v>23</v>
      </c>
      <c r="O1900" s="18" t="s">
        <v>1545</v>
      </c>
      <c r="P1900" s="18" t="s">
        <v>3781</v>
      </c>
      <c r="Q1900" s="6" t="s">
        <v>4475</v>
      </c>
      <c r="T1900" s="23">
        <v>46029</v>
      </c>
      <c r="U1900" s="23">
        <v>46758</v>
      </c>
      <c r="X1900" s="20">
        <v>5000</v>
      </c>
      <c r="Z1900" s="6" t="s">
        <v>5978</v>
      </c>
      <c r="AA1900" s="14">
        <f t="shared" si="246"/>
        <v>5.9999999999999995E-4</v>
      </c>
      <c r="AB1900">
        <v>2.3447639999999996</v>
      </c>
      <c r="AC1900">
        <v>2.4385545599999996</v>
      </c>
    </row>
    <row r="1901" spans="1:29" x14ac:dyDescent="0.3">
      <c r="A1901">
        <v>149513</v>
      </c>
      <c r="B1901" s="25" t="s">
        <v>5984</v>
      </c>
      <c r="C1901" t="s">
        <v>20</v>
      </c>
      <c r="D1901" t="s">
        <v>21</v>
      </c>
      <c r="E1901">
        <v>2222222</v>
      </c>
      <c r="F1901" s="8" t="s">
        <v>22</v>
      </c>
      <c r="G1901" s="2">
        <v>98</v>
      </c>
      <c r="H1901" t="s">
        <v>4184</v>
      </c>
      <c r="J1901" s="9" t="s">
        <v>5096</v>
      </c>
      <c r="K1901" t="s">
        <v>5166</v>
      </c>
      <c r="L1901" s="2">
        <v>1</v>
      </c>
      <c r="M1901" s="24" t="s">
        <v>5971</v>
      </c>
      <c r="N1901" s="2" t="s">
        <v>23</v>
      </c>
      <c r="O1901" s="18" t="s">
        <v>1546</v>
      </c>
      <c r="P1901" s="18" t="s">
        <v>3781</v>
      </c>
      <c r="Q1901" s="6" t="s">
        <v>4475</v>
      </c>
      <c r="T1901" s="23">
        <v>46030</v>
      </c>
      <c r="U1901" s="23">
        <v>46790</v>
      </c>
      <c r="X1901" s="20">
        <v>2000</v>
      </c>
      <c r="Z1901" s="6" t="s">
        <v>5978</v>
      </c>
      <c r="AA1901" s="14">
        <f t="shared" si="246"/>
        <v>5.9999999999999995E-4</v>
      </c>
      <c r="AB1901">
        <v>0.9482759999999999</v>
      </c>
      <c r="AC1901">
        <v>0.98620703999999992</v>
      </c>
    </row>
    <row r="1902" spans="1:29" x14ac:dyDescent="0.3">
      <c r="A1902">
        <v>149559</v>
      </c>
      <c r="B1902" s="25" t="s">
        <v>5984</v>
      </c>
      <c r="C1902" t="s">
        <v>20</v>
      </c>
      <c r="D1902" t="s">
        <v>21</v>
      </c>
      <c r="E1902">
        <v>2222222</v>
      </c>
      <c r="F1902" s="8" t="s">
        <v>22</v>
      </c>
      <c r="G1902" s="2">
        <v>98</v>
      </c>
      <c r="H1902" t="s">
        <v>4184</v>
      </c>
      <c r="J1902" s="9" t="s">
        <v>4981</v>
      </c>
      <c r="K1902" t="s">
        <v>5057</v>
      </c>
      <c r="L1902" s="2">
        <v>1</v>
      </c>
      <c r="M1902" s="24" t="s">
        <v>5971</v>
      </c>
      <c r="N1902" s="2" t="s">
        <v>23</v>
      </c>
      <c r="O1902" s="18" t="s">
        <v>1547</v>
      </c>
      <c r="P1902" s="18" t="s">
        <v>3781</v>
      </c>
      <c r="Q1902" s="6" t="s">
        <v>4475</v>
      </c>
      <c r="T1902" s="23">
        <v>46035</v>
      </c>
      <c r="U1902" s="23">
        <v>47131</v>
      </c>
      <c r="X1902" s="20">
        <v>5000</v>
      </c>
      <c r="Z1902" s="6" t="s">
        <v>5978</v>
      </c>
      <c r="AA1902" s="14">
        <f t="shared" si="246"/>
        <v>5.9999999999999995E-4</v>
      </c>
      <c r="AB1902">
        <v>2.6708819999999998</v>
      </c>
      <c r="AC1902">
        <v>2.7777172799999996</v>
      </c>
    </row>
    <row r="1903" spans="1:29" x14ac:dyDescent="0.3">
      <c r="A1903">
        <v>149589</v>
      </c>
      <c r="B1903" s="25" t="s">
        <v>5984</v>
      </c>
      <c r="C1903" t="s">
        <v>20</v>
      </c>
      <c r="D1903" t="s">
        <v>21</v>
      </c>
      <c r="E1903">
        <v>2222222</v>
      </c>
      <c r="F1903" s="8" t="s">
        <v>22</v>
      </c>
      <c r="G1903" s="2">
        <v>98</v>
      </c>
      <c r="H1903" t="s">
        <v>4184</v>
      </c>
      <c r="J1903" s="9" t="s">
        <v>4929</v>
      </c>
      <c r="K1903" t="s">
        <v>4983</v>
      </c>
      <c r="L1903" s="2">
        <v>1</v>
      </c>
      <c r="M1903" s="24" t="s">
        <v>5971</v>
      </c>
      <c r="N1903" s="2" t="s">
        <v>23</v>
      </c>
      <c r="O1903" s="18" t="s">
        <v>1548</v>
      </c>
      <c r="P1903" s="18" t="s">
        <v>0</v>
      </c>
      <c r="Q1903" s="6" t="s">
        <v>4475</v>
      </c>
      <c r="T1903" s="23">
        <v>46035</v>
      </c>
      <c r="U1903" s="23">
        <v>46580</v>
      </c>
      <c r="X1903" s="20">
        <v>1300</v>
      </c>
      <c r="Z1903" s="6" t="s">
        <v>5978</v>
      </c>
      <c r="AA1903" s="14">
        <f t="shared" si="246"/>
        <v>5.9999999999999995E-4</v>
      </c>
      <c r="AB1903">
        <v>0.54098999999999997</v>
      </c>
      <c r="AC1903">
        <v>0.56262959999999995</v>
      </c>
    </row>
    <row r="1904" spans="1:29" x14ac:dyDescent="0.3">
      <c r="A1904">
        <v>149681</v>
      </c>
      <c r="B1904" s="25" t="s">
        <v>5984</v>
      </c>
      <c r="C1904" t="s">
        <v>20</v>
      </c>
      <c r="D1904" t="s">
        <v>21</v>
      </c>
      <c r="E1904">
        <v>2222222</v>
      </c>
      <c r="F1904" s="8" t="s">
        <v>22</v>
      </c>
      <c r="G1904" s="2">
        <v>98</v>
      </c>
      <c r="H1904" t="s">
        <v>4184</v>
      </c>
      <c r="J1904" s="9" t="s">
        <v>5147</v>
      </c>
      <c r="K1904" t="s">
        <v>5145</v>
      </c>
      <c r="L1904" s="2">
        <v>1</v>
      </c>
      <c r="M1904" s="24" t="s">
        <v>5971</v>
      </c>
      <c r="N1904" s="2" t="s">
        <v>23</v>
      </c>
      <c r="O1904" s="18" t="s">
        <v>1525</v>
      </c>
      <c r="P1904" s="18" t="s">
        <v>3781</v>
      </c>
      <c r="Q1904" s="6" t="s">
        <v>4475</v>
      </c>
      <c r="T1904" s="23">
        <v>46042</v>
      </c>
      <c r="U1904" s="23">
        <v>47137</v>
      </c>
      <c r="X1904" s="20">
        <v>4000</v>
      </c>
      <c r="Z1904" s="6" t="s">
        <v>5978</v>
      </c>
      <c r="AA1904" s="14">
        <f t="shared" si="246"/>
        <v>5.9999999999999995E-4</v>
      </c>
      <c r="AB1904">
        <v>2.077518</v>
      </c>
      <c r="AC1904">
        <v>2.16061872</v>
      </c>
    </row>
    <row r="1905" spans="1:29" x14ac:dyDescent="0.3">
      <c r="A1905">
        <v>149685</v>
      </c>
      <c r="B1905" s="25" t="s">
        <v>5984</v>
      </c>
      <c r="C1905" t="s">
        <v>20</v>
      </c>
      <c r="D1905" t="s">
        <v>21</v>
      </c>
      <c r="E1905">
        <v>2222222</v>
      </c>
      <c r="F1905" s="8" t="s">
        <v>22</v>
      </c>
      <c r="G1905" s="2">
        <v>98</v>
      </c>
      <c r="H1905" t="s">
        <v>4184</v>
      </c>
      <c r="J1905" s="9" t="s">
        <v>4892</v>
      </c>
      <c r="K1905" t="s">
        <v>5553</v>
      </c>
      <c r="L1905" s="2">
        <v>1</v>
      </c>
      <c r="M1905" s="24" t="s">
        <v>5971</v>
      </c>
      <c r="N1905" s="2" t="s">
        <v>23</v>
      </c>
      <c r="O1905" s="18" t="s">
        <v>1534</v>
      </c>
      <c r="P1905" s="18" t="s">
        <v>3781</v>
      </c>
      <c r="Q1905" s="6" t="s">
        <v>4475</v>
      </c>
      <c r="T1905" s="23">
        <v>46042</v>
      </c>
      <c r="U1905" s="23">
        <v>46406</v>
      </c>
      <c r="X1905" s="20">
        <v>620</v>
      </c>
      <c r="Z1905" s="6" t="s">
        <v>5978</v>
      </c>
      <c r="AA1905" s="14">
        <f t="shared" si="246"/>
        <v>5.9999999999999995E-4</v>
      </c>
      <c r="AB1905">
        <v>0.19134599999999999</v>
      </c>
      <c r="AC1905">
        <v>0.19899983999999998</v>
      </c>
    </row>
    <row r="1906" spans="1:29" x14ac:dyDescent="0.3">
      <c r="A1906">
        <v>149700</v>
      </c>
      <c r="B1906" s="25" t="s">
        <v>5984</v>
      </c>
      <c r="C1906" t="s">
        <v>20</v>
      </c>
      <c r="D1906" t="s">
        <v>21</v>
      </c>
      <c r="E1906">
        <v>2222222</v>
      </c>
      <c r="F1906" s="8" t="s">
        <v>22</v>
      </c>
      <c r="G1906" s="2">
        <v>98</v>
      </c>
      <c r="H1906" t="s">
        <v>4184</v>
      </c>
      <c r="J1906" s="9" t="s">
        <v>4911</v>
      </c>
      <c r="K1906" t="s">
        <v>5145</v>
      </c>
      <c r="L1906" s="2">
        <v>1</v>
      </c>
      <c r="M1906" s="24" t="s">
        <v>5971</v>
      </c>
      <c r="N1906" s="2" t="s">
        <v>23</v>
      </c>
      <c r="O1906" s="18" t="s">
        <v>1549</v>
      </c>
      <c r="P1906" s="18" t="s">
        <v>3781</v>
      </c>
      <c r="Q1906" s="6" t="s">
        <v>4475</v>
      </c>
      <c r="T1906" s="23">
        <v>46043</v>
      </c>
      <c r="U1906" s="23">
        <v>46772</v>
      </c>
      <c r="X1906" s="20">
        <v>2000</v>
      </c>
      <c r="Z1906" s="6" t="s">
        <v>5978</v>
      </c>
      <c r="AA1906" s="14">
        <f t="shared" si="246"/>
        <v>5.9999999999999995E-4</v>
      </c>
      <c r="AB1906">
        <v>0.93588599999999988</v>
      </c>
      <c r="AC1906">
        <v>0.97332143999999987</v>
      </c>
    </row>
    <row r="1907" spans="1:29" x14ac:dyDescent="0.3">
      <c r="A1907">
        <v>149904</v>
      </c>
      <c r="B1907" s="25" t="s">
        <v>5984</v>
      </c>
      <c r="C1907" t="s">
        <v>20</v>
      </c>
      <c r="D1907" t="s">
        <v>21</v>
      </c>
      <c r="E1907">
        <v>2222222</v>
      </c>
      <c r="F1907" s="8" t="s">
        <v>22</v>
      </c>
      <c r="G1907" s="2">
        <v>98</v>
      </c>
      <c r="H1907" t="s">
        <v>4184</v>
      </c>
      <c r="J1907" s="9" t="s">
        <v>5193</v>
      </c>
      <c r="K1907" t="s">
        <v>5270</v>
      </c>
      <c r="L1907" s="2">
        <v>1</v>
      </c>
      <c r="M1907" s="24" t="s">
        <v>5971</v>
      </c>
      <c r="N1907" s="2" t="s">
        <v>23</v>
      </c>
      <c r="O1907" s="18" t="s">
        <v>1550</v>
      </c>
      <c r="P1907" s="18" t="s">
        <v>0</v>
      </c>
      <c r="Q1907" s="6" t="s">
        <v>4475</v>
      </c>
      <c r="T1907" s="23">
        <v>46057</v>
      </c>
      <c r="U1907" s="23">
        <v>46971</v>
      </c>
      <c r="X1907" s="20">
        <v>20620</v>
      </c>
      <c r="Z1907" s="6" t="s">
        <v>5978</v>
      </c>
      <c r="AA1907" s="14">
        <f t="shared" si="246"/>
        <v>5.9999999999999995E-4</v>
      </c>
      <c r="AB1907">
        <v>10.620077999999999</v>
      </c>
      <c r="AC1907">
        <v>11.044881119999999</v>
      </c>
    </row>
    <row r="1908" spans="1:29" x14ac:dyDescent="0.3">
      <c r="A1908">
        <v>149920</v>
      </c>
      <c r="B1908" s="25" t="s">
        <v>5984</v>
      </c>
      <c r="C1908" t="s">
        <v>20</v>
      </c>
      <c r="D1908" t="s">
        <v>21</v>
      </c>
      <c r="E1908">
        <v>2222222</v>
      </c>
      <c r="F1908" s="8" t="s">
        <v>22</v>
      </c>
      <c r="G1908" s="2">
        <v>98</v>
      </c>
      <c r="H1908" t="s">
        <v>4184</v>
      </c>
      <c r="J1908" s="9" t="s">
        <v>4836</v>
      </c>
      <c r="K1908" t="s">
        <v>5075</v>
      </c>
      <c r="L1908" s="2">
        <v>1</v>
      </c>
      <c r="M1908" s="24" t="s">
        <v>5971</v>
      </c>
      <c r="N1908" s="2" t="s">
        <v>23</v>
      </c>
      <c r="O1908" s="18" t="s">
        <v>1551</v>
      </c>
      <c r="P1908" s="18" t="s">
        <v>3781</v>
      </c>
      <c r="Q1908" s="6" t="s">
        <v>4475</v>
      </c>
      <c r="T1908" s="23">
        <v>46058</v>
      </c>
      <c r="U1908" s="23">
        <v>47156</v>
      </c>
      <c r="X1908" s="20">
        <v>5000</v>
      </c>
      <c r="Z1908" s="6" t="s">
        <v>5978</v>
      </c>
      <c r="AA1908" s="14">
        <f t="shared" si="246"/>
        <v>5.9999999999999995E-4</v>
      </c>
      <c r="AB1908">
        <v>2.6740679999999997</v>
      </c>
      <c r="AC1908">
        <v>2.78103072</v>
      </c>
    </row>
    <row r="1909" spans="1:29" x14ac:dyDescent="0.3">
      <c r="A1909">
        <v>149922</v>
      </c>
      <c r="B1909" s="25" t="s">
        <v>5984</v>
      </c>
      <c r="C1909" t="s">
        <v>20</v>
      </c>
      <c r="D1909" t="s">
        <v>21</v>
      </c>
      <c r="E1909">
        <v>2222222</v>
      </c>
      <c r="F1909" s="8" t="s">
        <v>22</v>
      </c>
      <c r="G1909" s="2">
        <v>98</v>
      </c>
      <c r="H1909" t="s">
        <v>4184</v>
      </c>
      <c r="J1909" s="9" t="s">
        <v>4911</v>
      </c>
      <c r="K1909" t="s">
        <v>5081</v>
      </c>
      <c r="L1909" s="2">
        <v>1</v>
      </c>
      <c r="M1909" s="24" t="s">
        <v>5971</v>
      </c>
      <c r="N1909" s="2" t="s">
        <v>23</v>
      </c>
      <c r="O1909" s="18" t="s">
        <v>1552</v>
      </c>
      <c r="P1909" s="18" t="s">
        <v>3781</v>
      </c>
      <c r="Q1909" s="6" t="s">
        <v>4475</v>
      </c>
      <c r="T1909" s="23">
        <v>46058</v>
      </c>
      <c r="U1909" s="23">
        <v>46426</v>
      </c>
      <c r="X1909" s="20">
        <v>2100</v>
      </c>
      <c r="Z1909" s="6" t="s">
        <v>5978</v>
      </c>
      <c r="AA1909" s="14">
        <f t="shared" si="246"/>
        <v>5.9999999999999995E-4</v>
      </c>
      <c r="AB1909">
        <v>0.76100999999999985</v>
      </c>
      <c r="AC1909">
        <v>0.79145039999999989</v>
      </c>
    </row>
    <row r="1910" spans="1:29" x14ac:dyDescent="0.3">
      <c r="A1910">
        <v>149958</v>
      </c>
      <c r="B1910" s="25" t="s">
        <v>5984</v>
      </c>
      <c r="C1910" t="s">
        <v>20</v>
      </c>
      <c r="D1910" t="s">
        <v>21</v>
      </c>
      <c r="E1910">
        <v>2222222</v>
      </c>
      <c r="F1910" s="8" t="s">
        <v>22</v>
      </c>
      <c r="G1910" s="2">
        <v>98</v>
      </c>
      <c r="H1910" t="s">
        <v>4184</v>
      </c>
      <c r="J1910" s="9" t="s">
        <v>4838</v>
      </c>
      <c r="K1910" t="s">
        <v>4950</v>
      </c>
      <c r="L1910" s="2">
        <v>1</v>
      </c>
      <c r="M1910" s="24" t="s">
        <v>5971</v>
      </c>
      <c r="N1910" s="2" t="s">
        <v>23</v>
      </c>
      <c r="O1910" s="18" t="s">
        <v>1553</v>
      </c>
      <c r="P1910" s="18" t="s">
        <v>0</v>
      </c>
      <c r="Q1910" s="6" t="s">
        <v>4475</v>
      </c>
      <c r="T1910" s="23">
        <v>46062</v>
      </c>
      <c r="U1910" s="23">
        <v>46429</v>
      </c>
      <c r="X1910" s="20">
        <v>5000</v>
      </c>
      <c r="Z1910" s="6" t="s">
        <v>5978</v>
      </c>
      <c r="AA1910" s="14">
        <f t="shared" si="246"/>
        <v>5.9999999999999995E-4</v>
      </c>
      <c r="AB1910">
        <v>1.8155339999999998</v>
      </c>
      <c r="AC1910">
        <v>1.8881553599999998</v>
      </c>
    </row>
    <row r="1911" spans="1:29" x14ac:dyDescent="0.3">
      <c r="A1911">
        <v>150027</v>
      </c>
      <c r="B1911" s="25" t="s">
        <v>5984</v>
      </c>
      <c r="C1911" t="s">
        <v>20</v>
      </c>
      <c r="D1911" t="s">
        <v>21</v>
      </c>
      <c r="E1911">
        <v>2222222</v>
      </c>
      <c r="F1911" s="8" t="s">
        <v>22</v>
      </c>
      <c r="G1911" s="2">
        <v>98</v>
      </c>
      <c r="H1911" t="s">
        <v>4184</v>
      </c>
      <c r="J1911" s="9" t="s">
        <v>4909</v>
      </c>
      <c r="K1911" t="s">
        <v>5555</v>
      </c>
      <c r="L1911" s="2">
        <v>1</v>
      </c>
      <c r="M1911" s="24" t="s">
        <v>5971</v>
      </c>
      <c r="N1911" s="2" t="s">
        <v>23</v>
      </c>
      <c r="O1911" s="18" t="s">
        <v>1554</v>
      </c>
      <c r="P1911" s="18" t="s">
        <v>3781</v>
      </c>
      <c r="Q1911" s="6" t="s">
        <v>4475</v>
      </c>
      <c r="T1911" s="23">
        <v>46072</v>
      </c>
      <c r="U1911" s="23">
        <v>47170</v>
      </c>
      <c r="X1911" s="20">
        <v>4000</v>
      </c>
      <c r="Z1911" s="6" t="s">
        <v>5978</v>
      </c>
      <c r="AA1911" s="14">
        <f t="shared" si="246"/>
        <v>5.9999999999999995E-4</v>
      </c>
      <c r="AB1911">
        <v>2.1903599999999996</v>
      </c>
      <c r="AC1911">
        <v>2.2779743999999997</v>
      </c>
    </row>
    <row r="1912" spans="1:29" x14ac:dyDescent="0.3">
      <c r="A1912">
        <v>150032</v>
      </c>
      <c r="B1912" s="25" t="s">
        <v>5984</v>
      </c>
      <c r="C1912" t="s">
        <v>20</v>
      </c>
      <c r="D1912" t="s">
        <v>21</v>
      </c>
      <c r="E1912">
        <v>2222222</v>
      </c>
      <c r="F1912" s="8" t="s">
        <v>22</v>
      </c>
      <c r="G1912" s="2">
        <v>98</v>
      </c>
      <c r="H1912" t="s">
        <v>4184</v>
      </c>
      <c r="J1912" s="9" t="s">
        <v>4998</v>
      </c>
      <c r="K1912" t="s">
        <v>5556</v>
      </c>
      <c r="L1912" s="2">
        <v>1</v>
      </c>
      <c r="M1912" s="24" t="s">
        <v>5971</v>
      </c>
      <c r="N1912" s="2" t="s">
        <v>23</v>
      </c>
      <c r="O1912" s="18" t="s">
        <v>1555</v>
      </c>
      <c r="P1912" s="18" t="s">
        <v>3781</v>
      </c>
      <c r="Q1912" s="6" t="s">
        <v>4475</v>
      </c>
      <c r="T1912" s="23">
        <v>46065</v>
      </c>
      <c r="U1912" s="23">
        <v>47528</v>
      </c>
      <c r="X1912" s="20">
        <v>5000</v>
      </c>
      <c r="Z1912" s="6" t="s">
        <v>5978</v>
      </c>
      <c r="AA1912" s="14">
        <f t="shared" si="246"/>
        <v>5.9999999999999995E-4</v>
      </c>
      <c r="AB1912">
        <v>2.7787860000000002</v>
      </c>
      <c r="AC1912">
        <v>2.8899374400000002</v>
      </c>
    </row>
    <row r="1913" spans="1:29" x14ac:dyDescent="0.3">
      <c r="A1913">
        <v>150041</v>
      </c>
      <c r="B1913" s="25" t="s">
        <v>5984</v>
      </c>
      <c r="C1913" t="s">
        <v>20</v>
      </c>
      <c r="D1913" t="s">
        <v>21</v>
      </c>
      <c r="E1913">
        <v>2222222</v>
      </c>
      <c r="F1913" s="8" t="s">
        <v>22</v>
      </c>
      <c r="G1913" s="2">
        <v>98</v>
      </c>
      <c r="H1913" t="s">
        <v>4184</v>
      </c>
      <c r="J1913" s="9" t="s">
        <v>5541</v>
      </c>
      <c r="K1913" t="s">
        <v>4861</v>
      </c>
      <c r="L1913" s="2">
        <v>1</v>
      </c>
      <c r="M1913" s="24" t="s">
        <v>5971</v>
      </c>
      <c r="N1913" s="2" t="s">
        <v>23</v>
      </c>
      <c r="O1913" s="18" t="s">
        <v>1556</v>
      </c>
      <c r="P1913" s="18" t="s">
        <v>3781</v>
      </c>
      <c r="Q1913" s="6" t="s">
        <v>4475</v>
      </c>
      <c r="T1913" s="23">
        <v>46073</v>
      </c>
      <c r="U1913" s="23">
        <v>48632</v>
      </c>
      <c r="X1913" s="20">
        <v>11400</v>
      </c>
      <c r="Z1913" s="6" t="s">
        <v>5978</v>
      </c>
      <c r="AA1913" s="14">
        <f t="shared" si="246"/>
        <v>5.9999999999999995E-4</v>
      </c>
      <c r="AB1913">
        <v>6.6124019999999994</v>
      </c>
      <c r="AC1913">
        <v>6.8768980799999992</v>
      </c>
    </row>
    <row r="1914" spans="1:29" x14ac:dyDescent="0.3">
      <c r="A1914">
        <v>150141</v>
      </c>
      <c r="B1914" s="25" t="s">
        <v>5984</v>
      </c>
      <c r="C1914" t="s">
        <v>20</v>
      </c>
      <c r="D1914" t="s">
        <v>21</v>
      </c>
      <c r="E1914">
        <v>2222222</v>
      </c>
      <c r="F1914" s="8" t="s">
        <v>22</v>
      </c>
      <c r="G1914" s="2">
        <v>98</v>
      </c>
      <c r="H1914" t="s">
        <v>4184</v>
      </c>
      <c r="J1914" s="9" t="s">
        <v>4182</v>
      </c>
      <c r="K1914" t="s">
        <v>5078</v>
      </c>
      <c r="L1914" s="2">
        <v>1</v>
      </c>
      <c r="M1914" s="24" t="s">
        <v>5971</v>
      </c>
      <c r="N1914" s="2" t="s">
        <v>23</v>
      </c>
      <c r="O1914" s="18" t="s">
        <v>1557</v>
      </c>
      <c r="P1914" s="18" t="s">
        <v>0</v>
      </c>
      <c r="Q1914" s="6" t="s">
        <v>4475</v>
      </c>
      <c r="T1914" s="23">
        <v>46075</v>
      </c>
      <c r="U1914" s="23">
        <v>46623</v>
      </c>
      <c r="X1914" s="20">
        <v>1600</v>
      </c>
      <c r="Z1914" s="6" t="s">
        <v>5978</v>
      </c>
      <c r="AA1914" s="14">
        <f t="shared" si="246"/>
        <v>5.9999999999999995E-4</v>
      </c>
      <c r="AB1914">
        <v>0.71751599999999993</v>
      </c>
      <c r="AC1914">
        <v>0.74621663999999999</v>
      </c>
    </row>
    <row r="1915" spans="1:29" x14ac:dyDescent="0.3">
      <c r="A1915">
        <v>150174</v>
      </c>
      <c r="B1915" s="25" t="s">
        <v>5984</v>
      </c>
      <c r="C1915" t="s">
        <v>20</v>
      </c>
      <c r="D1915" t="s">
        <v>21</v>
      </c>
      <c r="E1915">
        <v>2222222</v>
      </c>
      <c r="F1915" s="8" t="s">
        <v>22</v>
      </c>
      <c r="G1915" s="2">
        <v>98</v>
      </c>
      <c r="H1915" t="s">
        <v>4184</v>
      </c>
      <c r="J1915" s="9" t="s">
        <v>5026</v>
      </c>
      <c r="K1915" t="s">
        <v>4891</v>
      </c>
      <c r="L1915" s="2">
        <v>1</v>
      </c>
      <c r="M1915" s="24" t="s">
        <v>5971</v>
      </c>
      <c r="N1915" s="2" t="s">
        <v>23</v>
      </c>
      <c r="O1915" s="18" t="s">
        <v>1558</v>
      </c>
      <c r="P1915" s="18" t="s">
        <v>3781</v>
      </c>
      <c r="Q1915" s="6" t="s">
        <v>4475</v>
      </c>
      <c r="T1915" s="23">
        <v>46077</v>
      </c>
      <c r="U1915" s="23">
        <v>47540</v>
      </c>
      <c r="X1915" s="20">
        <v>4980</v>
      </c>
      <c r="Z1915" s="6" t="s">
        <v>5978</v>
      </c>
      <c r="AA1915" s="14">
        <f t="shared" si="246"/>
        <v>5.9999999999999995E-4</v>
      </c>
      <c r="AB1915">
        <v>2.7676679999999996</v>
      </c>
      <c r="AC1915">
        <v>2.8783747199999996</v>
      </c>
    </row>
    <row r="1916" spans="1:29" x14ac:dyDescent="0.3">
      <c r="A1916">
        <v>150247</v>
      </c>
      <c r="B1916" s="25" t="s">
        <v>5984</v>
      </c>
      <c r="C1916" t="s">
        <v>20</v>
      </c>
      <c r="D1916" t="s">
        <v>21</v>
      </c>
      <c r="E1916">
        <v>2222222</v>
      </c>
      <c r="F1916" s="8" t="s">
        <v>22</v>
      </c>
      <c r="G1916" s="2">
        <v>98</v>
      </c>
      <c r="H1916" t="s">
        <v>4184</v>
      </c>
      <c r="J1916" s="9" t="s">
        <v>4836</v>
      </c>
      <c r="K1916" t="s">
        <v>4837</v>
      </c>
      <c r="L1916" s="2">
        <v>1</v>
      </c>
      <c r="M1916" s="24" t="s">
        <v>5971</v>
      </c>
      <c r="N1916" s="2" t="s">
        <v>23</v>
      </c>
      <c r="O1916" s="18" t="s">
        <v>1559</v>
      </c>
      <c r="P1916" s="18" t="s">
        <v>3781</v>
      </c>
      <c r="Q1916" s="6" t="s">
        <v>4475</v>
      </c>
      <c r="T1916" s="23">
        <v>46080</v>
      </c>
      <c r="U1916" s="23">
        <v>46813</v>
      </c>
      <c r="X1916" s="20">
        <v>1000</v>
      </c>
      <c r="Z1916" s="6" t="s">
        <v>5978</v>
      </c>
      <c r="AA1916" s="14">
        <f t="shared" si="246"/>
        <v>5.9999999999999995E-4</v>
      </c>
      <c r="AB1916">
        <v>0.51351000000000002</v>
      </c>
      <c r="AC1916">
        <v>0.53405040000000004</v>
      </c>
    </row>
    <row r="1917" spans="1:29" x14ac:dyDescent="0.3">
      <c r="A1917">
        <v>150265</v>
      </c>
      <c r="B1917" s="25" t="s">
        <v>5984</v>
      </c>
      <c r="C1917" t="s">
        <v>20</v>
      </c>
      <c r="D1917" t="s">
        <v>21</v>
      </c>
      <c r="E1917">
        <v>2222222</v>
      </c>
      <c r="F1917" s="8" t="s">
        <v>22</v>
      </c>
      <c r="G1917" s="2">
        <v>98</v>
      </c>
      <c r="H1917" t="s">
        <v>4184</v>
      </c>
      <c r="J1917" s="9" t="s">
        <v>4836</v>
      </c>
      <c r="K1917" t="s">
        <v>4893</v>
      </c>
      <c r="L1917" s="2">
        <v>1</v>
      </c>
      <c r="M1917" s="24" t="s">
        <v>5971</v>
      </c>
      <c r="N1917" s="2" t="s">
        <v>23</v>
      </c>
      <c r="O1917" s="18" t="s">
        <v>1560</v>
      </c>
      <c r="P1917" s="18" t="s">
        <v>3781</v>
      </c>
      <c r="Q1917" s="6" t="s">
        <v>4475</v>
      </c>
      <c r="T1917" s="23">
        <v>46097</v>
      </c>
      <c r="U1917" s="23">
        <v>47922</v>
      </c>
      <c r="X1917" s="20">
        <v>7660</v>
      </c>
      <c r="Z1917" s="6" t="s">
        <v>5978</v>
      </c>
      <c r="AA1917" s="14">
        <f t="shared" si="246"/>
        <v>5.9999999999999995E-4</v>
      </c>
      <c r="AB1917">
        <v>4.3788299999999998</v>
      </c>
      <c r="AC1917">
        <v>4.5539832000000002</v>
      </c>
    </row>
    <row r="1918" spans="1:29" x14ac:dyDescent="0.3">
      <c r="A1918">
        <v>150298</v>
      </c>
      <c r="B1918" s="25" t="s">
        <v>5984</v>
      </c>
      <c r="C1918" t="s">
        <v>20</v>
      </c>
      <c r="D1918" t="s">
        <v>21</v>
      </c>
      <c r="E1918">
        <v>2222222</v>
      </c>
      <c r="F1918" s="8" t="s">
        <v>22</v>
      </c>
      <c r="G1918" s="2">
        <v>98</v>
      </c>
      <c r="H1918" t="s">
        <v>4184</v>
      </c>
      <c r="J1918" s="9" t="s">
        <v>4836</v>
      </c>
      <c r="K1918" t="s">
        <v>4815</v>
      </c>
      <c r="L1918" s="2">
        <v>1</v>
      </c>
      <c r="M1918" s="24" t="s">
        <v>5971</v>
      </c>
      <c r="N1918" s="2" t="s">
        <v>23</v>
      </c>
      <c r="O1918" s="18" t="s">
        <v>1561</v>
      </c>
      <c r="P1918" s="18" t="s">
        <v>3781</v>
      </c>
      <c r="Q1918" s="6" t="s">
        <v>4475</v>
      </c>
      <c r="T1918" s="23">
        <v>46092</v>
      </c>
      <c r="U1918" s="23">
        <v>49744</v>
      </c>
      <c r="X1918" s="20">
        <v>8050</v>
      </c>
      <c r="Z1918" s="6" t="s">
        <v>5978</v>
      </c>
      <c r="AA1918" s="14">
        <f t="shared" si="246"/>
        <v>5.9999999999999995E-4</v>
      </c>
      <c r="AB1918">
        <v>4.7913600000000001</v>
      </c>
      <c r="AC1918">
        <v>4.9830144000000001</v>
      </c>
    </row>
    <row r="1919" spans="1:29" x14ac:dyDescent="0.3">
      <c r="A1919">
        <v>150299</v>
      </c>
      <c r="B1919" s="25" t="s">
        <v>5984</v>
      </c>
      <c r="C1919" t="s">
        <v>20</v>
      </c>
      <c r="D1919" t="s">
        <v>21</v>
      </c>
      <c r="E1919">
        <v>2222222</v>
      </c>
      <c r="F1919" s="8" t="s">
        <v>22</v>
      </c>
      <c r="G1919" s="2">
        <v>98</v>
      </c>
      <c r="H1919" t="s">
        <v>4184</v>
      </c>
      <c r="J1919" s="9" t="s">
        <v>4836</v>
      </c>
      <c r="K1919" t="s">
        <v>5268</v>
      </c>
      <c r="L1919" s="2">
        <v>1</v>
      </c>
      <c r="M1919" s="24" t="s">
        <v>5971</v>
      </c>
      <c r="N1919" s="2" t="s">
        <v>23</v>
      </c>
      <c r="O1919" s="18" t="s">
        <v>503</v>
      </c>
      <c r="P1919" s="18" t="s">
        <v>3781</v>
      </c>
      <c r="Q1919" s="6" t="s">
        <v>4475</v>
      </c>
      <c r="T1919" s="23">
        <v>46085</v>
      </c>
      <c r="U1919" s="23">
        <v>47060</v>
      </c>
      <c r="X1919" s="20">
        <v>1870</v>
      </c>
      <c r="Z1919" s="6" t="s">
        <v>5978</v>
      </c>
      <c r="AA1919" s="14">
        <f t="shared" si="246"/>
        <v>5.9999999999999995E-4</v>
      </c>
      <c r="AB1919">
        <v>1.0091639999999999</v>
      </c>
      <c r="AC1919">
        <v>1.04953056</v>
      </c>
    </row>
    <row r="1920" spans="1:29" x14ac:dyDescent="0.3">
      <c r="A1920">
        <v>150451</v>
      </c>
      <c r="B1920" s="25" t="s">
        <v>5984</v>
      </c>
      <c r="C1920" t="s">
        <v>20</v>
      </c>
      <c r="D1920" t="s">
        <v>21</v>
      </c>
      <c r="E1920">
        <v>2222222</v>
      </c>
      <c r="F1920" s="8" t="s">
        <v>22</v>
      </c>
      <c r="G1920" s="2">
        <v>98</v>
      </c>
      <c r="H1920" t="s">
        <v>4184</v>
      </c>
      <c r="J1920" s="9" t="s">
        <v>4889</v>
      </c>
      <c r="K1920" t="s">
        <v>5181</v>
      </c>
      <c r="L1920" s="2">
        <v>1</v>
      </c>
      <c r="M1920" s="24" t="s">
        <v>5971</v>
      </c>
      <c r="N1920" s="2" t="s">
        <v>23</v>
      </c>
      <c r="O1920" s="18" t="s">
        <v>1287</v>
      </c>
      <c r="P1920" s="18" t="s">
        <v>3781</v>
      </c>
      <c r="Q1920" s="6" t="s">
        <v>4475</v>
      </c>
      <c r="T1920" s="23">
        <v>46094</v>
      </c>
      <c r="U1920" s="23">
        <v>46338</v>
      </c>
      <c r="X1920" s="20">
        <v>630</v>
      </c>
      <c r="Z1920" s="6" t="s">
        <v>5978</v>
      </c>
      <c r="AA1920" s="14">
        <f t="shared" si="246"/>
        <v>5.9999999999999995E-4</v>
      </c>
      <c r="AB1920">
        <v>0.19429199999999999</v>
      </c>
      <c r="AC1920">
        <v>0.20206368</v>
      </c>
    </row>
    <row r="1921" spans="1:29" x14ac:dyDescent="0.3">
      <c r="A1921">
        <v>150545</v>
      </c>
      <c r="B1921" s="25" t="s">
        <v>5984</v>
      </c>
      <c r="C1921" t="s">
        <v>20</v>
      </c>
      <c r="D1921" t="s">
        <v>21</v>
      </c>
      <c r="E1921">
        <v>2222222</v>
      </c>
      <c r="F1921" s="8" t="s">
        <v>22</v>
      </c>
      <c r="G1921" s="2">
        <v>98</v>
      </c>
      <c r="H1921" t="s">
        <v>4184</v>
      </c>
      <c r="J1921" s="9" t="s">
        <v>4836</v>
      </c>
      <c r="K1921" t="s">
        <v>4998</v>
      </c>
      <c r="L1921" s="2">
        <v>1</v>
      </c>
      <c r="M1921" s="24" t="s">
        <v>5971</v>
      </c>
      <c r="N1921" s="2" t="s">
        <v>23</v>
      </c>
      <c r="O1921" s="18" t="s">
        <v>1562</v>
      </c>
      <c r="P1921" s="18" t="s">
        <v>3781</v>
      </c>
      <c r="Q1921" s="6" t="s">
        <v>4475</v>
      </c>
      <c r="T1921" s="23">
        <v>46100</v>
      </c>
      <c r="U1921" s="23">
        <v>47014</v>
      </c>
      <c r="X1921" s="20">
        <v>3000</v>
      </c>
      <c r="Z1921" s="6" t="s">
        <v>5978</v>
      </c>
      <c r="AA1921" s="14">
        <f t="shared" si="246"/>
        <v>5.9999999999999995E-4</v>
      </c>
      <c r="AB1921">
        <v>1.6015379999999999</v>
      </c>
      <c r="AC1921">
        <v>1.66559952</v>
      </c>
    </row>
    <row r="1922" spans="1:29" x14ac:dyDescent="0.3">
      <c r="A1922">
        <v>150546</v>
      </c>
      <c r="B1922" s="25" t="s">
        <v>5984</v>
      </c>
      <c r="C1922" t="s">
        <v>20</v>
      </c>
      <c r="D1922" t="s">
        <v>21</v>
      </c>
      <c r="E1922">
        <v>2222222</v>
      </c>
      <c r="F1922" s="8" t="s">
        <v>22</v>
      </c>
      <c r="G1922" s="2">
        <v>98</v>
      </c>
      <c r="H1922" t="s">
        <v>4184</v>
      </c>
      <c r="J1922" s="9" t="s">
        <v>5280</v>
      </c>
      <c r="K1922" t="s">
        <v>4924</v>
      </c>
      <c r="L1922" s="2">
        <v>1</v>
      </c>
      <c r="M1922" s="24" t="s">
        <v>5971</v>
      </c>
      <c r="N1922" s="2" t="s">
        <v>23</v>
      </c>
      <c r="O1922" s="18" t="s">
        <v>1563</v>
      </c>
      <c r="P1922" s="18" t="s">
        <v>3781</v>
      </c>
      <c r="Q1922" s="6" t="s">
        <v>4475</v>
      </c>
      <c r="T1922" s="23">
        <v>46100</v>
      </c>
      <c r="U1922" s="23">
        <v>46648</v>
      </c>
      <c r="X1922" s="20">
        <v>4150</v>
      </c>
      <c r="Z1922" s="6" t="s">
        <v>5978</v>
      </c>
      <c r="AA1922" s="14">
        <f t="shared" si="246"/>
        <v>5.9999999999999995E-4</v>
      </c>
      <c r="AB1922">
        <v>1.9927619999999999</v>
      </c>
      <c r="AC1922">
        <v>2.0724724800000001</v>
      </c>
    </row>
    <row r="1923" spans="1:29" x14ac:dyDescent="0.3">
      <c r="A1923">
        <v>150563</v>
      </c>
      <c r="B1923" s="25" t="s">
        <v>5984</v>
      </c>
      <c r="C1923" t="s">
        <v>20</v>
      </c>
      <c r="D1923" t="s">
        <v>21</v>
      </c>
      <c r="E1923">
        <v>2222222</v>
      </c>
      <c r="F1923" s="8" t="s">
        <v>22</v>
      </c>
      <c r="G1923" s="2">
        <v>98</v>
      </c>
      <c r="H1923" t="s">
        <v>4184</v>
      </c>
      <c r="J1923" s="9" t="s">
        <v>4909</v>
      </c>
      <c r="K1923" t="s">
        <v>5071</v>
      </c>
      <c r="L1923" s="2">
        <v>1</v>
      </c>
      <c r="M1923" s="24" t="s">
        <v>5971</v>
      </c>
      <c r="N1923" s="2" t="s">
        <v>23</v>
      </c>
      <c r="O1923" s="18" t="s">
        <v>1564</v>
      </c>
      <c r="P1923" s="18" t="s">
        <v>3781</v>
      </c>
      <c r="Q1923" s="6" t="s">
        <v>4475</v>
      </c>
      <c r="T1923" s="23">
        <v>46101</v>
      </c>
      <c r="U1923" s="23">
        <v>47196</v>
      </c>
      <c r="X1923" s="20">
        <v>4000</v>
      </c>
      <c r="Z1923" s="6" t="s">
        <v>5978</v>
      </c>
      <c r="AA1923" s="14">
        <f t="shared" si="246"/>
        <v>5.9999999999999995E-4</v>
      </c>
      <c r="AB1923">
        <v>2.1892619999999998</v>
      </c>
      <c r="AC1923">
        <v>2.2768324799999999</v>
      </c>
    </row>
    <row r="1924" spans="1:29" x14ac:dyDescent="0.3">
      <c r="A1924">
        <v>150614</v>
      </c>
      <c r="B1924" s="25" t="s">
        <v>5984</v>
      </c>
      <c r="C1924" t="s">
        <v>20</v>
      </c>
      <c r="D1924" t="s">
        <v>21</v>
      </c>
      <c r="E1924">
        <v>2222222</v>
      </c>
      <c r="F1924" s="8" t="s">
        <v>22</v>
      </c>
      <c r="G1924" s="2">
        <v>98</v>
      </c>
      <c r="H1924" t="s">
        <v>4184</v>
      </c>
      <c r="J1924" s="9" t="s">
        <v>5141</v>
      </c>
      <c r="K1924" t="s">
        <v>4884</v>
      </c>
      <c r="L1924" s="2">
        <v>1</v>
      </c>
      <c r="M1924" s="24" t="s">
        <v>5971</v>
      </c>
      <c r="N1924" s="2" t="s">
        <v>23</v>
      </c>
      <c r="O1924" s="18" t="s">
        <v>1565</v>
      </c>
      <c r="P1924" s="18" t="s">
        <v>3781</v>
      </c>
      <c r="Q1924" s="6" t="s">
        <v>4475</v>
      </c>
      <c r="T1924" s="23">
        <v>46104</v>
      </c>
      <c r="U1924" s="23">
        <v>47199</v>
      </c>
      <c r="X1924" s="20">
        <v>5000</v>
      </c>
      <c r="Z1924" s="6" t="s">
        <v>5978</v>
      </c>
      <c r="AA1924" s="14">
        <f t="shared" si="246"/>
        <v>5.9999999999999995E-4</v>
      </c>
      <c r="AB1924">
        <v>2.7403199999999996</v>
      </c>
      <c r="AC1924">
        <v>2.8499327999999999</v>
      </c>
    </row>
    <row r="1925" spans="1:29" x14ac:dyDescent="0.3">
      <c r="A1925">
        <v>150701</v>
      </c>
      <c r="B1925" s="25" t="s">
        <v>5984</v>
      </c>
      <c r="C1925" t="s">
        <v>20</v>
      </c>
      <c r="D1925" t="s">
        <v>21</v>
      </c>
      <c r="E1925">
        <v>2222222</v>
      </c>
      <c r="F1925" s="8" t="s">
        <v>22</v>
      </c>
      <c r="G1925" s="2">
        <v>98</v>
      </c>
      <c r="H1925" t="s">
        <v>4184</v>
      </c>
      <c r="J1925" s="9" t="s">
        <v>5557</v>
      </c>
      <c r="K1925" t="s">
        <v>5288</v>
      </c>
      <c r="L1925" s="2">
        <v>1</v>
      </c>
      <c r="M1925" s="24" t="s">
        <v>5971</v>
      </c>
      <c r="N1925" s="2" t="s">
        <v>23</v>
      </c>
      <c r="O1925" s="18" t="s">
        <v>1566</v>
      </c>
      <c r="P1925" s="18" t="s">
        <v>0</v>
      </c>
      <c r="Q1925" s="6" t="s">
        <v>4475</v>
      </c>
      <c r="T1925" s="23">
        <v>46110</v>
      </c>
      <c r="U1925" s="23">
        <v>46661</v>
      </c>
      <c r="X1925" s="20">
        <v>2200</v>
      </c>
      <c r="Z1925" s="6" t="s">
        <v>5978</v>
      </c>
      <c r="AA1925" s="14">
        <f t="shared" si="246"/>
        <v>5.9999999999999995E-4</v>
      </c>
      <c r="AB1925">
        <v>1.1227019999999999</v>
      </c>
      <c r="AC1925">
        <v>1.16761008</v>
      </c>
    </row>
    <row r="1926" spans="1:29" x14ac:dyDescent="0.3">
      <c r="A1926">
        <v>150704</v>
      </c>
      <c r="B1926" s="25" t="s">
        <v>5984</v>
      </c>
      <c r="C1926" t="s">
        <v>20</v>
      </c>
      <c r="D1926" t="s">
        <v>21</v>
      </c>
      <c r="E1926">
        <v>2222222</v>
      </c>
      <c r="F1926" s="8" t="s">
        <v>22</v>
      </c>
      <c r="G1926" s="2">
        <v>98</v>
      </c>
      <c r="H1926" t="s">
        <v>4184</v>
      </c>
      <c r="J1926" s="9" t="s">
        <v>5055</v>
      </c>
      <c r="K1926" t="s">
        <v>5115</v>
      </c>
      <c r="L1926" s="2">
        <v>1</v>
      </c>
      <c r="M1926" s="24" t="s">
        <v>5971</v>
      </c>
      <c r="N1926" s="2" t="s">
        <v>23</v>
      </c>
      <c r="O1926" s="18" t="s">
        <v>1567</v>
      </c>
      <c r="P1926" s="18" t="s">
        <v>3781</v>
      </c>
      <c r="Q1926" s="6" t="s">
        <v>4475</v>
      </c>
      <c r="T1926" s="23">
        <v>46110</v>
      </c>
      <c r="U1926" s="23">
        <v>47570</v>
      </c>
      <c r="X1926" s="20">
        <v>5000</v>
      </c>
      <c r="Z1926" s="6" t="s">
        <v>5978</v>
      </c>
      <c r="AA1926" s="14">
        <f t="shared" si="246"/>
        <v>5.9999999999999995E-4</v>
      </c>
      <c r="AB1926">
        <v>2.8234439999999998</v>
      </c>
      <c r="AC1926">
        <v>2.9363817599999997</v>
      </c>
    </row>
    <row r="1927" spans="1:29" x14ac:dyDescent="0.3">
      <c r="A1927">
        <v>150716</v>
      </c>
      <c r="B1927" s="25" t="s">
        <v>5984</v>
      </c>
      <c r="C1927" t="s">
        <v>20</v>
      </c>
      <c r="D1927" t="s">
        <v>21</v>
      </c>
      <c r="E1927">
        <v>2222222</v>
      </c>
      <c r="F1927" s="8" t="s">
        <v>22</v>
      </c>
      <c r="G1927" s="2">
        <v>98</v>
      </c>
      <c r="H1927" t="s">
        <v>4184</v>
      </c>
      <c r="J1927" s="9" t="s">
        <v>4875</v>
      </c>
      <c r="K1927" t="s">
        <v>5270</v>
      </c>
      <c r="L1927" s="2">
        <v>1</v>
      </c>
      <c r="M1927" s="24" t="s">
        <v>5971</v>
      </c>
      <c r="N1927" s="2" t="s">
        <v>23</v>
      </c>
      <c r="O1927" s="18" t="s">
        <v>1568</v>
      </c>
      <c r="P1927" s="18" t="s">
        <v>0</v>
      </c>
      <c r="Q1927" s="6" t="s">
        <v>4475</v>
      </c>
      <c r="T1927" s="23">
        <v>46142</v>
      </c>
      <c r="U1927" s="23">
        <v>47238</v>
      </c>
      <c r="X1927" s="20">
        <v>3500</v>
      </c>
      <c r="Z1927" s="6" t="s">
        <v>5978</v>
      </c>
      <c r="AA1927" s="14">
        <f t="shared" si="246"/>
        <v>5.9999999999999995E-4</v>
      </c>
      <c r="AB1927">
        <v>2.0095859999999997</v>
      </c>
      <c r="AC1927">
        <v>2.0899694399999995</v>
      </c>
    </row>
    <row r="1928" spans="1:29" x14ac:dyDescent="0.3">
      <c r="A1928">
        <v>150722</v>
      </c>
      <c r="B1928" s="25" t="s">
        <v>5984</v>
      </c>
      <c r="C1928" t="s">
        <v>20</v>
      </c>
      <c r="D1928" t="s">
        <v>21</v>
      </c>
      <c r="E1928">
        <v>2222222</v>
      </c>
      <c r="F1928" s="8" t="s">
        <v>22</v>
      </c>
      <c r="G1928" s="2">
        <v>98</v>
      </c>
      <c r="H1928" t="s">
        <v>4184</v>
      </c>
      <c r="J1928" s="9" t="s">
        <v>4911</v>
      </c>
      <c r="K1928" t="s">
        <v>5145</v>
      </c>
      <c r="L1928" s="2">
        <v>1</v>
      </c>
      <c r="M1928" s="24" t="s">
        <v>5971</v>
      </c>
      <c r="N1928" s="2" t="s">
        <v>23</v>
      </c>
      <c r="O1928" s="18" t="s">
        <v>1549</v>
      </c>
      <c r="P1928" s="18" t="s">
        <v>3781</v>
      </c>
      <c r="Q1928" s="6" t="s">
        <v>4475</v>
      </c>
      <c r="T1928" s="23">
        <v>46112</v>
      </c>
      <c r="U1928" s="23">
        <v>46842</v>
      </c>
      <c r="X1928" s="20">
        <v>1000</v>
      </c>
      <c r="Z1928" s="6" t="s">
        <v>5978</v>
      </c>
      <c r="AA1928" s="14">
        <f t="shared" si="246"/>
        <v>5.9999999999999995E-4</v>
      </c>
      <c r="AB1928">
        <v>0.53625599999999995</v>
      </c>
      <c r="AC1928">
        <v>0.55770624000000002</v>
      </c>
    </row>
    <row r="1929" spans="1:29" x14ac:dyDescent="0.3">
      <c r="A1929">
        <v>150735</v>
      </c>
      <c r="B1929" s="25" t="s">
        <v>5984</v>
      </c>
      <c r="C1929" t="s">
        <v>20</v>
      </c>
      <c r="D1929" t="s">
        <v>21</v>
      </c>
      <c r="E1929">
        <v>2222222</v>
      </c>
      <c r="F1929" s="8" t="s">
        <v>22</v>
      </c>
      <c r="G1929" s="2">
        <v>98</v>
      </c>
      <c r="H1929" t="s">
        <v>4184</v>
      </c>
      <c r="J1929" s="9" t="s">
        <v>5057</v>
      </c>
      <c r="K1929" t="s">
        <v>4863</v>
      </c>
      <c r="L1929" s="2">
        <v>1</v>
      </c>
      <c r="M1929" s="24" t="s">
        <v>5971</v>
      </c>
      <c r="N1929" s="2" t="s">
        <v>23</v>
      </c>
      <c r="O1929" s="18" t="s">
        <v>1569</v>
      </c>
      <c r="P1929" s="18" t="s">
        <v>3781</v>
      </c>
      <c r="Q1929" s="6" t="s">
        <v>4475</v>
      </c>
      <c r="T1929" s="23">
        <v>46112</v>
      </c>
      <c r="U1929" s="23">
        <v>47214</v>
      </c>
      <c r="X1929" s="20">
        <v>2700</v>
      </c>
      <c r="Z1929" s="6" t="s">
        <v>5978</v>
      </c>
      <c r="AA1929" s="14">
        <f t="shared" ref="AA1929:AA1992" si="247">+(0.6/1000)</f>
        <v>5.9999999999999995E-4</v>
      </c>
      <c r="AB1929">
        <v>1.5142679999999999</v>
      </c>
      <c r="AC1929">
        <v>1.57483872</v>
      </c>
    </row>
    <row r="1930" spans="1:29" x14ac:dyDescent="0.3">
      <c r="A1930">
        <v>150815</v>
      </c>
      <c r="B1930" s="25" t="s">
        <v>5984</v>
      </c>
      <c r="C1930" t="s">
        <v>20</v>
      </c>
      <c r="D1930" t="s">
        <v>21</v>
      </c>
      <c r="E1930">
        <v>2222222</v>
      </c>
      <c r="F1930" s="8" t="s">
        <v>22</v>
      </c>
      <c r="G1930" s="2">
        <v>98</v>
      </c>
      <c r="H1930" t="s">
        <v>4184</v>
      </c>
      <c r="J1930" s="9" t="s">
        <v>4900</v>
      </c>
      <c r="K1930" t="s">
        <v>4901</v>
      </c>
      <c r="L1930" s="2">
        <v>1</v>
      </c>
      <c r="M1930" s="24" t="s">
        <v>5971</v>
      </c>
      <c r="N1930" s="2" t="s">
        <v>23</v>
      </c>
      <c r="O1930" s="18" t="s">
        <v>1544</v>
      </c>
      <c r="P1930" s="18" t="s">
        <v>0</v>
      </c>
      <c r="Q1930" s="6" t="s">
        <v>4475</v>
      </c>
      <c r="T1930" s="23">
        <v>46119</v>
      </c>
      <c r="U1930" s="23">
        <v>47221</v>
      </c>
      <c r="X1930" s="20">
        <v>3050</v>
      </c>
      <c r="Z1930" s="6" t="s">
        <v>5978</v>
      </c>
      <c r="AA1930" s="14">
        <f t="shared" si="247"/>
        <v>5.9999999999999995E-4</v>
      </c>
      <c r="AB1930">
        <v>1.710564</v>
      </c>
      <c r="AC1930">
        <v>1.7789865600000001</v>
      </c>
    </row>
    <row r="1931" spans="1:29" x14ac:dyDescent="0.3">
      <c r="A1931">
        <v>150848</v>
      </c>
      <c r="B1931" s="25" t="s">
        <v>5984</v>
      </c>
      <c r="C1931" t="s">
        <v>20</v>
      </c>
      <c r="D1931" t="s">
        <v>21</v>
      </c>
      <c r="E1931">
        <v>2222222</v>
      </c>
      <c r="F1931" s="8" t="s">
        <v>22</v>
      </c>
      <c r="G1931" s="2">
        <v>98</v>
      </c>
      <c r="H1931" t="s">
        <v>4184</v>
      </c>
      <c r="J1931" s="9" t="s">
        <v>4955</v>
      </c>
      <c r="K1931" t="s">
        <v>5075</v>
      </c>
      <c r="L1931" s="2">
        <v>1</v>
      </c>
      <c r="M1931" s="24" t="s">
        <v>5971</v>
      </c>
      <c r="N1931" s="2" t="s">
        <v>23</v>
      </c>
      <c r="O1931" s="18" t="s">
        <v>1102</v>
      </c>
      <c r="P1931" s="18" t="s">
        <v>3781</v>
      </c>
      <c r="Q1931" s="6" t="s">
        <v>4475</v>
      </c>
      <c r="T1931" s="23">
        <v>46121</v>
      </c>
      <c r="U1931" s="23">
        <v>46489</v>
      </c>
      <c r="X1931" s="20">
        <v>1500</v>
      </c>
      <c r="Z1931" s="6" t="s">
        <v>5978</v>
      </c>
      <c r="AA1931" s="14">
        <f t="shared" si="247"/>
        <v>5.9999999999999995E-4</v>
      </c>
      <c r="AB1931">
        <v>0.68993400000000005</v>
      </c>
      <c r="AC1931">
        <v>0.71753136000000006</v>
      </c>
    </row>
    <row r="1932" spans="1:29" x14ac:dyDescent="0.3">
      <c r="A1932">
        <v>150919</v>
      </c>
      <c r="B1932" s="25" t="s">
        <v>5984</v>
      </c>
      <c r="C1932" t="s">
        <v>20</v>
      </c>
      <c r="D1932" t="s">
        <v>21</v>
      </c>
      <c r="E1932">
        <v>2222222</v>
      </c>
      <c r="F1932" s="8" t="s">
        <v>22</v>
      </c>
      <c r="G1932" s="2">
        <v>98</v>
      </c>
      <c r="H1932" t="s">
        <v>4184</v>
      </c>
      <c r="J1932" s="9" t="s">
        <v>5055</v>
      </c>
      <c r="K1932" t="s">
        <v>4863</v>
      </c>
      <c r="L1932" s="2">
        <v>1</v>
      </c>
      <c r="M1932" s="24" t="s">
        <v>5971</v>
      </c>
      <c r="N1932" s="2" t="s">
        <v>23</v>
      </c>
      <c r="O1932" s="18" t="s">
        <v>1570</v>
      </c>
      <c r="P1932" s="18" t="s">
        <v>3781</v>
      </c>
      <c r="Q1932" s="6" t="s">
        <v>4475</v>
      </c>
      <c r="T1932" s="23">
        <v>46129</v>
      </c>
      <c r="U1932" s="23">
        <v>49782</v>
      </c>
      <c r="X1932" s="20">
        <v>40000</v>
      </c>
      <c r="Z1932" s="6" t="s">
        <v>5978</v>
      </c>
      <c r="AA1932" s="14">
        <f t="shared" si="247"/>
        <v>5.9999999999999995E-4</v>
      </c>
      <c r="AB1932">
        <v>23.719697999999998</v>
      </c>
      <c r="AC1932">
        <v>24.668485919999998</v>
      </c>
    </row>
    <row r="1933" spans="1:29" x14ac:dyDescent="0.3">
      <c r="A1933">
        <v>151275</v>
      </c>
      <c r="B1933" s="25" t="s">
        <v>5984</v>
      </c>
      <c r="C1933" t="s">
        <v>20</v>
      </c>
      <c r="D1933" t="s">
        <v>21</v>
      </c>
      <c r="E1933">
        <v>2222222</v>
      </c>
      <c r="F1933" s="8" t="s">
        <v>22</v>
      </c>
      <c r="G1933" s="2">
        <v>98</v>
      </c>
      <c r="H1933" t="s">
        <v>4184</v>
      </c>
      <c r="J1933" s="9" t="s">
        <v>5118</v>
      </c>
      <c r="K1933" t="s">
        <v>4836</v>
      </c>
      <c r="L1933" s="2">
        <v>1</v>
      </c>
      <c r="M1933" s="24" t="s">
        <v>5971</v>
      </c>
      <c r="N1933" s="2" t="s">
        <v>23</v>
      </c>
      <c r="O1933" s="18" t="s">
        <v>1571</v>
      </c>
      <c r="P1933" s="18" t="s">
        <v>3781</v>
      </c>
      <c r="Q1933" s="6" t="s">
        <v>4475</v>
      </c>
      <c r="T1933" s="23">
        <v>46153</v>
      </c>
      <c r="U1933" s="23">
        <v>47249</v>
      </c>
      <c r="X1933" s="20">
        <v>2080</v>
      </c>
      <c r="Z1933" s="6" t="s">
        <v>5978</v>
      </c>
      <c r="AA1933" s="14">
        <f t="shared" si="247"/>
        <v>5.9999999999999995E-4</v>
      </c>
      <c r="AB1933">
        <v>1.1944919999999999</v>
      </c>
      <c r="AC1933">
        <v>1.24227168</v>
      </c>
    </row>
    <row r="1934" spans="1:29" x14ac:dyDescent="0.3">
      <c r="A1934">
        <v>151314</v>
      </c>
      <c r="B1934" s="25" t="s">
        <v>5984</v>
      </c>
      <c r="C1934" t="s">
        <v>20</v>
      </c>
      <c r="D1934" t="s">
        <v>21</v>
      </c>
      <c r="E1934">
        <v>2222222</v>
      </c>
      <c r="F1934" s="8" t="s">
        <v>22</v>
      </c>
      <c r="G1934" s="2">
        <v>98</v>
      </c>
      <c r="H1934" t="s">
        <v>4184</v>
      </c>
      <c r="J1934" s="9" t="s">
        <v>4921</v>
      </c>
      <c r="K1934" t="s">
        <v>5558</v>
      </c>
      <c r="L1934" s="2">
        <v>1</v>
      </c>
      <c r="M1934" s="24" t="s">
        <v>5971</v>
      </c>
      <c r="N1934" s="2" t="s">
        <v>23</v>
      </c>
      <c r="O1934" s="18" t="s">
        <v>1572</v>
      </c>
      <c r="P1934" s="18" t="s">
        <v>3781</v>
      </c>
      <c r="Q1934" s="6" t="s">
        <v>4475</v>
      </c>
      <c r="T1934" s="23">
        <v>46156</v>
      </c>
      <c r="U1934" s="23">
        <v>46240</v>
      </c>
      <c r="X1934" s="20">
        <v>500</v>
      </c>
      <c r="Z1934" s="6" t="s">
        <v>5978</v>
      </c>
      <c r="AA1934" s="14">
        <f t="shared" si="247"/>
        <v>5.9999999999999995E-4</v>
      </c>
      <c r="AB1934">
        <v>0.3</v>
      </c>
      <c r="AC1934">
        <v>0.312</v>
      </c>
    </row>
    <row r="1935" spans="1:29" x14ac:dyDescent="0.3">
      <c r="A1935">
        <v>151315</v>
      </c>
      <c r="B1935" s="25" t="s">
        <v>5984</v>
      </c>
      <c r="C1935" t="s">
        <v>20</v>
      </c>
      <c r="D1935" t="s">
        <v>21</v>
      </c>
      <c r="E1935">
        <v>2222222</v>
      </c>
      <c r="F1935" s="8" t="s">
        <v>22</v>
      </c>
      <c r="G1935" s="2">
        <v>98</v>
      </c>
      <c r="H1935" t="s">
        <v>4184</v>
      </c>
      <c r="J1935" s="9" t="s">
        <v>4830</v>
      </c>
      <c r="K1935" t="s">
        <v>4887</v>
      </c>
      <c r="L1935" s="2">
        <v>1</v>
      </c>
      <c r="M1935" s="24" t="s">
        <v>5971</v>
      </c>
      <c r="N1935" s="2" t="s">
        <v>23</v>
      </c>
      <c r="O1935" s="18" t="s">
        <v>1545</v>
      </c>
      <c r="P1935" s="18" t="s">
        <v>3781</v>
      </c>
      <c r="Q1935" s="6" t="s">
        <v>4475</v>
      </c>
      <c r="T1935" s="23">
        <v>46155</v>
      </c>
      <c r="U1935" s="23">
        <v>46758</v>
      </c>
      <c r="X1935" s="20">
        <v>3000</v>
      </c>
      <c r="Z1935" s="6" t="s">
        <v>5978</v>
      </c>
      <c r="AA1935" s="14">
        <f t="shared" si="247"/>
        <v>5.9999999999999995E-4</v>
      </c>
      <c r="AB1935">
        <v>1.6363439999999998</v>
      </c>
      <c r="AC1935">
        <v>1.7017977599999998</v>
      </c>
    </row>
    <row r="1936" spans="1:29" x14ac:dyDescent="0.3">
      <c r="A1936">
        <v>151316</v>
      </c>
      <c r="B1936" s="25" t="s">
        <v>5984</v>
      </c>
      <c r="C1936" t="s">
        <v>20</v>
      </c>
      <c r="D1936" t="s">
        <v>21</v>
      </c>
      <c r="E1936">
        <v>2222222</v>
      </c>
      <c r="F1936" s="8" t="s">
        <v>22</v>
      </c>
      <c r="G1936" s="2">
        <v>98</v>
      </c>
      <c r="H1936" t="s">
        <v>4184</v>
      </c>
      <c r="J1936" s="9" t="s">
        <v>4921</v>
      </c>
      <c r="K1936" t="s">
        <v>5558</v>
      </c>
      <c r="L1936" s="2">
        <v>1</v>
      </c>
      <c r="M1936" s="24" t="s">
        <v>5971</v>
      </c>
      <c r="N1936" s="2" t="s">
        <v>23</v>
      </c>
      <c r="O1936" s="18" t="s">
        <v>1572</v>
      </c>
      <c r="P1936" s="18" t="s">
        <v>3781</v>
      </c>
      <c r="Q1936" s="6" t="s">
        <v>4475</v>
      </c>
      <c r="T1936" s="23">
        <v>46156</v>
      </c>
      <c r="U1936" s="23">
        <v>46244</v>
      </c>
      <c r="X1936" s="20">
        <v>500</v>
      </c>
      <c r="Z1936" s="6" t="s">
        <v>5978</v>
      </c>
      <c r="AA1936" s="14">
        <f t="shared" si="247"/>
        <v>5.9999999999999995E-4</v>
      </c>
      <c r="AB1936">
        <v>0.3</v>
      </c>
      <c r="AC1936">
        <v>0.312</v>
      </c>
    </row>
    <row r="1937" spans="1:29" x14ac:dyDescent="0.3">
      <c r="A1937">
        <v>151317</v>
      </c>
      <c r="B1937" s="25" t="s">
        <v>5984</v>
      </c>
      <c r="C1937" t="s">
        <v>20</v>
      </c>
      <c r="D1937" t="s">
        <v>21</v>
      </c>
      <c r="E1937">
        <v>2222222</v>
      </c>
      <c r="F1937" s="8" t="s">
        <v>22</v>
      </c>
      <c r="G1937" s="2">
        <v>98</v>
      </c>
      <c r="H1937" t="s">
        <v>4184</v>
      </c>
      <c r="J1937" s="9" t="s">
        <v>5208</v>
      </c>
      <c r="K1937" t="s">
        <v>4977</v>
      </c>
      <c r="L1937" s="2">
        <v>1</v>
      </c>
      <c r="M1937" s="24" t="s">
        <v>5971</v>
      </c>
      <c r="N1937" s="2" t="s">
        <v>23</v>
      </c>
      <c r="O1937" s="18" t="s">
        <v>1573</v>
      </c>
      <c r="P1937" s="18" t="s">
        <v>3781</v>
      </c>
      <c r="Q1937" s="6" t="s">
        <v>4475</v>
      </c>
      <c r="T1937" s="23">
        <v>46155</v>
      </c>
      <c r="U1937" s="23">
        <v>46245</v>
      </c>
      <c r="X1937" s="20">
        <v>2560</v>
      </c>
      <c r="Z1937" s="6" t="s">
        <v>5978</v>
      </c>
      <c r="AA1937" s="14">
        <f t="shared" si="247"/>
        <v>5.9999999999999995E-4</v>
      </c>
      <c r="AB1937">
        <v>1.5359999999999998</v>
      </c>
      <c r="AC1937">
        <v>1.5974399999999997</v>
      </c>
    </row>
    <row r="1938" spans="1:29" x14ac:dyDescent="0.3">
      <c r="A1938">
        <v>151328</v>
      </c>
      <c r="B1938" s="25" t="s">
        <v>5984</v>
      </c>
      <c r="C1938" t="s">
        <v>20</v>
      </c>
      <c r="D1938" t="s">
        <v>21</v>
      </c>
      <c r="E1938">
        <v>2222222</v>
      </c>
      <c r="F1938" s="8" t="s">
        <v>22</v>
      </c>
      <c r="G1938" s="2">
        <v>98</v>
      </c>
      <c r="H1938" t="s">
        <v>4184</v>
      </c>
      <c r="J1938" s="9" t="s">
        <v>4909</v>
      </c>
      <c r="K1938" t="s">
        <v>5071</v>
      </c>
      <c r="L1938" s="2">
        <v>1</v>
      </c>
      <c r="M1938" s="24" t="s">
        <v>5971</v>
      </c>
      <c r="N1938" s="2" t="s">
        <v>23</v>
      </c>
      <c r="O1938" s="18" t="s">
        <v>1564</v>
      </c>
      <c r="P1938" s="18" t="s">
        <v>3781</v>
      </c>
      <c r="Q1938" s="6" t="s">
        <v>4475</v>
      </c>
      <c r="T1938" s="23">
        <v>46156</v>
      </c>
      <c r="U1938" s="23">
        <v>46246</v>
      </c>
      <c r="X1938" s="20">
        <v>3580</v>
      </c>
      <c r="Z1938" s="6" t="s">
        <v>5978</v>
      </c>
      <c r="AA1938" s="14">
        <f t="shared" si="247"/>
        <v>5.9999999999999995E-4</v>
      </c>
      <c r="AB1938">
        <v>2.1479999999999997</v>
      </c>
      <c r="AC1938">
        <v>2.2339199999999999</v>
      </c>
    </row>
    <row r="1939" spans="1:29" x14ac:dyDescent="0.3">
      <c r="A1939">
        <v>151381</v>
      </c>
      <c r="B1939" s="25" t="s">
        <v>5984</v>
      </c>
      <c r="C1939" t="s">
        <v>20</v>
      </c>
      <c r="D1939" t="s">
        <v>21</v>
      </c>
      <c r="E1939">
        <v>2222222</v>
      </c>
      <c r="F1939" s="8" t="s">
        <v>22</v>
      </c>
      <c r="G1939" s="2">
        <v>98</v>
      </c>
      <c r="H1939" t="s">
        <v>4184</v>
      </c>
      <c r="J1939" s="9" t="s">
        <v>4921</v>
      </c>
      <c r="K1939" t="s">
        <v>5558</v>
      </c>
      <c r="L1939" s="2">
        <v>1</v>
      </c>
      <c r="M1939" s="24" t="s">
        <v>5971</v>
      </c>
      <c r="N1939" s="2" t="s">
        <v>23</v>
      </c>
      <c r="O1939" s="18" t="s">
        <v>1572</v>
      </c>
      <c r="P1939" s="18" t="s">
        <v>3781</v>
      </c>
      <c r="Q1939" s="6" t="s">
        <v>4475</v>
      </c>
      <c r="T1939" s="23">
        <v>46160</v>
      </c>
      <c r="U1939" s="23">
        <v>46241</v>
      </c>
      <c r="X1939" s="20">
        <v>800</v>
      </c>
      <c r="Z1939" s="6" t="s">
        <v>5978</v>
      </c>
      <c r="AA1939" s="14">
        <f t="shared" si="247"/>
        <v>5.9999999999999995E-4</v>
      </c>
      <c r="AB1939">
        <v>0.48</v>
      </c>
      <c r="AC1939">
        <v>0.49919999999999998</v>
      </c>
    </row>
    <row r="1940" spans="1:29" x14ac:dyDescent="0.3">
      <c r="A1940">
        <v>151382</v>
      </c>
      <c r="B1940" s="25" t="s">
        <v>5984</v>
      </c>
      <c r="C1940" t="s">
        <v>20</v>
      </c>
      <c r="D1940" t="s">
        <v>21</v>
      </c>
      <c r="E1940">
        <v>2222222</v>
      </c>
      <c r="F1940" s="8" t="s">
        <v>22</v>
      </c>
      <c r="G1940" s="2">
        <v>98</v>
      </c>
      <c r="H1940" t="s">
        <v>4184</v>
      </c>
      <c r="J1940" s="9" t="s">
        <v>4921</v>
      </c>
      <c r="K1940" t="s">
        <v>5558</v>
      </c>
      <c r="L1940" s="2">
        <v>1</v>
      </c>
      <c r="M1940" s="24" t="s">
        <v>5971</v>
      </c>
      <c r="N1940" s="2" t="s">
        <v>23</v>
      </c>
      <c r="O1940" s="18" t="s">
        <v>1572</v>
      </c>
      <c r="P1940" s="18" t="s">
        <v>3781</v>
      </c>
      <c r="Q1940" s="6" t="s">
        <v>4475</v>
      </c>
      <c r="T1940" s="23">
        <v>46160</v>
      </c>
      <c r="U1940" s="23">
        <v>46246</v>
      </c>
      <c r="X1940" s="20">
        <v>500</v>
      </c>
      <c r="Z1940" s="6" t="s">
        <v>5978</v>
      </c>
      <c r="AA1940" s="14">
        <f t="shared" si="247"/>
        <v>5.9999999999999995E-4</v>
      </c>
      <c r="AB1940">
        <v>0.3</v>
      </c>
      <c r="AC1940">
        <v>0.312</v>
      </c>
    </row>
    <row r="1941" spans="1:29" x14ac:dyDescent="0.3">
      <c r="A1941">
        <v>151383</v>
      </c>
      <c r="B1941" s="25" t="s">
        <v>5984</v>
      </c>
      <c r="C1941" t="s">
        <v>20</v>
      </c>
      <c r="D1941" t="s">
        <v>21</v>
      </c>
      <c r="E1941">
        <v>2222222</v>
      </c>
      <c r="F1941" s="8" t="s">
        <v>22</v>
      </c>
      <c r="G1941" s="2">
        <v>98</v>
      </c>
      <c r="H1941" t="s">
        <v>4184</v>
      </c>
      <c r="J1941" s="9" t="s">
        <v>4921</v>
      </c>
      <c r="K1941" t="s">
        <v>5558</v>
      </c>
      <c r="L1941" s="2">
        <v>1</v>
      </c>
      <c r="M1941" s="24" t="s">
        <v>5971</v>
      </c>
      <c r="N1941" s="2" t="s">
        <v>23</v>
      </c>
      <c r="O1941" s="18" t="s">
        <v>1572</v>
      </c>
      <c r="P1941" s="18" t="s">
        <v>3781</v>
      </c>
      <c r="Q1941" s="6" t="s">
        <v>4475</v>
      </c>
      <c r="T1941" s="23">
        <v>46160</v>
      </c>
      <c r="U1941" s="23">
        <v>46249</v>
      </c>
      <c r="X1941" s="20">
        <v>500</v>
      </c>
      <c r="Z1941" s="6" t="s">
        <v>5978</v>
      </c>
      <c r="AA1941" s="14">
        <f t="shared" si="247"/>
        <v>5.9999999999999995E-4</v>
      </c>
      <c r="AB1941">
        <v>0.3</v>
      </c>
      <c r="AC1941">
        <v>0.312</v>
      </c>
    </row>
    <row r="1942" spans="1:29" x14ac:dyDescent="0.3">
      <c r="A1942">
        <v>151420</v>
      </c>
      <c r="B1942" s="25" t="s">
        <v>5984</v>
      </c>
      <c r="C1942" t="s">
        <v>20</v>
      </c>
      <c r="D1942" t="s">
        <v>21</v>
      </c>
      <c r="E1942">
        <v>2222222</v>
      </c>
      <c r="F1942" s="8" t="s">
        <v>22</v>
      </c>
      <c r="G1942" s="2">
        <v>98</v>
      </c>
      <c r="H1942" t="s">
        <v>4184</v>
      </c>
      <c r="J1942" s="9" t="s">
        <v>5261</v>
      </c>
      <c r="K1942" t="s">
        <v>5024</v>
      </c>
      <c r="L1942" s="2">
        <v>1</v>
      </c>
      <c r="M1942" s="24" t="s">
        <v>5971</v>
      </c>
      <c r="N1942" s="2" t="s">
        <v>23</v>
      </c>
      <c r="O1942" s="18" t="s">
        <v>1574</v>
      </c>
      <c r="P1942" s="18" t="s">
        <v>0</v>
      </c>
      <c r="Q1942" s="6" t="s">
        <v>4475</v>
      </c>
      <c r="T1942" s="23">
        <v>46162</v>
      </c>
      <c r="U1942" s="23">
        <v>46252</v>
      </c>
      <c r="X1942" s="20">
        <v>1100</v>
      </c>
      <c r="Z1942" s="6" t="s">
        <v>5978</v>
      </c>
      <c r="AA1942" s="14">
        <f t="shared" si="247"/>
        <v>5.9999999999999995E-4</v>
      </c>
      <c r="AB1942">
        <v>0.65999999999999992</v>
      </c>
      <c r="AC1942">
        <v>0.6863999999999999</v>
      </c>
    </row>
    <row r="1943" spans="1:29" x14ac:dyDescent="0.3">
      <c r="A1943">
        <v>151421</v>
      </c>
      <c r="B1943" s="25" t="s">
        <v>5984</v>
      </c>
      <c r="C1943" t="s">
        <v>20</v>
      </c>
      <c r="D1943" t="s">
        <v>21</v>
      </c>
      <c r="E1943">
        <v>2222222</v>
      </c>
      <c r="F1943" s="8" t="s">
        <v>22</v>
      </c>
      <c r="G1943" s="2">
        <v>98</v>
      </c>
      <c r="H1943" t="s">
        <v>4184</v>
      </c>
      <c r="J1943" s="9" t="s">
        <v>4921</v>
      </c>
      <c r="K1943" t="s">
        <v>5558</v>
      </c>
      <c r="L1943" s="2">
        <v>1</v>
      </c>
      <c r="M1943" s="24" t="s">
        <v>5971</v>
      </c>
      <c r="N1943" s="2" t="s">
        <v>23</v>
      </c>
      <c r="O1943" s="18" t="s">
        <v>1572</v>
      </c>
      <c r="P1943" s="18" t="s">
        <v>3781</v>
      </c>
      <c r="Q1943" s="6" t="s">
        <v>4475</v>
      </c>
      <c r="T1943" s="23">
        <v>46162</v>
      </c>
      <c r="U1943" s="23">
        <v>46252</v>
      </c>
      <c r="X1943" s="20">
        <v>4960</v>
      </c>
      <c r="Z1943" s="6" t="s">
        <v>5978</v>
      </c>
      <c r="AA1943" s="14">
        <f t="shared" si="247"/>
        <v>5.9999999999999995E-4</v>
      </c>
      <c r="AB1943">
        <v>2.9759999999999995</v>
      </c>
      <c r="AC1943">
        <v>3.0950399999999996</v>
      </c>
    </row>
    <row r="1944" spans="1:29" x14ac:dyDescent="0.3">
      <c r="A1944">
        <v>151430</v>
      </c>
      <c r="B1944" s="25" t="s">
        <v>5984</v>
      </c>
      <c r="C1944" t="s">
        <v>20</v>
      </c>
      <c r="D1944" t="s">
        <v>21</v>
      </c>
      <c r="E1944">
        <v>2222222</v>
      </c>
      <c r="F1944" s="8" t="s">
        <v>22</v>
      </c>
      <c r="G1944" s="2">
        <v>98</v>
      </c>
      <c r="H1944" t="s">
        <v>4184</v>
      </c>
      <c r="J1944" s="9" t="s">
        <v>4921</v>
      </c>
      <c r="K1944" t="s">
        <v>5558</v>
      </c>
      <c r="L1944" s="2">
        <v>1</v>
      </c>
      <c r="M1944" s="24" t="s">
        <v>5971</v>
      </c>
      <c r="N1944" s="2" t="s">
        <v>23</v>
      </c>
      <c r="O1944" s="18" t="s">
        <v>1572</v>
      </c>
      <c r="P1944" s="18" t="s">
        <v>3781</v>
      </c>
      <c r="Q1944" s="6" t="s">
        <v>4475</v>
      </c>
      <c r="T1944" s="23">
        <v>46162</v>
      </c>
      <c r="U1944" s="23">
        <v>46241</v>
      </c>
      <c r="X1944" s="20">
        <v>500</v>
      </c>
      <c r="Z1944" s="6" t="s">
        <v>5978</v>
      </c>
      <c r="AA1944" s="14">
        <f t="shared" si="247"/>
        <v>5.9999999999999995E-4</v>
      </c>
      <c r="AB1944">
        <v>0.3</v>
      </c>
      <c r="AC1944">
        <v>0.312</v>
      </c>
    </row>
    <row r="1945" spans="1:29" x14ac:dyDescent="0.3">
      <c r="A1945">
        <v>151431</v>
      </c>
      <c r="B1945" s="25" t="s">
        <v>5984</v>
      </c>
      <c r="C1945" t="s">
        <v>20</v>
      </c>
      <c r="D1945" t="s">
        <v>21</v>
      </c>
      <c r="E1945">
        <v>2222222</v>
      </c>
      <c r="F1945" s="8" t="s">
        <v>22</v>
      </c>
      <c r="G1945" s="2">
        <v>98</v>
      </c>
      <c r="H1945" t="s">
        <v>4184</v>
      </c>
      <c r="J1945" s="9" t="s">
        <v>4921</v>
      </c>
      <c r="K1945" t="s">
        <v>5558</v>
      </c>
      <c r="L1945" s="2">
        <v>1</v>
      </c>
      <c r="M1945" s="24" t="s">
        <v>5971</v>
      </c>
      <c r="N1945" s="2" t="s">
        <v>23</v>
      </c>
      <c r="O1945" s="18" t="s">
        <v>1572</v>
      </c>
      <c r="P1945" s="18" t="s">
        <v>3781</v>
      </c>
      <c r="Q1945" s="6" t="s">
        <v>4475</v>
      </c>
      <c r="T1945" s="23">
        <v>46162</v>
      </c>
      <c r="U1945" s="23">
        <v>46246</v>
      </c>
      <c r="X1945" s="20">
        <v>500</v>
      </c>
      <c r="Z1945" s="6" t="s">
        <v>5978</v>
      </c>
      <c r="AA1945" s="14">
        <f t="shared" si="247"/>
        <v>5.9999999999999995E-4</v>
      </c>
      <c r="AB1945">
        <v>0.3</v>
      </c>
      <c r="AC1945">
        <v>0.312</v>
      </c>
    </row>
    <row r="1946" spans="1:29" x14ac:dyDescent="0.3">
      <c r="A1946">
        <v>151432</v>
      </c>
      <c r="B1946" s="25" t="s">
        <v>5984</v>
      </c>
      <c r="C1946" t="s">
        <v>20</v>
      </c>
      <c r="D1946" t="s">
        <v>21</v>
      </c>
      <c r="E1946">
        <v>2222222</v>
      </c>
      <c r="F1946" s="8" t="s">
        <v>22</v>
      </c>
      <c r="G1946" s="2">
        <v>98</v>
      </c>
      <c r="H1946" t="s">
        <v>4184</v>
      </c>
      <c r="J1946" s="9" t="s">
        <v>4921</v>
      </c>
      <c r="K1946" t="s">
        <v>5558</v>
      </c>
      <c r="L1946" s="2">
        <v>1</v>
      </c>
      <c r="M1946" s="24" t="s">
        <v>5971</v>
      </c>
      <c r="N1946" s="2" t="s">
        <v>23</v>
      </c>
      <c r="O1946" s="18" t="s">
        <v>1572</v>
      </c>
      <c r="P1946" s="18" t="s">
        <v>3781</v>
      </c>
      <c r="Q1946" s="6" t="s">
        <v>4475</v>
      </c>
      <c r="T1946" s="23">
        <v>46162</v>
      </c>
      <c r="U1946" s="23">
        <v>46251</v>
      </c>
      <c r="X1946" s="20">
        <v>500</v>
      </c>
      <c r="Z1946" s="6" t="s">
        <v>5978</v>
      </c>
      <c r="AA1946" s="14">
        <f t="shared" si="247"/>
        <v>5.9999999999999995E-4</v>
      </c>
      <c r="AB1946">
        <v>0.3</v>
      </c>
      <c r="AC1946">
        <v>0.312</v>
      </c>
    </row>
    <row r="1947" spans="1:29" x14ac:dyDescent="0.3">
      <c r="A1947">
        <v>151451</v>
      </c>
      <c r="B1947" s="25" t="s">
        <v>5984</v>
      </c>
      <c r="C1947" t="s">
        <v>20</v>
      </c>
      <c r="D1947" t="s">
        <v>21</v>
      </c>
      <c r="E1947">
        <v>2222222</v>
      </c>
      <c r="F1947" s="8" t="s">
        <v>22</v>
      </c>
      <c r="G1947" s="2">
        <v>98</v>
      </c>
      <c r="H1947" t="s">
        <v>4184</v>
      </c>
      <c r="J1947" s="9" t="s">
        <v>4929</v>
      </c>
      <c r="K1947" t="s">
        <v>4827</v>
      </c>
      <c r="L1947" s="2">
        <v>1</v>
      </c>
      <c r="M1947" s="24" t="s">
        <v>5971</v>
      </c>
      <c r="N1947" s="2" t="s">
        <v>23</v>
      </c>
      <c r="O1947" s="18" t="s">
        <v>1575</v>
      </c>
      <c r="P1947" s="18" t="s">
        <v>0</v>
      </c>
      <c r="Q1947" s="6" t="s">
        <v>4475</v>
      </c>
      <c r="T1947" s="23">
        <v>46164</v>
      </c>
      <c r="U1947" s="23">
        <v>46894</v>
      </c>
      <c r="X1947" s="20">
        <v>3000</v>
      </c>
      <c r="Z1947" s="6" t="s">
        <v>5978</v>
      </c>
      <c r="AA1947" s="14">
        <f t="shared" si="247"/>
        <v>5.9999999999999995E-4</v>
      </c>
      <c r="AB1947">
        <v>1.6716959999999998</v>
      </c>
      <c r="AC1947">
        <v>1.7385638399999999</v>
      </c>
    </row>
    <row r="1948" spans="1:29" x14ac:dyDescent="0.3">
      <c r="A1948">
        <v>151568</v>
      </c>
      <c r="B1948" s="25" t="s">
        <v>5984</v>
      </c>
      <c r="C1948" t="s">
        <v>20</v>
      </c>
      <c r="D1948" t="s">
        <v>21</v>
      </c>
      <c r="E1948">
        <v>2222222</v>
      </c>
      <c r="F1948" s="8" t="s">
        <v>22</v>
      </c>
      <c r="G1948" s="2">
        <v>98</v>
      </c>
      <c r="H1948" t="s">
        <v>4184</v>
      </c>
      <c r="J1948" s="9" t="s">
        <v>4779</v>
      </c>
      <c r="K1948" t="s">
        <v>5174</v>
      </c>
      <c r="L1948" s="2">
        <v>1</v>
      </c>
      <c r="M1948" s="24" t="s">
        <v>5971</v>
      </c>
      <c r="N1948" s="2" t="s">
        <v>23</v>
      </c>
      <c r="O1948" s="18" t="s">
        <v>1535</v>
      </c>
      <c r="P1948" s="18" t="s">
        <v>0</v>
      </c>
      <c r="Q1948" s="6" t="s">
        <v>4475</v>
      </c>
      <c r="T1948" s="23">
        <v>46173</v>
      </c>
      <c r="U1948" s="23">
        <v>46903</v>
      </c>
      <c r="X1948" s="20">
        <v>5000</v>
      </c>
      <c r="Z1948" s="6" t="s">
        <v>5978</v>
      </c>
      <c r="AA1948" s="14">
        <f t="shared" si="247"/>
        <v>5.9999999999999995E-4</v>
      </c>
      <c r="AB1948">
        <v>2.7881580000000001</v>
      </c>
      <c r="AC1948">
        <v>2.8996843200000004</v>
      </c>
    </row>
    <row r="1949" spans="1:29" x14ac:dyDescent="0.3">
      <c r="A1949">
        <v>151605</v>
      </c>
      <c r="B1949" s="25" t="s">
        <v>5984</v>
      </c>
      <c r="C1949" t="s">
        <v>20</v>
      </c>
      <c r="D1949" t="s">
        <v>21</v>
      </c>
      <c r="E1949">
        <v>2222222</v>
      </c>
      <c r="F1949" s="8" t="s">
        <v>22</v>
      </c>
      <c r="G1949" s="2">
        <v>98</v>
      </c>
      <c r="H1949" t="s">
        <v>4184</v>
      </c>
      <c r="J1949" s="9" t="s">
        <v>5550</v>
      </c>
      <c r="K1949" t="s">
        <v>4926</v>
      </c>
      <c r="L1949" s="2">
        <v>1</v>
      </c>
      <c r="M1949" s="24" t="s">
        <v>5971</v>
      </c>
      <c r="N1949" s="2" t="s">
        <v>23</v>
      </c>
      <c r="O1949" s="18" t="s">
        <v>735</v>
      </c>
      <c r="P1949" s="18" t="s">
        <v>3781</v>
      </c>
      <c r="Q1949" s="6" t="s">
        <v>4475</v>
      </c>
      <c r="T1949" s="23">
        <v>46175</v>
      </c>
      <c r="U1949" s="23">
        <v>46265</v>
      </c>
      <c r="X1949" s="20">
        <v>1545</v>
      </c>
      <c r="Z1949" s="6" t="s">
        <v>5978</v>
      </c>
      <c r="AA1949" s="14">
        <f t="shared" si="247"/>
        <v>5.9999999999999995E-4</v>
      </c>
      <c r="AB1949">
        <v>0.92699999999999994</v>
      </c>
      <c r="AC1949">
        <v>0.96407999999999994</v>
      </c>
    </row>
    <row r="1950" spans="1:29" x14ac:dyDescent="0.3">
      <c r="A1950">
        <v>151635</v>
      </c>
      <c r="B1950" s="25" t="s">
        <v>5984</v>
      </c>
      <c r="C1950" t="s">
        <v>20</v>
      </c>
      <c r="D1950" t="s">
        <v>21</v>
      </c>
      <c r="E1950">
        <v>2222222</v>
      </c>
      <c r="F1950" s="8" t="s">
        <v>22</v>
      </c>
      <c r="G1950" s="2">
        <v>98</v>
      </c>
      <c r="H1950" t="s">
        <v>4184</v>
      </c>
      <c r="J1950" s="9" t="s">
        <v>4921</v>
      </c>
      <c r="K1950" t="s">
        <v>5558</v>
      </c>
      <c r="L1950" s="2">
        <v>1</v>
      </c>
      <c r="M1950" s="24" t="s">
        <v>5971</v>
      </c>
      <c r="N1950" s="2" t="s">
        <v>23</v>
      </c>
      <c r="O1950" s="18" t="s">
        <v>1572</v>
      </c>
      <c r="P1950" s="18" t="s">
        <v>3781</v>
      </c>
      <c r="Q1950" s="6" t="s">
        <v>4475</v>
      </c>
      <c r="T1950" s="23">
        <v>46177</v>
      </c>
      <c r="U1950" s="23">
        <v>46244</v>
      </c>
      <c r="X1950" s="20">
        <v>500</v>
      </c>
      <c r="Z1950" s="6" t="s">
        <v>5978</v>
      </c>
      <c r="AA1950" s="14">
        <f t="shared" si="247"/>
        <v>5.9999999999999995E-4</v>
      </c>
      <c r="AB1950">
        <v>0.3</v>
      </c>
      <c r="AC1950">
        <v>0.312</v>
      </c>
    </row>
    <row r="1951" spans="1:29" x14ac:dyDescent="0.3">
      <c r="A1951">
        <v>151636</v>
      </c>
      <c r="B1951" s="25" t="s">
        <v>5984</v>
      </c>
      <c r="C1951" t="s">
        <v>20</v>
      </c>
      <c r="D1951" t="s">
        <v>21</v>
      </c>
      <c r="E1951">
        <v>2222222</v>
      </c>
      <c r="F1951" s="8" t="s">
        <v>22</v>
      </c>
      <c r="G1951" s="2">
        <v>98</v>
      </c>
      <c r="H1951" t="s">
        <v>4184</v>
      </c>
      <c r="J1951" s="9" t="s">
        <v>4921</v>
      </c>
      <c r="K1951" t="s">
        <v>5558</v>
      </c>
      <c r="L1951" s="2">
        <v>1</v>
      </c>
      <c r="M1951" s="24" t="s">
        <v>5971</v>
      </c>
      <c r="N1951" s="2" t="s">
        <v>23</v>
      </c>
      <c r="O1951" s="18" t="s">
        <v>1572</v>
      </c>
      <c r="P1951" s="18" t="s">
        <v>3781</v>
      </c>
      <c r="Q1951" s="6" t="s">
        <v>4475</v>
      </c>
      <c r="T1951" s="23">
        <v>46177</v>
      </c>
      <c r="U1951" s="23">
        <v>46251</v>
      </c>
      <c r="X1951" s="20">
        <v>500</v>
      </c>
      <c r="Z1951" s="6" t="s">
        <v>5978</v>
      </c>
      <c r="AA1951" s="14">
        <f t="shared" si="247"/>
        <v>5.9999999999999995E-4</v>
      </c>
      <c r="AB1951">
        <v>0.3</v>
      </c>
      <c r="AC1951">
        <v>0.312</v>
      </c>
    </row>
    <row r="1952" spans="1:29" x14ac:dyDescent="0.3">
      <c r="A1952">
        <v>151637</v>
      </c>
      <c r="B1952" s="25" t="s">
        <v>5984</v>
      </c>
      <c r="C1952" t="s">
        <v>20</v>
      </c>
      <c r="D1952" t="s">
        <v>21</v>
      </c>
      <c r="E1952">
        <v>2222222</v>
      </c>
      <c r="F1952" s="8" t="s">
        <v>22</v>
      </c>
      <c r="G1952" s="2">
        <v>98</v>
      </c>
      <c r="H1952" t="s">
        <v>4184</v>
      </c>
      <c r="J1952" s="9" t="s">
        <v>4921</v>
      </c>
      <c r="K1952" t="s">
        <v>5558</v>
      </c>
      <c r="L1952" s="2">
        <v>1</v>
      </c>
      <c r="M1952" s="24" t="s">
        <v>5971</v>
      </c>
      <c r="N1952" s="2" t="s">
        <v>23</v>
      </c>
      <c r="O1952" s="18" t="s">
        <v>1572</v>
      </c>
      <c r="P1952" s="18" t="s">
        <v>3781</v>
      </c>
      <c r="Q1952" s="6" t="s">
        <v>4475</v>
      </c>
      <c r="T1952" s="23">
        <v>46177</v>
      </c>
      <c r="U1952" s="23">
        <v>46258</v>
      </c>
      <c r="X1952" s="20">
        <v>500</v>
      </c>
      <c r="Z1952" s="6" t="s">
        <v>5978</v>
      </c>
      <c r="AA1952" s="14">
        <f t="shared" si="247"/>
        <v>5.9999999999999995E-4</v>
      </c>
      <c r="AB1952">
        <v>0.3</v>
      </c>
      <c r="AC1952">
        <v>0.312</v>
      </c>
    </row>
    <row r="1953" spans="1:29" x14ac:dyDescent="0.3">
      <c r="A1953">
        <v>151638</v>
      </c>
      <c r="B1953" s="25" t="s">
        <v>5984</v>
      </c>
      <c r="C1953" t="s">
        <v>20</v>
      </c>
      <c r="D1953" t="s">
        <v>21</v>
      </c>
      <c r="E1953">
        <v>2222222</v>
      </c>
      <c r="F1953" s="8" t="s">
        <v>22</v>
      </c>
      <c r="G1953" s="2">
        <v>98</v>
      </c>
      <c r="H1953" t="s">
        <v>4184</v>
      </c>
      <c r="J1953" s="9" t="s">
        <v>4921</v>
      </c>
      <c r="K1953" t="s">
        <v>5558</v>
      </c>
      <c r="L1953" s="2">
        <v>1</v>
      </c>
      <c r="M1953" s="24" t="s">
        <v>5971</v>
      </c>
      <c r="N1953" s="2" t="s">
        <v>23</v>
      </c>
      <c r="O1953" s="18" t="s">
        <v>1572</v>
      </c>
      <c r="P1953" s="18" t="s">
        <v>3781</v>
      </c>
      <c r="Q1953" s="6" t="s">
        <v>4475</v>
      </c>
      <c r="T1953" s="23">
        <v>46177</v>
      </c>
      <c r="U1953" s="23">
        <v>46265</v>
      </c>
      <c r="X1953" s="20">
        <v>500</v>
      </c>
      <c r="Z1953" s="6" t="s">
        <v>5978</v>
      </c>
      <c r="AA1953" s="14">
        <f t="shared" si="247"/>
        <v>5.9999999999999995E-4</v>
      </c>
      <c r="AB1953">
        <v>0.3</v>
      </c>
      <c r="AC1953">
        <v>0.312</v>
      </c>
    </row>
    <row r="1954" spans="1:29" x14ac:dyDescent="0.3">
      <c r="A1954">
        <v>151654</v>
      </c>
      <c r="B1954" s="25" t="s">
        <v>5984</v>
      </c>
      <c r="C1954" t="s">
        <v>20</v>
      </c>
      <c r="D1954" t="s">
        <v>21</v>
      </c>
      <c r="E1954">
        <v>2222222</v>
      </c>
      <c r="F1954" s="8" t="s">
        <v>22</v>
      </c>
      <c r="G1954" s="2">
        <v>98</v>
      </c>
      <c r="H1954" t="s">
        <v>4184</v>
      </c>
      <c r="J1954" s="9" t="s">
        <v>5165</v>
      </c>
      <c r="K1954" t="s">
        <v>4861</v>
      </c>
      <c r="L1954" s="2">
        <v>1</v>
      </c>
      <c r="M1954" s="24" t="s">
        <v>5971</v>
      </c>
      <c r="N1954" s="2" t="s">
        <v>23</v>
      </c>
      <c r="O1954" s="18" t="s">
        <v>1576</v>
      </c>
      <c r="P1954" s="18" t="s">
        <v>3781</v>
      </c>
      <c r="Q1954" s="6" t="s">
        <v>4475</v>
      </c>
      <c r="T1954" s="23">
        <v>46177</v>
      </c>
      <c r="U1954" s="23">
        <v>46360</v>
      </c>
      <c r="X1954" s="20">
        <v>300</v>
      </c>
      <c r="Z1954" s="6" t="s">
        <v>5978</v>
      </c>
      <c r="AA1954" s="14">
        <f t="shared" si="247"/>
        <v>5.9999999999999995E-4</v>
      </c>
      <c r="AB1954">
        <v>0.151086</v>
      </c>
      <c r="AC1954">
        <v>0.15712944000000001</v>
      </c>
    </row>
    <row r="1955" spans="1:29" x14ac:dyDescent="0.3">
      <c r="A1955">
        <v>151701</v>
      </c>
      <c r="B1955" s="25" t="s">
        <v>5984</v>
      </c>
      <c r="C1955" t="s">
        <v>20</v>
      </c>
      <c r="D1955" t="s">
        <v>21</v>
      </c>
      <c r="E1955">
        <v>2222222</v>
      </c>
      <c r="F1955" s="8" t="s">
        <v>22</v>
      </c>
      <c r="G1955" s="2">
        <v>98</v>
      </c>
      <c r="H1955" t="s">
        <v>4184</v>
      </c>
      <c r="J1955" s="9" t="s">
        <v>4921</v>
      </c>
      <c r="K1955" t="s">
        <v>5558</v>
      </c>
      <c r="L1955" s="2">
        <v>1</v>
      </c>
      <c r="M1955" s="24" t="s">
        <v>5971</v>
      </c>
      <c r="N1955" s="2" t="s">
        <v>23</v>
      </c>
      <c r="O1955" s="18" t="s">
        <v>1572</v>
      </c>
      <c r="P1955" s="18" t="s">
        <v>3781</v>
      </c>
      <c r="Q1955" s="6" t="s">
        <v>4475</v>
      </c>
      <c r="T1955" s="23">
        <v>46182</v>
      </c>
      <c r="U1955" s="23">
        <v>46266</v>
      </c>
      <c r="X1955" s="20">
        <v>800</v>
      </c>
      <c r="Z1955" s="6" t="s">
        <v>5978</v>
      </c>
      <c r="AA1955" s="14">
        <f t="shared" si="247"/>
        <v>5.9999999999999995E-4</v>
      </c>
      <c r="AB1955">
        <v>0.48</v>
      </c>
      <c r="AC1955">
        <v>0.49919999999999998</v>
      </c>
    </row>
    <row r="1956" spans="1:29" x14ac:dyDescent="0.3">
      <c r="A1956">
        <v>151742</v>
      </c>
      <c r="B1956" s="25" t="s">
        <v>5984</v>
      </c>
      <c r="C1956" t="s">
        <v>20</v>
      </c>
      <c r="D1956" t="s">
        <v>21</v>
      </c>
      <c r="E1956">
        <v>2222222</v>
      </c>
      <c r="F1956" s="8" t="s">
        <v>22</v>
      </c>
      <c r="G1956" s="2">
        <v>98</v>
      </c>
      <c r="H1956" t="s">
        <v>4184</v>
      </c>
      <c r="J1956" s="9" t="s">
        <v>5280</v>
      </c>
      <c r="K1956" t="s">
        <v>4924</v>
      </c>
      <c r="L1956" s="2">
        <v>1</v>
      </c>
      <c r="M1956" s="24" t="s">
        <v>5971</v>
      </c>
      <c r="N1956" s="2" t="s">
        <v>23</v>
      </c>
      <c r="O1956" s="18" t="s">
        <v>1563</v>
      </c>
      <c r="P1956" s="18" t="s">
        <v>3781</v>
      </c>
      <c r="Q1956" s="6" t="s">
        <v>4475</v>
      </c>
      <c r="T1956" s="23">
        <v>46184</v>
      </c>
      <c r="U1956" s="23">
        <v>46732</v>
      </c>
      <c r="X1956" s="20">
        <v>1000</v>
      </c>
      <c r="Z1956" s="6" t="s">
        <v>5978</v>
      </c>
      <c r="AA1956" s="14">
        <f t="shared" si="247"/>
        <v>5.9999999999999995E-4</v>
      </c>
      <c r="AB1956">
        <v>0.570438</v>
      </c>
      <c r="AC1956">
        <v>0.59325552000000004</v>
      </c>
    </row>
    <row r="1957" spans="1:29" x14ac:dyDescent="0.3">
      <c r="A1957">
        <v>151749</v>
      </c>
      <c r="B1957" s="25" t="s">
        <v>5984</v>
      </c>
      <c r="C1957" t="s">
        <v>20</v>
      </c>
      <c r="D1957" t="s">
        <v>21</v>
      </c>
      <c r="E1957">
        <v>2222222</v>
      </c>
      <c r="F1957" s="8" t="s">
        <v>22</v>
      </c>
      <c r="G1957" s="2">
        <v>98</v>
      </c>
      <c r="H1957" t="s">
        <v>4184</v>
      </c>
      <c r="J1957" s="9" t="s">
        <v>5559</v>
      </c>
      <c r="K1957" t="s">
        <v>4861</v>
      </c>
      <c r="L1957" s="2">
        <v>1</v>
      </c>
      <c r="M1957" s="24" t="s">
        <v>5971</v>
      </c>
      <c r="N1957" s="2" t="s">
        <v>23</v>
      </c>
      <c r="O1957" s="18" t="s">
        <v>1350</v>
      </c>
      <c r="P1957" s="18" t="s">
        <v>3781</v>
      </c>
      <c r="Q1957" s="6" t="s">
        <v>4475</v>
      </c>
      <c r="T1957" s="23">
        <v>46184</v>
      </c>
      <c r="U1957" s="23">
        <v>46274</v>
      </c>
      <c r="X1957" s="20">
        <v>4970</v>
      </c>
      <c r="Z1957" s="6" t="s">
        <v>5978</v>
      </c>
      <c r="AA1957" s="14">
        <f t="shared" si="247"/>
        <v>5.9999999999999995E-4</v>
      </c>
      <c r="AB1957">
        <v>2.9819999999999998</v>
      </c>
      <c r="AC1957">
        <v>3.10128</v>
      </c>
    </row>
    <row r="1958" spans="1:29" x14ac:dyDescent="0.3">
      <c r="A1958">
        <v>151767</v>
      </c>
      <c r="B1958" s="25" t="s">
        <v>5984</v>
      </c>
      <c r="C1958" t="s">
        <v>20</v>
      </c>
      <c r="D1958" t="s">
        <v>21</v>
      </c>
      <c r="E1958">
        <v>2222222</v>
      </c>
      <c r="F1958" s="8" t="s">
        <v>22</v>
      </c>
      <c r="G1958" s="2">
        <v>98</v>
      </c>
      <c r="H1958" t="s">
        <v>4184</v>
      </c>
      <c r="J1958" s="9" t="s">
        <v>4929</v>
      </c>
      <c r="K1958" t="s">
        <v>5270</v>
      </c>
      <c r="L1958" s="2">
        <v>1</v>
      </c>
      <c r="M1958" s="24" t="s">
        <v>5971</v>
      </c>
      <c r="N1958" s="2" t="s">
        <v>23</v>
      </c>
      <c r="O1958" s="18" t="s">
        <v>1506</v>
      </c>
      <c r="P1958" s="18" t="s">
        <v>0</v>
      </c>
      <c r="Q1958" s="6" t="s">
        <v>4475</v>
      </c>
      <c r="T1958" s="23">
        <v>46185</v>
      </c>
      <c r="U1958" s="23">
        <v>46275</v>
      </c>
      <c r="X1958" s="20">
        <v>3000</v>
      </c>
      <c r="Z1958" s="6" t="s">
        <v>5978</v>
      </c>
      <c r="AA1958" s="14">
        <f t="shared" si="247"/>
        <v>5.9999999999999995E-4</v>
      </c>
      <c r="AB1958">
        <v>1.7999999999999998</v>
      </c>
      <c r="AC1958">
        <v>1.8719999999999999</v>
      </c>
    </row>
    <row r="1959" spans="1:29" x14ac:dyDescent="0.3">
      <c r="A1959">
        <v>151850</v>
      </c>
      <c r="B1959" s="25" t="s">
        <v>5984</v>
      </c>
      <c r="C1959" t="s">
        <v>20</v>
      </c>
      <c r="D1959" t="s">
        <v>21</v>
      </c>
      <c r="E1959">
        <v>2222222</v>
      </c>
      <c r="F1959" s="8" t="s">
        <v>22</v>
      </c>
      <c r="G1959" s="2">
        <v>98</v>
      </c>
      <c r="H1959" t="s">
        <v>4184</v>
      </c>
      <c r="J1959" s="9" t="s">
        <v>4836</v>
      </c>
      <c r="K1959" t="s">
        <v>4858</v>
      </c>
      <c r="L1959" s="2">
        <v>1</v>
      </c>
      <c r="M1959" s="24" t="s">
        <v>5971</v>
      </c>
      <c r="N1959" s="2" t="s">
        <v>23</v>
      </c>
      <c r="O1959" s="18" t="s">
        <v>1537</v>
      </c>
      <c r="P1959" s="18" t="s">
        <v>3781</v>
      </c>
      <c r="Q1959" s="6" t="s">
        <v>4475</v>
      </c>
      <c r="T1959" s="23">
        <v>46191</v>
      </c>
      <c r="U1959" s="23">
        <v>46281</v>
      </c>
      <c r="X1959" s="20">
        <v>1010</v>
      </c>
      <c r="Z1959" s="6" t="s">
        <v>5978</v>
      </c>
      <c r="AA1959" s="14">
        <f t="shared" si="247"/>
        <v>5.9999999999999995E-4</v>
      </c>
      <c r="AB1959">
        <v>0.60599999999999998</v>
      </c>
      <c r="AC1959">
        <v>0.63024000000000002</v>
      </c>
    </row>
    <row r="1960" spans="1:29" x14ac:dyDescent="0.3">
      <c r="A1960">
        <v>151852</v>
      </c>
      <c r="B1960" s="25" t="s">
        <v>5984</v>
      </c>
      <c r="C1960" t="s">
        <v>20</v>
      </c>
      <c r="D1960" t="s">
        <v>21</v>
      </c>
      <c r="E1960">
        <v>2222222</v>
      </c>
      <c r="F1960" s="8" t="s">
        <v>22</v>
      </c>
      <c r="G1960" s="2">
        <v>98</v>
      </c>
      <c r="H1960" t="s">
        <v>4184</v>
      </c>
      <c r="J1960" s="9" t="s">
        <v>4838</v>
      </c>
      <c r="K1960" t="s">
        <v>4815</v>
      </c>
      <c r="L1960" s="2">
        <v>1</v>
      </c>
      <c r="M1960" s="24" t="s">
        <v>5971</v>
      </c>
      <c r="N1960" s="2" t="s">
        <v>23</v>
      </c>
      <c r="O1960" s="18" t="s">
        <v>1577</v>
      </c>
      <c r="P1960" s="18" t="s">
        <v>0</v>
      </c>
      <c r="Q1960" s="6" t="s">
        <v>4475</v>
      </c>
      <c r="T1960" s="23">
        <v>46191</v>
      </c>
      <c r="U1960" s="23">
        <v>46281</v>
      </c>
      <c r="X1960" s="20">
        <v>3980</v>
      </c>
      <c r="Z1960" s="6" t="s">
        <v>5978</v>
      </c>
      <c r="AA1960" s="14">
        <f t="shared" si="247"/>
        <v>5.9999999999999995E-4</v>
      </c>
      <c r="AB1960">
        <v>2.3879999999999999</v>
      </c>
      <c r="AC1960">
        <v>2.4835199999999999</v>
      </c>
    </row>
    <row r="1961" spans="1:29" x14ac:dyDescent="0.3">
      <c r="A1961">
        <v>151909</v>
      </c>
      <c r="B1961" s="25" t="s">
        <v>5984</v>
      </c>
      <c r="C1961" t="s">
        <v>20</v>
      </c>
      <c r="D1961" t="s">
        <v>21</v>
      </c>
      <c r="E1961">
        <v>2222222</v>
      </c>
      <c r="F1961" s="8" t="s">
        <v>22</v>
      </c>
      <c r="G1961" s="2">
        <v>98</v>
      </c>
      <c r="H1961" t="s">
        <v>4184</v>
      </c>
      <c r="J1961" s="9" t="s">
        <v>5560</v>
      </c>
      <c r="K1961" t="s">
        <v>4980</v>
      </c>
      <c r="L1961" s="2">
        <v>1</v>
      </c>
      <c r="M1961" s="24" t="s">
        <v>5971</v>
      </c>
      <c r="N1961" s="2" t="s">
        <v>23</v>
      </c>
      <c r="O1961" s="18" t="s">
        <v>1578</v>
      </c>
      <c r="P1961" s="18" t="s">
        <v>3781</v>
      </c>
      <c r="Q1961" s="6" t="s">
        <v>4475</v>
      </c>
      <c r="T1961" s="23">
        <v>46196</v>
      </c>
      <c r="U1961" s="23">
        <v>46286</v>
      </c>
      <c r="X1961" s="20">
        <v>2600</v>
      </c>
      <c r="Z1961" s="6" t="s">
        <v>5978</v>
      </c>
      <c r="AA1961" s="14">
        <f t="shared" si="247"/>
        <v>5.9999999999999995E-4</v>
      </c>
      <c r="AB1961">
        <v>1.5599999999999998</v>
      </c>
      <c r="AC1961">
        <v>1.6223999999999998</v>
      </c>
    </row>
    <row r="1962" spans="1:29" x14ac:dyDescent="0.3">
      <c r="A1962">
        <v>151917</v>
      </c>
      <c r="B1962" s="25" t="s">
        <v>5984</v>
      </c>
      <c r="C1962" t="s">
        <v>20</v>
      </c>
      <c r="D1962" t="s">
        <v>21</v>
      </c>
      <c r="E1962">
        <v>2222222</v>
      </c>
      <c r="F1962" s="8" t="s">
        <v>22</v>
      </c>
      <c r="G1962" s="2">
        <v>98</v>
      </c>
      <c r="H1962" t="s">
        <v>4184</v>
      </c>
      <c r="J1962" s="9" t="s">
        <v>4892</v>
      </c>
      <c r="K1962" t="s">
        <v>5561</v>
      </c>
      <c r="L1962" s="2">
        <v>1</v>
      </c>
      <c r="M1962" s="24" t="s">
        <v>5971</v>
      </c>
      <c r="N1962" s="2" t="s">
        <v>23</v>
      </c>
      <c r="O1962" s="18" t="s">
        <v>1579</v>
      </c>
      <c r="P1962" s="18" t="s">
        <v>3781</v>
      </c>
      <c r="Q1962" s="6" t="s">
        <v>4475</v>
      </c>
      <c r="T1962" s="23">
        <v>46197</v>
      </c>
      <c r="U1962" s="23">
        <v>47658</v>
      </c>
      <c r="X1962" s="20">
        <v>4000</v>
      </c>
      <c r="Z1962" s="6" t="s">
        <v>5978</v>
      </c>
      <c r="AA1962" s="14">
        <f t="shared" si="247"/>
        <v>5.9999999999999995E-4</v>
      </c>
      <c r="AB1962">
        <v>2.3651879999999998</v>
      </c>
      <c r="AC1962">
        <v>2.4597955200000001</v>
      </c>
    </row>
    <row r="1963" spans="1:29" x14ac:dyDescent="0.3">
      <c r="A1963">
        <v>151928</v>
      </c>
      <c r="B1963" s="25" t="s">
        <v>5984</v>
      </c>
      <c r="C1963" t="s">
        <v>20</v>
      </c>
      <c r="D1963" t="s">
        <v>21</v>
      </c>
      <c r="E1963">
        <v>2222222</v>
      </c>
      <c r="F1963" s="8" t="s">
        <v>22</v>
      </c>
      <c r="G1963" s="2">
        <v>98</v>
      </c>
      <c r="H1963" t="s">
        <v>4184</v>
      </c>
      <c r="J1963" s="9" t="s">
        <v>4921</v>
      </c>
      <c r="K1963" t="s">
        <v>5558</v>
      </c>
      <c r="L1963" s="2">
        <v>1</v>
      </c>
      <c r="M1963" s="24" t="s">
        <v>5971</v>
      </c>
      <c r="N1963" s="2" t="s">
        <v>23</v>
      </c>
      <c r="O1963" s="18" t="s">
        <v>1572</v>
      </c>
      <c r="P1963" s="18" t="s">
        <v>3781</v>
      </c>
      <c r="Q1963" s="6" t="s">
        <v>4475</v>
      </c>
      <c r="T1963" s="23">
        <v>46198</v>
      </c>
      <c r="U1963" s="23">
        <v>46260</v>
      </c>
      <c r="X1963" s="20">
        <v>500</v>
      </c>
      <c r="Z1963" s="6" t="s">
        <v>5978</v>
      </c>
      <c r="AA1963" s="14">
        <f t="shared" si="247"/>
        <v>5.9999999999999995E-4</v>
      </c>
      <c r="AB1963">
        <v>0.3</v>
      </c>
      <c r="AC1963">
        <v>0.312</v>
      </c>
    </row>
    <row r="1964" spans="1:29" x14ac:dyDescent="0.3">
      <c r="A1964">
        <v>151929</v>
      </c>
      <c r="B1964" s="25" t="s">
        <v>5984</v>
      </c>
      <c r="C1964" t="s">
        <v>20</v>
      </c>
      <c r="D1964" t="s">
        <v>21</v>
      </c>
      <c r="E1964">
        <v>2222222</v>
      </c>
      <c r="F1964" s="8" t="s">
        <v>22</v>
      </c>
      <c r="G1964" s="2">
        <v>98</v>
      </c>
      <c r="H1964" t="s">
        <v>4184</v>
      </c>
      <c r="J1964" s="9" t="s">
        <v>4921</v>
      </c>
      <c r="K1964" t="s">
        <v>5558</v>
      </c>
      <c r="L1964" s="2">
        <v>1</v>
      </c>
      <c r="M1964" s="24" t="s">
        <v>5971</v>
      </c>
      <c r="N1964" s="2" t="s">
        <v>23</v>
      </c>
      <c r="O1964" s="18" t="s">
        <v>1572</v>
      </c>
      <c r="P1964" s="18" t="s">
        <v>3781</v>
      </c>
      <c r="Q1964" s="6" t="s">
        <v>4475</v>
      </c>
      <c r="T1964" s="23">
        <v>46198</v>
      </c>
      <c r="U1964" s="23">
        <v>46271</v>
      </c>
      <c r="X1964" s="20">
        <v>500</v>
      </c>
      <c r="Z1964" s="6" t="s">
        <v>5978</v>
      </c>
      <c r="AA1964" s="14">
        <f t="shared" si="247"/>
        <v>5.9999999999999995E-4</v>
      </c>
      <c r="AB1964">
        <v>0.3</v>
      </c>
      <c r="AC1964">
        <v>0.312</v>
      </c>
    </row>
    <row r="1965" spans="1:29" x14ac:dyDescent="0.3">
      <c r="A1965">
        <v>151930</v>
      </c>
      <c r="B1965" s="25" t="s">
        <v>5984</v>
      </c>
      <c r="C1965" t="s">
        <v>20</v>
      </c>
      <c r="D1965" t="s">
        <v>21</v>
      </c>
      <c r="E1965">
        <v>2222222</v>
      </c>
      <c r="F1965" s="8" t="s">
        <v>22</v>
      </c>
      <c r="G1965" s="2">
        <v>98</v>
      </c>
      <c r="H1965" t="s">
        <v>4184</v>
      </c>
      <c r="J1965" s="9" t="s">
        <v>4921</v>
      </c>
      <c r="K1965" t="s">
        <v>5558</v>
      </c>
      <c r="L1965" s="2">
        <v>1</v>
      </c>
      <c r="M1965" s="24" t="s">
        <v>5971</v>
      </c>
      <c r="N1965" s="2" t="s">
        <v>23</v>
      </c>
      <c r="O1965" s="18" t="s">
        <v>1572</v>
      </c>
      <c r="P1965" s="18" t="s">
        <v>3781</v>
      </c>
      <c r="Q1965" s="6" t="s">
        <v>4475</v>
      </c>
      <c r="T1965" s="23">
        <v>46198</v>
      </c>
      <c r="U1965" s="23">
        <v>46277</v>
      </c>
      <c r="X1965" s="20">
        <v>500</v>
      </c>
      <c r="Z1965" s="6" t="s">
        <v>5978</v>
      </c>
      <c r="AA1965" s="14">
        <f t="shared" si="247"/>
        <v>5.9999999999999995E-4</v>
      </c>
      <c r="AB1965">
        <v>0.3</v>
      </c>
      <c r="AC1965">
        <v>0.312</v>
      </c>
    </row>
    <row r="1966" spans="1:29" x14ac:dyDescent="0.3">
      <c r="A1966">
        <v>151931</v>
      </c>
      <c r="B1966" s="25" t="s">
        <v>5984</v>
      </c>
      <c r="C1966" t="s">
        <v>20</v>
      </c>
      <c r="D1966" t="s">
        <v>21</v>
      </c>
      <c r="E1966">
        <v>2222222</v>
      </c>
      <c r="F1966" s="8" t="s">
        <v>22</v>
      </c>
      <c r="G1966" s="2">
        <v>98</v>
      </c>
      <c r="H1966" t="s">
        <v>4184</v>
      </c>
      <c r="J1966" s="9" t="s">
        <v>4921</v>
      </c>
      <c r="K1966" t="s">
        <v>5558</v>
      </c>
      <c r="L1966" s="2">
        <v>1</v>
      </c>
      <c r="M1966" s="24" t="s">
        <v>5971</v>
      </c>
      <c r="N1966" s="2" t="s">
        <v>23</v>
      </c>
      <c r="O1966" s="18" t="s">
        <v>1572</v>
      </c>
      <c r="P1966" s="18" t="s">
        <v>3781</v>
      </c>
      <c r="Q1966" s="6" t="s">
        <v>4475</v>
      </c>
      <c r="T1966" s="23">
        <v>46198</v>
      </c>
      <c r="U1966" s="23">
        <v>46282</v>
      </c>
      <c r="X1966" s="20">
        <v>500</v>
      </c>
      <c r="Z1966" s="6" t="s">
        <v>5978</v>
      </c>
      <c r="AA1966" s="14">
        <f t="shared" si="247"/>
        <v>5.9999999999999995E-4</v>
      </c>
      <c r="AB1966">
        <v>0.3</v>
      </c>
      <c r="AC1966">
        <v>0.312</v>
      </c>
    </row>
    <row r="1967" spans="1:29" x14ac:dyDescent="0.3">
      <c r="A1967">
        <v>151932</v>
      </c>
      <c r="B1967" s="25" t="s">
        <v>5984</v>
      </c>
      <c r="C1967" t="s">
        <v>20</v>
      </c>
      <c r="D1967" t="s">
        <v>21</v>
      </c>
      <c r="E1967">
        <v>2222222</v>
      </c>
      <c r="F1967" s="8" t="s">
        <v>22</v>
      </c>
      <c r="G1967" s="2">
        <v>98</v>
      </c>
      <c r="H1967" t="s">
        <v>4184</v>
      </c>
      <c r="J1967" s="9" t="s">
        <v>4921</v>
      </c>
      <c r="K1967" t="s">
        <v>5558</v>
      </c>
      <c r="L1967" s="2">
        <v>1</v>
      </c>
      <c r="M1967" s="24" t="s">
        <v>5971</v>
      </c>
      <c r="N1967" s="2" t="s">
        <v>23</v>
      </c>
      <c r="O1967" s="18" t="s">
        <v>1572</v>
      </c>
      <c r="P1967" s="18" t="s">
        <v>3781</v>
      </c>
      <c r="Q1967" s="6" t="s">
        <v>4475</v>
      </c>
      <c r="T1967" s="23">
        <v>46198</v>
      </c>
      <c r="U1967" s="23">
        <v>46286</v>
      </c>
      <c r="X1967" s="20">
        <v>500</v>
      </c>
      <c r="Z1967" s="6" t="s">
        <v>5978</v>
      </c>
      <c r="AA1967" s="14">
        <f t="shared" si="247"/>
        <v>5.9999999999999995E-4</v>
      </c>
      <c r="AB1967">
        <v>0.3</v>
      </c>
      <c r="AC1967">
        <v>0.312</v>
      </c>
    </row>
    <row r="1968" spans="1:29" x14ac:dyDescent="0.3">
      <c r="A1968">
        <v>151933</v>
      </c>
      <c r="B1968" s="25" t="s">
        <v>5984</v>
      </c>
      <c r="C1968" t="s">
        <v>20</v>
      </c>
      <c r="D1968" t="s">
        <v>21</v>
      </c>
      <c r="E1968">
        <v>2222222</v>
      </c>
      <c r="F1968" s="8" t="s">
        <v>22</v>
      </c>
      <c r="G1968" s="2">
        <v>98</v>
      </c>
      <c r="H1968" t="s">
        <v>4184</v>
      </c>
      <c r="J1968" s="9" t="s">
        <v>4921</v>
      </c>
      <c r="K1968" t="s">
        <v>5558</v>
      </c>
      <c r="L1968" s="2">
        <v>1</v>
      </c>
      <c r="M1968" s="24" t="s">
        <v>5971</v>
      </c>
      <c r="N1968" s="2" t="s">
        <v>23</v>
      </c>
      <c r="O1968" s="18" t="s">
        <v>1572</v>
      </c>
      <c r="P1968" s="18" t="s">
        <v>3781</v>
      </c>
      <c r="Q1968" s="6" t="s">
        <v>4475</v>
      </c>
      <c r="T1968" s="23">
        <v>46198</v>
      </c>
      <c r="U1968" s="23">
        <v>46266</v>
      </c>
      <c r="X1968" s="20">
        <v>600</v>
      </c>
      <c r="Z1968" s="6" t="s">
        <v>5978</v>
      </c>
      <c r="AA1968" s="14">
        <f t="shared" si="247"/>
        <v>5.9999999999999995E-4</v>
      </c>
      <c r="AB1968">
        <v>0.36</v>
      </c>
      <c r="AC1968">
        <v>0.37440000000000001</v>
      </c>
    </row>
    <row r="1969" spans="1:29" x14ac:dyDescent="0.3">
      <c r="A1969">
        <v>151993</v>
      </c>
      <c r="B1969" s="25" t="s">
        <v>5984</v>
      </c>
      <c r="C1969" t="s">
        <v>20</v>
      </c>
      <c r="D1969" t="s">
        <v>21</v>
      </c>
      <c r="E1969">
        <v>2222222</v>
      </c>
      <c r="F1969" s="8" t="s">
        <v>22</v>
      </c>
      <c r="G1969" s="2">
        <v>98</v>
      </c>
      <c r="H1969" t="s">
        <v>4184</v>
      </c>
      <c r="J1969" s="9" t="s">
        <v>4929</v>
      </c>
      <c r="K1969" t="s">
        <v>4913</v>
      </c>
      <c r="L1969" s="2">
        <v>1</v>
      </c>
      <c r="M1969" s="24" t="s">
        <v>5971</v>
      </c>
      <c r="N1969" s="2" t="s">
        <v>23</v>
      </c>
      <c r="O1969" s="18" t="s">
        <v>1580</v>
      </c>
      <c r="P1969" s="18" t="s">
        <v>0</v>
      </c>
      <c r="Q1969" s="6" t="s">
        <v>4475</v>
      </c>
      <c r="T1969" s="23">
        <v>46212</v>
      </c>
      <c r="U1969" s="23">
        <v>47307</v>
      </c>
      <c r="X1969" s="20">
        <v>25000</v>
      </c>
      <c r="Z1969" s="6" t="s">
        <v>5978</v>
      </c>
      <c r="AA1969" s="14">
        <f t="shared" si="247"/>
        <v>5.9999999999999995E-4</v>
      </c>
      <c r="AB1969">
        <v>14.999999999999998</v>
      </c>
      <c r="AC1969">
        <v>15.599999999999998</v>
      </c>
    </row>
    <row r="1970" spans="1:29" x14ac:dyDescent="0.3">
      <c r="A1970">
        <v>151998</v>
      </c>
      <c r="B1970" s="25" t="s">
        <v>5984</v>
      </c>
      <c r="C1970" t="s">
        <v>20</v>
      </c>
      <c r="D1970" t="s">
        <v>21</v>
      </c>
      <c r="E1970">
        <v>2222222</v>
      </c>
      <c r="F1970" s="8" t="s">
        <v>22</v>
      </c>
      <c r="G1970" s="2">
        <v>98</v>
      </c>
      <c r="H1970" t="s">
        <v>4184</v>
      </c>
      <c r="J1970" s="9" t="s">
        <v>5152</v>
      </c>
      <c r="K1970" t="s">
        <v>4863</v>
      </c>
      <c r="L1970" s="2">
        <v>1</v>
      </c>
      <c r="M1970" s="24" t="s">
        <v>5971</v>
      </c>
      <c r="N1970" s="2" t="s">
        <v>23</v>
      </c>
      <c r="O1970" s="18" t="s">
        <v>1581</v>
      </c>
      <c r="P1970" s="18" t="s">
        <v>3781</v>
      </c>
      <c r="Q1970" s="6" t="s">
        <v>4475</v>
      </c>
      <c r="T1970" s="23">
        <v>46204</v>
      </c>
      <c r="U1970" s="23">
        <v>46294</v>
      </c>
      <c r="X1970" s="20">
        <v>4600</v>
      </c>
      <c r="Z1970" s="6" t="s">
        <v>5978</v>
      </c>
      <c r="AA1970" s="14">
        <f t="shared" si="247"/>
        <v>5.9999999999999995E-4</v>
      </c>
      <c r="AB1970">
        <v>2.76</v>
      </c>
      <c r="AC1970">
        <v>2.8704000000000001</v>
      </c>
    </row>
    <row r="1971" spans="1:29" x14ac:dyDescent="0.3">
      <c r="A1971">
        <v>152034</v>
      </c>
      <c r="B1971" s="25" t="s">
        <v>5984</v>
      </c>
      <c r="C1971" t="s">
        <v>20</v>
      </c>
      <c r="D1971" t="s">
        <v>21</v>
      </c>
      <c r="E1971">
        <v>2222222</v>
      </c>
      <c r="F1971" s="8" t="s">
        <v>22</v>
      </c>
      <c r="G1971" s="2">
        <v>98</v>
      </c>
      <c r="H1971" t="s">
        <v>4184</v>
      </c>
      <c r="J1971" s="9" t="s">
        <v>4921</v>
      </c>
      <c r="K1971" t="s">
        <v>5558</v>
      </c>
      <c r="L1971" s="2">
        <v>1</v>
      </c>
      <c r="M1971" s="24" t="s">
        <v>5971</v>
      </c>
      <c r="N1971" s="2" t="s">
        <v>23</v>
      </c>
      <c r="O1971" s="18" t="s">
        <v>1572</v>
      </c>
      <c r="P1971" s="18" t="s">
        <v>3781</v>
      </c>
      <c r="Q1971" s="6" t="s">
        <v>4475</v>
      </c>
      <c r="T1971" s="23">
        <v>46209</v>
      </c>
      <c r="U1971" s="23">
        <v>46290</v>
      </c>
      <c r="X1971" s="20">
        <v>500</v>
      </c>
      <c r="Z1971" s="6" t="s">
        <v>5978</v>
      </c>
      <c r="AA1971" s="14">
        <f t="shared" si="247"/>
        <v>5.9999999999999995E-4</v>
      </c>
      <c r="AB1971">
        <v>0.3</v>
      </c>
      <c r="AC1971">
        <v>0.312</v>
      </c>
    </row>
    <row r="1972" spans="1:29" x14ac:dyDescent="0.3">
      <c r="A1972">
        <v>152036</v>
      </c>
      <c r="B1972" s="25" t="s">
        <v>5984</v>
      </c>
      <c r="C1972" t="s">
        <v>20</v>
      </c>
      <c r="D1972" t="s">
        <v>21</v>
      </c>
      <c r="E1972">
        <v>2222222</v>
      </c>
      <c r="F1972" s="8" t="s">
        <v>22</v>
      </c>
      <c r="G1972" s="2">
        <v>98</v>
      </c>
      <c r="H1972" t="s">
        <v>4184</v>
      </c>
      <c r="J1972" s="9" t="s">
        <v>4921</v>
      </c>
      <c r="K1972" t="s">
        <v>5558</v>
      </c>
      <c r="L1972" s="2">
        <v>1</v>
      </c>
      <c r="M1972" s="24" t="s">
        <v>5971</v>
      </c>
      <c r="N1972" s="2" t="s">
        <v>23</v>
      </c>
      <c r="O1972" s="18" t="s">
        <v>1572</v>
      </c>
      <c r="P1972" s="18" t="s">
        <v>3781</v>
      </c>
      <c r="Q1972" s="6" t="s">
        <v>4475</v>
      </c>
      <c r="T1972" s="23">
        <v>46209</v>
      </c>
      <c r="U1972" s="23">
        <v>46296</v>
      </c>
      <c r="X1972" s="20">
        <v>600</v>
      </c>
      <c r="Z1972" s="6" t="s">
        <v>5978</v>
      </c>
      <c r="AA1972" s="14">
        <f t="shared" si="247"/>
        <v>5.9999999999999995E-4</v>
      </c>
      <c r="AB1972">
        <v>0.36</v>
      </c>
      <c r="AC1972">
        <v>0.37440000000000001</v>
      </c>
    </row>
    <row r="1973" spans="1:29" x14ac:dyDescent="0.3">
      <c r="A1973">
        <v>152059</v>
      </c>
      <c r="B1973" s="25" t="s">
        <v>5984</v>
      </c>
      <c r="C1973" t="s">
        <v>20</v>
      </c>
      <c r="D1973" t="s">
        <v>21</v>
      </c>
      <c r="E1973">
        <v>2222222</v>
      </c>
      <c r="F1973" s="8" t="s">
        <v>22</v>
      </c>
      <c r="G1973" s="2">
        <v>98</v>
      </c>
      <c r="H1973" t="s">
        <v>4184</v>
      </c>
      <c r="J1973" s="9" t="s">
        <v>5073</v>
      </c>
      <c r="K1973" t="s">
        <v>5518</v>
      </c>
      <c r="L1973" s="2">
        <v>1</v>
      </c>
      <c r="M1973" s="24" t="s">
        <v>5971</v>
      </c>
      <c r="N1973" s="2" t="s">
        <v>23</v>
      </c>
      <c r="O1973" s="18" t="s">
        <v>1582</v>
      </c>
      <c r="P1973" s="18" t="s">
        <v>3781</v>
      </c>
      <c r="Q1973" s="6" t="s">
        <v>4475</v>
      </c>
      <c r="T1973" s="23">
        <v>46209</v>
      </c>
      <c r="U1973" s="23">
        <v>46299</v>
      </c>
      <c r="X1973" s="20">
        <v>400</v>
      </c>
      <c r="Z1973" s="6" t="s">
        <v>5978</v>
      </c>
      <c r="AA1973" s="14">
        <f t="shared" si="247"/>
        <v>5.9999999999999995E-4</v>
      </c>
      <c r="AB1973">
        <v>0.24</v>
      </c>
      <c r="AC1973">
        <v>0.24959999999999999</v>
      </c>
    </row>
    <row r="1974" spans="1:29" x14ac:dyDescent="0.3">
      <c r="A1974">
        <v>152077</v>
      </c>
      <c r="B1974" s="25" t="s">
        <v>5984</v>
      </c>
      <c r="C1974" t="s">
        <v>20</v>
      </c>
      <c r="D1974" t="s">
        <v>21</v>
      </c>
      <c r="E1974">
        <v>2222222</v>
      </c>
      <c r="F1974" s="8" t="s">
        <v>22</v>
      </c>
      <c r="G1974" s="2">
        <v>98</v>
      </c>
      <c r="H1974" t="s">
        <v>4184</v>
      </c>
      <c r="J1974" s="9" t="s">
        <v>4921</v>
      </c>
      <c r="K1974" t="s">
        <v>5558</v>
      </c>
      <c r="L1974" s="2">
        <v>1</v>
      </c>
      <c r="M1974" s="24" t="s">
        <v>5971</v>
      </c>
      <c r="N1974" s="2" t="s">
        <v>23</v>
      </c>
      <c r="O1974" s="18" t="s">
        <v>1572</v>
      </c>
      <c r="P1974" s="18" t="s">
        <v>3781</v>
      </c>
      <c r="Q1974" s="6" t="s">
        <v>4475</v>
      </c>
      <c r="T1974" s="23">
        <v>46211</v>
      </c>
      <c r="U1974" s="23">
        <v>46294</v>
      </c>
      <c r="X1974" s="20">
        <v>600</v>
      </c>
      <c r="Z1974" s="6" t="s">
        <v>5978</v>
      </c>
      <c r="AA1974" s="14">
        <f t="shared" si="247"/>
        <v>5.9999999999999995E-4</v>
      </c>
      <c r="AB1974">
        <v>0.36</v>
      </c>
      <c r="AC1974">
        <v>0.37440000000000001</v>
      </c>
    </row>
    <row r="1975" spans="1:29" x14ac:dyDescent="0.3">
      <c r="A1975">
        <v>152078</v>
      </c>
      <c r="B1975" s="25" t="s">
        <v>5984</v>
      </c>
      <c r="C1975" t="s">
        <v>20</v>
      </c>
      <c r="D1975" t="s">
        <v>21</v>
      </c>
      <c r="E1975">
        <v>2222222</v>
      </c>
      <c r="F1975" s="8" t="s">
        <v>22</v>
      </c>
      <c r="G1975" s="2">
        <v>98</v>
      </c>
      <c r="H1975" t="s">
        <v>4184</v>
      </c>
      <c r="J1975" s="9" t="s">
        <v>4921</v>
      </c>
      <c r="K1975" t="s">
        <v>5558</v>
      </c>
      <c r="L1975" s="2">
        <v>1</v>
      </c>
      <c r="M1975" s="24" t="s">
        <v>5971</v>
      </c>
      <c r="N1975" s="2" t="s">
        <v>23</v>
      </c>
      <c r="O1975" s="18" t="s">
        <v>1572</v>
      </c>
      <c r="P1975" s="18" t="s">
        <v>3781</v>
      </c>
      <c r="Q1975" s="6" t="s">
        <v>4475</v>
      </c>
      <c r="T1975" s="23">
        <v>46211</v>
      </c>
      <c r="U1975" s="23">
        <v>46299</v>
      </c>
      <c r="X1975" s="20">
        <v>600</v>
      </c>
      <c r="Z1975" s="6" t="s">
        <v>5978</v>
      </c>
      <c r="AA1975" s="14">
        <f t="shared" si="247"/>
        <v>5.9999999999999995E-4</v>
      </c>
      <c r="AB1975">
        <v>0.36</v>
      </c>
      <c r="AC1975">
        <v>0.37440000000000001</v>
      </c>
    </row>
    <row r="1976" spans="1:29" x14ac:dyDescent="0.3">
      <c r="A1976">
        <v>152079</v>
      </c>
      <c r="B1976" s="25" t="s">
        <v>5984</v>
      </c>
      <c r="C1976" t="s">
        <v>20</v>
      </c>
      <c r="D1976" t="s">
        <v>21</v>
      </c>
      <c r="E1976">
        <v>2222222</v>
      </c>
      <c r="F1976" s="8" t="s">
        <v>22</v>
      </c>
      <c r="G1976" s="2">
        <v>98</v>
      </c>
      <c r="H1976" t="s">
        <v>4184</v>
      </c>
      <c r="J1976" s="9" t="s">
        <v>5137</v>
      </c>
      <c r="K1976" t="s">
        <v>4832</v>
      </c>
      <c r="L1976" s="2">
        <v>1</v>
      </c>
      <c r="M1976" s="24" t="s">
        <v>5971</v>
      </c>
      <c r="N1976" s="2" t="s">
        <v>23</v>
      </c>
      <c r="O1976" s="18" t="s">
        <v>1516</v>
      </c>
      <c r="P1976" s="18" t="s">
        <v>3781</v>
      </c>
      <c r="Q1976" s="6" t="s">
        <v>4475</v>
      </c>
      <c r="T1976" s="23">
        <v>46210</v>
      </c>
      <c r="U1976" s="23">
        <v>46240</v>
      </c>
      <c r="X1976" s="20">
        <v>2300</v>
      </c>
      <c r="Z1976" s="6" t="s">
        <v>5978</v>
      </c>
      <c r="AA1976" s="14">
        <f t="shared" si="247"/>
        <v>5.9999999999999995E-4</v>
      </c>
      <c r="AB1976">
        <v>1.38</v>
      </c>
      <c r="AC1976">
        <v>1.4352</v>
      </c>
    </row>
    <row r="1977" spans="1:29" x14ac:dyDescent="0.3">
      <c r="A1977">
        <v>152105</v>
      </c>
      <c r="B1977" s="25" t="s">
        <v>5984</v>
      </c>
      <c r="C1977" t="s">
        <v>20</v>
      </c>
      <c r="D1977" t="s">
        <v>21</v>
      </c>
      <c r="E1977">
        <v>2222222</v>
      </c>
      <c r="F1977" s="8" t="s">
        <v>22</v>
      </c>
      <c r="G1977" s="2">
        <v>98</v>
      </c>
      <c r="H1977" t="s">
        <v>4184</v>
      </c>
      <c r="J1977" s="9" t="s">
        <v>4830</v>
      </c>
      <c r="K1977" t="s">
        <v>5075</v>
      </c>
      <c r="L1977" s="2">
        <v>1</v>
      </c>
      <c r="M1977" s="24" t="s">
        <v>5971</v>
      </c>
      <c r="N1977" s="2" t="s">
        <v>23</v>
      </c>
      <c r="O1977" s="18" t="s">
        <v>1583</v>
      </c>
      <c r="P1977" s="18" t="s">
        <v>3781</v>
      </c>
      <c r="Q1977" s="6" t="s">
        <v>4475</v>
      </c>
      <c r="T1977" s="23">
        <v>46211</v>
      </c>
      <c r="U1977" s="23">
        <v>46392</v>
      </c>
      <c r="X1977" s="20">
        <v>195000</v>
      </c>
      <c r="Z1977" s="6" t="s">
        <v>5978</v>
      </c>
      <c r="AA1977" s="14">
        <f t="shared" si="247"/>
        <v>5.9999999999999995E-4</v>
      </c>
      <c r="AB1977">
        <v>111.10527599999999</v>
      </c>
      <c r="AC1977">
        <v>115.54948703999999</v>
      </c>
    </row>
    <row r="1978" spans="1:29" x14ac:dyDescent="0.3">
      <c r="A1978">
        <v>152129</v>
      </c>
      <c r="B1978" s="25" t="s">
        <v>5984</v>
      </c>
      <c r="C1978" t="s">
        <v>20</v>
      </c>
      <c r="D1978" t="s">
        <v>21</v>
      </c>
      <c r="E1978">
        <v>2222222</v>
      </c>
      <c r="F1978" s="8" t="s">
        <v>22</v>
      </c>
      <c r="G1978" s="2">
        <v>98</v>
      </c>
      <c r="H1978" t="s">
        <v>4184</v>
      </c>
      <c r="J1978" s="9" t="s">
        <v>5277</v>
      </c>
      <c r="K1978" t="s">
        <v>5025</v>
      </c>
      <c r="L1978" s="2">
        <v>1</v>
      </c>
      <c r="M1978" s="24" t="s">
        <v>5971</v>
      </c>
      <c r="N1978" s="2" t="s">
        <v>23</v>
      </c>
      <c r="O1978" s="18" t="s">
        <v>1584</v>
      </c>
      <c r="P1978" s="18" t="s">
        <v>3781</v>
      </c>
      <c r="Q1978" s="6" t="s">
        <v>4475</v>
      </c>
      <c r="T1978" s="23">
        <v>46213</v>
      </c>
      <c r="U1978" s="23">
        <v>46943</v>
      </c>
      <c r="X1978" s="20">
        <v>4000</v>
      </c>
      <c r="Z1978" s="6" t="s">
        <v>5978</v>
      </c>
      <c r="AA1978" s="14">
        <f t="shared" si="247"/>
        <v>5.9999999999999995E-4</v>
      </c>
      <c r="AB1978">
        <v>2.4</v>
      </c>
      <c r="AC1978">
        <v>2.496</v>
      </c>
    </row>
    <row r="1979" spans="1:29" x14ac:dyDescent="0.3">
      <c r="A1979">
        <v>152135</v>
      </c>
      <c r="B1979" s="25" t="s">
        <v>5984</v>
      </c>
      <c r="C1979" t="s">
        <v>20</v>
      </c>
      <c r="D1979" t="s">
        <v>21</v>
      </c>
      <c r="E1979">
        <v>2222222</v>
      </c>
      <c r="F1979" s="8" t="s">
        <v>22</v>
      </c>
      <c r="G1979" s="2">
        <v>98</v>
      </c>
      <c r="H1979" t="s">
        <v>4184</v>
      </c>
      <c r="J1979" s="9" t="s">
        <v>4967</v>
      </c>
      <c r="K1979" t="s">
        <v>5145</v>
      </c>
      <c r="L1979" s="2">
        <v>1</v>
      </c>
      <c r="M1979" s="24" t="s">
        <v>5971</v>
      </c>
      <c r="N1979" s="2" t="s">
        <v>23</v>
      </c>
      <c r="O1979" s="18" t="s">
        <v>1585</v>
      </c>
      <c r="P1979" s="18" t="s">
        <v>3781</v>
      </c>
      <c r="Q1979" s="6" t="s">
        <v>4475</v>
      </c>
      <c r="T1979" s="23">
        <v>46213</v>
      </c>
      <c r="U1979" s="23">
        <v>46303</v>
      </c>
      <c r="X1979" s="20">
        <v>3000</v>
      </c>
      <c r="Z1979" s="6" t="s">
        <v>5978</v>
      </c>
      <c r="AA1979" s="14">
        <f t="shared" si="247"/>
        <v>5.9999999999999995E-4</v>
      </c>
      <c r="AB1979">
        <v>1.7999999999999998</v>
      </c>
      <c r="AC1979">
        <v>1.8719999999999999</v>
      </c>
    </row>
    <row r="1980" spans="1:29" x14ac:dyDescent="0.3">
      <c r="A1980">
        <v>152139</v>
      </c>
      <c r="B1980" s="25" t="s">
        <v>5984</v>
      </c>
      <c r="C1980" t="s">
        <v>20</v>
      </c>
      <c r="D1980" t="s">
        <v>21</v>
      </c>
      <c r="E1980">
        <v>2222222</v>
      </c>
      <c r="F1980" s="8" t="s">
        <v>22</v>
      </c>
      <c r="G1980" s="2">
        <v>98</v>
      </c>
      <c r="H1980" t="s">
        <v>4184</v>
      </c>
      <c r="J1980" s="9" t="s">
        <v>5552</v>
      </c>
      <c r="K1980" t="s">
        <v>4884</v>
      </c>
      <c r="L1980" s="2">
        <v>1</v>
      </c>
      <c r="M1980" s="24" t="s">
        <v>5971</v>
      </c>
      <c r="N1980" s="2" t="s">
        <v>23</v>
      </c>
      <c r="O1980" s="18" t="s">
        <v>1532</v>
      </c>
      <c r="P1980" s="18" t="s">
        <v>3781</v>
      </c>
      <c r="Q1980" s="6" t="s">
        <v>4475</v>
      </c>
      <c r="T1980" s="23">
        <v>46213</v>
      </c>
      <c r="U1980" s="23">
        <v>46303</v>
      </c>
      <c r="X1980" s="20">
        <v>2070</v>
      </c>
      <c r="Z1980" s="6" t="s">
        <v>5978</v>
      </c>
      <c r="AA1980" s="14">
        <f t="shared" si="247"/>
        <v>5.9999999999999995E-4</v>
      </c>
      <c r="AB1980">
        <v>1.242</v>
      </c>
      <c r="AC1980">
        <v>1.2916799999999999</v>
      </c>
    </row>
    <row r="1981" spans="1:29" x14ac:dyDescent="0.3">
      <c r="A1981">
        <v>152157</v>
      </c>
      <c r="B1981" s="25" t="s">
        <v>5984</v>
      </c>
      <c r="C1981" t="s">
        <v>20</v>
      </c>
      <c r="D1981" t="s">
        <v>21</v>
      </c>
      <c r="E1981">
        <v>2222222</v>
      </c>
      <c r="F1981" s="8" t="s">
        <v>22</v>
      </c>
      <c r="G1981" s="2">
        <v>98</v>
      </c>
      <c r="H1981" t="s">
        <v>4184</v>
      </c>
      <c r="J1981" s="9" t="s">
        <v>5011</v>
      </c>
      <c r="K1981" t="s">
        <v>4924</v>
      </c>
      <c r="L1981" s="2">
        <v>1</v>
      </c>
      <c r="M1981" s="24" t="s">
        <v>5971</v>
      </c>
      <c r="N1981" s="2" t="s">
        <v>23</v>
      </c>
      <c r="O1981" s="18" t="s">
        <v>1059</v>
      </c>
      <c r="P1981" s="18" t="s">
        <v>3781</v>
      </c>
      <c r="Q1981" s="6" t="s">
        <v>4475</v>
      </c>
      <c r="T1981" s="23">
        <v>46216</v>
      </c>
      <c r="U1981" s="23">
        <v>46306</v>
      </c>
      <c r="X1981" s="20">
        <v>3470</v>
      </c>
      <c r="Z1981" s="6" t="s">
        <v>5978</v>
      </c>
      <c r="AA1981" s="14">
        <f t="shared" si="247"/>
        <v>5.9999999999999995E-4</v>
      </c>
      <c r="AB1981">
        <v>2.0819999999999999</v>
      </c>
      <c r="AC1981">
        <v>2.1652800000000001</v>
      </c>
    </row>
    <row r="1982" spans="1:29" x14ac:dyDescent="0.3">
      <c r="A1982">
        <v>152208</v>
      </c>
      <c r="B1982" s="25" t="s">
        <v>5984</v>
      </c>
      <c r="C1982" t="s">
        <v>20</v>
      </c>
      <c r="D1982" t="s">
        <v>21</v>
      </c>
      <c r="E1982">
        <v>2222222</v>
      </c>
      <c r="F1982" s="8" t="s">
        <v>22</v>
      </c>
      <c r="G1982" s="2">
        <v>98</v>
      </c>
      <c r="H1982" t="s">
        <v>4184</v>
      </c>
      <c r="J1982" s="9" t="s">
        <v>5055</v>
      </c>
      <c r="K1982" t="s">
        <v>5115</v>
      </c>
      <c r="L1982" s="2">
        <v>1</v>
      </c>
      <c r="M1982" s="24" t="s">
        <v>5971</v>
      </c>
      <c r="N1982" s="2" t="s">
        <v>23</v>
      </c>
      <c r="O1982" s="18" t="s">
        <v>1567</v>
      </c>
      <c r="P1982" s="18" t="s">
        <v>3781</v>
      </c>
      <c r="Q1982" s="6" t="s">
        <v>4475</v>
      </c>
      <c r="T1982" s="23">
        <v>46219</v>
      </c>
      <c r="U1982" s="23">
        <v>46309</v>
      </c>
      <c r="X1982" s="20">
        <v>3990</v>
      </c>
      <c r="Z1982" s="6" t="s">
        <v>5978</v>
      </c>
      <c r="AA1982" s="14">
        <f t="shared" si="247"/>
        <v>5.9999999999999995E-4</v>
      </c>
      <c r="AB1982">
        <v>2.3939999999999997</v>
      </c>
      <c r="AC1982">
        <v>2.48976</v>
      </c>
    </row>
    <row r="1983" spans="1:29" x14ac:dyDescent="0.3">
      <c r="A1983">
        <v>152212</v>
      </c>
      <c r="B1983" s="25" t="s">
        <v>5984</v>
      </c>
      <c r="C1983" t="s">
        <v>20</v>
      </c>
      <c r="D1983" t="s">
        <v>21</v>
      </c>
      <c r="E1983">
        <v>2222222</v>
      </c>
      <c r="F1983" s="8" t="s">
        <v>22</v>
      </c>
      <c r="G1983" s="2">
        <v>98</v>
      </c>
      <c r="H1983" t="s">
        <v>4184</v>
      </c>
      <c r="J1983" s="9" t="s">
        <v>4929</v>
      </c>
      <c r="K1983" t="s">
        <v>5199</v>
      </c>
      <c r="L1983" s="2">
        <v>1</v>
      </c>
      <c r="M1983" s="24" t="s">
        <v>5971</v>
      </c>
      <c r="N1983" s="2" t="s">
        <v>23</v>
      </c>
      <c r="O1983" s="18" t="s">
        <v>1586</v>
      </c>
      <c r="P1983" s="18" t="s">
        <v>0</v>
      </c>
      <c r="Q1983" s="6" t="s">
        <v>4475</v>
      </c>
      <c r="T1983" s="23">
        <v>46219</v>
      </c>
      <c r="U1983" s="23">
        <v>47679</v>
      </c>
      <c r="X1983" s="20">
        <v>5000</v>
      </c>
      <c r="Z1983" s="6" t="s">
        <v>5978</v>
      </c>
      <c r="AA1983" s="14">
        <f t="shared" si="247"/>
        <v>5.9999999999999995E-4</v>
      </c>
      <c r="AB1983">
        <v>2.9999999999999996</v>
      </c>
      <c r="AC1983">
        <v>3.1199999999999997</v>
      </c>
    </row>
    <row r="1984" spans="1:29" x14ac:dyDescent="0.3">
      <c r="A1984">
        <v>152225</v>
      </c>
      <c r="B1984" s="25" t="s">
        <v>5984</v>
      </c>
      <c r="C1984" t="s">
        <v>20</v>
      </c>
      <c r="D1984" t="s">
        <v>21</v>
      </c>
      <c r="E1984">
        <v>2222222</v>
      </c>
      <c r="F1984" s="8" t="s">
        <v>22</v>
      </c>
      <c r="G1984" s="2">
        <v>98</v>
      </c>
      <c r="H1984" t="s">
        <v>4184</v>
      </c>
      <c r="J1984" s="9" t="s">
        <v>4836</v>
      </c>
      <c r="K1984" t="s">
        <v>5411</v>
      </c>
      <c r="L1984" s="2">
        <v>1</v>
      </c>
      <c r="M1984" s="24" t="s">
        <v>5971</v>
      </c>
      <c r="N1984" s="2" t="s">
        <v>23</v>
      </c>
      <c r="O1984" s="18" t="s">
        <v>1587</v>
      </c>
      <c r="P1984" s="18" t="s">
        <v>3781</v>
      </c>
      <c r="Q1984" s="6" t="s">
        <v>4475</v>
      </c>
      <c r="T1984" s="23">
        <v>46231</v>
      </c>
      <c r="U1984" s="23">
        <v>47154</v>
      </c>
      <c r="X1984" s="20">
        <v>6000</v>
      </c>
      <c r="Z1984" s="6" t="s">
        <v>5978</v>
      </c>
      <c r="AA1984" s="14">
        <f t="shared" si="247"/>
        <v>5.9999999999999995E-4</v>
      </c>
      <c r="AB1984">
        <v>3.5999999999999996</v>
      </c>
      <c r="AC1984">
        <v>3.7439999999999998</v>
      </c>
    </row>
    <row r="1985" spans="1:29" x14ac:dyDescent="0.3">
      <c r="A1985">
        <v>152259</v>
      </c>
      <c r="B1985" s="25" t="s">
        <v>5984</v>
      </c>
      <c r="C1985" t="s">
        <v>20</v>
      </c>
      <c r="D1985" t="s">
        <v>21</v>
      </c>
      <c r="E1985">
        <v>2222222</v>
      </c>
      <c r="F1985" s="8" t="s">
        <v>22</v>
      </c>
      <c r="G1985" s="2">
        <v>98</v>
      </c>
      <c r="H1985" t="s">
        <v>4184</v>
      </c>
      <c r="J1985" s="9" t="s">
        <v>4921</v>
      </c>
      <c r="K1985" t="s">
        <v>5558</v>
      </c>
      <c r="L1985" s="2">
        <v>1</v>
      </c>
      <c r="M1985" s="24" t="s">
        <v>5971</v>
      </c>
      <c r="N1985" s="2" t="s">
        <v>23</v>
      </c>
      <c r="O1985" s="18" t="s">
        <v>1572</v>
      </c>
      <c r="P1985" s="18" t="s">
        <v>3781</v>
      </c>
      <c r="Q1985" s="6" t="s">
        <v>4475</v>
      </c>
      <c r="T1985" s="23">
        <v>46224</v>
      </c>
      <c r="U1985" s="23">
        <v>46277</v>
      </c>
      <c r="X1985" s="20">
        <v>500</v>
      </c>
      <c r="Z1985" s="6" t="s">
        <v>5978</v>
      </c>
      <c r="AA1985" s="14">
        <f t="shared" si="247"/>
        <v>5.9999999999999995E-4</v>
      </c>
      <c r="AB1985">
        <v>0.3</v>
      </c>
      <c r="AC1985">
        <v>0.312</v>
      </c>
    </row>
    <row r="1986" spans="1:29" x14ac:dyDescent="0.3">
      <c r="A1986">
        <v>152262</v>
      </c>
      <c r="B1986" s="25" t="s">
        <v>5984</v>
      </c>
      <c r="C1986" t="s">
        <v>20</v>
      </c>
      <c r="D1986" t="s">
        <v>21</v>
      </c>
      <c r="E1986">
        <v>2222222</v>
      </c>
      <c r="F1986" s="8" t="s">
        <v>22</v>
      </c>
      <c r="G1986" s="2">
        <v>98</v>
      </c>
      <c r="H1986" t="s">
        <v>4184</v>
      </c>
      <c r="J1986" s="9" t="s">
        <v>4921</v>
      </c>
      <c r="K1986" t="s">
        <v>5558</v>
      </c>
      <c r="L1986" s="2">
        <v>1</v>
      </c>
      <c r="M1986" s="24" t="s">
        <v>5971</v>
      </c>
      <c r="N1986" s="2" t="s">
        <v>23</v>
      </c>
      <c r="O1986" s="18" t="s">
        <v>1572</v>
      </c>
      <c r="P1986" s="18" t="s">
        <v>3781</v>
      </c>
      <c r="Q1986" s="6" t="s">
        <v>4475</v>
      </c>
      <c r="T1986" s="23">
        <v>46224</v>
      </c>
      <c r="U1986" s="23">
        <v>46295</v>
      </c>
      <c r="X1986" s="20">
        <v>500</v>
      </c>
      <c r="Z1986" s="6" t="s">
        <v>5978</v>
      </c>
      <c r="AA1986" s="14">
        <f t="shared" si="247"/>
        <v>5.9999999999999995E-4</v>
      </c>
      <c r="AB1986">
        <v>0.3</v>
      </c>
      <c r="AC1986">
        <v>0.312</v>
      </c>
    </row>
    <row r="1987" spans="1:29" x14ac:dyDescent="0.3">
      <c r="A1987">
        <v>152263</v>
      </c>
      <c r="B1987" s="25" t="s">
        <v>5984</v>
      </c>
      <c r="C1987" t="s">
        <v>20</v>
      </c>
      <c r="D1987" t="s">
        <v>21</v>
      </c>
      <c r="E1987">
        <v>2222222</v>
      </c>
      <c r="F1987" s="8" t="s">
        <v>22</v>
      </c>
      <c r="G1987" s="2">
        <v>98</v>
      </c>
      <c r="H1987" t="s">
        <v>4184</v>
      </c>
      <c r="J1987" s="9" t="s">
        <v>4921</v>
      </c>
      <c r="K1987" t="s">
        <v>5558</v>
      </c>
      <c r="L1987" s="2">
        <v>1</v>
      </c>
      <c r="M1987" s="24" t="s">
        <v>5971</v>
      </c>
      <c r="N1987" s="2" t="s">
        <v>23</v>
      </c>
      <c r="O1987" s="18" t="s">
        <v>1572</v>
      </c>
      <c r="P1987" s="18" t="s">
        <v>3781</v>
      </c>
      <c r="Q1987" s="6" t="s">
        <v>4475</v>
      </c>
      <c r="T1987" s="23">
        <v>46224</v>
      </c>
      <c r="U1987" s="23">
        <v>46282</v>
      </c>
      <c r="X1987" s="20">
        <v>500</v>
      </c>
      <c r="Z1987" s="6" t="s">
        <v>5978</v>
      </c>
      <c r="AA1987" s="14">
        <f t="shared" si="247"/>
        <v>5.9999999999999995E-4</v>
      </c>
      <c r="AB1987">
        <v>0.3</v>
      </c>
      <c r="AC1987">
        <v>0.312</v>
      </c>
    </row>
    <row r="1988" spans="1:29" x14ac:dyDescent="0.3">
      <c r="A1988">
        <v>152265</v>
      </c>
      <c r="B1988" s="25" t="s">
        <v>5984</v>
      </c>
      <c r="C1988" t="s">
        <v>20</v>
      </c>
      <c r="D1988" t="s">
        <v>21</v>
      </c>
      <c r="E1988">
        <v>2222222</v>
      </c>
      <c r="F1988" s="8" t="s">
        <v>22</v>
      </c>
      <c r="G1988" s="2">
        <v>98</v>
      </c>
      <c r="H1988" t="s">
        <v>4184</v>
      </c>
      <c r="J1988" s="9" t="s">
        <v>4921</v>
      </c>
      <c r="K1988" t="s">
        <v>5558</v>
      </c>
      <c r="L1988" s="2">
        <v>1</v>
      </c>
      <c r="M1988" s="24" t="s">
        <v>5971</v>
      </c>
      <c r="N1988" s="2" t="s">
        <v>23</v>
      </c>
      <c r="O1988" s="18" t="s">
        <v>1572</v>
      </c>
      <c r="P1988" s="18" t="s">
        <v>3781</v>
      </c>
      <c r="Q1988" s="6" t="s">
        <v>4475</v>
      </c>
      <c r="T1988" s="23">
        <v>46224</v>
      </c>
      <c r="U1988" s="23">
        <v>46291</v>
      </c>
      <c r="X1988" s="20">
        <v>500</v>
      </c>
      <c r="Z1988" s="6" t="s">
        <v>5978</v>
      </c>
      <c r="AA1988" s="14">
        <f t="shared" si="247"/>
        <v>5.9999999999999995E-4</v>
      </c>
      <c r="AB1988">
        <v>0.3</v>
      </c>
      <c r="AC1988">
        <v>0.312</v>
      </c>
    </row>
    <row r="1989" spans="1:29" x14ac:dyDescent="0.3">
      <c r="A1989">
        <v>152266</v>
      </c>
      <c r="B1989" s="25" t="s">
        <v>5984</v>
      </c>
      <c r="C1989" t="s">
        <v>20</v>
      </c>
      <c r="D1989" t="s">
        <v>21</v>
      </c>
      <c r="E1989">
        <v>2222222</v>
      </c>
      <c r="F1989" s="8" t="s">
        <v>22</v>
      </c>
      <c r="G1989" s="2">
        <v>98</v>
      </c>
      <c r="H1989" t="s">
        <v>4184</v>
      </c>
      <c r="J1989" s="9" t="s">
        <v>4921</v>
      </c>
      <c r="K1989" t="s">
        <v>5558</v>
      </c>
      <c r="L1989" s="2">
        <v>1</v>
      </c>
      <c r="M1989" s="24" t="s">
        <v>5971</v>
      </c>
      <c r="N1989" s="2" t="s">
        <v>23</v>
      </c>
      <c r="O1989" s="18" t="s">
        <v>1572</v>
      </c>
      <c r="P1989" s="18" t="s">
        <v>3781</v>
      </c>
      <c r="Q1989" s="6" t="s">
        <v>4475</v>
      </c>
      <c r="T1989" s="23">
        <v>46224</v>
      </c>
      <c r="U1989" s="23">
        <v>46298</v>
      </c>
      <c r="X1989" s="20">
        <v>500</v>
      </c>
      <c r="Z1989" s="6" t="s">
        <v>5978</v>
      </c>
      <c r="AA1989" s="14">
        <f t="shared" si="247"/>
        <v>5.9999999999999995E-4</v>
      </c>
      <c r="AB1989">
        <v>0.3</v>
      </c>
      <c r="AC1989">
        <v>0.312</v>
      </c>
    </row>
    <row r="1990" spans="1:29" x14ac:dyDescent="0.3">
      <c r="A1990">
        <v>152267</v>
      </c>
      <c r="B1990" s="25" t="s">
        <v>5984</v>
      </c>
      <c r="C1990" t="s">
        <v>20</v>
      </c>
      <c r="D1990" t="s">
        <v>21</v>
      </c>
      <c r="E1990">
        <v>2222222</v>
      </c>
      <c r="F1990" s="8" t="s">
        <v>22</v>
      </c>
      <c r="G1990" s="2">
        <v>98</v>
      </c>
      <c r="H1990" t="s">
        <v>4184</v>
      </c>
      <c r="J1990" s="9" t="s">
        <v>4921</v>
      </c>
      <c r="K1990" t="s">
        <v>5558</v>
      </c>
      <c r="L1990" s="2">
        <v>1</v>
      </c>
      <c r="M1990" s="24" t="s">
        <v>5971</v>
      </c>
      <c r="N1990" s="2" t="s">
        <v>23</v>
      </c>
      <c r="O1990" s="18" t="s">
        <v>1572</v>
      </c>
      <c r="P1990" s="18" t="s">
        <v>3781</v>
      </c>
      <c r="Q1990" s="6" t="s">
        <v>4475</v>
      </c>
      <c r="T1990" s="23">
        <v>46224</v>
      </c>
      <c r="U1990" s="23">
        <v>46305</v>
      </c>
      <c r="X1990" s="20">
        <v>500</v>
      </c>
      <c r="Z1990" s="6" t="s">
        <v>5978</v>
      </c>
      <c r="AA1990" s="14">
        <f t="shared" si="247"/>
        <v>5.9999999999999995E-4</v>
      </c>
      <c r="AB1990">
        <v>0.3</v>
      </c>
      <c r="AC1990">
        <v>0.312</v>
      </c>
    </row>
    <row r="1991" spans="1:29" x14ac:dyDescent="0.3">
      <c r="A1991">
        <v>152268</v>
      </c>
      <c r="B1991" s="25" t="s">
        <v>5984</v>
      </c>
      <c r="C1991" t="s">
        <v>20</v>
      </c>
      <c r="D1991" t="s">
        <v>21</v>
      </c>
      <c r="E1991">
        <v>2222222</v>
      </c>
      <c r="F1991" s="8" t="s">
        <v>22</v>
      </c>
      <c r="G1991" s="2">
        <v>98</v>
      </c>
      <c r="H1991" t="s">
        <v>4184</v>
      </c>
      <c r="J1991" s="9" t="s">
        <v>4921</v>
      </c>
      <c r="K1991" t="s">
        <v>5558</v>
      </c>
      <c r="L1991" s="2">
        <v>1</v>
      </c>
      <c r="M1991" s="24" t="s">
        <v>5971</v>
      </c>
      <c r="N1991" s="2" t="s">
        <v>23</v>
      </c>
      <c r="O1991" s="18" t="s">
        <v>1572</v>
      </c>
      <c r="P1991" s="18" t="s">
        <v>3781</v>
      </c>
      <c r="Q1991" s="6" t="s">
        <v>4475</v>
      </c>
      <c r="T1991" s="23">
        <v>46224</v>
      </c>
      <c r="U1991" s="23">
        <v>46308</v>
      </c>
      <c r="X1991" s="20">
        <v>500</v>
      </c>
      <c r="Z1991" s="6" t="s">
        <v>5978</v>
      </c>
      <c r="AA1991" s="14">
        <f t="shared" si="247"/>
        <v>5.9999999999999995E-4</v>
      </c>
      <c r="AB1991">
        <v>0.3</v>
      </c>
      <c r="AC1991">
        <v>0.312</v>
      </c>
    </row>
    <row r="1992" spans="1:29" x14ac:dyDescent="0.3">
      <c r="A1992">
        <v>152269</v>
      </c>
      <c r="B1992" s="25" t="s">
        <v>5984</v>
      </c>
      <c r="C1992" t="s">
        <v>20</v>
      </c>
      <c r="D1992" t="s">
        <v>21</v>
      </c>
      <c r="E1992">
        <v>2222222</v>
      </c>
      <c r="F1992" s="8" t="s">
        <v>22</v>
      </c>
      <c r="G1992" s="2">
        <v>98</v>
      </c>
      <c r="H1992" t="s">
        <v>4184</v>
      </c>
      <c r="J1992" s="9" t="s">
        <v>4921</v>
      </c>
      <c r="K1992" t="s">
        <v>5558</v>
      </c>
      <c r="L1992" s="2">
        <v>1</v>
      </c>
      <c r="M1992" s="24" t="s">
        <v>5971</v>
      </c>
      <c r="N1992" s="2" t="s">
        <v>23</v>
      </c>
      <c r="O1992" s="18" t="s">
        <v>1572</v>
      </c>
      <c r="P1992" s="18" t="s">
        <v>3781</v>
      </c>
      <c r="Q1992" s="6" t="s">
        <v>4475</v>
      </c>
      <c r="T1992" s="23">
        <v>46224</v>
      </c>
      <c r="U1992" s="23">
        <v>46312</v>
      </c>
      <c r="X1992" s="20">
        <v>500</v>
      </c>
      <c r="Z1992" s="6" t="s">
        <v>5978</v>
      </c>
      <c r="AA1992" s="14">
        <f t="shared" si="247"/>
        <v>5.9999999999999995E-4</v>
      </c>
      <c r="AB1992">
        <v>0.3</v>
      </c>
      <c r="AC1992">
        <v>0.312</v>
      </c>
    </row>
    <row r="1993" spans="1:29" x14ac:dyDescent="0.3">
      <c r="A1993">
        <v>152329</v>
      </c>
      <c r="B1993" s="25" t="s">
        <v>5984</v>
      </c>
      <c r="C1993" t="s">
        <v>20</v>
      </c>
      <c r="D1993" t="s">
        <v>21</v>
      </c>
      <c r="E1993">
        <v>2222222</v>
      </c>
      <c r="F1993" s="8" t="s">
        <v>22</v>
      </c>
      <c r="G1993" s="2">
        <v>98</v>
      </c>
      <c r="H1993" t="s">
        <v>4184</v>
      </c>
      <c r="J1993" s="9" t="s">
        <v>4911</v>
      </c>
      <c r="K1993" t="s">
        <v>5075</v>
      </c>
      <c r="L1993" s="2">
        <v>1</v>
      </c>
      <c r="M1993" s="24" t="s">
        <v>5971</v>
      </c>
      <c r="N1993" s="2" t="s">
        <v>23</v>
      </c>
      <c r="O1993" s="18" t="s">
        <v>1521</v>
      </c>
      <c r="P1993" s="18" t="s">
        <v>3781</v>
      </c>
      <c r="Q1993" s="6" t="s">
        <v>4475</v>
      </c>
      <c r="T1993" s="23">
        <v>46230</v>
      </c>
      <c r="U1993" s="23">
        <v>46320</v>
      </c>
      <c r="X1993" s="20">
        <v>1500</v>
      </c>
      <c r="Z1993" s="6" t="s">
        <v>5978</v>
      </c>
      <c r="AA1993" s="14">
        <f t="shared" ref="AA1993:AA1997" si="248">+(0.6/1000)</f>
        <v>5.9999999999999995E-4</v>
      </c>
      <c r="AB1993">
        <v>0.89999999999999991</v>
      </c>
      <c r="AC1993">
        <v>0.93599999999999994</v>
      </c>
    </row>
    <row r="1994" spans="1:29" x14ac:dyDescent="0.3">
      <c r="A1994">
        <v>152348</v>
      </c>
      <c r="B1994" s="25" t="s">
        <v>5984</v>
      </c>
      <c r="C1994" t="s">
        <v>20</v>
      </c>
      <c r="D1994" t="s">
        <v>21</v>
      </c>
      <c r="E1994">
        <v>2222222</v>
      </c>
      <c r="F1994" s="8" t="s">
        <v>22</v>
      </c>
      <c r="G1994" s="2">
        <v>98</v>
      </c>
      <c r="H1994" t="s">
        <v>4184</v>
      </c>
      <c r="J1994" s="9" t="s">
        <v>4921</v>
      </c>
      <c r="K1994" t="s">
        <v>5558</v>
      </c>
      <c r="L1994" s="2">
        <v>1</v>
      </c>
      <c r="M1994" s="24" t="s">
        <v>5971</v>
      </c>
      <c r="N1994" s="2" t="s">
        <v>23</v>
      </c>
      <c r="O1994" s="18" t="s">
        <v>1572</v>
      </c>
      <c r="P1994" s="18" t="s">
        <v>3781</v>
      </c>
      <c r="Q1994" s="6" t="s">
        <v>4475</v>
      </c>
      <c r="T1994" s="23">
        <v>46232</v>
      </c>
      <c r="U1994" s="23">
        <v>46306</v>
      </c>
      <c r="X1994" s="20">
        <v>500</v>
      </c>
      <c r="Z1994" s="6" t="s">
        <v>5978</v>
      </c>
      <c r="AA1994" s="14">
        <f t="shared" si="248"/>
        <v>5.9999999999999995E-4</v>
      </c>
      <c r="AB1994">
        <v>0.3</v>
      </c>
      <c r="AC1994">
        <v>0.312</v>
      </c>
    </row>
    <row r="1995" spans="1:29" x14ac:dyDescent="0.3">
      <c r="A1995">
        <v>152351</v>
      </c>
      <c r="B1995" s="25" t="s">
        <v>5984</v>
      </c>
      <c r="C1995" t="s">
        <v>20</v>
      </c>
      <c r="D1995" t="s">
        <v>21</v>
      </c>
      <c r="E1995">
        <v>2222222</v>
      </c>
      <c r="F1995" s="8" t="s">
        <v>22</v>
      </c>
      <c r="G1995" s="2">
        <v>98</v>
      </c>
      <c r="H1995" t="s">
        <v>4184</v>
      </c>
      <c r="J1995" s="9" t="s">
        <v>4921</v>
      </c>
      <c r="K1995" t="s">
        <v>5558</v>
      </c>
      <c r="L1995" s="2">
        <v>1</v>
      </c>
      <c r="M1995" s="24" t="s">
        <v>5971</v>
      </c>
      <c r="N1995" s="2" t="s">
        <v>23</v>
      </c>
      <c r="O1995" s="18" t="s">
        <v>1572</v>
      </c>
      <c r="P1995" s="18" t="s">
        <v>3781</v>
      </c>
      <c r="Q1995" s="6" t="s">
        <v>4475</v>
      </c>
      <c r="T1995" s="23">
        <v>46232</v>
      </c>
      <c r="U1995" s="23">
        <v>46313</v>
      </c>
      <c r="X1995" s="20">
        <v>500</v>
      </c>
      <c r="Z1995" s="6" t="s">
        <v>5978</v>
      </c>
      <c r="AA1995" s="14">
        <f t="shared" si="248"/>
        <v>5.9999999999999995E-4</v>
      </c>
      <c r="AB1995">
        <v>0.3</v>
      </c>
      <c r="AC1995">
        <v>0.312</v>
      </c>
    </row>
    <row r="1996" spans="1:29" x14ac:dyDescent="0.3">
      <c r="A1996">
        <v>152358</v>
      </c>
      <c r="B1996" s="25" t="s">
        <v>5984</v>
      </c>
      <c r="C1996" t="s">
        <v>20</v>
      </c>
      <c r="D1996" t="s">
        <v>21</v>
      </c>
      <c r="E1996">
        <v>2222222</v>
      </c>
      <c r="F1996" s="8" t="s">
        <v>22</v>
      </c>
      <c r="G1996" s="2">
        <v>98</v>
      </c>
      <c r="H1996" t="s">
        <v>4184</v>
      </c>
      <c r="J1996" s="9" t="s">
        <v>4921</v>
      </c>
      <c r="K1996" t="s">
        <v>5558</v>
      </c>
      <c r="L1996" s="2">
        <v>1</v>
      </c>
      <c r="M1996" s="24" t="s">
        <v>5971</v>
      </c>
      <c r="N1996" s="2" t="s">
        <v>23</v>
      </c>
      <c r="O1996" s="18" t="s">
        <v>1572</v>
      </c>
      <c r="P1996" s="18" t="s">
        <v>3781</v>
      </c>
      <c r="Q1996" s="6" t="s">
        <v>4475</v>
      </c>
      <c r="T1996" s="23">
        <v>46232</v>
      </c>
      <c r="U1996" s="23">
        <v>46320</v>
      </c>
      <c r="X1996" s="20">
        <v>500</v>
      </c>
      <c r="Z1996" s="6" t="s">
        <v>5978</v>
      </c>
      <c r="AA1996" s="14">
        <f t="shared" si="248"/>
        <v>5.9999999999999995E-4</v>
      </c>
      <c r="AB1996">
        <v>0.3</v>
      </c>
      <c r="AC1996">
        <v>0.312</v>
      </c>
    </row>
    <row r="1997" spans="1:29" x14ac:dyDescent="0.3">
      <c r="A1997">
        <v>152359</v>
      </c>
      <c r="B1997" s="25" t="s">
        <v>5984</v>
      </c>
      <c r="C1997" t="s">
        <v>20</v>
      </c>
      <c r="D1997" t="s">
        <v>21</v>
      </c>
      <c r="E1997">
        <v>2222222</v>
      </c>
      <c r="F1997" s="8" t="s">
        <v>22</v>
      </c>
      <c r="G1997" s="2">
        <v>98</v>
      </c>
      <c r="H1997" t="s">
        <v>4184</v>
      </c>
      <c r="J1997" s="9" t="s">
        <v>4921</v>
      </c>
      <c r="K1997" t="s">
        <v>5558</v>
      </c>
      <c r="L1997" s="2">
        <v>1</v>
      </c>
      <c r="M1997" s="24" t="s">
        <v>5971</v>
      </c>
      <c r="N1997" s="2" t="s">
        <v>23</v>
      </c>
      <c r="O1997" s="18" t="s">
        <v>1572</v>
      </c>
      <c r="P1997" s="18" t="s">
        <v>3781</v>
      </c>
      <c r="Q1997" s="6" t="s">
        <v>4475</v>
      </c>
      <c r="T1997" s="23">
        <v>46232</v>
      </c>
      <c r="U1997" s="23">
        <v>46316</v>
      </c>
      <c r="X1997" s="20">
        <v>500</v>
      </c>
      <c r="Z1997" s="6" t="s">
        <v>5978</v>
      </c>
      <c r="AA1997" s="14">
        <f t="shared" si="248"/>
        <v>5.9999999999999995E-4</v>
      </c>
      <c r="AB1997">
        <v>0.3</v>
      </c>
      <c r="AC1997">
        <v>0.312</v>
      </c>
    </row>
    <row r="1998" spans="1:29" x14ac:dyDescent="0.3">
      <c r="A1998">
        <v>134220</v>
      </c>
      <c r="B1998" s="25" t="s">
        <v>5984</v>
      </c>
      <c r="C1998" t="s">
        <v>20</v>
      </c>
      <c r="D1998" t="s">
        <v>21</v>
      </c>
      <c r="E1998">
        <v>2222222</v>
      </c>
      <c r="F1998" s="8" t="s">
        <v>22</v>
      </c>
      <c r="G1998" s="2">
        <v>98</v>
      </c>
      <c r="H1998" t="s">
        <v>4185</v>
      </c>
      <c r="J1998" s="9" t="s">
        <v>5096</v>
      </c>
      <c r="K1998" t="s">
        <v>4941</v>
      </c>
      <c r="L1998" s="2">
        <v>1</v>
      </c>
      <c r="M1998" s="24" t="s">
        <v>5971</v>
      </c>
      <c r="N1998" s="2" t="s">
        <v>23</v>
      </c>
      <c r="O1998" s="18" t="s">
        <v>1588</v>
      </c>
      <c r="P1998" s="18" t="s">
        <v>3781</v>
      </c>
      <c r="Q1998" s="6" t="s">
        <v>4475</v>
      </c>
      <c r="T1998" s="23">
        <v>45042</v>
      </c>
      <c r="U1998" s="23">
        <v>46508</v>
      </c>
      <c r="X1998" s="20">
        <v>5000</v>
      </c>
      <c r="Z1998" s="6" t="s">
        <v>5978</v>
      </c>
      <c r="AA1998" s="13">
        <f>+(0.56/1000)</f>
        <v>5.6000000000000006E-4</v>
      </c>
      <c r="AB1998">
        <v>0.77264320000000009</v>
      </c>
      <c r="AC1998">
        <v>0.80354892800000011</v>
      </c>
    </row>
    <row r="1999" spans="1:29" x14ac:dyDescent="0.3">
      <c r="A1999">
        <v>142292</v>
      </c>
      <c r="B1999" s="25" t="s">
        <v>5984</v>
      </c>
      <c r="C1999" t="s">
        <v>20</v>
      </c>
      <c r="D1999" t="s">
        <v>21</v>
      </c>
      <c r="E1999">
        <v>2222222</v>
      </c>
      <c r="F1999" s="8" t="s">
        <v>22</v>
      </c>
      <c r="G1999" s="2">
        <v>98</v>
      </c>
      <c r="H1999" t="s">
        <v>4185</v>
      </c>
      <c r="J1999" s="9" t="s">
        <v>5562</v>
      </c>
      <c r="K1999" t="s">
        <v>5219</v>
      </c>
      <c r="L1999" s="2">
        <v>1</v>
      </c>
      <c r="M1999" s="24" t="s">
        <v>5971</v>
      </c>
      <c r="N1999" s="2" t="s">
        <v>23</v>
      </c>
      <c r="O1999" s="18" t="s">
        <v>1589</v>
      </c>
      <c r="P1999" s="18" t="s">
        <v>3781</v>
      </c>
      <c r="Q1999" s="6" t="s">
        <v>4475</v>
      </c>
      <c r="T1999" s="23">
        <v>45511</v>
      </c>
      <c r="U1999" s="23">
        <v>51080</v>
      </c>
      <c r="X1999" s="20">
        <v>17450</v>
      </c>
      <c r="Z1999" s="6" t="s">
        <v>5978</v>
      </c>
      <c r="AA1999" s="14">
        <f t="shared" ref="AA1999:AA2008" si="249">+(0.6/1000)</f>
        <v>5.9999999999999995E-4</v>
      </c>
      <c r="AB1999">
        <v>10.04832</v>
      </c>
      <c r="AC1999">
        <v>10.450252800000001</v>
      </c>
    </row>
    <row r="2000" spans="1:29" x14ac:dyDescent="0.3">
      <c r="A2000">
        <v>143348</v>
      </c>
      <c r="B2000" s="25" t="s">
        <v>5984</v>
      </c>
      <c r="C2000" t="s">
        <v>20</v>
      </c>
      <c r="D2000" t="s">
        <v>21</v>
      </c>
      <c r="E2000">
        <v>2222222</v>
      </c>
      <c r="F2000" s="8" t="s">
        <v>22</v>
      </c>
      <c r="G2000" s="2">
        <v>98</v>
      </c>
      <c r="H2000" t="s">
        <v>4185</v>
      </c>
      <c r="J2000" s="9" t="s">
        <v>4929</v>
      </c>
      <c r="K2000" t="s">
        <v>4965</v>
      </c>
      <c r="L2000" s="2">
        <v>1</v>
      </c>
      <c r="M2000" s="24" t="s">
        <v>5971</v>
      </c>
      <c r="N2000" s="2" t="s">
        <v>23</v>
      </c>
      <c r="O2000" s="18" t="s">
        <v>358</v>
      </c>
      <c r="P2000" s="18" t="s">
        <v>0</v>
      </c>
      <c r="Q2000" s="6" t="s">
        <v>4475</v>
      </c>
      <c r="T2000" s="23">
        <v>45584</v>
      </c>
      <c r="U2000" s="23">
        <v>47501</v>
      </c>
      <c r="X2000" s="20">
        <v>1900</v>
      </c>
      <c r="Z2000" s="6" t="s">
        <v>5978</v>
      </c>
      <c r="AA2000" s="14">
        <f t="shared" si="249"/>
        <v>5.9999999999999995E-4</v>
      </c>
      <c r="AB2000">
        <v>1.070052</v>
      </c>
      <c r="AC2000">
        <v>1.11285408</v>
      </c>
    </row>
    <row r="2001" spans="1:29" x14ac:dyDescent="0.3">
      <c r="A2001">
        <v>144995</v>
      </c>
      <c r="B2001" s="25" t="s">
        <v>5984</v>
      </c>
      <c r="C2001" t="s">
        <v>20</v>
      </c>
      <c r="D2001" t="s">
        <v>21</v>
      </c>
      <c r="E2001">
        <v>2222222</v>
      </c>
      <c r="F2001" s="8" t="s">
        <v>22</v>
      </c>
      <c r="G2001" s="2">
        <v>98</v>
      </c>
      <c r="H2001" t="s">
        <v>4185</v>
      </c>
      <c r="J2001" s="9" t="s">
        <v>4836</v>
      </c>
      <c r="K2001" t="s">
        <v>5031</v>
      </c>
      <c r="L2001" s="2">
        <v>1</v>
      </c>
      <c r="M2001" s="24" t="s">
        <v>5971</v>
      </c>
      <c r="N2001" s="2" t="s">
        <v>23</v>
      </c>
      <c r="O2001" s="18" t="s">
        <v>1590</v>
      </c>
      <c r="P2001" s="18" t="s">
        <v>3781</v>
      </c>
      <c r="Q2001" s="6" t="s">
        <v>4475</v>
      </c>
      <c r="T2001" s="23">
        <v>45706</v>
      </c>
      <c r="U2001" s="23">
        <v>47534</v>
      </c>
      <c r="X2001" s="20">
        <v>29250</v>
      </c>
      <c r="Z2001" s="6" t="s">
        <v>5978</v>
      </c>
      <c r="AA2001" s="14">
        <f t="shared" si="249"/>
        <v>5.9999999999999995E-4</v>
      </c>
      <c r="AB2001">
        <v>13.761779999999998</v>
      </c>
      <c r="AC2001">
        <v>14.312251199999999</v>
      </c>
    </row>
    <row r="2002" spans="1:29" x14ac:dyDescent="0.3">
      <c r="A2002">
        <v>149268</v>
      </c>
      <c r="B2002" s="25" t="s">
        <v>5984</v>
      </c>
      <c r="C2002" t="s">
        <v>20</v>
      </c>
      <c r="D2002" t="s">
        <v>21</v>
      </c>
      <c r="E2002">
        <v>2222222</v>
      </c>
      <c r="F2002" s="8" t="s">
        <v>22</v>
      </c>
      <c r="G2002" s="2">
        <v>98</v>
      </c>
      <c r="H2002" t="s">
        <v>4185</v>
      </c>
      <c r="J2002" s="9" t="s">
        <v>4852</v>
      </c>
      <c r="K2002" t="s">
        <v>5198</v>
      </c>
      <c r="L2002" s="2">
        <v>1</v>
      </c>
      <c r="M2002" s="24" t="s">
        <v>5971</v>
      </c>
      <c r="N2002" s="2" t="s">
        <v>23</v>
      </c>
      <c r="O2002" s="18" t="s">
        <v>1591</v>
      </c>
      <c r="P2002" s="18" t="s">
        <v>0</v>
      </c>
      <c r="Q2002" s="6" t="s">
        <v>4475</v>
      </c>
      <c r="T2002" s="23">
        <v>46008</v>
      </c>
      <c r="U2002" s="23">
        <v>47468</v>
      </c>
      <c r="X2002" s="20">
        <v>5000</v>
      </c>
      <c r="Z2002" s="6" t="s">
        <v>5978</v>
      </c>
      <c r="AA2002" s="14">
        <f t="shared" si="249"/>
        <v>5.9999999999999995E-4</v>
      </c>
      <c r="AB2002">
        <v>2.6827320000000001</v>
      </c>
      <c r="AC2002">
        <v>2.7900412800000001</v>
      </c>
    </row>
    <row r="2003" spans="1:29" x14ac:dyDescent="0.3">
      <c r="A2003">
        <v>149292</v>
      </c>
      <c r="B2003" s="25" t="s">
        <v>5984</v>
      </c>
      <c r="C2003" t="s">
        <v>20</v>
      </c>
      <c r="D2003" t="s">
        <v>21</v>
      </c>
      <c r="E2003">
        <v>2222222</v>
      </c>
      <c r="F2003" s="8" t="s">
        <v>22</v>
      </c>
      <c r="G2003" s="2">
        <v>98</v>
      </c>
      <c r="H2003" t="s">
        <v>4185</v>
      </c>
      <c r="J2003" s="9" t="s">
        <v>5098</v>
      </c>
      <c r="K2003" t="s">
        <v>4845</v>
      </c>
      <c r="L2003" s="2">
        <v>1</v>
      </c>
      <c r="M2003" s="24" t="s">
        <v>5971</v>
      </c>
      <c r="N2003" s="2" t="s">
        <v>23</v>
      </c>
      <c r="O2003" s="18" t="s">
        <v>1592</v>
      </c>
      <c r="P2003" s="18" t="s">
        <v>3781</v>
      </c>
      <c r="Q2003" s="6" t="s">
        <v>4475</v>
      </c>
      <c r="T2003" s="23">
        <v>46010</v>
      </c>
      <c r="U2003" s="23">
        <v>47470</v>
      </c>
      <c r="X2003" s="20">
        <v>3880</v>
      </c>
      <c r="Z2003" s="6" t="s">
        <v>5978</v>
      </c>
      <c r="AA2003" s="14">
        <f t="shared" si="249"/>
        <v>5.9999999999999995E-4</v>
      </c>
      <c r="AB2003">
        <v>2.1021959999999997</v>
      </c>
      <c r="AC2003">
        <v>2.1862838399999998</v>
      </c>
    </row>
    <row r="2004" spans="1:29" x14ac:dyDescent="0.3">
      <c r="A2004">
        <v>150059</v>
      </c>
      <c r="B2004" s="25" t="s">
        <v>5984</v>
      </c>
      <c r="C2004" t="s">
        <v>20</v>
      </c>
      <c r="D2004" t="s">
        <v>21</v>
      </c>
      <c r="E2004">
        <v>2222222</v>
      </c>
      <c r="F2004" s="8" t="s">
        <v>22</v>
      </c>
      <c r="G2004" s="2">
        <v>98</v>
      </c>
      <c r="H2004" t="s">
        <v>4185</v>
      </c>
      <c r="J2004" s="9" t="s">
        <v>5248</v>
      </c>
      <c r="K2004" t="s">
        <v>5340</v>
      </c>
      <c r="L2004" s="2">
        <v>1</v>
      </c>
      <c r="M2004" s="24" t="s">
        <v>5971</v>
      </c>
      <c r="N2004" s="2" t="s">
        <v>23</v>
      </c>
      <c r="O2004" s="18" t="s">
        <v>1593</v>
      </c>
      <c r="P2004" s="18" t="s">
        <v>3781</v>
      </c>
      <c r="Q2004" s="6" t="s">
        <v>4475</v>
      </c>
      <c r="T2004" s="23">
        <v>46066</v>
      </c>
      <c r="U2004" s="23">
        <v>46614</v>
      </c>
      <c r="X2004" s="20">
        <v>5000</v>
      </c>
      <c r="Z2004" s="6" t="s">
        <v>5978</v>
      </c>
      <c r="AA2004" s="14">
        <f t="shared" si="249"/>
        <v>5.9999999999999995E-4</v>
      </c>
      <c r="AB2004">
        <v>2.229228</v>
      </c>
      <c r="AC2004">
        <v>2.3183971200000002</v>
      </c>
    </row>
    <row r="2005" spans="1:29" x14ac:dyDescent="0.3">
      <c r="A2005">
        <v>151229</v>
      </c>
      <c r="B2005" s="25" t="s">
        <v>5984</v>
      </c>
      <c r="C2005" t="s">
        <v>20</v>
      </c>
      <c r="D2005" t="s">
        <v>21</v>
      </c>
      <c r="E2005">
        <v>2222222</v>
      </c>
      <c r="F2005" s="8" t="s">
        <v>22</v>
      </c>
      <c r="G2005" s="2">
        <v>98</v>
      </c>
      <c r="H2005" t="s">
        <v>4185</v>
      </c>
      <c r="J2005" s="9" t="s">
        <v>4901</v>
      </c>
      <c r="K2005" t="s">
        <v>5224</v>
      </c>
      <c r="L2005" s="2">
        <v>1</v>
      </c>
      <c r="M2005" s="24" t="s">
        <v>5971</v>
      </c>
      <c r="N2005" s="2" t="s">
        <v>23</v>
      </c>
      <c r="O2005" s="18" t="s">
        <v>1594</v>
      </c>
      <c r="P2005" s="18" t="s">
        <v>0</v>
      </c>
      <c r="Q2005" s="6" t="s">
        <v>4475</v>
      </c>
      <c r="T2005" s="23">
        <v>46148</v>
      </c>
      <c r="U2005" s="23">
        <v>46238</v>
      </c>
      <c r="X2005" s="20">
        <v>2960</v>
      </c>
      <c r="Z2005" s="6" t="s">
        <v>5978</v>
      </c>
      <c r="AA2005" s="14">
        <f t="shared" si="249"/>
        <v>5.9999999999999995E-4</v>
      </c>
      <c r="AB2005">
        <v>1.7759999999999998</v>
      </c>
      <c r="AC2005">
        <v>1.8470399999999998</v>
      </c>
    </row>
    <row r="2006" spans="1:29" x14ac:dyDescent="0.3">
      <c r="A2006">
        <v>151661</v>
      </c>
      <c r="B2006" s="25" t="s">
        <v>5984</v>
      </c>
      <c r="C2006" t="s">
        <v>20</v>
      </c>
      <c r="D2006" t="s">
        <v>21</v>
      </c>
      <c r="E2006">
        <v>2222222</v>
      </c>
      <c r="F2006" s="8" t="s">
        <v>22</v>
      </c>
      <c r="G2006" s="2">
        <v>98</v>
      </c>
      <c r="H2006" t="s">
        <v>4185</v>
      </c>
      <c r="J2006" s="9" t="s">
        <v>4836</v>
      </c>
      <c r="K2006" t="s">
        <v>5031</v>
      </c>
      <c r="L2006" s="2">
        <v>1</v>
      </c>
      <c r="M2006" s="24" t="s">
        <v>5971</v>
      </c>
      <c r="N2006" s="2" t="s">
        <v>23</v>
      </c>
      <c r="O2006" s="18" t="s">
        <v>1590</v>
      </c>
      <c r="P2006" s="18" t="s">
        <v>3781</v>
      </c>
      <c r="Q2006" s="6" t="s">
        <v>4475</v>
      </c>
      <c r="T2006" s="23">
        <v>46182</v>
      </c>
      <c r="U2006" s="23">
        <v>46730</v>
      </c>
      <c r="X2006" s="20">
        <v>6200</v>
      </c>
      <c r="Z2006" s="6" t="s">
        <v>5978</v>
      </c>
      <c r="AA2006" s="14">
        <f t="shared" si="249"/>
        <v>5.9999999999999995E-4</v>
      </c>
      <c r="AB2006">
        <v>3.5353859999999999</v>
      </c>
      <c r="AC2006">
        <v>3.6768014400000002</v>
      </c>
    </row>
    <row r="2007" spans="1:29" x14ac:dyDescent="0.3">
      <c r="A2007">
        <v>151975</v>
      </c>
      <c r="B2007" s="25" t="s">
        <v>5984</v>
      </c>
      <c r="C2007" t="s">
        <v>20</v>
      </c>
      <c r="D2007" t="s">
        <v>21</v>
      </c>
      <c r="E2007">
        <v>2222222</v>
      </c>
      <c r="F2007" s="8" t="s">
        <v>22</v>
      </c>
      <c r="G2007" s="2">
        <v>98</v>
      </c>
      <c r="H2007" t="s">
        <v>4185</v>
      </c>
      <c r="J2007" s="9" t="s">
        <v>5562</v>
      </c>
      <c r="K2007" t="s">
        <v>5219</v>
      </c>
      <c r="L2007" s="2">
        <v>1</v>
      </c>
      <c r="M2007" s="24" t="s">
        <v>5971</v>
      </c>
      <c r="N2007" s="2" t="s">
        <v>23</v>
      </c>
      <c r="O2007" s="18" t="s">
        <v>1589</v>
      </c>
      <c r="P2007" s="18" t="s">
        <v>3781</v>
      </c>
      <c r="Q2007" s="6" t="s">
        <v>4475</v>
      </c>
      <c r="T2007" s="23">
        <v>46207</v>
      </c>
      <c r="U2007" s="23">
        <v>46300</v>
      </c>
      <c r="X2007" s="20">
        <v>1900</v>
      </c>
      <c r="Z2007" s="6" t="s">
        <v>5978</v>
      </c>
      <c r="AA2007" s="14">
        <f t="shared" si="249"/>
        <v>5.9999999999999995E-4</v>
      </c>
      <c r="AB2007">
        <v>1.1399999999999999</v>
      </c>
      <c r="AC2007">
        <v>1.1856</v>
      </c>
    </row>
    <row r="2008" spans="1:29" x14ac:dyDescent="0.3">
      <c r="A2008">
        <v>152223</v>
      </c>
      <c r="B2008" s="25" t="s">
        <v>5984</v>
      </c>
      <c r="C2008" t="s">
        <v>20</v>
      </c>
      <c r="D2008" t="s">
        <v>21</v>
      </c>
      <c r="E2008">
        <v>2222222</v>
      </c>
      <c r="F2008" s="8" t="s">
        <v>22</v>
      </c>
      <c r="G2008" s="2">
        <v>98</v>
      </c>
      <c r="H2008" t="s">
        <v>4185</v>
      </c>
      <c r="J2008" s="9" t="s">
        <v>5563</v>
      </c>
      <c r="K2008" t="s">
        <v>4863</v>
      </c>
      <c r="L2008" s="2">
        <v>1</v>
      </c>
      <c r="M2008" s="24" t="s">
        <v>5971</v>
      </c>
      <c r="N2008" s="2" t="s">
        <v>23</v>
      </c>
      <c r="O2008" s="18" t="s">
        <v>1595</v>
      </c>
      <c r="P2008" s="18" t="s">
        <v>3781</v>
      </c>
      <c r="Q2008" s="6" t="s">
        <v>4475</v>
      </c>
      <c r="T2008" s="23">
        <v>46220</v>
      </c>
      <c r="U2008" s="23">
        <v>46310</v>
      </c>
      <c r="X2008" s="20">
        <v>1000</v>
      </c>
      <c r="Z2008" s="6" t="s">
        <v>5978</v>
      </c>
      <c r="AA2008" s="14">
        <f t="shared" si="249"/>
        <v>5.9999999999999995E-4</v>
      </c>
      <c r="AB2008">
        <v>0.6</v>
      </c>
      <c r="AC2008">
        <v>0.624</v>
      </c>
    </row>
    <row r="2009" spans="1:29" x14ac:dyDescent="0.3">
      <c r="A2009">
        <v>138614</v>
      </c>
      <c r="B2009" s="25" t="s">
        <v>5984</v>
      </c>
      <c r="C2009" t="s">
        <v>20</v>
      </c>
      <c r="D2009" t="s">
        <v>21</v>
      </c>
      <c r="E2009">
        <v>2222222</v>
      </c>
      <c r="F2009" s="8" t="s">
        <v>22</v>
      </c>
      <c r="G2009" s="2">
        <v>98</v>
      </c>
      <c r="H2009" t="s">
        <v>4186</v>
      </c>
      <c r="J2009" s="9" t="s">
        <v>5041</v>
      </c>
      <c r="K2009" t="s">
        <v>4913</v>
      </c>
      <c r="L2009" s="2">
        <v>1</v>
      </c>
      <c r="M2009" s="24" t="s">
        <v>5971</v>
      </c>
      <c r="N2009" s="2" t="s">
        <v>23</v>
      </c>
      <c r="O2009" s="18" t="s">
        <v>1596</v>
      </c>
      <c r="P2009" s="18" t="s">
        <v>0</v>
      </c>
      <c r="Q2009" s="6" t="s">
        <v>4475</v>
      </c>
      <c r="T2009" s="23">
        <v>45287</v>
      </c>
      <c r="U2009" s="23">
        <v>46747</v>
      </c>
      <c r="X2009" s="20">
        <v>5000</v>
      </c>
      <c r="Z2009" s="6" t="s">
        <v>5978</v>
      </c>
      <c r="AA2009" s="13">
        <f>+(0.56/1000)</f>
        <v>5.6000000000000006E-4</v>
      </c>
      <c r="AB2009">
        <v>1.3049568000000002</v>
      </c>
      <c r="AC2009">
        <v>1.3571550720000003</v>
      </c>
    </row>
    <row r="2010" spans="1:29" x14ac:dyDescent="0.3">
      <c r="A2010">
        <v>150169</v>
      </c>
      <c r="B2010" s="25" t="s">
        <v>5984</v>
      </c>
      <c r="C2010" t="s">
        <v>20</v>
      </c>
      <c r="D2010" t="s">
        <v>21</v>
      </c>
      <c r="E2010">
        <v>2222222</v>
      </c>
      <c r="F2010" s="8" t="s">
        <v>22</v>
      </c>
      <c r="G2010" s="2">
        <v>98</v>
      </c>
      <c r="H2010" t="s">
        <v>4186</v>
      </c>
      <c r="J2010" s="9" t="s">
        <v>4873</v>
      </c>
      <c r="K2010" t="s">
        <v>5564</v>
      </c>
      <c r="L2010" s="2">
        <v>1</v>
      </c>
      <c r="M2010" s="24" t="s">
        <v>5971</v>
      </c>
      <c r="N2010" s="2" t="s">
        <v>23</v>
      </c>
      <c r="O2010" s="18" t="s">
        <v>1597</v>
      </c>
      <c r="P2010" s="18" t="s">
        <v>3781</v>
      </c>
      <c r="Q2010" s="6" t="s">
        <v>4475</v>
      </c>
      <c r="T2010" s="23">
        <v>46091</v>
      </c>
      <c r="U2010" s="23">
        <v>47916</v>
      </c>
      <c r="X2010" s="20">
        <v>15000</v>
      </c>
      <c r="Z2010" s="6" t="s">
        <v>5978</v>
      </c>
      <c r="AA2010" s="14">
        <f t="shared" ref="AA2010:AA2014" si="250">+(0.6/1000)</f>
        <v>5.9999999999999995E-4</v>
      </c>
      <c r="AB2010">
        <v>8.5747319999999991</v>
      </c>
      <c r="AC2010">
        <v>8.9177212799999985</v>
      </c>
    </row>
    <row r="2011" spans="1:29" x14ac:dyDescent="0.3">
      <c r="A2011">
        <v>150453</v>
      </c>
      <c r="B2011" s="25" t="s">
        <v>5984</v>
      </c>
      <c r="C2011" t="s">
        <v>20</v>
      </c>
      <c r="D2011" t="s">
        <v>21</v>
      </c>
      <c r="E2011">
        <v>2222222</v>
      </c>
      <c r="F2011" s="8" t="s">
        <v>22</v>
      </c>
      <c r="G2011" s="2">
        <v>98</v>
      </c>
      <c r="H2011" t="s">
        <v>4186</v>
      </c>
      <c r="J2011" s="9" t="s">
        <v>5041</v>
      </c>
      <c r="K2011" t="s">
        <v>4913</v>
      </c>
      <c r="L2011" s="2">
        <v>1</v>
      </c>
      <c r="M2011" s="24" t="s">
        <v>5971</v>
      </c>
      <c r="N2011" s="2" t="s">
        <v>23</v>
      </c>
      <c r="O2011" s="18" t="s">
        <v>1596</v>
      </c>
      <c r="P2011" s="18" t="s">
        <v>0</v>
      </c>
      <c r="Q2011" s="6" t="s">
        <v>4475</v>
      </c>
      <c r="T2011" s="23">
        <v>46094</v>
      </c>
      <c r="U2011" s="23">
        <v>46795</v>
      </c>
      <c r="X2011" s="20">
        <v>3270</v>
      </c>
      <c r="Z2011" s="6" t="s">
        <v>5978</v>
      </c>
      <c r="AA2011" s="14">
        <f t="shared" si="250"/>
        <v>5.9999999999999995E-4</v>
      </c>
      <c r="AB2011">
        <v>0.88411799999999996</v>
      </c>
      <c r="AC2011">
        <v>0.91948271999999998</v>
      </c>
    </row>
    <row r="2012" spans="1:29" x14ac:dyDescent="0.3">
      <c r="A2012">
        <v>151471</v>
      </c>
      <c r="B2012" s="25" t="s">
        <v>5984</v>
      </c>
      <c r="C2012" t="s">
        <v>20</v>
      </c>
      <c r="D2012" t="s">
        <v>21</v>
      </c>
      <c r="E2012">
        <v>2222222</v>
      </c>
      <c r="F2012" s="8" t="s">
        <v>22</v>
      </c>
      <c r="G2012" s="2">
        <v>98</v>
      </c>
      <c r="H2012" t="s">
        <v>4186</v>
      </c>
      <c r="J2012" s="9" t="s">
        <v>4838</v>
      </c>
      <c r="K2012" t="s">
        <v>4964</v>
      </c>
      <c r="L2012" s="2">
        <v>1</v>
      </c>
      <c r="M2012" s="24" t="s">
        <v>5971</v>
      </c>
      <c r="N2012" s="2" t="s">
        <v>23</v>
      </c>
      <c r="O2012" s="18" t="s">
        <v>1598</v>
      </c>
      <c r="P2012" s="18" t="s">
        <v>0</v>
      </c>
      <c r="Q2012" s="6" t="s">
        <v>4475</v>
      </c>
      <c r="T2012" s="23">
        <v>46168</v>
      </c>
      <c r="U2012" s="23">
        <v>47628</v>
      </c>
      <c r="X2012" s="20">
        <v>3000</v>
      </c>
      <c r="Z2012" s="6" t="s">
        <v>5978</v>
      </c>
      <c r="AA2012" s="14">
        <f t="shared" si="250"/>
        <v>5.9999999999999995E-4</v>
      </c>
      <c r="AB2012">
        <v>1.7473859999999999</v>
      </c>
      <c r="AC2012">
        <v>1.8172814399999999</v>
      </c>
    </row>
    <row r="2013" spans="1:29" x14ac:dyDescent="0.3">
      <c r="A2013">
        <v>151957</v>
      </c>
      <c r="B2013" s="25" t="s">
        <v>5984</v>
      </c>
      <c r="C2013" t="s">
        <v>20</v>
      </c>
      <c r="D2013" t="s">
        <v>21</v>
      </c>
      <c r="E2013">
        <v>2222222</v>
      </c>
      <c r="F2013" s="8" t="s">
        <v>22</v>
      </c>
      <c r="G2013" s="2">
        <v>98</v>
      </c>
      <c r="H2013" t="s">
        <v>4186</v>
      </c>
      <c r="J2013" s="9" t="s">
        <v>4852</v>
      </c>
      <c r="K2013" t="s">
        <v>4875</v>
      </c>
      <c r="L2013" s="2">
        <v>1</v>
      </c>
      <c r="M2013" s="24" t="s">
        <v>5971</v>
      </c>
      <c r="N2013" s="2" t="s">
        <v>23</v>
      </c>
      <c r="O2013" s="18" t="s">
        <v>1599</v>
      </c>
      <c r="P2013" s="18" t="s">
        <v>0</v>
      </c>
      <c r="Q2013" s="6" t="s">
        <v>4475</v>
      </c>
      <c r="T2013" s="23">
        <v>46201</v>
      </c>
      <c r="U2013" s="23">
        <v>47297</v>
      </c>
      <c r="X2013" s="20">
        <v>2500</v>
      </c>
      <c r="Z2013" s="6" t="s">
        <v>5978</v>
      </c>
      <c r="AA2013" s="14">
        <f t="shared" si="250"/>
        <v>5.9999999999999995E-4</v>
      </c>
      <c r="AB2013">
        <v>1.4675939999999998</v>
      </c>
      <c r="AC2013">
        <v>1.5262977599999998</v>
      </c>
    </row>
    <row r="2014" spans="1:29" x14ac:dyDescent="0.3">
      <c r="A2014">
        <v>144332</v>
      </c>
      <c r="B2014" s="25" t="s">
        <v>5984</v>
      </c>
      <c r="C2014" t="s">
        <v>20</v>
      </c>
      <c r="D2014" t="s">
        <v>21</v>
      </c>
      <c r="E2014">
        <v>2222222</v>
      </c>
      <c r="F2014" s="8" t="s">
        <v>22</v>
      </c>
      <c r="G2014" s="2">
        <v>98</v>
      </c>
      <c r="H2014" t="s">
        <v>4187</v>
      </c>
      <c r="J2014" s="9" t="s">
        <v>4947</v>
      </c>
      <c r="K2014" t="s">
        <v>5101</v>
      </c>
      <c r="L2014" s="2">
        <v>1</v>
      </c>
      <c r="M2014" s="24" t="s">
        <v>5971</v>
      </c>
      <c r="N2014" s="2" t="s">
        <v>23</v>
      </c>
      <c r="O2014" s="18" t="s">
        <v>1600</v>
      </c>
      <c r="P2014" s="18" t="s">
        <v>3781</v>
      </c>
      <c r="Q2014" s="6" t="s">
        <v>4475</v>
      </c>
      <c r="T2014" s="23">
        <v>45656</v>
      </c>
      <c r="U2014" s="23">
        <v>47116</v>
      </c>
      <c r="X2014" s="20">
        <v>4970</v>
      </c>
      <c r="Z2014" s="6" t="s">
        <v>5978</v>
      </c>
      <c r="AA2014" s="14">
        <f t="shared" si="250"/>
        <v>5.9999999999999995E-4</v>
      </c>
      <c r="AB2014">
        <v>2.9819999999999998</v>
      </c>
      <c r="AC2014">
        <v>3.10128</v>
      </c>
    </row>
    <row r="2015" spans="1:29" x14ac:dyDescent="0.3">
      <c r="A2015">
        <v>138669</v>
      </c>
      <c r="B2015" s="25" t="s">
        <v>5984</v>
      </c>
      <c r="C2015" t="s">
        <v>20</v>
      </c>
      <c r="D2015" t="s">
        <v>21</v>
      </c>
      <c r="E2015">
        <v>2222222</v>
      </c>
      <c r="F2015" s="8" t="s">
        <v>22</v>
      </c>
      <c r="G2015" s="2">
        <v>98</v>
      </c>
      <c r="H2015" t="s">
        <v>4188</v>
      </c>
      <c r="J2015" s="9" t="s">
        <v>5565</v>
      </c>
      <c r="K2015" t="s">
        <v>5075</v>
      </c>
      <c r="L2015" s="2">
        <v>1</v>
      </c>
      <c r="M2015" s="24" t="s">
        <v>5971</v>
      </c>
      <c r="N2015" s="2" t="s">
        <v>23</v>
      </c>
      <c r="O2015" s="18" t="s">
        <v>1601</v>
      </c>
      <c r="P2015" s="18" t="s">
        <v>3781</v>
      </c>
      <c r="Q2015" s="6" t="s">
        <v>4475</v>
      </c>
      <c r="T2015" s="23">
        <v>45290</v>
      </c>
      <c r="U2015" s="23">
        <v>46753</v>
      </c>
      <c r="X2015" s="20">
        <v>5000</v>
      </c>
      <c r="Z2015" s="6" t="s">
        <v>5978</v>
      </c>
      <c r="AA2015" s="13">
        <f>+(0.56/1000)</f>
        <v>5.6000000000000006E-4</v>
      </c>
      <c r="AB2015">
        <v>1.3033048</v>
      </c>
      <c r="AC2015">
        <v>1.355436992</v>
      </c>
    </row>
    <row r="2016" spans="1:29" x14ac:dyDescent="0.3">
      <c r="A2016">
        <v>117309</v>
      </c>
      <c r="B2016" s="25" t="s">
        <v>5984</v>
      </c>
      <c r="C2016" t="s">
        <v>20</v>
      </c>
      <c r="D2016" t="s">
        <v>21</v>
      </c>
      <c r="E2016">
        <v>2222222</v>
      </c>
      <c r="F2016" s="8" t="s">
        <v>22</v>
      </c>
      <c r="G2016" s="2">
        <v>98</v>
      </c>
      <c r="H2016" t="s">
        <v>4189</v>
      </c>
      <c r="J2016" s="9" t="s">
        <v>5234</v>
      </c>
      <c r="K2016" t="s">
        <v>5460</v>
      </c>
      <c r="L2016" s="2">
        <v>1</v>
      </c>
      <c r="M2016" s="24" t="s">
        <v>5971</v>
      </c>
      <c r="N2016" s="2" t="s">
        <v>23</v>
      </c>
      <c r="O2016" s="18" t="s">
        <v>1602</v>
      </c>
      <c r="P2016" s="18" t="s">
        <v>0</v>
      </c>
      <c r="Q2016" s="6" t="s">
        <v>4475</v>
      </c>
      <c r="T2016" s="23">
        <v>44207</v>
      </c>
      <c r="U2016" s="23">
        <v>46763</v>
      </c>
      <c r="X2016" s="20">
        <v>15000</v>
      </c>
      <c r="Z2016" s="6" t="s">
        <v>5978</v>
      </c>
      <c r="AA2016" s="15">
        <f>+(0.42/1000)</f>
        <v>4.1999999999999996E-4</v>
      </c>
      <c r="AB2016">
        <v>1.9902161999999997</v>
      </c>
      <c r="AC2016">
        <v>2.0698248479999997</v>
      </c>
    </row>
    <row r="2017" spans="1:29" x14ac:dyDescent="0.3">
      <c r="A2017">
        <v>140468</v>
      </c>
      <c r="B2017" s="25" t="s">
        <v>5984</v>
      </c>
      <c r="C2017" t="s">
        <v>20</v>
      </c>
      <c r="D2017" t="s">
        <v>21</v>
      </c>
      <c r="E2017">
        <v>2222222</v>
      </c>
      <c r="F2017" s="8" t="s">
        <v>22</v>
      </c>
      <c r="G2017" s="2">
        <v>98</v>
      </c>
      <c r="H2017" t="s">
        <v>4189</v>
      </c>
      <c r="J2017" s="9" t="s">
        <v>4911</v>
      </c>
      <c r="K2017" t="s">
        <v>5169</v>
      </c>
      <c r="L2017" s="2">
        <v>1</v>
      </c>
      <c r="M2017" s="24" t="s">
        <v>5971</v>
      </c>
      <c r="N2017" s="2" t="s">
        <v>23</v>
      </c>
      <c r="O2017" s="18" t="s">
        <v>1603</v>
      </c>
      <c r="P2017" s="18" t="s">
        <v>3781</v>
      </c>
      <c r="Q2017" s="6" t="s">
        <v>4475</v>
      </c>
      <c r="T2017" s="23">
        <v>45390</v>
      </c>
      <c r="U2017" s="23">
        <v>46485</v>
      </c>
      <c r="X2017" s="20">
        <v>4000</v>
      </c>
      <c r="Z2017" s="6" t="s">
        <v>5978</v>
      </c>
      <c r="AA2017" s="13">
        <f>+(0.56/1000)</f>
        <v>5.6000000000000006E-4</v>
      </c>
      <c r="AB2017">
        <v>0.67919039999999997</v>
      </c>
      <c r="AC2017">
        <v>0.70635801600000003</v>
      </c>
    </row>
    <row r="2018" spans="1:29" x14ac:dyDescent="0.3">
      <c r="A2018">
        <v>148742</v>
      </c>
      <c r="B2018" s="25" t="s">
        <v>5984</v>
      </c>
      <c r="C2018" t="s">
        <v>20</v>
      </c>
      <c r="D2018" t="s">
        <v>21</v>
      </c>
      <c r="E2018">
        <v>2222222</v>
      </c>
      <c r="F2018" s="8" t="s">
        <v>22</v>
      </c>
      <c r="G2018" s="2">
        <v>98</v>
      </c>
      <c r="H2018" t="s">
        <v>4189</v>
      </c>
      <c r="J2018" s="9" t="s">
        <v>4901</v>
      </c>
      <c r="K2018" t="s">
        <v>5457</v>
      </c>
      <c r="L2018" s="2">
        <v>1</v>
      </c>
      <c r="M2018" s="24" t="s">
        <v>5971</v>
      </c>
      <c r="N2018" s="2" t="s">
        <v>23</v>
      </c>
      <c r="O2018" s="18" t="s">
        <v>1604</v>
      </c>
      <c r="P2018" s="18" t="s">
        <v>0</v>
      </c>
      <c r="Q2018" s="6" t="s">
        <v>4475</v>
      </c>
      <c r="T2018" s="23">
        <v>45975</v>
      </c>
      <c r="U2018" s="23">
        <v>46705</v>
      </c>
      <c r="X2018" s="20">
        <v>800</v>
      </c>
      <c r="Z2018" s="6" t="s">
        <v>5978</v>
      </c>
      <c r="AA2018" s="14">
        <f t="shared" ref="AA2018:AA2021" si="251">+(0.6/1000)</f>
        <v>5.9999999999999995E-4</v>
      </c>
      <c r="AB2018">
        <v>0.33761400000000003</v>
      </c>
      <c r="AC2018">
        <v>0.35111856000000002</v>
      </c>
    </row>
    <row r="2019" spans="1:29" x14ac:dyDescent="0.3">
      <c r="A2019">
        <v>149542</v>
      </c>
      <c r="B2019" s="25" t="s">
        <v>5984</v>
      </c>
      <c r="C2019" t="s">
        <v>20</v>
      </c>
      <c r="D2019" t="s">
        <v>21</v>
      </c>
      <c r="E2019">
        <v>2222222</v>
      </c>
      <c r="F2019" s="8" t="s">
        <v>22</v>
      </c>
      <c r="G2019" s="2">
        <v>98</v>
      </c>
      <c r="H2019" t="s">
        <v>4189</v>
      </c>
      <c r="J2019" s="9" t="s">
        <v>4883</v>
      </c>
      <c r="K2019" t="s">
        <v>4924</v>
      </c>
      <c r="L2019" s="2">
        <v>1</v>
      </c>
      <c r="M2019" s="24" t="s">
        <v>5971</v>
      </c>
      <c r="N2019" s="2" t="s">
        <v>23</v>
      </c>
      <c r="O2019" s="18" t="s">
        <v>1605</v>
      </c>
      <c r="P2019" s="18" t="s">
        <v>3781</v>
      </c>
      <c r="Q2019" s="6" t="s">
        <v>4475</v>
      </c>
      <c r="T2019" s="23">
        <v>46044</v>
      </c>
      <c r="U2019" s="23">
        <v>46773</v>
      </c>
      <c r="X2019" s="20">
        <v>10500</v>
      </c>
      <c r="Z2019" s="6" t="s">
        <v>5978</v>
      </c>
      <c r="AA2019" s="14">
        <f t="shared" si="251"/>
        <v>5.9999999999999995E-4</v>
      </c>
      <c r="AB2019">
        <v>4.9027679999999991</v>
      </c>
      <c r="AC2019">
        <v>5.0988787199999992</v>
      </c>
    </row>
    <row r="2020" spans="1:29" x14ac:dyDescent="0.3">
      <c r="A2020">
        <v>149954</v>
      </c>
      <c r="B2020" s="25" t="s">
        <v>5984</v>
      </c>
      <c r="C2020" t="s">
        <v>20</v>
      </c>
      <c r="D2020" t="s">
        <v>21</v>
      </c>
      <c r="E2020">
        <v>2222222</v>
      </c>
      <c r="F2020" s="8" t="s">
        <v>22</v>
      </c>
      <c r="G2020" s="2">
        <v>98</v>
      </c>
      <c r="H2020" t="s">
        <v>4189</v>
      </c>
      <c r="J2020" s="9" t="s">
        <v>5234</v>
      </c>
      <c r="K2020" t="s">
        <v>4846</v>
      </c>
      <c r="L2020" s="2">
        <v>1</v>
      </c>
      <c r="M2020" s="24" t="s">
        <v>5971</v>
      </c>
      <c r="N2020" s="2" t="s">
        <v>23</v>
      </c>
      <c r="O2020" s="18" t="s">
        <v>1606</v>
      </c>
      <c r="P2020" s="18" t="s">
        <v>0</v>
      </c>
      <c r="Q2020" s="6" t="s">
        <v>4475</v>
      </c>
      <c r="T2020" s="23">
        <v>46061</v>
      </c>
      <c r="U2020" s="23">
        <v>46914</v>
      </c>
      <c r="X2020" s="20">
        <v>3600</v>
      </c>
      <c r="Z2020" s="6" t="s">
        <v>5978</v>
      </c>
      <c r="AA2020" s="14">
        <f t="shared" si="251"/>
        <v>5.9999999999999995E-4</v>
      </c>
      <c r="AB2020">
        <v>1.8346560000000001</v>
      </c>
      <c r="AC2020">
        <v>1.9080422400000001</v>
      </c>
    </row>
    <row r="2021" spans="1:29" x14ac:dyDescent="0.3">
      <c r="A2021">
        <v>152163</v>
      </c>
      <c r="B2021" s="25" t="s">
        <v>5984</v>
      </c>
      <c r="C2021" t="s">
        <v>20</v>
      </c>
      <c r="D2021" t="s">
        <v>21</v>
      </c>
      <c r="E2021">
        <v>2222222</v>
      </c>
      <c r="F2021" s="8" t="s">
        <v>22</v>
      </c>
      <c r="G2021" s="2">
        <v>98</v>
      </c>
      <c r="H2021" t="s">
        <v>4189</v>
      </c>
      <c r="J2021" s="9" t="s">
        <v>4852</v>
      </c>
      <c r="K2021" t="s">
        <v>4857</v>
      </c>
      <c r="L2021" s="2">
        <v>1</v>
      </c>
      <c r="M2021" s="24" t="s">
        <v>5971</v>
      </c>
      <c r="N2021" s="2" t="s">
        <v>23</v>
      </c>
      <c r="O2021" s="18" t="s">
        <v>1607</v>
      </c>
      <c r="P2021" s="18" t="s">
        <v>0</v>
      </c>
      <c r="Q2021" s="6" t="s">
        <v>4475</v>
      </c>
      <c r="T2021" s="23">
        <v>46217</v>
      </c>
      <c r="U2021" s="23">
        <v>46947</v>
      </c>
      <c r="X2021" s="20">
        <v>2100</v>
      </c>
      <c r="Z2021" s="6" t="s">
        <v>5978</v>
      </c>
      <c r="AA2021" s="14">
        <f t="shared" si="251"/>
        <v>5.9999999999999995E-4</v>
      </c>
      <c r="AB2021">
        <v>1.2599999999999998</v>
      </c>
      <c r="AC2021">
        <v>1.3103999999999998</v>
      </c>
    </row>
    <row r="2022" spans="1:29" x14ac:dyDescent="0.3">
      <c r="A2022">
        <v>133072</v>
      </c>
      <c r="B2022" s="25" t="s">
        <v>5984</v>
      </c>
      <c r="C2022" t="s">
        <v>20</v>
      </c>
      <c r="D2022" t="s">
        <v>21</v>
      </c>
      <c r="E2022">
        <v>2222222</v>
      </c>
      <c r="F2022" s="8" t="s">
        <v>22</v>
      </c>
      <c r="G2022" s="2">
        <v>98</v>
      </c>
      <c r="H2022" t="s">
        <v>4190</v>
      </c>
      <c r="J2022" s="9" t="s">
        <v>4901</v>
      </c>
      <c r="K2022" t="s">
        <v>4937</v>
      </c>
      <c r="L2022" s="2">
        <v>1</v>
      </c>
      <c r="M2022" s="24" t="s">
        <v>5971</v>
      </c>
      <c r="N2022" s="2" t="s">
        <v>23</v>
      </c>
      <c r="O2022" s="18" t="s">
        <v>1608</v>
      </c>
      <c r="P2022" s="18" t="s">
        <v>0</v>
      </c>
      <c r="Q2022" s="6" t="s">
        <v>4475</v>
      </c>
      <c r="T2022" s="23">
        <v>44976</v>
      </c>
      <c r="U2022" s="23">
        <v>47170</v>
      </c>
      <c r="X2022" s="20">
        <v>7000</v>
      </c>
      <c r="Z2022" s="6" t="s">
        <v>5978</v>
      </c>
      <c r="AA2022" s="13">
        <f>+(0.56/1000)</f>
        <v>5.6000000000000006E-4</v>
      </c>
      <c r="AB2022">
        <v>2.1571256000000005</v>
      </c>
      <c r="AC2022">
        <v>2.2434106240000005</v>
      </c>
    </row>
    <row r="2023" spans="1:29" x14ac:dyDescent="0.3">
      <c r="A2023">
        <v>146070</v>
      </c>
      <c r="B2023" s="25" t="s">
        <v>5984</v>
      </c>
      <c r="C2023" t="s">
        <v>20</v>
      </c>
      <c r="D2023" t="s">
        <v>21</v>
      </c>
      <c r="E2023">
        <v>2222222</v>
      </c>
      <c r="F2023" s="8" t="s">
        <v>22</v>
      </c>
      <c r="G2023" s="2">
        <v>98</v>
      </c>
      <c r="H2023" t="s">
        <v>4190</v>
      </c>
      <c r="J2023" s="9" t="s">
        <v>4901</v>
      </c>
      <c r="K2023" t="s">
        <v>4937</v>
      </c>
      <c r="L2023" s="2">
        <v>1</v>
      </c>
      <c r="M2023" s="24" t="s">
        <v>5971</v>
      </c>
      <c r="N2023" s="2" t="s">
        <v>23</v>
      </c>
      <c r="O2023" s="18" t="s">
        <v>1608</v>
      </c>
      <c r="P2023" s="18" t="s">
        <v>0</v>
      </c>
      <c r="Q2023" s="6" t="s">
        <v>4475</v>
      </c>
      <c r="T2023" s="23">
        <v>45788</v>
      </c>
      <c r="U2023" s="23">
        <v>46517</v>
      </c>
      <c r="X2023" s="20">
        <v>1030</v>
      </c>
      <c r="Z2023" s="6" t="s">
        <v>5978</v>
      </c>
      <c r="AA2023" s="14">
        <f t="shared" ref="AA2023:AA2027" si="252">+(0.6/1000)</f>
        <v>5.9999999999999995E-4</v>
      </c>
      <c r="AB2023">
        <v>0.28326000000000001</v>
      </c>
      <c r="AC2023">
        <v>0.29459040000000003</v>
      </c>
    </row>
    <row r="2024" spans="1:29" x14ac:dyDescent="0.3">
      <c r="A2024">
        <v>141028</v>
      </c>
      <c r="B2024" s="25" t="s">
        <v>5984</v>
      </c>
      <c r="C2024" t="s">
        <v>20</v>
      </c>
      <c r="D2024" t="s">
        <v>21</v>
      </c>
      <c r="E2024">
        <v>2222222</v>
      </c>
      <c r="F2024" s="8" t="s">
        <v>22</v>
      </c>
      <c r="G2024" s="2">
        <v>98</v>
      </c>
      <c r="H2024" t="s">
        <v>4191</v>
      </c>
      <c r="J2024" s="9" t="s">
        <v>5566</v>
      </c>
      <c r="K2024" t="s">
        <v>5567</v>
      </c>
      <c r="L2024" s="2">
        <v>1</v>
      </c>
      <c r="M2024" s="24" t="s">
        <v>5971</v>
      </c>
      <c r="N2024" s="2" t="s">
        <v>23</v>
      </c>
      <c r="O2024" s="18" t="s">
        <v>1609</v>
      </c>
      <c r="P2024" s="18" t="s">
        <v>0</v>
      </c>
      <c r="Q2024" s="6" t="s">
        <v>4475</v>
      </c>
      <c r="T2024" s="23">
        <v>45448</v>
      </c>
      <c r="U2024" s="23">
        <v>48462</v>
      </c>
      <c r="X2024" s="20">
        <v>40000</v>
      </c>
      <c r="Z2024" s="6" t="s">
        <v>5978</v>
      </c>
      <c r="AA2024" s="14">
        <f t="shared" si="252"/>
        <v>5.9999999999999995E-4</v>
      </c>
      <c r="AB2024">
        <v>19.998209999999997</v>
      </c>
      <c r="AC2024">
        <v>20.798138399999996</v>
      </c>
    </row>
    <row r="2025" spans="1:29" x14ac:dyDescent="0.3">
      <c r="A2025">
        <v>143705</v>
      </c>
      <c r="B2025" s="25" t="s">
        <v>5984</v>
      </c>
      <c r="C2025" t="s">
        <v>20</v>
      </c>
      <c r="D2025" t="s">
        <v>21</v>
      </c>
      <c r="E2025">
        <v>2222222</v>
      </c>
      <c r="F2025" s="8" t="s">
        <v>22</v>
      </c>
      <c r="G2025" s="2">
        <v>98</v>
      </c>
      <c r="H2025" t="s">
        <v>4191</v>
      </c>
      <c r="J2025" s="9" t="s">
        <v>5529</v>
      </c>
      <c r="K2025" t="s">
        <v>5568</v>
      </c>
      <c r="L2025" s="2">
        <v>1</v>
      </c>
      <c r="M2025" s="24" t="s">
        <v>5971</v>
      </c>
      <c r="N2025" s="2" t="s">
        <v>23</v>
      </c>
      <c r="O2025" s="18" t="s">
        <v>1610</v>
      </c>
      <c r="P2025" s="18" t="s">
        <v>0</v>
      </c>
      <c r="Q2025" s="6" t="s">
        <v>4475</v>
      </c>
      <c r="T2025" s="23">
        <v>45621</v>
      </c>
      <c r="U2025" s="23">
        <v>51099</v>
      </c>
      <c r="X2025" s="20">
        <v>30000</v>
      </c>
      <c r="Z2025" s="6" t="s">
        <v>5978</v>
      </c>
      <c r="AA2025" s="14">
        <f t="shared" si="252"/>
        <v>5.9999999999999995E-4</v>
      </c>
      <c r="AB2025">
        <v>17.317499999999999</v>
      </c>
      <c r="AC2025">
        <v>18.010200000000001</v>
      </c>
    </row>
    <row r="2026" spans="1:29" x14ac:dyDescent="0.3">
      <c r="A2026">
        <v>144163</v>
      </c>
      <c r="B2026" s="25" t="s">
        <v>5984</v>
      </c>
      <c r="C2026" t="s">
        <v>20</v>
      </c>
      <c r="D2026" t="s">
        <v>21</v>
      </c>
      <c r="E2026">
        <v>2222222</v>
      </c>
      <c r="F2026" s="8" t="s">
        <v>22</v>
      </c>
      <c r="G2026" s="2">
        <v>98</v>
      </c>
      <c r="H2026" t="s">
        <v>4191</v>
      </c>
      <c r="J2026" s="9" t="s">
        <v>5150</v>
      </c>
      <c r="K2026" t="s">
        <v>5010</v>
      </c>
      <c r="L2026" s="2">
        <v>1</v>
      </c>
      <c r="M2026" s="24" t="s">
        <v>5971</v>
      </c>
      <c r="N2026" s="2" t="s">
        <v>23</v>
      </c>
      <c r="O2026" s="18" t="s">
        <v>1611</v>
      </c>
      <c r="P2026" s="18" t="s">
        <v>0</v>
      </c>
      <c r="Q2026" s="6" t="s">
        <v>4475</v>
      </c>
      <c r="T2026" s="23">
        <v>45647</v>
      </c>
      <c r="U2026" s="23">
        <v>48293</v>
      </c>
      <c r="X2026" s="20">
        <v>16000</v>
      </c>
      <c r="Z2026" s="6" t="s">
        <v>5978</v>
      </c>
      <c r="AA2026" s="14">
        <f t="shared" si="252"/>
        <v>5.9999999999999995E-4</v>
      </c>
      <c r="AB2026">
        <v>8.5944240000000001</v>
      </c>
      <c r="AC2026">
        <v>8.9382009599999996</v>
      </c>
    </row>
    <row r="2027" spans="1:29" x14ac:dyDescent="0.3">
      <c r="A2027">
        <v>145251</v>
      </c>
      <c r="B2027" s="25" t="s">
        <v>5984</v>
      </c>
      <c r="C2027" t="s">
        <v>20</v>
      </c>
      <c r="D2027" t="s">
        <v>21</v>
      </c>
      <c r="E2027">
        <v>2222222</v>
      </c>
      <c r="F2027" s="8" t="s">
        <v>22</v>
      </c>
      <c r="G2027" s="2">
        <v>98</v>
      </c>
      <c r="H2027" t="s">
        <v>4191</v>
      </c>
      <c r="J2027" s="9" t="s">
        <v>5569</v>
      </c>
      <c r="K2027" t="s">
        <v>4215</v>
      </c>
      <c r="L2027" s="2">
        <v>1</v>
      </c>
      <c r="M2027" s="24" t="s">
        <v>5971</v>
      </c>
      <c r="N2027" s="2" t="s">
        <v>23</v>
      </c>
      <c r="O2027" s="18" t="s">
        <v>1612</v>
      </c>
      <c r="P2027" s="18" t="s">
        <v>0</v>
      </c>
      <c r="Q2027" s="6" t="s">
        <v>4475</v>
      </c>
      <c r="T2027" s="23">
        <v>45762</v>
      </c>
      <c r="U2027" s="23">
        <v>48319</v>
      </c>
      <c r="X2027" s="20">
        <v>77500</v>
      </c>
      <c r="Z2027" s="6" t="s">
        <v>5978</v>
      </c>
      <c r="AA2027" s="14">
        <f t="shared" si="252"/>
        <v>5.9999999999999995E-4</v>
      </c>
      <c r="AB2027">
        <v>40.705343999999997</v>
      </c>
      <c r="AC2027">
        <v>42.333557759999998</v>
      </c>
    </row>
    <row r="2028" spans="1:29" x14ac:dyDescent="0.3">
      <c r="A2028">
        <v>148518</v>
      </c>
      <c r="B2028" s="25" t="s">
        <v>5984</v>
      </c>
      <c r="C2028" t="s">
        <v>20</v>
      </c>
      <c r="D2028" t="s">
        <v>21</v>
      </c>
      <c r="E2028">
        <v>2222222</v>
      </c>
      <c r="F2028" s="8" t="s">
        <v>22</v>
      </c>
      <c r="G2028" s="2">
        <v>98</v>
      </c>
      <c r="H2028" t="s">
        <v>4191</v>
      </c>
      <c r="J2028" s="9" t="s">
        <v>4948</v>
      </c>
      <c r="K2028" t="s">
        <v>5128</v>
      </c>
      <c r="L2028" s="2">
        <v>1</v>
      </c>
      <c r="M2028" s="24" t="s">
        <v>5971</v>
      </c>
      <c r="N2028" s="2" t="s">
        <v>23</v>
      </c>
      <c r="O2028" s="18" t="s">
        <v>1613</v>
      </c>
      <c r="P2028" s="18" t="s">
        <v>0</v>
      </c>
      <c r="Q2028" s="6" t="s">
        <v>4475</v>
      </c>
      <c r="T2028" s="23">
        <v>44624</v>
      </c>
      <c r="U2028" s="23">
        <v>48278</v>
      </c>
      <c r="X2028" s="20">
        <v>25600</v>
      </c>
      <c r="Z2028" s="6" t="s">
        <v>5978</v>
      </c>
      <c r="AA2028" s="15">
        <f t="shared" ref="AA2028:AA2029" si="253">+(0.42/1000)</f>
        <v>4.1999999999999996E-4</v>
      </c>
      <c r="AB2028">
        <v>6.807292799999999</v>
      </c>
      <c r="AC2028">
        <v>7.0795845119999994</v>
      </c>
    </row>
    <row r="2029" spans="1:29" x14ac:dyDescent="0.3">
      <c r="A2029">
        <v>148519</v>
      </c>
      <c r="B2029" s="25" t="s">
        <v>5984</v>
      </c>
      <c r="C2029" t="s">
        <v>20</v>
      </c>
      <c r="D2029" t="s">
        <v>21</v>
      </c>
      <c r="E2029">
        <v>2222222</v>
      </c>
      <c r="F2029" s="8" t="s">
        <v>22</v>
      </c>
      <c r="G2029" s="2">
        <v>98</v>
      </c>
      <c r="H2029" t="s">
        <v>4191</v>
      </c>
      <c r="J2029" s="9" t="s">
        <v>5232</v>
      </c>
      <c r="K2029" t="s">
        <v>5464</v>
      </c>
      <c r="L2029" s="2">
        <v>1</v>
      </c>
      <c r="M2029" s="24" t="s">
        <v>5971</v>
      </c>
      <c r="N2029" s="2" t="s">
        <v>23</v>
      </c>
      <c r="O2029" s="18" t="s">
        <v>1614</v>
      </c>
      <c r="P2029" s="18" t="s">
        <v>3781</v>
      </c>
      <c r="Q2029" s="6" t="s">
        <v>4475</v>
      </c>
      <c r="T2029" s="23">
        <v>44627</v>
      </c>
      <c r="U2029" s="23">
        <v>46305</v>
      </c>
      <c r="X2029" s="20">
        <v>40000</v>
      </c>
      <c r="Z2029" s="6" t="s">
        <v>5978</v>
      </c>
      <c r="AA2029" s="15">
        <f t="shared" si="253"/>
        <v>4.1999999999999996E-4</v>
      </c>
      <c r="AB2029">
        <v>1.4469293999999999</v>
      </c>
      <c r="AC2029">
        <v>1.504806576</v>
      </c>
    </row>
    <row r="2030" spans="1:29" x14ac:dyDescent="0.3">
      <c r="A2030">
        <v>149720</v>
      </c>
      <c r="B2030" s="25" t="s">
        <v>5984</v>
      </c>
      <c r="C2030" t="s">
        <v>20</v>
      </c>
      <c r="D2030" t="s">
        <v>21</v>
      </c>
      <c r="E2030">
        <v>2222222</v>
      </c>
      <c r="F2030" s="8" t="s">
        <v>22</v>
      </c>
      <c r="G2030" s="2">
        <v>98</v>
      </c>
      <c r="H2030" t="s">
        <v>4191</v>
      </c>
      <c r="J2030" s="9" t="s">
        <v>5570</v>
      </c>
      <c r="K2030" t="s">
        <v>5571</v>
      </c>
      <c r="L2030" s="2">
        <v>1</v>
      </c>
      <c r="M2030" s="24" t="s">
        <v>5971</v>
      </c>
      <c r="N2030" s="2" t="s">
        <v>23</v>
      </c>
      <c r="O2030" s="18" t="s">
        <v>1615</v>
      </c>
      <c r="P2030" s="18" t="s">
        <v>0</v>
      </c>
      <c r="Q2030" s="6" t="s">
        <v>4475</v>
      </c>
      <c r="T2030" s="23">
        <v>46045</v>
      </c>
      <c r="U2030" s="23">
        <v>47140</v>
      </c>
      <c r="X2030" s="20">
        <v>3100</v>
      </c>
      <c r="Z2030" s="6" t="s">
        <v>5978</v>
      </c>
      <c r="AA2030" s="14">
        <f t="shared" ref="AA2030:AA2033" si="254">+(0.6/1000)</f>
        <v>5.9999999999999995E-4</v>
      </c>
      <c r="AB2030">
        <v>1.6100579999999998</v>
      </c>
      <c r="AC2030">
        <v>1.6744603199999999</v>
      </c>
    </row>
    <row r="2031" spans="1:29" x14ac:dyDescent="0.3">
      <c r="A2031">
        <v>152147</v>
      </c>
      <c r="B2031" s="25" t="s">
        <v>5984</v>
      </c>
      <c r="C2031" t="s">
        <v>20</v>
      </c>
      <c r="D2031" t="s">
        <v>21</v>
      </c>
      <c r="E2031">
        <v>2222222</v>
      </c>
      <c r="F2031" s="8" t="s">
        <v>22</v>
      </c>
      <c r="G2031" s="2">
        <v>98</v>
      </c>
      <c r="H2031" t="s">
        <v>4191</v>
      </c>
      <c r="J2031" s="9" t="s">
        <v>5045</v>
      </c>
      <c r="K2031" t="s">
        <v>5048</v>
      </c>
      <c r="L2031" s="2">
        <v>1</v>
      </c>
      <c r="M2031" s="24" t="s">
        <v>5971</v>
      </c>
      <c r="N2031" s="2" t="s">
        <v>23</v>
      </c>
      <c r="O2031" s="18" t="s">
        <v>1616</v>
      </c>
      <c r="P2031" s="18" t="s">
        <v>3781</v>
      </c>
      <c r="Q2031" s="6" t="s">
        <v>4475</v>
      </c>
      <c r="T2031" s="23">
        <v>46216</v>
      </c>
      <c r="U2031" s="23">
        <v>46306</v>
      </c>
      <c r="X2031" s="20">
        <v>4000</v>
      </c>
      <c r="Z2031" s="6" t="s">
        <v>5978</v>
      </c>
      <c r="AA2031" s="14">
        <f t="shared" si="254"/>
        <v>5.9999999999999995E-4</v>
      </c>
      <c r="AB2031">
        <v>2.4</v>
      </c>
      <c r="AC2031">
        <v>2.496</v>
      </c>
    </row>
    <row r="2032" spans="1:29" x14ac:dyDescent="0.3">
      <c r="A2032">
        <v>152302</v>
      </c>
      <c r="B2032" s="25" t="s">
        <v>5984</v>
      </c>
      <c r="C2032" t="s">
        <v>20</v>
      </c>
      <c r="D2032" t="s">
        <v>21</v>
      </c>
      <c r="E2032">
        <v>2222222</v>
      </c>
      <c r="F2032" s="8" t="s">
        <v>22</v>
      </c>
      <c r="G2032" s="2">
        <v>98</v>
      </c>
      <c r="H2032" t="s">
        <v>4191</v>
      </c>
      <c r="J2032" s="9" t="s">
        <v>5277</v>
      </c>
      <c r="K2032" t="s">
        <v>5097</v>
      </c>
      <c r="L2032" s="2">
        <v>1</v>
      </c>
      <c r="M2032" s="24" t="s">
        <v>5971</v>
      </c>
      <c r="N2032" s="2" t="s">
        <v>23</v>
      </c>
      <c r="O2032" s="18" t="s">
        <v>1617</v>
      </c>
      <c r="P2032" s="18" t="s">
        <v>3781</v>
      </c>
      <c r="Q2032" s="6" t="s">
        <v>4475</v>
      </c>
      <c r="T2032" s="23">
        <v>46226</v>
      </c>
      <c r="U2032" s="23">
        <v>47506</v>
      </c>
      <c r="X2032" s="20">
        <v>4000</v>
      </c>
      <c r="Z2032" s="6" t="s">
        <v>5978</v>
      </c>
      <c r="AA2032" s="14">
        <f t="shared" si="254"/>
        <v>5.9999999999999995E-4</v>
      </c>
      <c r="AB2032">
        <v>2.4</v>
      </c>
      <c r="AC2032">
        <v>2.496</v>
      </c>
    </row>
    <row r="2033" spans="1:29" x14ac:dyDescent="0.3">
      <c r="A2033">
        <v>152303</v>
      </c>
      <c r="B2033" s="25" t="s">
        <v>5984</v>
      </c>
      <c r="C2033" t="s">
        <v>20</v>
      </c>
      <c r="D2033" t="s">
        <v>21</v>
      </c>
      <c r="E2033">
        <v>2222222</v>
      </c>
      <c r="F2033" s="8" t="s">
        <v>22</v>
      </c>
      <c r="G2033" s="2">
        <v>98</v>
      </c>
      <c r="H2033" t="s">
        <v>4191</v>
      </c>
      <c r="J2033" s="9" t="s">
        <v>5572</v>
      </c>
      <c r="K2033" t="s">
        <v>4887</v>
      </c>
      <c r="L2033" s="2">
        <v>1</v>
      </c>
      <c r="M2033" s="24" t="s">
        <v>5971</v>
      </c>
      <c r="N2033" s="2" t="s">
        <v>23</v>
      </c>
      <c r="O2033" s="18" t="s">
        <v>1618</v>
      </c>
      <c r="P2033" s="18" t="s">
        <v>3781</v>
      </c>
      <c r="Q2033" s="6" t="s">
        <v>4475</v>
      </c>
      <c r="T2033" s="23">
        <v>46226</v>
      </c>
      <c r="U2033" s="23">
        <v>47321</v>
      </c>
      <c r="X2033" s="20">
        <v>3300</v>
      </c>
      <c r="Z2033" s="6" t="s">
        <v>5978</v>
      </c>
      <c r="AA2033" s="14">
        <f t="shared" si="254"/>
        <v>5.9999999999999995E-4</v>
      </c>
      <c r="AB2033">
        <v>1.9799999999999998</v>
      </c>
      <c r="AC2033">
        <v>2.0591999999999997</v>
      </c>
    </row>
    <row r="2034" spans="1:29" x14ac:dyDescent="0.3">
      <c r="A2034">
        <v>126256</v>
      </c>
      <c r="B2034" s="25" t="s">
        <v>5984</v>
      </c>
      <c r="C2034" t="s">
        <v>20</v>
      </c>
      <c r="D2034" t="s">
        <v>21</v>
      </c>
      <c r="E2034">
        <v>2222222</v>
      </c>
      <c r="F2034" s="8" t="s">
        <v>22</v>
      </c>
      <c r="G2034" s="2">
        <v>98</v>
      </c>
      <c r="H2034" t="s">
        <v>4192</v>
      </c>
      <c r="J2034" s="9" t="s">
        <v>5573</v>
      </c>
      <c r="K2034" t="s">
        <v>4815</v>
      </c>
      <c r="L2034" s="2">
        <v>1</v>
      </c>
      <c r="M2034" s="24" t="s">
        <v>5971</v>
      </c>
      <c r="N2034" s="2" t="s">
        <v>23</v>
      </c>
      <c r="O2034" s="18" t="s">
        <v>1619</v>
      </c>
      <c r="P2034" s="18" t="s">
        <v>0</v>
      </c>
      <c r="Q2034" s="6" t="s">
        <v>4475</v>
      </c>
      <c r="T2034" s="23">
        <v>44609</v>
      </c>
      <c r="U2034" s="23">
        <v>45707</v>
      </c>
      <c r="X2034" s="20">
        <v>1500</v>
      </c>
      <c r="Z2034" s="6" t="s">
        <v>5978</v>
      </c>
      <c r="AA2034" s="15">
        <f t="shared" ref="AA2034:AA2035" si="255">+(0.42/1000)</f>
        <v>4.1999999999999996E-4</v>
      </c>
      <c r="AB2034">
        <v>0.34279559999999992</v>
      </c>
      <c r="AC2034">
        <v>0.35650742399999991</v>
      </c>
    </row>
    <row r="2035" spans="1:29" x14ac:dyDescent="0.3">
      <c r="A2035">
        <v>129230</v>
      </c>
      <c r="B2035" s="25" t="s">
        <v>5984</v>
      </c>
      <c r="C2035" t="s">
        <v>20</v>
      </c>
      <c r="D2035" t="s">
        <v>21</v>
      </c>
      <c r="E2035">
        <v>2222222</v>
      </c>
      <c r="F2035" s="8" t="s">
        <v>22</v>
      </c>
      <c r="G2035" s="2">
        <v>98</v>
      </c>
      <c r="H2035" t="s">
        <v>4192</v>
      </c>
      <c r="J2035" s="9" t="s">
        <v>5109</v>
      </c>
      <c r="K2035" t="s">
        <v>4856</v>
      </c>
      <c r="L2035" s="2">
        <v>1</v>
      </c>
      <c r="M2035" s="24" t="s">
        <v>5971</v>
      </c>
      <c r="N2035" s="2" t="s">
        <v>23</v>
      </c>
      <c r="O2035" s="18" t="s">
        <v>1620</v>
      </c>
      <c r="P2035" s="18" t="s">
        <v>0</v>
      </c>
      <c r="Q2035" s="6" t="s">
        <v>4475</v>
      </c>
      <c r="T2035" s="23">
        <v>44768</v>
      </c>
      <c r="U2035" s="23">
        <v>48420</v>
      </c>
      <c r="X2035" s="20">
        <v>28450</v>
      </c>
      <c r="Z2035" s="6" t="s">
        <v>5978</v>
      </c>
      <c r="AA2035" s="15">
        <f t="shared" si="255"/>
        <v>4.1999999999999996E-4</v>
      </c>
      <c r="AB2035">
        <v>11.6610186</v>
      </c>
      <c r="AC2035">
        <v>12.127459344</v>
      </c>
    </row>
    <row r="2036" spans="1:29" x14ac:dyDescent="0.3">
      <c r="A2036">
        <v>139281</v>
      </c>
      <c r="B2036" s="25" t="s">
        <v>5984</v>
      </c>
      <c r="C2036" t="s">
        <v>20</v>
      </c>
      <c r="D2036" t="s">
        <v>21</v>
      </c>
      <c r="E2036">
        <v>2222222</v>
      </c>
      <c r="F2036" s="8" t="s">
        <v>22</v>
      </c>
      <c r="G2036" s="2">
        <v>98</v>
      </c>
      <c r="H2036" t="s">
        <v>4193</v>
      </c>
      <c r="J2036" s="9" t="s">
        <v>4866</v>
      </c>
      <c r="K2036" t="s">
        <v>4846</v>
      </c>
      <c r="L2036" s="2">
        <v>1</v>
      </c>
      <c r="M2036" s="24" t="s">
        <v>5971</v>
      </c>
      <c r="N2036" s="2" t="s">
        <v>23</v>
      </c>
      <c r="O2036" s="18" t="s">
        <v>1621</v>
      </c>
      <c r="P2036" s="18" t="s">
        <v>0</v>
      </c>
      <c r="Q2036" s="6" t="s">
        <v>4475</v>
      </c>
      <c r="T2036" s="23">
        <v>45343</v>
      </c>
      <c r="U2036" s="23">
        <v>47171</v>
      </c>
      <c r="X2036" s="20">
        <v>28000</v>
      </c>
      <c r="Z2036" s="6" t="s">
        <v>5978</v>
      </c>
      <c r="AA2036" s="13">
        <f>+(0.56/1000)</f>
        <v>5.6000000000000006E-4</v>
      </c>
      <c r="AB2036">
        <v>9.465288000000001</v>
      </c>
      <c r="AC2036">
        <v>9.8438995200000008</v>
      </c>
    </row>
    <row r="2037" spans="1:29" x14ac:dyDescent="0.3">
      <c r="A2037">
        <v>119662</v>
      </c>
      <c r="B2037" s="25" t="s">
        <v>5984</v>
      </c>
      <c r="C2037" t="s">
        <v>20</v>
      </c>
      <c r="D2037" t="s">
        <v>21</v>
      </c>
      <c r="E2037">
        <v>2222222</v>
      </c>
      <c r="F2037" s="8" t="s">
        <v>22</v>
      </c>
      <c r="G2037" s="2">
        <v>98</v>
      </c>
      <c r="H2037" t="s">
        <v>4194</v>
      </c>
      <c r="J2037" s="9" t="s">
        <v>4949</v>
      </c>
      <c r="K2037" t="s">
        <v>5197</v>
      </c>
      <c r="L2037" s="2">
        <v>1</v>
      </c>
      <c r="M2037" s="24" t="s">
        <v>5971</v>
      </c>
      <c r="N2037" s="2" t="s">
        <v>23</v>
      </c>
      <c r="O2037" s="18" t="s">
        <v>1622</v>
      </c>
      <c r="P2037" s="18" t="s">
        <v>0</v>
      </c>
      <c r="Q2037" s="6" t="s">
        <v>4475</v>
      </c>
      <c r="T2037" s="23">
        <v>44294</v>
      </c>
      <c r="U2037" s="23">
        <v>46858</v>
      </c>
      <c r="X2037" s="20">
        <v>13600</v>
      </c>
      <c r="Z2037" s="6" t="s">
        <v>5978</v>
      </c>
      <c r="AA2037" s="15">
        <f t="shared" ref="AA2037:AA2039" si="256">+(0.42/1000)</f>
        <v>4.1999999999999996E-4</v>
      </c>
      <c r="AB2037">
        <v>2.0797643999999997</v>
      </c>
      <c r="AC2037">
        <v>2.162954976</v>
      </c>
    </row>
    <row r="2038" spans="1:29" x14ac:dyDescent="0.3">
      <c r="A2038">
        <v>120670</v>
      </c>
      <c r="B2038" s="25" t="s">
        <v>5984</v>
      </c>
      <c r="C2038" t="s">
        <v>20</v>
      </c>
      <c r="D2038" t="s">
        <v>21</v>
      </c>
      <c r="E2038">
        <v>2222222</v>
      </c>
      <c r="F2038" s="8" t="s">
        <v>22</v>
      </c>
      <c r="G2038" s="2">
        <v>98</v>
      </c>
      <c r="H2038" t="s">
        <v>4194</v>
      </c>
      <c r="J2038" s="9" t="s">
        <v>4836</v>
      </c>
      <c r="K2038" t="s">
        <v>5142</v>
      </c>
      <c r="L2038" s="2">
        <v>1</v>
      </c>
      <c r="M2038" s="24" t="s">
        <v>5971</v>
      </c>
      <c r="N2038" s="2" t="s">
        <v>23</v>
      </c>
      <c r="O2038" s="18" t="s">
        <v>1623</v>
      </c>
      <c r="P2038" s="18" t="s">
        <v>3781</v>
      </c>
      <c r="Q2038" s="6" t="s">
        <v>4475</v>
      </c>
      <c r="T2038" s="23">
        <v>44330</v>
      </c>
      <c r="U2038" s="23">
        <v>44420</v>
      </c>
      <c r="X2038" s="20">
        <v>2600</v>
      </c>
      <c r="Z2038" s="6" t="s">
        <v>5978</v>
      </c>
      <c r="AA2038" s="15">
        <f t="shared" si="256"/>
        <v>4.1999999999999996E-4</v>
      </c>
      <c r="AB2038">
        <v>1.0919999999999999</v>
      </c>
      <c r="AC2038">
        <v>1.1356799999999998</v>
      </c>
    </row>
    <row r="2039" spans="1:29" x14ac:dyDescent="0.3">
      <c r="A2039">
        <v>126710</v>
      </c>
      <c r="B2039" s="25" t="s">
        <v>5984</v>
      </c>
      <c r="C2039" t="s">
        <v>20</v>
      </c>
      <c r="D2039" t="s">
        <v>21</v>
      </c>
      <c r="E2039">
        <v>2222222</v>
      </c>
      <c r="F2039" s="8" t="s">
        <v>22</v>
      </c>
      <c r="G2039" s="2">
        <v>98</v>
      </c>
      <c r="H2039" t="s">
        <v>4194</v>
      </c>
      <c r="J2039" s="9" t="s">
        <v>4836</v>
      </c>
      <c r="K2039" t="s">
        <v>4956</v>
      </c>
      <c r="L2039" s="2">
        <v>1</v>
      </c>
      <c r="M2039" s="24" t="s">
        <v>5971</v>
      </c>
      <c r="N2039" s="2" t="s">
        <v>23</v>
      </c>
      <c r="O2039" s="18" t="s">
        <v>1624</v>
      </c>
      <c r="P2039" s="18" t="s">
        <v>3781</v>
      </c>
      <c r="Q2039" s="6" t="s">
        <v>4475</v>
      </c>
      <c r="T2039" s="23">
        <v>44642</v>
      </c>
      <c r="U2039" s="23">
        <v>50120</v>
      </c>
      <c r="X2039" s="20">
        <v>70000</v>
      </c>
      <c r="Z2039" s="6" t="s">
        <v>5978</v>
      </c>
      <c r="AA2039" s="15">
        <f t="shared" si="256"/>
        <v>4.1999999999999996E-4</v>
      </c>
      <c r="AB2039">
        <v>28.725975599999995</v>
      </c>
      <c r="AC2039">
        <v>29.875014623999995</v>
      </c>
    </row>
    <row r="2040" spans="1:29" x14ac:dyDescent="0.3">
      <c r="A2040">
        <v>138956</v>
      </c>
      <c r="B2040" s="25" t="s">
        <v>5984</v>
      </c>
      <c r="C2040" t="s">
        <v>20</v>
      </c>
      <c r="D2040" t="s">
        <v>21</v>
      </c>
      <c r="E2040">
        <v>2222222</v>
      </c>
      <c r="F2040" s="8" t="s">
        <v>22</v>
      </c>
      <c r="G2040" s="2">
        <v>98</v>
      </c>
      <c r="H2040" t="s">
        <v>4194</v>
      </c>
      <c r="J2040" s="9" t="s">
        <v>4981</v>
      </c>
      <c r="K2040" t="s">
        <v>4924</v>
      </c>
      <c r="L2040" s="2">
        <v>1</v>
      </c>
      <c r="M2040" s="24" t="s">
        <v>5971</v>
      </c>
      <c r="N2040" s="2" t="s">
        <v>23</v>
      </c>
      <c r="O2040" s="18" t="s">
        <v>1625</v>
      </c>
      <c r="P2040" s="18" t="s">
        <v>3781</v>
      </c>
      <c r="Q2040" s="6" t="s">
        <v>4475</v>
      </c>
      <c r="T2040" s="23">
        <v>45307</v>
      </c>
      <c r="U2040" s="23">
        <v>46583</v>
      </c>
      <c r="X2040" s="20">
        <v>4050</v>
      </c>
      <c r="Z2040" s="6" t="s">
        <v>5978</v>
      </c>
      <c r="AA2040" s="13">
        <f>+(0.56/1000)</f>
        <v>5.6000000000000006E-4</v>
      </c>
      <c r="AB2040">
        <v>0.80688720000000003</v>
      </c>
      <c r="AC2040">
        <v>0.83916268800000005</v>
      </c>
    </row>
    <row r="2041" spans="1:29" x14ac:dyDescent="0.3">
      <c r="A2041">
        <v>141982</v>
      </c>
      <c r="B2041" s="25" t="s">
        <v>5984</v>
      </c>
      <c r="C2041" t="s">
        <v>20</v>
      </c>
      <c r="D2041" t="s">
        <v>21</v>
      </c>
      <c r="E2041">
        <v>2222222</v>
      </c>
      <c r="F2041" s="8" t="s">
        <v>22</v>
      </c>
      <c r="G2041" s="2">
        <v>98</v>
      </c>
      <c r="H2041" t="s">
        <v>4194</v>
      </c>
      <c r="J2041" s="9" t="s">
        <v>5240</v>
      </c>
      <c r="K2041" t="s">
        <v>5190</v>
      </c>
      <c r="L2041" s="2">
        <v>1</v>
      </c>
      <c r="M2041" s="24" t="s">
        <v>5971</v>
      </c>
      <c r="N2041" s="2" t="s">
        <v>23</v>
      </c>
      <c r="O2041" s="18" t="s">
        <v>1626</v>
      </c>
      <c r="P2041" s="18" t="s">
        <v>0</v>
      </c>
      <c r="Q2041" s="6" t="s">
        <v>4475</v>
      </c>
      <c r="T2041" s="23">
        <v>45537</v>
      </c>
      <c r="U2041" s="23">
        <v>47363</v>
      </c>
      <c r="X2041" s="20">
        <v>10410</v>
      </c>
      <c r="Z2041" s="6" t="s">
        <v>5978</v>
      </c>
      <c r="AA2041" s="14">
        <f t="shared" ref="AA2041:AA2052" si="257">+(0.6/1000)</f>
        <v>5.9999999999999995E-4</v>
      </c>
      <c r="AB2041">
        <v>4.4769119999999996</v>
      </c>
      <c r="AC2041">
        <v>4.6559884799999995</v>
      </c>
    </row>
    <row r="2042" spans="1:29" x14ac:dyDescent="0.3">
      <c r="A2042">
        <v>144673</v>
      </c>
      <c r="B2042" s="25" t="s">
        <v>5984</v>
      </c>
      <c r="C2042" t="s">
        <v>20</v>
      </c>
      <c r="D2042" t="s">
        <v>21</v>
      </c>
      <c r="E2042">
        <v>2222222</v>
      </c>
      <c r="F2042" s="8" t="s">
        <v>22</v>
      </c>
      <c r="G2042" s="2">
        <v>98</v>
      </c>
      <c r="H2042" t="s">
        <v>4194</v>
      </c>
      <c r="J2042" s="9" t="s">
        <v>5150</v>
      </c>
      <c r="K2042" t="s">
        <v>5281</v>
      </c>
      <c r="L2042" s="2">
        <v>1</v>
      </c>
      <c r="M2042" s="24" t="s">
        <v>5971</v>
      </c>
      <c r="N2042" s="2" t="s">
        <v>23</v>
      </c>
      <c r="O2042" s="18" t="s">
        <v>525</v>
      </c>
      <c r="P2042" s="18" t="s">
        <v>0</v>
      </c>
      <c r="Q2042" s="6" t="s">
        <v>4475</v>
      </c>
      <c r="T2042" s="23">
        <v>45688</v>
      </c>
      <c r="U2042" s="23">
        <v>47881</v>
      </c>
      <c r="X2042" s="20">
        <v>10300</v>
      </c>
      <c r="Z2042" s="6" t="s">
        <v>5978</v>
      </c>
      <c r="AA2042" s="14">
        <f t="shared" si="257"/>
        <v>5.9999999999999995E-4</v>
      </c>
      <c r="AB2042">
        <v>5.2077539999999996</v>
      </c>
      <c r="AC2042">
        <v>5.4160641599999995</v>
      </c>
    </row>
    <row r="2043" spans="1:29" x14ac:dyDescent="0.3">
      <c r="A2043">
        <v>144699</v>
      </c>
      <c r="B2043" s="25" t="s">
        <v>5984</v>
      </c>
      <c r="C2043" t="s">
        <v>20</v>
      </c>
      <c r="D2043" t="s">
        <v>21</v>
      </c>
      <c r="E2043">
        <v>2222222</v>
      </c>
      <c r="F2043" s="8" t="s">
        <v>22</v>
      </c>
      <c r="G2043" s="2">
        <v>98</v>
      </c>
      <c r="H2043" t="s">
        <v>4194</v>
      </c>
      <c r="J2043" s="9" t="s">
        <v>5035</v>
      </c>
      <c r="K2043" t="s">
        <v>4839</v>
      </c>
      <c r="L2043" s="2">
        <v>1</v>
      </c>
      <c r="M2043" s="24" t="s">
        <v>5971</v>
      </c>
      <c r="N2043" s="2" t="s">
        <v>23</v>
      </c>
      <c r="O2043" s="18" t="s">
        <v>1627</v>
      </c>
      <c r="P2043" s="18" t="s">
        <v>0</v>
      </c>
      <c r="Q2043" s="6" t="s">
        <v>4475</v>
      </c>
      <c r="T2043" s="23">
        <v>45700</v>
      </c>
      <c r="U2043" s="23">
        <v>47528</v>
      </c>
      <c r="X2043" s="20">
        <v>31000</v>
      </c>
      <c r="Z2043" s="6" t="s">
        <v>5978</v>
      </c>
      <c r="AA2043" s="14">
        <f t="shared" si="257"/>
        <v>5.9999999999999995E-4</v>
      </c>
      <c r="AB2043">
        <v>14.585183999999998</v>
      </c>
      <c r="AC2043">
        <v>15.168591359999999</v>
      </c>
    </row>
    <row r="2044" spans="1:29" x14ac:dyDescent="0.3">
      <c r="A2044">
        <v>145314</v>
      </c>
      <c r="B2044" s="25" t="s">
        <v>5984</v>
      </c>
      <c r="C2044" t="s">
        <v>20</v>
      </c>
      <c r="D2044" t="s">
        <v>21</v>
      </c>
      <c r="E2044">
        <v>2222222</v>
      </c>
      <c r="F2044" s="8" t="s">
        <v>22</v>
      </c>
      <c r="G2044" s="2">
        <v>98</v>
      </c>
      <c r="H2044" t="s">
        <v>4194</v>
      </c>
      <c r="J2044" s="9" t="s">
        <v>4908</v>
      </c>
      <c r="K2044" t="s">
        <v>5089</v>
      </c>
      <c r="L2044" s="2">
        <v>1</v>
      </c>
      <c r="M2044" s="24" t="s">
        <v>5971</v>
      </c>
      <c r="N2044" s="2" t="s">
        <v>23</v>
      </c>
      <c r="O2044" s="18" t="s">
        <v>1628</v>
      </c>
      <c r="P2044" s="18" t="s">
        <v>0</v>
      </c>
      <c r="Q2044" s="6" t="s">
        <v>4475</v>
      </c>
      <c r="T2044" s="23">
        <v>45729</v>
      </c>
      <c r="U2044" s="23">
        <v>46458</v>
      </c>
      <c r="X2044" s="20">
        <v>1400</v>
      </c>
      <c r="Z2044" s="6" t="s">
        <v>5978</v>
      </c>
      <c r="AA2044" s="14">
        <f t="shared" si="257"/>
        <v>5.9999999999999995E-4</v>
      </c>
      <c r="AB2044">
        <v>0.38701199999999997</v>
      </c>
      <c r="AC2044">
        <v>0.40249247999999999</v>
      </c>
    </row>
    <row r="2045" spans="1:29" x14ac:dyDescent="0.3">
      <c r="A2045">
        <v>148402</v>
      </c>
      <c r="B2045" s="25" t="s">
        <v>5984</v>
      </c>
      <c r="C2045" t="s">
        <v>20</v>
      </c>
      <c r="D2045" t="s">
        <v>21</v>
      </c>
      <c r="E2045">
        <v>2222222</v>
      </c>
      <c r="F2045" s="8" t="s">
        <v>22</v>
      </c>
      <c r="G2045" s="2">
        <v>98</v>
      </c>
      <c r="H2045" t="s">
        <v>4194</v>
      </c>
      <c r="J2045" s="9" t="s">
        <v>4900</v>
      </c>
      <c r="K2045" t="s">
        <v>4901</v>
      </c>
      <c r="L2045" s="2">
        <v>1</v>
      </c>
      <c r="M2045" s="24" t="s">
        <v>5971</v>
      </c>
      <c r="N2045" s="2" t="s">
        <v>23</v>
      </c>
      <c r="O2045" s="18" t="s">
        <v>1629</v>
      </c>
      <c r="P2045" s="18" t="s">
        <v>0</v>
      </c>
      <c r="Q2045" s="6" t="s">
        <v>4475</v>
      </c>
      <c r="T2045" s="23">
        <v>45958</v>
      </c>
      <c r="U2045" s="23">
        <v>47783</v>
      </c>
      <c r="X2045" s="20">
        <v>3850</v>
      </c>
      <c r="Z2045" s="6" t="s">
        <v>5978</v>
      </c>
      <c r="AA2045" s="14">
        <f t="shared" si="257"/>
        <v>5.9999999999999995E-4</v>
      </c>
      <c r="AB2045">
        <v>2.1439139999999997</v>
      </c>
      <c r="AC2045">
        <v>2.2296705599999997</v>
      </c>
    </row>
    <row r="2046" spans="1:29" x14ac:dyDescent="0.3">
      <c r="A2046">
        <v>148575</v>
      </c>
      <c r="B2046" s="25" t="s">
        <v>5984</v>
      </c>
      <c r="C2046" t="s">
        <v>20</v>
      </c>
      <c r="D2046" t="s">
        <v>21</v>
      </c>
      <c r="E2046">
        <v>2222222</v>
      </c>
      <c r="F2046" s="8" t="s">
        <v>22</v>
      </c>
      <c r="G2046" s="2">
        <v>98</v>
      </c>
      <c r="H2046" t="s">
        <v>4194</v>
      </c>
      <c r="J2046" s="9" t="s">
        <v>4836</v>
      </c>
      <c r="K2046" t="s">
        <v>5328</v>
      </c>
      <c r="L2046" s="2">
        <v>1</v>
      </c>
      <c r="M2046" s="24" t="s">
        <v>5971</v>
      </c>
      <c r="N2046" s="2" t="s">
        <v>23</v>
      </c>
      <c r="O2046" s="18" t="s">
        <v>1630</v>
      </c>
      <c r="P2046" s="18" t="s">
        <v>3781</v>
      </c>
      <c r="Q2046" s="6" t="s">
        <v>4475</v>
      </c>
      <c r="T2046" s="23">
        <v>45742</v>
      </c>
      <c r="U2046" s="23">
        <v>47578</v>
      </c>
      <c r="X2046" s="20">
        <v>15900</v>
      </c>
      <c r="Z2046" s="6" t="s">
        <v>5978</v>
      </c>
      <c r="AA2046" s="14">
        <f t="shared" si="257"/>
        <v>5.9999999999999995E-4</v>
      </c>
      <c r="AB2046">
        <v>5.4887939999999995</v>
      </c>
      <c r="AC2046">
        <v>5.7083457599999994</v>
      </c>
    </row>
    <row r="2047" spans="1:29" x14ac:dyDescent="0.3">
      <c r="A2047">
        <v>151259</v>
      </c>
      <c r="B2047" s="25" t="s">
        <v>5984</v>
      </c>
      <c r="C2047" t="s">
        <v>20</v>
      </c>
      <c r="D2047" t="s">
        <v>21</v>
      </c>
      <c r="E2047">
        <v>2222222</v>
      </c>
      <c r="F2047" s="8" t="s">
        <v>22</v>
      </c>
      <c r="G2047" s="2">
        <v>98</v>
      </c>
      <c r="H2047" t="s">
        <v>4194</v>
      </c>
      <c r="J2047" s="9" t="s">
        <v>4826</v>
      </c>
      <c r="K2047" t="s">
        <v>4949</v>
      </c>
      <c r="L2047" s="2">
        <v>1</v>
      </c>
      <c r="M2047" s="24" t="s">
        <v>5971</v>
      </c>
      <c r="N2047" s="2" t="s">
        <v>23</v>
      </c>
      <c r="O2047" s="18" t="s">
        <v>1631</v>
      </c>
      <c r="P2047" s="18" t="s">
        <v>0</v>
      </c>
      <c r="Q2047" s="6" t="s">
        <v>4475</v>
      </c>
      <c r="T2047" s="23">
        <v>46150</v>
      </c>
      <c r="U2047" s="23">
        <v>47245</v>
      </c>
      <c r="X2047" s="20">
        <v>2960</v>
      </c>
      <c r="Z2047" s="6" t="s">
        <v>5978</v>
      </c>
      <c r="AA2047" s="14">
        <f t="shared" si="257"/>
        <v>5.9999999999999995E-4</v>
      </c>
      <c r="AB2047">
        <v>1.6987199999999998</v>
      </c>
      <c r="AC2047">
        <v>1.7666687999999999</v>
      </c>
    </row>
    <row r="2048" spans="1:29" x14ac:dyDescent="0.3">
      <c r="A2048">
        <v>151607</v>
      </c>
      <c r="B2048" s="25" t="s">
        <v>5984</v>
      </c>
      <c r="C2048" t="s">
        <v>20</v>
      </c>
      <c r="D2048" t="s">
        <v>21</v>
      </c>
      <c r="E2048">
        <v>2222222</v>
      </c>
      <c r="F2048" s="8" t="s">
        <v>22</v>
      </c>
      <c r="G2048" s="2">
        <v>98</v>
      </c>
      <c r="H2048" t="s">
        <v>4194</v>
      </c>
      <c r="J2048" s="9" t="s">
        <v>4836</v>
      </c>
      <c r="K2048" t="s">
        <v>5411</v>
      </c>
      <c r="L2048" s="2">
        <v>1</v>
      </c>
      <c r="M2048" s="24" t="s">
        <v>5971</v>
      </c>
      <c r="N2048" s="2" t="s">
        <v>23</v>
      </c>
      <c r="O2048" s="18" t="s">
        <v>1632</v>
      </c>
      <c r="P2048" s="18" t="s">
        <v>3781</v>
      </c>
      <c r="Q2048" s="6" t="s">
        <v>4475</v>
      </c>
      <c r="T2048" s="23">
        <v>46175</v>
      </c>
      <c r="U2048" s="23">
        <v>46267</v>
      </c>
      <c r="X2048" s="20">
        <v>1300</v>
      </c>
      <c r="Z2048" s="6" t="s">
        <v>5978</v>
      </c>
      <c r="AA2048" s="14">
        <f t="shared" si="257"/>
        <v>5.9999999999999995E-4</v>
      </c>
      <c r="AB2048">
        <v>0.77999999999999992</v>
      </c>
      <c r="AC2048">
        <v>0.81119999999999992</v>
      </c>
    </row>
    <row r="2049" spans="1:29" x14ac:dyDescent="0.3">
      <c r="A2049">
        <v>143369</v>
      </c>
      <c r="B2049" s="25" t="s">
        <v>5984</v>
      </c>
      <c r="C2049" t="s">
        <v>20</v>
      </c>
      <c r="D2049" t="s">
        <v>21</v>
      </c>
      <c r="E2049">
        <v>2222222</v>
      </c>
      <c r="F2049" s="8" t="s">
        <v>22</v>
      </c>
      <c r="G2049" s="2">
        <v>98</v>
      </c>
      <c r="H2049" t="s">
        <v>4195</v>
      </c>
      <c r="J2049" s="9" t="s">
        <v>5245</v>
      </c>
      <c r="K2049" t="s">
        <v>5025</v>
      </c>
      <c r="L2049" s="2">
        <v>1</v>
      </c>
      <c r="M2049" s="24" t="s">
        <v>5971</v>
      </c>
      <c r="N2049" s="2" t="s">
        <v>23</v>
      </c>
      <c r="O2049" s="18" t="s">
        <v>1633</v>
      </c>
      <c r="P2049" s="18" t="s">
        <v>3781</v>
      </c>
      <c r="Q2049" s="6" t="s">
        <v>4475</v>
      </c>
      <c r="T2049" s="23">
        <v>45586</v>
      </c>
      <c r="U2049" s="23">
        <v>49237</v>
      </c>
      <c r="X2049" s="20">
        <v>5000</v>
      </c>
      <c r="Z2049" s="6" t="s">
        <v>5978</v>
      </c>
      <c r="AA2049" s="14">
        <f t="shared" si="257"/>
        <v>5.9999999999999995E-4</v>
      </c>
      <c r="AB2049">
        <v>2.9508779999999999</v>
      </c>
      <c r="AC2049">
        <v>3.0689131199999999</v>
      </c>
    </row>
    <row r="2050" spans="1:29" x14ac:dyDescent="0.3">
      <c r="A2050">
        <v>143370</v>
      </c>
      <c r="B2050" s="25" t="s">
        <v>5984</v>
      </c>
      <c r="C2050" t="s">
        <v>20</v>
      </c>
      <c r="D2050" t="s">
        <v>21</v>
      </c>
      <c r="E2050">
        <v>2222222</v>
      </c>
      <c r="F2050" s="8" t="s">
        <v>22</v>
      </c>
      <c r="G2050" s="2">
        <v>98</v>
      </c>
      <c r="H2050" t="s">
        <v>4195</v>
      </c>
      <c r="J2050" s="9" t="s">
        <v>5245</v>
      </c>
      <c r="K2050" t="s">
        <v>5025</v>
      </c>
      <c r="L2050" s="2">
        <v>1</v>
      </c>
      <c r="M2050" s="24" t="s">
        <v>5971</v>
      </c>
      <c r="N2050" s="2" t="s">
        <v>23</v>
      </c>
      <c r="O2050" s="18" t="s">
        <v>1633</v>
      </c>
      <c r="P2050" s="18" t="s">
        <v>3781</v>
      </c>
      <c r="Q2050" s="6" t="s">
        <v>4475</v>
      </c>
      <c r="T2050" s="23">
        <v>45586</v>
      </c>
      <c r="U2050" s="23">
        <v>49237</v>
      </c>
      <c r="X2050" s="20">
        <v>4800</v>
      </c>
      <c r="Z2050" s="6" t="s">
        <v>5978</v>
      </c>
      <c r="AA2050" s="14">
        <f t="shared" si="257"/>
        <v>5.9999999999999995E-4</v>
      </c>
      <c r="AB2050">
        <v>2.8064219999999995</v>
      </c>
      <c r="AC2050">
        <v>2.9186788799999994</v>
      </c>
    </row>
    <row r="2051" spans="1:29" x14ac:dyDescent="0.3">
      <c r="A2051">
        <v>146286</v>
      </c>
      <c r="B2051" s="25" t="s">
        <v>5984</v>
      </c>
      <c r="C2051" t="s">
        <v>20</v>
      </c>
      <c r="D2051" t="s">
        <v>21</v>
      </c>
      <c r="E2051">
        <v>2222222</v>
      </c>
      <c r="F2051" s="8" t="s">
        <v>22</v>
      </c>
      <c r="G2051" s="2">
        <v>98</v>
      </c>
      <c r="H2051" t="s">
        <v>4195</v>
      </c>
      <c r="J2051" s="9" t="s">
        <v>5021</v>
      </c>
      <c r="K2051" t="s">
        <v>4928</v>
      </c>
      <c r="L2051" s="2">
        <v>1</v>
      </c>
      <c r="M2051" s="24" t="s">
        <v>5971</v>
      </c>
      <c r="N2051" s="2" t="s">
        <v>23</v>
      </c>
      <c r="O2051" s="18" t="s">
        <v>1634</v>
      </c>
      <c r="P2051" s="18" t="s">
        <v>3781</v>
      </c>
      <c r="Q2051" s="6" t="s">
        <v>4475</v>
      </c>
      <c r="T2051" s="23">
        <v>45811</v>
      </c>
      <c r="U2051" s="23">
        <v>49463</v>
      </c>
      <c r="X2051" s="20">
        <v>20000</v>
      </c>
      <c r="Z2051" s="6" t="s">
        <v>5978</v>
      </c>
      <c r="AA2051" s="14">
        <f t="shared" si="257"/>
        <v>5.9999999999999995E-4</v>
      </c>
      <c r="AB2051">
        <v>11.284716</v>
      </c>
      <c r="AC2051">
        <v>11.736104640000001</v>
      </c>
    </row>
    <row r="2052" spans="1:29" x14ac:dyDescent="0.3">
      <c r="A2052">
        <v>147990</v>
      </c>
      <c r="B2052" s="25" t="s">
        <v>5984</v>
      </c>
      <c r="C2052" t="s">
        <v>20</v>
      </c>
      <c r="D2052" t="s">
        <v>21</v>
      </c>
      <c r="E2052">
        <v>2222222</v>
      </c>
      <c r="F2052" s="8" t="s">
        <v>22</v>
      </c>
      <c r="G2052" s="2">
        <v>98</v>
      </c>
      <c r="H2052" t="s">
        <v>4195</v>
      </c>
      <c r="J2052" s="9" t="s">
        <v>4836</v>
      </c>
      <c r="K2052" t="s">
        <v>5196</v>
      </c>
      <c r="L2052" s="2">
        <v>1</v>
      </c>
      <c r="M2052" s="24" t="s">
        <v>5971</v>
      </c>
      <c r="N2052" s="2" t="s">
        <v>23</v>
      </c>
      <c r="O2052" s="18" t="s">
        <v>1635</v>
      </c>
      <c r="P2052" s="18" t="s">
        <v>3781</v>
      </c>
      <c r="Q2052" s="6" t="s">
        <v>4475</v>
      </c>
      <c r="T2052" s="23">
        <v>45930</v>
      </c>
      <c r="U2052" s="23">
        <v>46295</v>
      </c>
      <c r="X2052" s="20">
        <v>815</v>
      </c>
      <c r="Z2052" s="6" t="s">
        <v>5978</v>
      </c>
      <c r="AA2052" s="14">
        <f t="shared" si="257"/>
        <v>5.9999999999999995E-4</v>
      </c>
      <c r="AB2052">
        <v>0.17056199999999996</v>
      </c>
      <c r="AC2052">
        <v>0.17738447999999996</v>
      </c>
    </row>
    <row r="2053" spans="1:29" x14ac:dyDescent="0.3">
      <c r="A2053">
        <v>139396</v>
      </c>
      <c r="B2053" s="25" t="s">
        <v>5984</v>
      </c>
      <c r="C2053" t="s">
        <v>20</v>
      </c>
      <c r="D2053" t="s">
        <v>21</v>
      </c>
      <c r="E2053">
        <v>2222222</v>
      </c>
      <c r="F2053" s="8" t="s">
        <v>22</v>
      </c>
      <c r="G2053" s="2">
        <v>98</v>
      </c>
      <c r="H2053" t="s">
        <v>4196</v>
      </c>
      <c r="J2053" s="9" t="s">
        <v>5277</v>
      </c>
      <c r="K2053" t="s">
        <v>4891</v>
      </c>
      <c r="L2053" s="2">
        <v>1</v>
      </c>
      <c r="M2053" s="24" t="s">
        <v>5971</v>
      </c>
      <c r="N2053" s="2" t="s">
        <v>23</v>
      </c>
      <c r="O2053" s="18" t="s">
        <v>1636</v>
      </c>
      <c r="P2053" s="18" t="s">
        <v>3781</v>
      </c>
      <c r="Q2053" s="6" t="s">
        <v>4475</v>
      </c>
      <c r="T2053" s="23">
        <v>45328</v>
      </c>
      <c r="U2053" s="23">
        <v>46790</v>
      </c>
      <c r="X2053" s="20">
        <v>5000</v>
      </c>
      <c r="Z2053" s="6" t="s">
        <v>5978</v>
      </c>
      <c r="AA2053" s="13">
        <f>+(0.56/1000)</f>
        <v>5.6000000000000006E-4</v>
      </c>
      <c r="AB2053">
        <v>1.3687016000000003</v>
      </c>
      <c r="AC2053">
        <v>1.4234496640000003</v>
      </c>
    </row>
    <row r="2054" spans="1:29" x14ac:dyDescent="0.3">
      <c r="A2054">
        <v>149495</v>
      </c>
      <c r="B2054" s="25" t="s">
        <v>5984</v>
      </c>
      <c r="C2054" t="s">
        <v>20</v>
      </c>
      <c r="D2054" t="s">
        <v>21</v>
      </c>
      <c r="E2054">
        <v>2222222</v>
      </c>
      <c r="F2054" s="8" t="s">
        <v>22</v>
      </c>
      <c r="G2054" s="2">
        <v>98</v>
      </c>
      <c r="H2054" t="s">
        <v>4196</v>
      </c>
      <c r="J2054" s="9" t="s">
        <v>5277</v>
      </c>
      <c r="K2054" t="s">
        <v>4891</v>
      </c>
      <c r="L2054" s="2">
        <v>1</v>
      </c>
      <c r="M2054" s="24" t="s">
        <v>5971</v>
      </c>
      <c r="N2054" s="2" t="s">
        <v>23</v>
      </c>
      <c r="O2054" s="18" t="s">
        <v>1636</v>
      </c>
      <c r="P2054" s="18" t="s">
        <v>3781</v>
      </c>
      <c r="Q2054" s="6" t="s">
        <v>4475</v>
      </c>
      <c r="T2054" s="23">
        <v>46029</v>
      </c>
      <c r="U2054" s="23">
        <v>47124</v>
      </c>
      <c r="X2054" s="20">
        <v>4000</v>
      </c>
      <c r="Z2054" s="6" t="s">
        <v>5978</v>
      </c>
      <c r="AA2054" s="14">
        <f t="shared" ref="AA2054:AA2057" si="258">+(0.6/1000)</f>
        <v>5.9999999999999995E-4</v>
      </c>
      <c r="AB2054">
        <v>2.077518</v>
      </c>
      <c r="AC2054">
        <v>2.16061872</v>
      </c>
    </row>
    <row r="2055" spans="1:29" x14ac:dyDescent="0.3">
      <c r="A2055">
        <v>151522</v>
      </c>
      <c r="B2055" s="25" t="s">
        <v>5984</v>
      </c>
      <c r="C2055" t="s">
        <v>20</v>
      </c>
      <c r="D2055" t="s">
        <v>21</v>
      </c>
      <c r="E2055">
        <v>2222222</v>
      </c>
      <c r="F2055" s="8" t="s">
        <v>22</v>
      </c>
      <c r="G2055" s="2">
        <v>98</v>
      </c>
      <c r="H2055" t="s">
        <v>4197</v>
      </c>
      <c r="J2055" s="9" t="s">
        <v>4901</v>
      </c>
      <c r="K2055" t="s">
        <v>4900</v>
      </c>
      <c r="L2055" s="2">
        <v>1</v>
      </c>
      <c r="M2055" s="24" t="s">
        <v>5971</v>
      </c>
      <c r="N2055" s="2" t="s">
        <v>23</v>
      </c>
      <c r="O2055" s="18" t="s">
        <v>1637</v>
      </c>
      <c r="P2055" s="18" t="s">
        <v>0</v>
      </c>
      <c r="Q2055" s="6" t="s">
        <v>4475</v>
      </c>
      <c r="T2055" s="23">
        <v>46170</v>
      </c>
      <c r="U2055" s="23">
        <v>46900</v>
      </c>
      <c r="X2055" s="20">
        <v>1000</v>
      </c>
      <c r="Z2055" s="6" t="s">
        <v>5978</v>
      </c>
      <c r="AA2055" s="14">
        <f t="shared" si="258"/>
        <v>5.9999999999999995E-4</v>
      </c>
      <c r="AB2055">
        <v>0.55723199999999995</v>
      </c>
      <c r="AC2055">
        <v>0.57952127999999992</v>
      </c>
    </row>
    <row r="2056" spans="1:29" x14ac:dyDescent="0.3">
      <c r="A2056">
        <v>149729</v>
      </c>
      <c r="B2056" s="25" t="s">
        <v>5984</v>
      </c>
      <c r="C2056" t="s">
        <v>20</v>
      </c>
      <c r="D2056" t="s">
        <v>21</v>
      </c>
      <c r="E2056">
        <v>2222222</v>
      </c>
      <c r="F2056" s="8" t="s">
        <v>22</v>
      </c>
      <c r="G2056" s="2">
        <v>98</v>
      </c>
      <c r="H2056" t="s">
        <v>4198</v>
      </c>
      <c r="J2056" s="9" t="s">
        <v>4981</v>
      </c>
      <c r="K2056" t="s">
        <v>5295</v>
      </c>
      <c r="L2056" s="2">
        <v>1</v>
      </c>
      <c r="M2056" s="24" t="s">
        <v>5971</v>
      </c>
      <c r="N2056" s="2" t="s">
        <v>23</v>
      </c>
      <c r="O2056" s="18" t="s">
        <v>1155</v>
      </c>
      <c r="P2056" s="18" t="s">
        <v>3781</v>
      </c>
      <c r="Q2056" s="6" t="s">
        <v>4475</v>
      </c>
      <c r="T2056" s="23">
        <v>46049</v>
      </c>
      <c r="U2056" s="23">
        <v>46656</v>
      </c>
      <c r="X2056" s="20">
        <v>2000</v>
      </c>
      <c r="Z2056" s="6" t="s">
        <v>5978</v>
      </c>
      <c r="AA2056" s="14">
        <f t="shared" si="258"/>
        <v>5.9999999999999995E-4</v>
      </c>
      <c r="AB2056">
        <v>0.41331599999999996</v>
      </c>
      <c r="AC2056">
        <v>0.42984863999999995</v>
      </c>
    </row>
    <row r="2057" spans="1:29" x14ac:dyDescent="0.3">
      <c r="A2057">
        <v>150669</v>
      </c>
      <c r="B2057" s="25" t="s">
        <v>5984</v>
      </c>
      <c r="C2057" t="s">
        <v>20</v>
      </c>
      <c r="D2057" t="s">
        <v>21</v>
      </c>
      <c r="E2057">
        <v>2222222</v>
      </c>
      <c r="F2057" s="8" t="s">
        <v>22</v>
      </c>
      <c r="G2057" s="2">
        <v>98</v>
      </c>
      <c r="H2057" t="s">
        <v>4198</v>
      </c>
      <c r="J2057" s="9" t="s">
        <v>4981</v>
      </c>
      <c r="K2057" t="s">
        <v>5295</v>
      </c>
      <c r="L2057" s="2">
        <v>1</v>
      </c>
      <c r="M2057" s="24" t="s">
        <v>5971</v>
      </c>
      <c r="N2057" s="2" t="s">
        <v>23</v>
      </c>
      <c r="O2057" s="18" t="s">
        <v>1155</v>
      </c>
      <c r="P2057" s="18" t="s">
        <v>3781</v>
      </c>
      <c r="Q2057" s="6" t="s">
        <v>4475</v>
      </c>
      <c r="T2057" s="23">
        <v>46128</v>
      </c>
      <c r="U2057" s="23">
        <v>47954</v>
      </c>
      <c r="X2057" s="20">
        <v>16000</v>
      </c>
      <c r="Z2057" s="6" t="s">
        <v>5978</v>
      </c>
      <c r="AA2057" s="14">
        <f t="shared" si="258"/>
        <v>5.9999999999999995E-4</v>
      </c>
      <c r="AB2057">
        <v>9.2802299999999995</v>
      </c>
      <c r="AC2057">
        <v>9.6514392000000004</v>
      </c>
    </row>
    <row r="2058" spans="1:29" x14ac:dyDescent="0.3">
      <c r="A2058">
        <v>126043</v>
      </c>
      <c r="B2058" s="25" t="s">
        <v>5984</v>
      </c>
      <c r="C2058" t="s">
        <v>20</v>
      </c>
      <c r="D2058" t="s">
        <v>21</v>
      </c>
      <c r="E2058">
        <v>2222222</v>
      </c>
      <c r="F2058" s="8" t="s">
        <v>22</v>
      </c>
      <c r="G2058" s="2">
        <v>98</v>
      </c>
      <c r="H2058" t="s">
        <v>4199</v>
      </c>
      <c r="J2058" s="9" t="s">
        <v>5060</v>
      </c>
      <c r="K2058" t="s">
        <v>5165</v>
      </c>
      <c r="L2058" s="2">
        <v>1</v>
      </c>
      <c r="M2058" s="24" t="s">
        <v>5971</v>
      </c>
      <c r="N2058" s="2" t="s">
        <v>23</v>
      </c>
      <c r="O2058" s="18" t="s">
        <v>1638</v>
      </c>
      <c r="P2058" s="18" t="s">
        <v>3781</v>
      </c>
      <c r="Q2058" s="6" t="s">
        <v>4475</v>
      </c>
      <c r="T2058" s="23">
        <v>44613</v>
      </c>
      <c r="U2058" s="23">
        <v>46441</v>
      </c>
      <c r="X2058" s="20">
        <v>12000</v>
      </c>
      <c r="Z2058" s="6" t="s">
        <v>5978</v>
      </c>
      <c r="AA2058" s="15">
        <f>+(0.42/1000)</f>
        <v>4.1999999999999996E-4</v>
      </c>
      <c r="AB2058">
        <v>0.79828979999999994</v>
      </c>
      <c r="AC2058">
        <v>0.830221392</v>
      </c>
    </row>
    <row r="2059" spans="1:29" x14ac:dyDescent="0.3">
      <c r="A2059">
        <v>134331</v>
      </c>
      <c r="B2059" s="25" t="s">
        <v>5984</v>
      </c>
      <c r="C2059" t="s">
        <v>20</v>
      </c>
      <c r="D2059" t="s">
        <v>21</v>
      </c>
      <c r="E2059">
        <v>2222222</v>
      </c>
      <c r="F2059" s="8" t="s">
        <v>22</v>
      </c>
      <c r="G2059" s="2">
        <v>98</v>
      </c>
      <c r="H2059" t="s">
        <v>4199</v>
      </c>
      <c r="J2059" s="9" t="s">
        <v>4836</v>
      </c>
      <c r="K2059" t="s">
        <v>5310</v>
      </c>
      <c r="L2059" s="2">
        <v>1</v>
      </c>
      <c r="M2059" s="24" t="s">
        <v>5971</v>
      </c>
      <c r="N2059" s="2" t="s">
        <v>23</v>
      </c>
      <c r="O2059" s="18" t="s">
        <v>1639</v>
      </c>
      <c r="P2059" s="18" t="s">
        <v>3781</v>
      </c>
      <c r="Q2059" s="6" t="s">
        <v>4475</v>
      </c>
      <c r="T2059" s="23">
        <v>45063</v>
      </c>
      <c r="U2059" s="23">
        <v>48719</v>
      </c>
      <c r="X2059" s="20">
        <v>15000</v>
      </c>
      <c r="Z2059" s="6" t="s">
        <v>5978</v>
      </c>
      <c r="AA2059" s="13">
        <f>+(0.56/1000)</f>
        <v>5.6000000000000006E-4</v>
      </c>
      <c r="AB2059">
        <v>7.0075824000000013</v>
      </c>
      <c r="AC2059">
        <v>7.2878856960000018</v>
      </c>
    </row>
    <row r="2060" spans="1:29" x14ac:dyDescent="0.3">
      <c r="A2060">
        <v>148719</v>
      </c>
      <c r="B2060" s="25" t="s">
        <v>5984</v>
      </c>
      <c r="C2060" t="s">
        <v>20</v>
      </c>
      <c r="D2060" t="s">
        <v>21</v>
      </c>
      <c r="E2060">
        <v>2222222</v>
      </c>
      <c r="F2060" s="8" t="s">
        <v>22</v>
      </c>
      <c r="G2060" s="2">
        <v>98</v>
      </c>
      <c r="H2060" t="s">
        <v>4199</v>
      </c>
      <c r="J2060" s="9" t="s">
        <v>4815</v>
      </c>
      <c r="K2060" t="s">
        <v>5197</v>
      </c>
      <c r="L2060" s="2">
        <v>1</v>
      </c>
      <c r="M2060" s="24" t="s">
        <v>5971</v>
      </c>
      <c r="N2060" s="2" t="s">
        <v>23</v>
      </c>
      <c r="O2060" s="18" t="s">
        <v>1640</v>
      </c>
      <c r="P2060" s="18" t="s">
        <v>0</v>
      </c>
      <c r="Q2060" s="6" t="s">
        <v>4475</v>
      </c>
      <c r="T2060" s="23">
        <v>45974</v>
      </c>
      <c r="U2060" s="23">
        <v>46339</v>
      </c>
      <c r="X2060" s="20">
        <v>1500</v>
      </c>
      <c r="Z2060" s="6" t="s">
        <v>5978</v>
      </c>
      <c r="AA2060" s="14">
        <f t="shared" ref="AA2060:AA2062" si="259">+(0.6/1000)</f>
        <v>5.9999999999999995E-4</v>
      </c>
      <c r="AB2060">
        <v>0.31681199999999998</v>
      </c>
      <c r="AC2060">
        <v>0.32948447999999997</v>
      </c>
    </row>
    <row r="2061" spans="1:29" x14ac:dyDescent="0.3">
      <c r="A2061">
        <v>151660</v>
      </c>
      <c r="B2061" s="25" t="s">
        <v>5984</v>
      </c>
      <c r="C2061" t="s">
        <v>20</v>
      </c>
      <c r="D2061" t="s">
        <v>21</v>
      </c>
      <c r="E2061">
        <v>2222222</v>
      </c>
      <c r="F2061" s="8" t="s">
        <v>22</v>
      </c>
      <c r="G2061" s="2">
        <v>98</v>
      </c>
      <c r="H2061" t="s">
        <v>4199</v>
      </c>
      <c r="J2061" s="9" t="s">
        <v>4836</v>
      </c>
      <c r="K2061" t="s">
        <v>5310</v>
      </c>
      <c r="L2061" s="2">
        <v>1</v>
      </c>
      <c r="M2061" s="24" t="s">
        <v>5971</v>
      </c>
      <c r="N2061" s="2" t="s">
        <v>23</v>
      </c>
      <c r="O2061" s="18" t="s">
        <v>1639</v>
      </c>
      <c r="P2061" s="18" t="s">
        <v>3781</v>
      </c>
      <c r="Q2061" s="6" t="s">
        <v>4475</v>
      </c>
      <c r="T2061" s="23">
        <v>46177</v>
      </c>
      <c r="U2061" s="23">
        <v>46267</v>
      </c>
      <c r="X2061" s="20">
        <v>880</v>
      </c>
      <c r="Z2061" s="6" t="s">
        <v>5978</v>
      </c>
      <c r="AA2061" s="14">
        <f t="shared" si="259"/>
        <v>5.9999999999999995E-4</v>
      </c>
      <c r="AB2061">
        <v>0.52799999999999991</v>
      </c>
      <c r="AC2061">
        <v>0.54911999999999994</v>
      </c>
    </row>
    <row r="2062" spans="1:29" x14ac:dyDescent="0.3">
      <c r="A2062">
        <v>148592</v>
      </c>
      <c r="B2062" s="25" t="s">
        <v>5984</v>
      </c>
      <c r="C2062" t="s">
        <v>20</v>
      </c>
      <c r="D2062" t="s">
        <v>21</v>
      </c>
      <c r="E2062">
        <v>2222222</v>
      </c>
      <c r="F2062" s="8" t="s">
        <v>22</v>
      </c>
      <c r="G2062" s="2">
        <v>98</v>
      </c>
      <c r="H2062" t="s">
        <v>4200</v>
      </c>
      <c r="J2062" s="9" t="s">
        <v>4836</v>
      </c>
      <c r="K2062" t="s">
        <v>5574</v>
      </c>
      <c r="L2062" s="2">
        <v>1</v>
      </c>
      <c r="M2062" s="24" t="s">
        <v>5971</v>
      </c>
      <c r="N2062" s="2" t="s">
        <v>23</v>
      </c>
      <c r="O2062" s="18" t="s">
        <v>1641</v>
      </c>
      <c r="P2062" s="18" t="s">
        <v>3781</v>
      </c>
      <c r="Q2062" s="6" t="s">
        <v>4475</v>
      </c>
      <c r="T2062" s="23">
        <v>45848</v>
      </c>
      <c r="U2062" s="23">
        <v>48038</v>
      </c>
      <c r="X2062" s="20">
        <v>11145</v>
      </c>
      <c r="Z2062" s="6" t="s">
        <v>5978</v>
      </c>
      <c r="AA2062" s="14">
        <f t="shared" si="259"/>
        <v>5.9999999999999995E-4</v>
      </c>
      <c r="AB2062">
        <v>5.8815059999999999</v>
      </c>
      <c r="AC2062">
        <v>6.1167662400000005</v>
      </c>
    </row>
    <row r="2063" spans="1:29" x14ac:dyDescent="0.3">
      <c r="A2063">
        <v>114724</v>
      </c>
      <c r="B2063" s="25" t="s">
        <v>5984</v>
      </c>
      <c r="C2063" t="s">
        <v>20</v>
      </c>
      <c r="D2063" t="s">
        <v>21</v>
      </c>
      <c r="E2063">
        <v>2222222</v>
      </c>
      <c r="F2063" s="8" t="s">
        <v>22</v>
      </c>
      <c r="G2063" s="2">
        <v>98</v>
      </c>
      <c r="H2063" t="s">
        <v>4201</v>
      </c>
      <c r="J2063" s="9" t="s">
        <v>4950</v>
      </c>
      <c r="K2063" t="s">
        <v>4894</v>
      </c>
      <c r="L2063" s="2">
        <v>1</v>
      </c>
      <c r="M2063" s="24" t="s">
        <v>5971</v>
      </c>
      <c r="N2063" s="2" t="s">
        <v>23</v>
      </c>
      <c r="O2063" s="18" t="s">
        <v>1642</v>
      </c>
      <c r="P2063" s="18" t="s">
        <v>0</v>
      </c>
      <c r="Q2063" s="6" t="s">
        <v>4475</v>
      </c>
      <c r="T2063" s="23">
        <v>44067</v>
      </c>
      <c r="U2063" s="23">
        <v>46729</v>
      </c>
      <c r="X2063" s="20">
        <v>9070</v>
      </c>
      <c r="Z2063" s="6" t="s">
        <v>5978</v>
      </c>
      <c r="AA2063" s="15">
        <f t="shared" ref="AA2063:AA2065" si="260">+(0.42/1000)</f>
        <v>4.1999999999999996E-4</v>
      </c>
      <c r="AB2063">
        <v>1.2259883999999999</v>
      </c>
      <c r="AC2063">
        <v>1.2750279359999999</v>
      </c>
    </row>
    <row r="2064" spans="1:29" x14ac:dyDescent="0.3">
      <c r="A2064">
        <v>122731</v>
      </c>
      <c r="B2064" s="25" t="s">
        <v>5984</v>
      </c>
      <c r="C2064" t="s">
        <v>20</v>
      </c>
      <c r="D2064" t="s">
        <v>21</v>
      </c>
      <c r="E2064">
        <v>2222222</v>
      </c>
      <c r="F2064" s="8" t="s">
        <v>22</v>
      </c>
      <c r="G2064" s="2">
        <v>98</v>
      </c>
      <c r="H2064" t="s">
        <v>4201</v>
      </c>
      <c r="J2064" s="9" t="s">
        <v>4852</v>
      </c>
      <c r="K2064" t="s">
        <v>4875</v>
      </c>
      <c r="L2064" s="2">
        <v>1</v>
      </c>
      <c r="M2064" s="24" t="s">
        <v>5971</v>
      </c>
      <c r="N2064" s="2" t="s">
        <v>23</v>
      </c>
      <c r="O2064" s="18" t="s">
        <v>1643</v>
      </c>
      <c r="P2064" s="18" t="s">
        <v>0</v>
      </c>
      <c r="Q2064" s="6" t="s">
        <v>4475</v>
      </c>
      <c r="T2064" s="23">
        <v>44445</v>
      </c>
      <c r="U2064" s="23">
        <v>46727</v>
      </c>
      <c r="X2064" s="20">
        <v>6000</v>
      </c>
      <c r="Z2064" s="6" t="s">
        <v>5978</v>
      </c>
      <c r="AA2064" s="15">
        <f t="shared" si="260"/>
        <v>4.1999999999999996E-4</v>
      </c>
      <c r="AB2064">
        <v>0.82975619999999983</v>
      </c>
      <c r="AC2064">
        <v>0.86294644799999987</v>
      </c>
    </row>
    <row r="2065" spans="1:29" x14ac:dyDescent="0.3">
      <c r="A2065">
        <v>126110</v>
      </c>
      <c r="B2065" s="25" t="s">
        <v>5984</v>
      </c>
      <c r="C2065" t="s">
        <v>20</v>
      </c>
      <c r="D2065" t="s">
        <v>21</v>
      </c>
      <c r="E2065">
        <v>2222222</v>
      </c>
      <c r="F2065" s="8" t="s">
        <v>22</v>
      </c>
      <c r="G2065" s="2">
        <v>98</v>
      </c>
      <c r="H2065" t="s">
        <v>4201</v>
      </c>
      <c r="J2065" s="9" t="s">
        <v>5234</v>
      </c>
      <c r="K2065" t="s">
        <v>4857</v>
      </c>
      <c r="L2065" s="2">
        <v>1</v>
      </c>
      <c r="M2065" s="24" t="s">
        <v>5971</v>
      </c>
      <c r="N2065" s="2" t="s">
        <v>23</v>
      </c>
      <c r="O2065" s="18" t="s">
        <v>1644</v>
      </c>
      <c r="P2065" s="18" t="s">
        <v>0</v>
      </c>
      <c r="Q2065" s="6" t="s">
        <v>4475</v>
      </c>
      <c r="T2065" s="23">
        <v>44602</v>
      </c>
      <c r="U2065" s="23">
        <v>44692</v>
      </c>
      <c r="X2065" s="20">
        <v>490</v>
      </c>
      <c r="Z2065" s="6" t="s">
        <v>5978</v>
      </c>
      <c r="AA2065" s="15">
        <f t="shared" si="260"/>
        <v>4.1999999999999996E-4</v>
      </c>
      <c r="AB2065">
        <v>0.20579999999999998</v>
      </c>
      <c r="AC2065">
        <v>0.214032</v>
      </c>
    </row>
    <row r="2066" spans="1:29" x14ac:dyDescent="0.3">
      <c r="A2066">
        <v>138024</v>
      </c>
      <c r="B2066" s="25" t="s">
        <v>5984</v>
      </c>
      <c r="C2066" t="s">
        <v>20</v>
      </c>
      <c r="D2066" t="s">
        <v>21</v>
      </c>
      <c r="E2066">
        <v>2222222</v>
      </c>
      <c r="F2066" s="8" t="s">
        <v>22</v>
      </c>
      <c r="G2066" s="2">
        <v>98</v>
      </c>
      <c r="H2066" t="s">
        <v>4201</v>
      </c>
      <c r="J2066" s="9" t="s">
        <v>4969</v>
      </c>
      <c r="K2066" t="s">
        <v>4836</v>
      </c>
      <c r="L2066" s="2">
        <v>1</v>
      </c>
      <c r="M2066" s="24" t="s">
        <v>5971</v>
      </c>
      <c r="N2066" s="2" t="s">
        <v>23</v>
      </c>
      <c r="O2066" s="18" t="s">
        <v>1645</v>
      </c>
      <c r="P2066" s="18" t="s">
        <v>3781</v>
      </c>
      <c r="Q2066" s="6" t="s">
        <v>4475</v>
      </c>
      <c r="T2066" s="23">
        <v>45254</v>
      </c>
      <c r="U2066" s="23">
        <v>46715</v>
      </c>
      <c r="X2066" s="20">
        <v>5000</v>
      </c>
      <c r="Z2066" s="6" t="s">
        <v>5978</v>
      </c>
      <c r="AA2066" s="13">
        <f t="shared" ref="AA2066:AA2067" si="261">+(0.56/1000)</f>
        <v>5.6000000000000006E-4</v>
      </c>
      <c r="AB2066">
        <v>2.0914600000000001</v>
      </c>
      <c r="AC2066">
        <v>2.1751184000000001</v>
      </c>
    </row>
    <row r="2067" spans="1:29" x14ac:dyDescent="0.3">
      <c r="A2067">
        <v>140638</v>
      </c>
      <c r="B2067" s="25" t="s">
        <v>5984</v>
      </c>
      <c r="C2067" t="s">
        <v>20</v>
      </c>
      <c r="D2067" t="s">
        <v>21</v>
      </c>
      <c r="E2067">
        <v>2222222</v>
      </c>
      <c r="F2067" s="8" t="s">
        <v>22</v>
      </c>
      <c r="G2067" s="2">
        <v>98</v>
      </c>
      <c r="H2067" t="s">
        <v>4201</v>
      </c>
      <c r="J2067" s="9" t="s">
        <v>5060</v>
      </c>
      <c r="K2067" t="s">
        <v>5245</v>
      </c>
      <c r="L2067" s="2">
        <v>1</v>
      </c>
      <c r="M2067" s="24" t="s">
        <v>5971</v>
      </c>
      <c r="N2067" s="2" t="s">
        <v>23</v>
      </c>
      <c r="O2067" s="18" t="s">
        <v>1646</v>
      </c>
      <c r="P2067" s="18" t="s">
        <v>3781</v>
      </c>
      <c r="Q2067" s="6" t="s">
        <v>4475</v>
      </c>
      <c r="T2067" s="23">
        <v>45400</v>
      </c>
      <c r="U2067" s="23">
        <v>46495</v>
      </c>
      <c r="X2067" s="20">
        <v>3735</v>
      </c>
      <c r="Z2067" s="6" t="s">
        <v>5978</v>
      </c>
      <c r="AA2067" s="13">
        <f t="shared" si="261"/>
        <v>5.6000000000000006E-4</v>
      </c>
      <c r="AB2067">
        <v>0.63411600000000001</v>
      </c>
      <c r="AC2067">
        <v>0.65948064000000006</v>
      </c>
    </row>
    <row r="2068" spans="1:29" x14ac:dyDescent="0.3">
      <c r="A2068">
        <v>148754</v>
      </c>
      <c r="B2068" s="25" t="s">
        <v>5984</v>
      </c>
      <c r="C2068" t="s">
        <v>20</v>
      </c>
      <c r="D2068" t="s">
        <v>21</v>
      </c>
      <c r="E2068">
        <v>2222222</v>
      </c>
      <c r="F2068" s="8" t="s">
        <v>22</v>
      </c>
      <c r="G2068" s="2">
        <v>98</v>
      </c>
      <c r="H2068" t="s">
        <v>4201</v>
      </c>
      <c r="J2068" s="9" t="s">
        <v>5063</v>
      </c>
      <c r="K2068" t="s">
        <v>4953</v>
      </c>
      <c r="L2068" s="2">
        <v>1</v>
      </c>
      <c r="M2068" s="24" t="s">
        <v>5971</v>
      </c>
      <c r="N2068" s="2" t="s">
        <v>23</v>
      </c>
      <c r="O2068" s="18" t="s">
        <v>1355</v>
      </c>
      <c r="P2068" s="18" t="s">
        <v>0</v>
      </c>
      <c r="Q2068" s="6" t="s">
        <v>4475</v>
      </c>
      <c r="T2068" s="23">
        <v>45977</v>
      </c>
      <c r="U2068" s="23">
        <v>47442</v>
      </c>
      <c r="X2068" s="20">
        <v>5000</v>
      </c>
      <c r="Z2068" s="6" t="s">
        <v>5978</v>
      </c>
      <c r="AA2068" s="14">
        <f t="shared" ref="AA2068:AA2077" si="262">+(0.6/1000)</f>
        <v>5.9999999999999995E-4</v>
      </c>
      <c r="AB2068">
        <v>2.6360219999999996</v>
      </c>
      <c r="AC2068">
        <v>2.7414628799999998</v>
      </c>
    </row>
    <row r="2069" spans="1:29" x14ac:dyDescent="0.3">
      <c r="A2069">
        <v>149694</v>
      </c>
      <c r="B2069" s="25" t="s">
        <v>5984</v>
      </c>
      <c r="C2069" t="s">
        <v>20</v>
      </c>
      <c r="D2069" t="s">
        <v>21</v>
      </c>
      <c r="E2069">
        <v>2222222</v>
      </c>
      <c r="F2069" s="8" t="s">
        <v>22</v>
      </c>
      <c r="G2069" s="2">
        <v>98</v>
      </c>
      <c r="H2069" t="s">
        <v>4201</v>
      </c>
      <c r="J2069" s="9" t="s">
        <v>4945</v>
      </c>
      <c r="K2069" t="s">
        <v>5318</v>
      </c>
      <c r="L2069" s="2">
        <v>1</v>
      </c>
      <c r="M2069" s="24" t="s">
        <v>5971</v>
      </c>
      <c r="N2069" s="2" t="s">
        <v>23</v>
      </c>
      <c r="O2069" s="18" t="s">
        <v>1647</v>
      </c>
      <c r="P2069" s="18" t="s">
        <v>0</v>
      </c>
      <c r="Q2069" s="6" t="s">
        <v>4475</v>
      </c>
      <c r="T2069" s="23">
        <v>46042</v>
      </c>
      <c r="U2069" s="23">
        <v>48963</v>
      </c>
      <c r="X2069" s="20">
        <v>4400</v>
      </c>
      <c r="Z2069" s="6" t="s">
        <v>5978</v>
      </c>
      <c r="AA2069" s="14">
        <f t="shared" si="262"/>
        <v>5.9999999999999995E-4</v>
      </c>
      <c r="AB2069">
        <v>2.6232479999999998</v>
      </c>
      <c r="AC2069">
        <v>2.7281779199999998</v>
      </c>
    </row>
    <row r="2070" spans="1:29" x14ac:dyDescent="0.3">
      <c r="A2070">
        <v>149695</v>
      </c>
      <c r="B2070" s="25" t="s">
        <v>5984</v>
      </c>
      <c r="C2070" t="s">
        <v>20</v>
      </c>
      <c r="D2070" t="s">
        <v>21</v>
      </c>
      <c r="E2070">
        <v>2222222</v>
      </c>
      <c r="F2070" s="8" t="s">
        <v>22</v>
      </c>
      <c r="G2070" s="2">
        <v>98</v>
      </c>
      <c r="H2070" t="s">
        <v>4201</v>
      </c>
      <c r="J2070" s="9" t="s">
        <v>4945</v>
      </c>
      <c r="K2070" t="s">
        <v>5318</v>
      </c>
      <c r="L2070" s="2">
        <v>1</v>
      </c>
      <c r="M2070" s="24" t="s">
        <v>5971</v>
      </c>
      <c r="N2070" s="2" t="s">
        <v>23</v>
      </c>
      <c r="O2070" s="18" t="s">
        <v>1647</v>
      </c>
      <c r="P2070" s="18" t="s">
        <v>0</v>
      </c>
      <c r="Q2070" s="6" t="s">
        <v>4475</v>
      </c>
      <c r="T2070" s="23">
        <v>46042</v>
      </c>
      <c r="U2070" s="23">
        <v>48963</v>
      </c>
      <c r="X2070" s="20">
        <v>4400</v>
      </c>
      <c r="Z2070" s="6" t="s">
        <v>5978</v>
      </c>
      <c r="AA2070" s="14">
        <f t="shared" si="262"/>
        <v>5.9999999999999995E-4</v>
      </c>
      <c r="AB2070">
        <v>2.6232479999999998</v>
      </c>
      <c r="AC2070">
        <v>2.7281779199999998</v>
      </c>
    </row>
    <row r="2071" spans="1:29" x14ac:dyDescent="0.3">
      <c r="A2071">
        <v>149762</v>
      </c>
      <c r="B2071" s="25" t="s">
        <v>5984</v>
      </c>
      <c r="C2071" t="s">
        <v>20</v>
      </c>
      <c r="D2071" t="s">
        <v>21</v>
      </c>
      <c r="E2071">
        <v>2222222</v>
      </c>
      <c r="F2071" s="8" t="s">
        <v>22</v>
      </c>
      <c r="G2071" s="2">
        <v>98</v>
      </c>
      <c r="H2071" t="s">
        <v>4201</v>
      </c>
      <c r="J2071" s="9" t="s">
        <v>4901</v>
      </c>
      <c r="K2071" t="s">
        <v>5457</v>
      </c>
      <c r="L2071" s="2">
        <v>1</v>
      </c>
      <c r="M2071" s="24" t="s">
        <v>5971</v>
      </c>
      <c r="N2071" s="2" t="s">
        <v>23</v>
      </c>
      <c r="O2071" s="18" t="s">
        <v>1648</v>
      </c>
      <c r="P2071" s="18" t="s">
        <v>0</v>
      </c>
      <c r="Q2071" s="6" t="s">
        <v>4475</v>
      </c>
      <c r="T2071" s="23">
        <v>46048</v>
      </c>
      <c r="U2071" s="23">
        <v>46966</v>
      </c>
      <c r="X2071" s="20">
        <v>3700</v>
      </c>
      <c r="Z2071" s="6" t="s">
        <v>5978</v>
      </c>
      <c r="AA2071" s="14">
        <f t="shared" si="262"/>
        <v>5.9999999999999995E-4</v>
      </c>
      <c r="AB2071">
        <v>1.9126079999999996</v>
      </c>
      <c r="AC2071">
        <v>1.9891123199999996</v>
      </c>
    </row>
    <row r="2072" spans="1:29" x14ac:dyDescent="0.3">
      <c r="A2072">
        <v>150653</v>
      </c>
      <c r="B2072" s="25" t="s">
        <v>5984</v>
      </c>
      <c r="C2072" t="s">
        <v>20</v>
      </c>
      <c r="D2072" t="s">
        <v>21</v>
      </c>
      <c r="E2072">
        <v>2222222</v>
      </c>
      <c r="F2072" s="8" t="s">
        <v>22</v>
      </c>
      <c r="G2072" s="2">
        <v>98</v>
      </c>
      <c r="H2072" t="s">
        <v>4201</v>
      </c>
      <c r="J2072" s="9" t="s">
        <v>4876</v>
      </c>
      <c r="K2072" t="s">
        <v>4853</v>
      </c>
      <c r="L2072" s="2">
        <v>1</v>
      </c>
      <c r="M2072" s="24" t="s">
        <v>5971</v>
      </c>
      <c r="N2072" s="2" t="s">
        <v>23</v>
      </c>
      <c r="O2072" s="18" t="s">
        <v>1649</v>
      </c>
      <c r="P2072" s="18" t="s">
        <v>0</v>
      </c>
      <c r="Q2072" s="6" t="s">
        <v>4475</v>
      </c>
      <c r="T2072" s="23">
        <v>46106</v>
      </c>
      <c r="U2072" s="23">
        <v>47566</v>
      </c>
      <c r="X2072" s="20">
        <v>4400</v>
      </c>
      <c r="Z2072" s="6" t="s">
        <v>5978</v>
      </c>
      <c r="AA2072" s="14">
        <f t="shared" si="262"/>
        <v>5.9999999999999995E-4</v>
      </c>
      <c r="AB2072">
        <v>2.4846299999999997</v>
      </c>
      <c r="AC2072">
        <v>2.5840151999999996</v>
      </c>
    </row>
    <row r="2073" spans="1:29" x14ac:dyDescent="0.3">
      <c r="A2073">
        <v>151859</v>
      </c>
      <c r="B2073" s="25" t="s">
        <v>5984</v>
      </c>
      <c r="C2073" t="s">
        <v>20</v>
      </c>
      <c r="D2073" t="s">
        <v>21</v>
      </c>
      <c r="E2073">
        <v>2222222</v>
      </c>
      <c r="F2073" s="8" t="s">
        <v>22</v>
      </c>
      <c r="G2073" s="2">
        <v>98</v>
      </c>
      <c r="H2073" t="s">
        <v>4201</v>
      </c>
      <c r="J2073" s="9" t="s">
        <v>4896</v>
      </c>
      <c r="K2073" t="s">
        <v>5333</v>
      </c>
      <c r="L2073" s="2">
        <v>1</v>
      </c>
      <c r="M2073" s="24" t="s">
        <v>5971</v>
      </c>
      <c r="N2073" s="2" t="s">
        <v>23</v>
      </c>
      <c r="O2073" s="18" t="s">
        <v>1650</v>
      </c>
      <c r="P2073" s="18" t="s">
        <v>3781</v>
      </c>
      <c r="Q2073" s="6" t="s">
        <v>4475</v>
      </c>
      <c r="T2073" s="23">
        <v>46192</v>
      </c>
      <c r="U2073" s="23">
        <v>48018</v>
      </c>
      <c r="X2073" s="20">
        <v>4000</v>
      </c>
      <c r="Z2073" s="6" t="s">
        <v>5978</v>
      </c>
      <c r="AA2073" s="14">
        <f t="shared" si="262"/>
        <v>5.9999999999999995E-4</v>
      </c>
      <c r="AB2073">
        <v>2.3747279999999997</v>
      </c>
      <c r="AC2073">
        <v>2.4697171199999999</v>
      </c>
    </row>
    <row r="2074" spans="1:29" x14ac:dyDescent="0.3">
      <c r="A2074">
        <v>152276</v>
      </c>
      <c r="B2074" s="25" t="s">
        <v>5984</v>
      </c>
      <c r="C2074" t="s">
        <v>20</v>
      </c>
      <c r="D2074" t="s">
        <v>21</v>
      </c>
      <c r="E2074">
        <v>2222222</v>
      </c>
      <c r="F2074" s="8" t="s">
        <v>22</v>
      </c>
      <c r="G2074" s="2">
        <v>98</v>
      </c>
      <c r="H2074" t="s">
        <v>4201</v>
      </c>
      <c r="J2074" s="9" t="s">
        <v>4875</v>
      </c>
      <c r="K2074" t="s">
        <v>4856</v>
      </c>
      <c r="L2074" s="2">
        <v>1</v>
      </c>
      <c r="M2074" s="24" t="s">
        <v>5971</v>
      </c>
      <c r="N2074" s="2" t="s">
        <v>23</v>
      </c>
      <c r="O2074" s="18" t="s">
        <v>1651</v>
      </c>
      <c r="P2074" s="18" t="s">
        <v>0</v>
      </c>
      <c r="Q2074" s="6" t="s">
        <v>4475</v>
      </c>
      <c r="T2074" s="23">
        <v>46224</v>
      </c>
      <c r="U2074" s="23">
        <v>47258</v>
      </c>
      <c r="X2074" s="20">
        <v>1250</v>
      </c>
      <c r="Z2074" s="6" t="s">
        <v>5978</v>
      </c>
      <c r="AA2074" s="14">
        <f t="shared" si="262"/>
        <v>5.9999999999999995E-4</v>
      </c>
      <c r="AB2074">
        <v>0.74999999999999989</v>
      </c>
      <c r="AC2074">
        <v>0.77999999999999992</v>
      </c>
    </row>
    <row r="2075" spans="1:29" x14ac:dyDescent="0.3">
      <c r="A2075">
        <v>152240</v>
      </c>
      <c r="B2075" s="25" t="s">
        <v>5984</v>
      </c>
      <c r="C2075" t="s">
        <v>20</v>
      </c>
      <c r="D2075" t="s">
        <v>21</v>
      </c>
      <c r="E2075">
        <v>2222222</v>
      </c>
      <c r="F2075" s="8" t="s">
        <v>22</v>
      </c>
      <c r="G2075" s="2">
        <v>98</v>
      </c>
      <c r="H2075" t="s">
        <v>4202</v>
      </c>
      <c r="J2075" s="9" t="s">
        <v>5575</v>
      </c>
      <c r="K2075" t="s">
        <v>4827</v>
      </c>
      <c r="L2075" s="2">
        <v>1</v>
      </c>
      <c r="M2075" s="24" t="s">
        <v>5971</v>
      </c>
      <c r="N2075" s="2" t="s">
        <v>23</v>
      </c>
      <c r="O2075" s="18" t="s">
        <v>1652</v>
      </c>
      <c r="P2075" s="18" t="s">
        <v>0</v>
      </c>
      <c r="Q2075" s="6" t="s">
        <v>4475</v>
      </c>
      <c r="T2075" s="23">
        <v>46222</v>
      </c>
      <c r="U2075" s="23">
        <v>46587</v>
      </c>
      <c r="X2075" s="20">
        <v>1000</v>
      </c>
      <c r="Z2075" s="6" t="s">
        <v>5978</v>
      </c>
      <c r="AA2075" s="14">
        <f t="shared" si="262"/>
        <v>5.9999999999999995E-4</v>
      </c>
      <c r="AB2075">
        <v>0.6</v>
      </c>
      <c r="AC2075">
        <v>0.624</v>
      </c>
    </row>
    <row r="2076" spans="1:29" x14ac:dyDescent="0.3">
      <c r="A2076">
        <v>152021</v>
      </c>
      <c r="B2076" s="25" t="s">
        <v>5984</v>
      </c>
      <c r="C2076" t="s">
        <v>20</v>
      </c>
      <c r="D2076" t="s">
        <v>21</v>
      </c>
      <c r="E2076">
        <v>2222222</v>
      </c>
      <c r="F2076" s="8" t="s">
        <v>22</v>
      </c>
      <c r="G2076" s="2">
        <v>98</v>
      </c>
      <c r="H2076" t="s">
        <v>4203</v>
      </c>
      <c r="J2076" s="9" t="s">
        <v>5140</v>
      </c>
      <c r="K2076" t="s">
        <v>4884</v>
      </c>
      <c r="L2076" s="2">
        <v>1</v>
      </c>
      <c r="M2076" s="24" t="s">
        <v>5971</v>
      </c>
      <c r="N2076" s="2" t="s">
        <v>23</v>
      </c>
      <c r="O2076" s="18" t="s">
        <v>1653</v>
      </c>
      <c r="P2076" s="18" t="s">
        <v>3781</v>
      </c>
      <c r="Q2076" s="6" t="s">
        <v>4475</v>
      </c>
      <c r="T2076" s="23">
        <v>46221</v>
      </c>
      <c r="U2076" s="23">
        <v>49873</v>
      </c>
      <c r="X2076" s="20">
        <v>25800</v>
      </c>
      <c r="Z2076" s="6" t="s">
        <v>5978</v>
      </c>
      <c r="AA2076" s="14">
        <f t="shared" si="262"/>
        <v>5.9999999999999995E-4</v>
      </c>
      <c r="AB2076">
        <v>15.479999999999999</v>
      </c>
      <c r="AC2076">
        <v>16.0992</v>
      </c>
    </row>
    <row r="2077" spans="1:29" x14ac:dyDescent="0.3">
      <c r="A2077">
        <v>150582</v>
      </c>
      <c r="B2077" s="25" t="s">
        <v>5984</v>
      </c>
      <c r="C2077" t="s">
        <v>20</v>
      </c>
      <c r="D2077" t="s">
        <v>21</v>
      </c>
      <c r="E2077">
        <v>2222222</v>
      </c>
      <c r="F2077" s="8" t="s">
        <v>22</v>
      </c>
      <c r="G2077" s="2">
        <v>98</v>
      </c>
      <c r="H2077" t="s">
        <v>4204</v>
      </c>
      <c r="J2077" s="9" t="s">
        <v>5576</v>
      </c>
      <c r="K2077" t="s">
        <v>5577</v>
      </c>
      <c r="L2077" s="2">
        <v>1</v>
      </c>
      <c r="M2077" s="24" t="s">
        <v>5971</v>
      </c>
      <c r="N2077" s="2" t="s">
        <v>23</v>
      </c>
      <c r="O2077" s="18" t="s">
        <v>1654</v>
      </c>
      <c r="P2077" s="18" t="s">
        <v>3781</v>
      </c>
      <c r="Q2077" s="6" t="s">
        <v>4475</v>
      </c>
      <c r="T2077" s="23">
        <v>46102</v>
      </c>
      <c r="U2077" s="23">
        <v>47562</v>
      </c>
      <c r="X2077" s="20">
        <v>5000</v>
      </c>
      <c r="Z2077" s="6" t="s">
        <v>5978</v>
      </c>
      <c r="AA2077" s="14">
        <f t="shared" si="262"/>
        <v>5.9999999999999995E-4</v>
      </c>
      <c r="AB2077">
        <v>2.8234439999999998</v>
      </c>
      <c r="AC2077">
        <v>2.9363817599999997</v>
      </c>
    </row>
    <row r="2078" spans="1:29" x14ac:dyDescent="0.3">
      <c r="A2078">
        <v>139921</v>
      </c>
      <c r="B2078" s="25" t="s">
        <v>5984</v>
      </c>
      <c r="C2078" t="s">
        <v>20</v>
      </c>
      <c r="D2078" t="s">
        <v>21</v>
      </c>
      <c r="E2078">
        <v>2222222</v>
      </c>
      <c r="F2078" s="8" t="s">
        <v>22</v>
      </c>
      <c r="G2078" s="2">
        <v>98</v>
      </c>
      <c r="H2078" t="s">
        <v>4205</v>
      </c>
      <c r="J2078" s="9" t="s">
        <v>5068</v>
      </c>
      <c r="K2078" t="s">
        <v>4951</v>
      </c>
      <c r="L2078" s="2">
        <v>1</v>
      </c>
      <c r="M2078" s="24" t="s">
        <v>5971</v>
      </c>
      <c r="N2078" s="2" t="s">
        <v>23</v>
      </c>
      <c r="O2078" s="18" t="s">
        <v>1655</v>
      </c>
      <c r="P2078" s="18" t="s">
        <v>0</v>
      </c>
      <c r="Q2078" s="6" t="s">
        <v>4475</v>
      </c>
      <c r="T2078" s="23">
        <v>45363</v>
      </c>
      <c r="U2078" s="23">
        <v>46276</v>
      </c>
      <c r="X2078" s="20">
        <v>30000</v>
      </c>
      <c r="Z2078" s="6" t="s">
        <v>5978</v>
      </c>
      <c r="AA2078" s="13">
        <f>+(0.56/1000)</f>
        <v>5.6000000000000006E-4</v>
      </c>
      <c r="AB2078">
        <v>1.3417432</v>
      </c>
      <c r="AC2078">
        <v>1.3954129280000001</v>
      </c>
    </row>
    <row r="2079" spans="1:29" x14ac:dyDescent="0.3">
      <c r="A2079">
        <v>147497</v>
      </c>
      <c r="B2079" s="25" t="s">
        <v>5984</v>
      </c>
      <c r="C2079" t="s">
        <v>20</v>
      </c>
      <c r="D2079" t="s">
        <v>21</v>
      </c>
      <c r="E2079">
        <v>2222222</v>
      </c>
      <c r="F2079" s="8" t="s">
        <v>22</v>
      </c>
      <c r="G2079" s="2">
        <v>98</v>
      </c>
      <c r="H2079" t="s">
        <v>4206</v>
      </c>
      <c r="J2079" s="9" t="s">
        <v>5201</v>
      </c>
      <c r="K2079" t="s">
        <v>4864</v>
      </c>
      <c r="L2079" s="2">
        <v>1</v>
      </c>
      <c r="M2079" s="24" t="s">
        <v>5971</v>
      </c>
      <c r="N2079" s="2" t="s">
        <v>23</v>
      </c>
      <c r="O2079" s="18" t="s">
        <v>1656</v>
      </c>
      <c r="P2079" s="18" t="s">
        <v>0</v>
      </c>
      <c r="Q2079" s="6" t="s">
        <v>4475</v>
      </c>
      <c r="T2079" s="23">
        <v>45897</v>
      </c>
      <c r="U2079" s="23">
        <v>47357</v>
      </c>
      <c r="X2079" s="20">
        <v>6900</v>
      </c>
      <c r="Z2079" s="6" t="s">
        <v>5978</v>
      </c>
      <c r="AA2079" s="14">
        <f t="shared" ref="AA2079:AA2080" si="263">+(0.6/1000)</f>
        <v>5.9999999999999995E-4</v>
      </c>
      <c r="AB2079">
        <v>3.3837419999999994</v>
      </c>
      <c r="AC2079">
        <v>3.5190916799999994</v>
      </c>
    </row>
    <row r="2080" spans="1:29" x14ac:dyDescent="0.3">
      <c r="A2080">
        <v>150264</v>
      </c>
      <c r="B2080" s="25" t="s">
        <v>5984</v>
      </c>
      <c r="C2080" t="s">
        <v>20</v>
      </c>
      <c r="D2080" t="s">
        <v>21</v>
      </c>
      <c r="E2080">
        <v>2222222</v>
      </c>
      <c r="F2080" s="8" t="s">
        <v>22</v>
      </c>
      <c r="G2080" s="2">
        <v>98</v>
      </c>
      <c r="H2080" t="s">
        <v>4207</v>
      </c>
      <c r="J2080" s="9" t="s">
        <v>4964</v>
      </c>
      <c r="K2080" t="s">
        <v>5130</v>
      </c>
      <c r="L2080" s="2">
        <v>1</v>
      </c>
      <c r="M2080" s="24" t="s">
        <v>5971</v>
      </c>
      <c r="N2080" s="2" t="s">
        <v>23</v>
      </c>
      <c r="O2080" s="18" t="s">
        <v>1657</v>
      </c>
      <c r="P2080" s="18" t="s">
        <v>0</v>
      </c>
      <c r="Q2080" s="6" t="s">
        <v>4475</v>
      </c>
      <c r="T2080" s="23">
        <v>46083</v>
      </c>
      <c r="U2080" s="23">
        <v>46631</v>
      </c>
      <c r="X2080" s="20">
        <v>3100</v>
      </c>
      <c r="Z2080" s="6" t="s">
        <v>5978</v>
      </c>
      <c r="AA2080" s="14">
        <f t="shared" si="263"/>
        <v>5.9999999999999995E-4</v>
      </c>
      <c r="AB2080">
        <v>1.4863319999999998</v>
      </c>
      <c r="AC2080">
        <v>1.5457852799999998</v>
      </c>
    </row>
    <row r="2081" spans="1:29" x14ac:dyDescent="0.3">
      <c r="A2081">
        <v>138499</v>
      </c>
      <c r="B2081" s="25" t="s">
        <v>5984</v>
      </c>
      <c r="C2081" t="s">
        <v>20</v>
      </c>
      <c r="D2081" t="s">
        <v>21</v>
      </c>
      <c r="E2081">
        <v>2222222</v>
      </c>
      <c r="F2081" s="8" t="s">
        <v>22</v>
      </c>
      <c r="G2081" s="2">
        <v>98</v>
      </c>
      <c r="H2081" t="s">
        <v>4208</v>
      </c>
      <c r="J2081" s="9" t="s">
        <v>5247</v>
      </c>
      <c r="K2081" t="s">
        <v>4964</v>
      </c>
      <c r="L2081" s="2">
        <v>1</v>
      </c>
      <c r="M2081" s="24" t="s">
        <v>5971</v>
      </c>
      <c r="N2081" s="2" t="s">
        <v>23</v>
      </c>
      <c r="O2081" s="18" t="s">
        <v>1658</v>
      </c>
      <c r="P2081" s="18" t="s">
        <v>0</v>
      </c>
      <c r="Q2081" s="6" t="s">
        <v>4475</v>
      </c>
      <c r="T2081" s="23">
        <v>45287</v>
      </c>
      <c r="U2081" s="23">
        <v>47203</v>
      </c>
      <c r="X2081" s="20">
        <v>10500</v>
      </c>
      <c r="Z2081" s="6" t="s">
        <v>5978</v>
      </c>
      <c r="AA2081" s="13">
        <f>+(0.56/1000)</f>
        <v>5.6000000000000006E-4</v>
      </c>
      <c r="AB2081">
        <v>3.9198096000000002</v>
      </c>
      <c r="AC2081">
        <v>4.0766019840000007</v>
      </c>
    </row>
    <row r="2082" spans="1:29" x14ac:dyDescent="0.3">
      <c r="A2082">
        <v>151091</v>
      </c>
      <c r="B2082" s="25" t="s">
        <v>5984</v>
      </c>
      <c r="C2082" t="s">
        <v>20</v>
      </c>
      <c r="D2082" t="s">
        <v>21</v>
      </c>
      <c r="E2082">
        <v>2222222</v>
      </c>
      <c r="F2082" s="8" t="s">
        <v>22</v>
      </c>
      <c r="G2082" s="2">
        <v>98</v>
      </c>
      <c r="H2082" t="s">
        <v>4208</v>
      </c>
      <c r="J2082" s="9" t="s">
        <v>4815</v>
      </c>
      <c r="K2082" t="s">
        <v>5089</v>
      </c>
      <c r="L2082" s="2">
        <v>1</v>
      </c>
      <c r="M2082" s="24" t="s">
        <v>5971</v>
      </c>
      <c r="N2082" s="2" t="s">
        <v>23</v>
      </c>
      <c r="O2082" s="18" t="s">
        <v>1659</v>
      </c>
      <c r="P2082" s="18" t="s">
        <v>0</v>
      </c>
      <c r="Q2082" s="6" t="s">
        <v>4475</v>
      </c>
      <c r="T2082" s="23">
        <v>46137</v>
      </c>
      <c r="U2082" s="23">
        <v>47233</v>
      </c>
      <c r="X2082" s="20">
        <v>2680</v>
      </c>
      <c r="Z2082" s="6" t="s">
        <v>5978</v>
      </c>
      <c r="AA2082" s="14">
        <f t="shared" ref="AA2082:AA2084" si="264">+(0.6/1000)</f>
        <v>5.9999999999999995E-4</v>
      </c>
      <c r="AB2082">
        <v>1.538778</v>
      </c>
      <c r="AC2082">
        <v>1.60032912</v>
      </c>
    </row>
    <row r="2083" spans="1:29" x14ac:dyDescent="0.3">
      <c r="A2083">
        <v>152371</v>
      </c>
      <c r="B2083" s="25" t="s">
        <v>5984</v>
      </c>
      <c r="C2083" t="s">
        <v>20</v>
      </c>
      <c r="D2083" t="s">
        <v>21</v>
      </c>
      <c r="E2083">
        <v>2222222</v>
      </c>
      <c r="F2083" s="8" t="s">
        <v>22</v>
      </c>
      <c r="G2083" s="2">
        <v>98</v>
      </c>
      <c r="H2083" t="s">
        <v>4208</v>
      </c>
      <c r="J2083" s="9" t="s">
        <v>4815</v>
      </c>
      <c r="K2083" t="s">
        <v>5089</v>
      </c>
      <c r="L2083" s="2">
        <v>1</v>
      </c>
      <c r="M2083" s="24" t="s">
        <v>5971</v>
      </c>
      <c r="N2083" s="2" t="s">
        <v>23</v>
      </c>
      <c r="O2083" s="18" t="s">
        <v>1659</v>
      </c>
      <c r="P2083" s="18" t="s">
        <v>0</v>
      </c>
      <c r="Q2083" s="6" t="s">
        <v>4475</v>
      </c>
      <c r="T2083" s="23">
        <v>46233</v>
      </c>
      <c r="U2083" s="23">
        <v>46323</v>
      </c>
      <c r="X2083" s="20">
        <v>4980</v>
      </c>
      <c r="Z2083" s="6" t="s">
        <v>5978</v>
      </c>
      <c r="AA2083" s="14">
        <f t="shared" si="264"/>
        <v>5.9999999999999995E-4</v>
      </c>
      <c r="AB2083">
        <v>2.9879999999999995</v>
      </c>
      <c r="AC2083">
        <v>3.1075199999999996</v>
      </c>
    </row>
    <row r="2084" spans="1:29" x14ac:dyDescent="0.3">
      <c r="A2084">
        <v>151096</v>
      </c>
      <c r="B2084" s="25" t="s">
        <v>5984</v>
      </c>
      <c r="C2084" t="s">
        <v>20</v>
      </c>
      <c r="D2084" t="s">
        <v>21</v>
      </c>
      <c r="E2084">
        <v>2222222</v>
      </c>
      <c r="F2084" s="8" t="s">
        <v>22</v>
      </c>
      <c r="G2084" s="2">
        <v>98</v>
      </c>
      <c r="H2084" t="s">
        <v>4209</v>
      </c>
      <c r="J2084" s="9" t="s">
        <v>4836</v>
      </c>
      <c r="K2084" t="s">
        <v>5030</v>
      </c>
      <c r="L2084" s="2">
        <v>1</v>
      </c>
      <c r="M2084" s="24" t="s">
        <v>5971</v>
      </c>
      <c r="N2084" s="2" t="s">
        <v>23</v>
      </c>
      <c r="O2084" s="18" t="s">
        <v>1660</v>
      </c>
      <c r="P2084" s="18" t="s">
        <v>3781</v>
      </c>
      <c r="Q2084" s="6" t="s">
        <v>4475</v>
      </c>
      <c r="T2084" s="23">
        <v>46139</v>
      </c>
      <c r="U2084" s="23">
        <v>46504</v>
      </c>
      <c r="X2084" s="20">
        <v>2000</v>
      </c>
      <c r="Z2084" s="6" t="s">
        <v>5978</v>
      </c>
      <c r="AA2084" s="14">
        <f t="shared" si="264"/>
        <v>5.9999999999999995E-4</v>
      </c>
      <c r="AB2084">
        <v>0.91883999999999999</v>
      </c>
      <c r="AC2084">
        <v>0.95559360000000004</v>
      </c>
    </row>
    <row r="2085" spans="1:29" x14ac:dyDescent="0.3">
      <c r="A2085">
        <v>137451</v>
      </c>
      <c r="B2085" s="25" t="s">
        <v>5984</v>
      </c>
      <c r="C2085" t="s">
        <v>20</v>
      </c>
      <c r="D2085" t="s">
        <v>21</v>
      </c>
      <c r="E2085">
        <v>2222222</v>
      </c>
      <c r="F2085" s="8" t="s">
        <v>22</v>
      </c>
      <c r="G2085" s="2">
        <v>98</v>
      </c>
      <c r="H2085" t="s">
        <v>4210</v>
      </c>
      <c r="J2085" s="9" t="s">
        <v>4955</v>
      </c>
      <c r="K2085" t="s">
        <v>5245</v>
      </c>
      <c r="L2085" s="2">
        <v>1</v>
      </c>
      <c r="M2085" s="24" t="s">
        <v>5971</v>
      </c>
      <c r="N2085" s="2" t="s">
        <v>23</v>
      </c>
      <c r="O2085" s="18" t="s">
        <v>1661</v>
      </c>
      <c r="P2085" s="18" t="s">
        <v>3781</v>
      </c>
      <c r="Q2085" s="6" t="s">
        <v>4475</v>
      </c>
      <c r="T2085" s="23">
        <v>45230</v>
      </c>
      <c r="U2085" s="23">
        <v>47060</v>
      </c>
      <c r="X2085" s="20">
        <v>15000</v>
      </c>
      <c r="Z2085" s="6" t="s">
        <v>5978</v>
      </c>
      <c r="AA2085" s="13">
        <f>+(0.56/1000)</f>
        <v>5.6000000000000006E-4</v>
      </c>
      <c r="AB2085">
        <v>4.7328904000000005</v>
      </c>
      <c r="AC2085">
        <v>4.9222060160000005</v>
      </c>
    </row>
    <row r="2086" spans="1:29" x14ac:dyDescent="0.3">
      <c r="A2086">
        <v>144466</v>
      </c>
      <c r="B2086" s="25" t="s">
        <v>5984</v>
      </c>
      <c r="C2086" t="s">
        <v>20</v>
      </c>
      <c r="D2086" t="s">
        <v>21</v>
      </c>
      <c r="E2086">
        <v>2222222</v>
      </c>
      <c r="F2086" s="8" t="s">
        <v>22</v>
      </c>
      <c r="G2086" s="2">
        <v>98</v>
      </c>
      <c r="H2086" t="s">
        <v>4210</v>
      </c>
      <c r="J2086" s="9" t="s">
        <v>4872</v>
      </c>
      <c r="K2086" t="s">
        <v>5031</v>
      </c>
      <c r="L2086" s="2">
        <v>1</v>
      </c>
      <c r="M2086" s="24" t="s">
        <v>5971</v>
      </c>
      <c r="N2086" s="2" t="s">
        <v>23</v>
      </c>
      <c r="O2086" s="18" t="s">
        <v>1662</v>
      </c>
      <c r="P2086" s="18" t="s">
        <v>3781</v>
      </c>
      <c r="Q2086" s="6" t="s">
        <v>4475</v>
      </c>
      <c r="T2086" s="23">
        <v>45681</v>
      </c>
      <c r="U2086" s="23">
        <v>47506</v>
      </c>
      <c r="X2086" s="20">
        <v>20000</v>
      </c>
      <c r="Z2086" s="6" t="s">
        <v>5978</v>
      </c>
      <c r="AA2086" s="14">
        <f t="shared" ref="AA2086:AA2095" si="265">+(0.6/1000)</f>
        <v>5.9999999999999995E-4</v>
      </c>
      <c r="AB2086">
        <v>9.334956</v>
      </c>
      <c r="AC2086">
        <v>9.7083542400000002</v>
      </c>
    </row>
    <row r="2087" spans="1:29" x14ac:dyDescent="0.3">
      <c r="A2087">
        <v>146142</v>
      </c>
      <c r="B2087" s="25" t="s">
        <v>5984</v>
      </c>
      <c r="C2087" t="s">
        <v>20</v>
      </c>
      <c r="D2087" t="s">
        <v>21</v>
      </c>
      <c r="E2087">
        <v>2222222</v>
      </c>
      <c r="F2087" s="8" t="s">
        <v>22</v>
      </c>
      <c r="G2087" s="2">
        <v>98</v>
      </c>
      <c r="H2087" t="s">
        <v>4210</v>
      </c>
      <c r="J2087" s="9" t="s">
        <v>5063</v>
      </c>
      <c r="K2087" t="s">
        <v>4844</v>
      </c>
      <c r="L2087" s="2">
        <v>1</v>
      </c>
      <c r="M2087" s="24" t="s">
        <v>5971</v>
      </c>
      <c r="N2087" s="2" t="s">
        <v>23</v>
      </c>
      <c r="O2087" s="18" t="s">
        <v>1663</v>
      </c>
      <c r="P2087" s="18" t="s">
        <v>0</v>
      </c>
      <c r="Q2087" s="6" t="s">
        <v>4475</v>
      </c>
      <c r="T2087" s="23">
        <v>45793</v>
      </c>
      <c r="U2087" s="23">
        <v>47253</v>
      </c>
      <c r="X2087" s="20">
        <v>5000</v>
      </c>
      <c r="Z2087" s="6" t="s">
        <v>5978</v>
      </c>
      <c r="AA2087" s="14">
        <f t="shared" si="265"/>
        <v>5.9999999999999995E-4</v>
      </c>
      <c r="AB2087">
        <v>2.3352659999999998</v>
      </c>
      <c r="AC2087">
        <v>2.4286766399999999</v>
      </c>
    </row>
    <row r="2088" spans="1:29" x14ac:dyDescent="0.3">
      <c r="A2088">
        <v>147863</v>
      </c>
      <c r="B2088" s="25" t="s">
        <v>5984</v>
      </c>
      <c r="C2088" t="s">
        <v>20</v>
      </c>
      <c r="D2088" t="s">
        <v>21</v>
      </c>
      <c r="E2088">
        <v>2222222</v>
      </c>
      <c r="F2088" s="8" t="s">
        <v>22</v>
      </c>
      <c r="G2088" s="2">
        <v>98</v>
      </c>
      <c r="H2088" t="s">
        <v>4210</v>
      </c>
      <c r="J2088" s="9" t="s">
        <v>4894</v>
      </c>
      <c r="K2088" t="s">
        <v>5291</v>
      </c>
      <c r="L2088" s="2">
        <v>1</v>
      </c>
      <c r="M2088" s="24" t="s">
        <v>5971</v>
      </c>
      <c r="N2088" s="2" t="s">
        <v>23</v>
      </c>
      <c r="O2088" s="18" t="s">
        <v>1664</v>
      </c>
      <c r="P2088" s="18" t="s">
        <v>0</v>
      </c>
      <c r="Q2088" s="6" t="s">
        <v>4475</v>
      </c>
      <c r="T2088" s="23">
        <v>45925</v>
      </c>
      <c r="U2088" s="23">
        <v>47386</v>
      </c>
      <c r="X2088" s="20">
        <v>7480</v>
      </c>
      <c r="Z2088" s="6" t="s">
        <v>5978</v>
      </c>
      <c r="AA2088" s="14">
        <f t="shared" si="265"/>
        <v>5.9999999999999995E-4</v>
      </c>
      <c r="AB2088">
        <v>3.7216079999999998</v>
      </c>
      <c r="AC2088">
        <v>3.8704723199999997</v>
      </c>
    </row>
    <row r="2089" spans="1:29" x14ac:dyDescent="0.3">
      <c r="A2089">
        <v>148375</v>
      </c>
      <c r="B2089" s="25" t="s">
        <v>5984</v>
      </c>
      <c r="C2089" t="s">
        <v>20</v>
      </c>
      <c r="D2089" t="s">
        <v>21</v>
      </c>
      <c r="E2089">
        <v>2222222</v>
      </c>
      <c r="F2089" s="8" t="s">
        <v>22</v>
      </c>
      <c r="G2089" s="2">
        <v>98</v>
      </c>
      <c r="H2089" t="s">
        <v>4210</v>
      </c>
      <c r="J2089" s="9" t="s">
        <v>4943</v>
      </c>
      <c r="K2089" t="s">
        <v>5523</v>
      </c>
      <c r="L2089" s="2">
        <v>1</v>
      </c>
      <c r="M2089" s="24" t="s">
        <v>5971</v>
      </c>
      <c r="N2089" s="2" t="s">
        <v>23</v>
      </c>
      <c r="O2089" s="18" t="s">
        <v>1665</v>
      </c>
      <c r="P2089" s="18" t="s">
        <v>0</v>
      </c>
      <c r="Q2089" s="6" t="s">
        <v>4475</v>
      </c>
      <c r="T2089" s="23">
        <v>45959</v>
      </c>
      <c r="U2089" s="23">
        <v>53263</v>
      </c>
      <c r="X2089" s="20">
        <v>84500</v>
      </c>
      <c r="Z2089" s="6" t="s">
        <v>5978</v>
      </c>
      <c r="AA2089" s="14">
        <f t="shared" si="265"/>
        <v>5.9999999999999995E-4</v>
      </c>
      <c r="AB2089">
        <v>50.195921999999996</v>
      </c>
      <c r="AC2089">
        <v>52.203758879999995</v>
      </c>
    </row>
    <row r="2090" spans="1:29" x14ac:dyDescent="0.3">
      <c r="A2090">
        <v>149456</v>
      </c>
      <c r="B2090" s="25" t="s">
        <v>5984</v>
      </c>
      <c r="C2090" t="s">
        <v>20</v>
      </c>
      <c r="D2090" t="s">
        <v>21</v>
      </c>
      <c r="E2090">
        <v>2222222</v>
      </c>
      <c r="F2090" s="8" t="s">
        <v>22</v>
      </c>
      <c r="G2090" s="2">
        <v>98</v>
      </c>
      <c r="H2090" t="s">
        <v>4210</v>
      </c>
      <c r="J2090" s="9" t="s">
        <v>4838</v>
      </c>
      <c r="K2090" t="s">
        <v>4779</v>
      </c>
      <c r="L2090" s="2">
        <v>1</v>
      </c>
      <c r="M2090" s="24" t="s">
        <v>5971</v>
      </c>
      <c r="N2090" s="2" t="s">
        <v>23</v>
      </c>
      <c r="O2090" s="18" t="s">
        <v>1666</v>
      </c>
      <c r="P2090" s="18" t="s">
        <v>0</v>
      </c>
      <c r="Q2090" s="6" t="s">
        <v>4475</v>
      </c>
      <c r="T2090" s="23">
        <v>46027</v>
      </c>
      <c r="U2090" s="23">
        <v>47852</v>
      </c>
      <c r="X2090" s="20">
        <v>4480</v>
      </c>
      <c r="Z2090" s="6" t="s">
        <v>5978</v>
      </c>
      <c r="AA2090" s="14">
        <f t="shared" si="265"/>
        <v>5.9999999999999995E-4</v>
      </c>
      <c r="AB2090">
        <v>2.493582</v>
      </c>
      <c r="AC2090">
        <v>2.5933252800000002</v>
      </c>
    </row>
    <row r="2091" spans="1:29" x14ac:dyDescent="0.3">
      <c r="A2091">
        <v>149488</v>
      </c>
      <c r="B2091" s="25" t="s">
        <v>5984</v>
      </c>
      <c r="C2091" t="s">
        <v>20</v>
      </c>
      <c r="D2091" t="s">
        <v>21</v>
      </c>
      <c r="E2091">
        <v>2222222</v>
      </c>
      <c r="F2091" s="8" t="s">
        <v>22</v>
      </c>
      <c r="G2091" s="2">
        <v>98</v>
      </c>
      <c r="H2091" t="s">
        <v>4210</v>
      </c>
      <c r="J2091" s="9" t="s">
        <v>5143</v>
      </c>
      <c r="K2091" t="s">
        <v>4932</v>
      </c>
      <c r="L2091" s="2">
        <v>1</v>
      </c>
      <c r="M2091" s="24" t="s">
        <v>5971</v>
      </c>
      <c r="N2091" s="2" t="s">
        <v>23</v>
      </c>
      <c r="O2091" s="18" t="s">
        <v>1667</v>
      </c>
      <c r="P2091" s="18" t="s">
        <v>3781</v>
      </c>
      <c r="Q2091" s="6" t="s">
        <v>4475</v>
      </c>
      <c r="T2091" s="23">
        <v>46029</v>
      </c>
      <c r="U2091" s="23">
        <v>46574</v>
      </c>
      <c r="X2091" s="20">
        <v>1420</v>
      </c>
      <c r="Z2091" s="6" t="s">
        <v>5978</v>
      </c>
      <c r="AA2091" s="14">
        <f t="shared" si="265"/>
        <v>5.9999999999999995E-4</v>
      </c>
      <c r="AB2091">
        <v>0.59090399999999998</v>
      </c>
      <c r="AC2091">
        <v>0.61454016</v>
      </c>
    </row>
    <row r="2092" spans="1:29" x14ac:dyDescent="0.3">
      <c r="A2092">
        <v>151270</v>
      </c>
      <c r="B2092" s="25" t="s">
        <v>5984</v>
      </c>
      <c r="C2092" t="s">
        <v>20</v>
      </c>
      <c r="D2092" t="s">
        <v>21</v>
      </c>
      <c r="E2092">
        <v>2222222</v>
      </c>
      <c r="F2092" s="8" t="s">
        <v>22</v>
      </c>
      <c r="G2092" s="2">
        <v>98</v>
      </c>
      <c r="H2092" t="s">
        <v>4210</v>
      </c>
      <c r="J2092" s="9" t="s">
        <v>5143</v>
      </c>
      <c r="K2092" t="s">
        <v>4932</v>
      </c>
      <c r="L2092" s="2">
        <v>1</v>
      </c>
      <c r="M2092" s="24" t="s">
        <v>5971</v>
      </c>
      <c r="N2092" s="2" t="s">
        <v>23</v>
      </c>
      <c r="O2092" s="18" t="s">
        <v>1667</v>
      </c>
      <c r="P2092" s="18" t="s">
        <v>3781</v>
      </c>
      <c r="Q2092" s="6" t="s">
        <v>4475</v>
      </c>
      <c r="T2092" s="23">
        <v>46153</v>
      </c>
      <c r="U2092" s="23">
        <v>47072</v>
      </c>
      <c r="X2092" s="20">
        <v>4830</v>
      </c>
      <c r="Z2092" s="6" t="s">
        <v>5978</v>
      </c>
      <c r="AA2092" s="14">
        <f t="shared" si="265"/>
        <v>5.9999999999999995E-4</v>
      </c>
      <c r="AB2092">
        <v>2.7417239999999996</v>
      </c>
      <c r="AC2092">
        <v>2.8513929599999996</v>
      </c>
    </row>
    <row r="2093" spans="1:29" x14ac:dyDescent="0.3">
      <c r="A2093">
        <v>151887</v>
      </c>
      <c r="B2093" s="25" t="s">
        <v>5984</v>
      </c>
      <c r="C2093" t="s">
        <v>20</v>
      </c>
      <c r="D2093" t="s">
        <v>21</v>
      </c>
      <c r="E2093">
        <v>2222222</v>
      </c>
      <c r="F2093" s="8" t="s">
        <v>22</v>
      </c>
      <c r="G2093" s="2">
        <v>98</v>
      </c>
      <c r="H2093" t="s">
        <v>4210</v>
      </c>
      <c r="J2093" s="9" t="s">
        <v>4838</v>
      </c>
      <c r="K2093" t="s">
        <v>5068</v>
      </c>
      <c r="L2093" s="2">
        <v>1</v>
      </c>
      <c r="M2093" s="24" t="s">
        <v>5971</v>
      </c>
      <c r="N2093" s="2" t="s">
        <v>23</v>
      </c>
      <c r="O2093" s="18" t="s">
        <v>1668</v>
      </c>
      <c r="P2093" s="18" t="s">
        <v>0</v>
      </c>
      <c r="Q2093" s="6" t="s">
        <v>4475</v>
      </c>
      <c r="T2093" s="23">
        <v>46195</v>
      </c>
      <c r="U2093" s="23">
        <v>47291</v>
      </c>
      <c r="X2093" s="20">
        <v>3430</v>
      </c>
      <c r="Z2093" s="6" t="s">
        <v>5978</v>
      </c>
      <c r="AA2093" s="14">
        <f t="shared" si="265"/>
        <v>5.9999999999999995E-4</v>
      </c>
      <c r="AB2093">
        <v>2.0135399999999999</v>
      </c>
      <c r="AC2093">
        <v>2.0940816</v>
      </c>
    </row>
    <row r="2094" spans="1:29" x14ac:dyDescent="0.3">
      <c r="A2094">
        <v>149599</v>
      </c>
      <c r="B2094" s="25" t="s">
        <v>5984</v>
      </c>
      <c r="C2094" t="s">
        <v>20</v>
      </c>
      <c r="D2094" t="s">
        <v>21</v>
      </c>
      <c r="E2094">
        <v>2222222</v>
      </c>
      <c r="F2094" s="8" t="s">
        <v>22</v>
      </c>
      <c r="G2094" s="2">
        <v>98</v>
      </c>
      <c r="H2094" t="s">
        <v>4211</v>
      </c>
      <c r="J2094" s="9" t="s">
        <v>5578</v>
      </c>
      <c r="K2094" t="s">
        <v>5579</v>
      </c>
      <c r="L2094" s="2">
        <v>1</v>
      </c>
      <c r="M2094" s="24" t="s">
        <v>5971</v>
      </c>
      <c r="N2094" s="2" t="s">
        <v>23</v>
      </c>
      <c r="O2094" s="18" t="s">
        <v>1669</v>
      </c>
      <c r="P2094" s="18" t="s">
        <v>3781</v>
      </c>
      <c r="Q2094" s="6" t="s">
        <v>4475</v>
      </c>
      <c r="T2094" s="23">
        <v>46044</v>
      </c>
      <c r="U2094" s="23">
        <v>47139</v>
      </c>
      <c r="X2094" s="20">
        <v>7000</v>
      </c>
      <c r="Z2094" s="6" t="s">
        <v>5978</v>
      </c>
      <c r="AA2094" s="14">
        <f t="shared" si="265"/>
        <v>5.9999999999999995E-4</v>
      </c>
      <c r="AB2094">
        <v>3.6132179999999994</v>
      </c>
      <c r="AC2094">
        <v>3.7577467199999997</v>
      </c>
    </row>
    <row r="2095" spans="1:29" x14ac:dyDescent="0.3">
      <c r="A2095">
        <v>152132</v>
      </c>
      <c r="B2095" s="25" t="s">
        <v>5984</v>
      </c>
      <c r="C2095" t="s">
        <v>20</v>
      </c>
      <c r="D2095" t="s">
        <v>21</v>
      </c>
      <c r="E2095">
        <v>2222222</v>
      </c>
      <c r="F2095" s="8" t="s">
        <v>22</v>
      </c>
      <c r="G2095" s="2">
        <v>98</v>
      </c>
      <c r="H2095" t="s">
        <v>4212</v>
      </c>
      <c r="J2095" s="9" t="s">
        <v>5055</v>
      </c>
      <c r="K2095" t="s">
        <v>4836</v>
      </c>
      <c r="L2095" s="2">
        <v>1</v>
      </c>
      <c r="M2095" s="24" t="s">
        <v>5971</v>
      </c>
      <c r="N2095" s="2" t="s">
        <v>23</v>
      </c>
      <c r="O2095" s="18" t="s">
        <v>1670</v>
      </c>
      <c r="P2095" s="18" t="s">
        <v>3781</v>
      </c>
      <c r="Q2095" s="6" t="s">
        <v>4475</v>
      </c>
      <c r="T2095" s="23">
        <v>46218</v>
      </c>
      <c r="U2095" s="23">
        <v>49870</v>
      </c>
      <c r="X2095" s="20">
        <v>92000</v>
      </c>
      <c r="Z2095" s="6" t="s">
        <v>5978</v>
      </c>
      <c r="AA2095" s="14">
        <f t="shared" si="265"/>
        <v>5.9999999999999995E-4</v>
      </c>
      <c r="AB2095">
        <v>55.199999999999996</v>
      </c>
      <c r="AC2095">
        <v>57.407999999999994</v>
      </c>
    </row>
    <row r="2096" spans="1:29" x14ac:dyDescent="0.3">
      <c r="A2096">
        <v>131101</v>
      </c>
      <c r="B2096" s="25" t="s">
        <v>5984</v>
      </c>
      <c r="C2096" t="s">
        <v>20</v>
      </c>
      <c r="D2096" t="s">
        <v>21</v>
      </c>
      <c r="E2096">
        <v>2222222</v>
      </c>
      <c r="F2096" s="8" t="s">
        <v>22</v>
      </c>
      <c r="G2096" s="2">
        <v>98</v>
      </c>
      <c r="H2096" t="s">
        <v>4213</v>
      </c>
      <c r="J2096" s="9" t="s">
        <v>4836</v>
      </c>
      <c r="K2096" t="s">
        <v>5194</v>
      </c>
      <c r="L2096" s="2">
        <v>1</v>
      </c>
      <c r="M2096" s="24" t="s">
        <v>5971</v>
      </c>
      <c r="N2096" s="2" t="s">
        <v>23</v>
      </c>
      <c r="O2096" s="18" t="s">
        <v>1671</v>
      </c>
      <c r="P2096" s="18" t="s">
        <v>3781</v>
      </c>
      <c r="Q2096" s="6" t="s">
        <v>4475</v>
      </c>
      <c r="T2096" s="23">
        <v>44881</v>
      </c>
      <c r="U2096" s="23">
        <v>46707</v>
      </c>
      <c r="X2096" s="20">
        <v>11225</v>
      </c>
      <c r="Z2096" s="6" t="s">
        <v>5978</v>
      </c>
      <c r="AA2096" s="13">
        <f t="shared" ref="AA2096:AA2097" si="266">+(0.56/1000)</f>
        <v>5.6000000000000006E-4</v>
      </c>
      <c r="AB2096">
        <v>2.1961688000000001</v>
      </c>
      <c r="AC2096">
        <v>2.2840155520000001</v>
      </c>
    </row>
    <row r="2097" spans="1:29" x14ac:dyDescent="0.3">
      <c r="A2097">
        <v>135360</v>
      </c>
      <c r="B2097" s="25" t="s">
        <v>5984</v>
      </c>
      <c r="C2097" t="s">
        <v>20</v>
      </c>
      <c r="D2097" t="s">
        <v>21</v>
      </c>
      <c r="E2097">
        <v>2222222</v>
      </c>
      <c r="F2097" s="8" t="s">
        <v>22</v>
      </c>
      <c r="G2097" s="2">
        <v>98</v>
      </c>
      <c r="H2097" t="s">
        <v>4213</v>
      </c>
      <c r="J2097" s="9" t="s">
        <v>4953</v>
      </c>
      <c r="K2097" t="s">
        <v>4961</v>
      </c>
      <c r="L2097" s="2">
        <v>1</v>
      </c>
      <c r="M2097" s="24" t="s">
        <v>5971</v>
      </c>
      <c r="N2097" s="2" t="s">
        <v>23</v>
      </c>
      <c r="O2097" s="18" t="s">
        <v>1648</v>
      </c>
      <c r="P2097" s="18" t="s">
        <v>0</v>
      </c>
      <c r="Q2097" s="6" t="s">
        <v>4475</v>
      </c>
      <c r="T2097" s="23">
        <v>45114</v>
      </c>
      <c r="U2097" s="23">
        <v>48858</v>
      </c>
      <c r="X2097" s="20">
        <v>30000</v>
      </c>
      <c r="Z2097" s="6" t="s">
        <v>5978</v>
      </c>
      <c r="AA2097" s="13">
        <f t="shared" si="266"/>
        <v>5.6000000000000006E-4</v>
      </c>
      <c r="AB2097">
        <v>14.551348000000001</v>
      </c>
      <c r="AC2097">
        <v>15.133401920000001</v>
      </c>
    </row>
    <row r="2098" spans="1:29" x14ac:dyDescent="0.3">
      <c r="A2098">
        <v>140820</v>
      </c>
      <c r="B2098" s="25" t="s">
        <v>5984</v>
      </c>
      <c r="C2098" t="s">
        <v>20</v>
      </c>
      <c r="D2098" t="s">
        <v>21</v>
      </c>
      <c r="E2098">
        <v>2222222</v>
      </c>
      <c r="F2098" s="8" t="s">
        <v>22</v>
      </c>
      <c r="G2098" s="2">
        <v>98</v>
      </c>
      <c r="H2098" t="s">
        <v>4213</v>
      </c>
      <c r="J2098" s="9" t="s">
        <v>5201</v>
      </c>
      <c r="K2098" t="s">
        <v>4961</v>
      </c>
      <c r="L2098" s="2">
        <v>1</v>
      </c>
      <c r="M2098" s="24" t="s">
        <v>5971</v>
      </c>
      <c r="N2098" s="2" t="s">
        <v>23</v>
      </c>
      <c r="O2098" s="18" t="s">
        <v>1672</v>
      </c>
      <c r="P2098" s="18" t="s">
        <v>0</v>
      </c>
      <c r="Q2098" s="6" t="s">
        <v>4475</v>
      </c>
      <c r="T2098" s="23">
        <v>45413</v>
      </c>
      <c r="U2098" s="23">
        <v>46878</v>
      </c>
      <c r="X2098" s="20">
        <v>5000</v>
      </c>
      <c r="Z2098" s="6" t="s">
        <v>5978</v>
      </c>
      <c r="AA2098" s="14">
        <f t="shared" ref="AA2098:AA2101" si="267">+(0.6/1000)</f>
        <v>5.9999999999999995E-4</v>
      </c>
      <c r="AB2098">
        <v>2.6918279999999997</v>
      </c>
      <c r="AC2098">
        <v>2.79950112</v>
      </c>
    </row>
    <row r="2099" spans="1:29" x14ac:dyDescent="0.3">
      <c r="A2099">
        <v>142601</v>
      </c>
      <c r="B2099" s="25" t="s">
        <v>5984</v>
      </c>
      <c r="C2099" t="s">
        <v>20</v>
      </c>
      <c r="D2099" t="s">
        <v>21</v>
      </c>
      <c r="E2099">
        <v>2222222</v>
      </c>
      <c r="F2099" s="8" t="s">
        <v>22</v>
      </c>
      <c r="G2099" s="2">
        <v>98</v>
      </c>
      <c r="H2099" t="s">
        <v>4213</v>
      </c>
      <c r="J2099" s="9" t="s">
        <v>4913</v>
      </c>
      <c r="K2099" t="s">
        <v>4906</v>
      </c>
      <c r="L2099" s="2">
        <v>1</v>
      </c>
      <c r="M2099" s="24" t="s">
        <v>5971</v>
      </c>
      <c r="N2099" s="2" t="s">
        <v>23</v>
      </c>
      <c r="O2099" s="18" t="s">
        <v>1673</v>
      </c>
      <c r="P2099" s="18" t="s">
        <v>0</v>
      </c>
      <c r="Q2099" s="6" t="s">
        <v>4475</v>
      </c>
      <c r="T2099" s="23">
        <v>45533</v>
      </c>
      <c r="U2099" s="23">
        <v>46993</v>
      </c>
      <c r="X2099" s="20">
        <v>5000</v>
      </c>
      <c r="Z2099" s="6" t="s">
        <v>5978</v>
      </c>
      <c r="AA2099" s="14">
        <f t="shared" si="267"/>
        <v>5.9999999999999995E-4</v>
      </c>
      <c r="AB2099">
        <v>1.8410879999999998</v>
      </c>
      <c r="AC2099">
        <v>1.9147315199999999</v>
      </c>
    </row>
    <row r="2100" spans="1:29" x14ac:dyDescent="0.3">
      <c r="A2100">
        <v>151352</v>
      </c>
      <c r="B2100" s="25" t="s">
        <v>5984</v>
      </c>
      <c r="C2100" t="s">
        <v>20</v>
      </c>
      <c r="D2100" t="s">
        <v>21</v>
      </c>
      <c r="E2100">
        <v>2222222</v>
      </c>
      <c r="F2100" s="8" t="s">
        <v>22</v>
      </c>
      <c r="G2100" s="2">
        <v>98</v>
      </c>
      <c r="H2100" t="s">
        <v>4213</v>
      </c>
      <c r="J2100" s="9" t="s">
        <v>5008</v>
      </c>
      <c r="K2100" t="s">
        <v>4949</v>
      </c>
      <c r="L2100" s="2">
        <v>1</v>
      </c>
      <c r="M2100" s="24" t="s">
        <v>5971</v>
      </c>
      <c r="N2100" s="2" t="s">
        <v>23</v>
      </c>
      <c r="O2100" s="18" t="s">
        <v>1674</v>
      </c>
      <c r="P2100" s="18" t="s">
        <v>0</v>
      </c>
      <c r="Q2100" s="6" t="s">
        <v>4475</v>
      </c>
      <c r="T2100" s="23">
        <v>46157</v>
      </c>
      <c r="U2100" s="23">
        <v>46247</v>
      </c>
      <c r="X2100" s="20">
        <v>5000</v>
      </c>
      <c r="Z2100" s="6" t="s">
        <v>5978</v>
      </c>
      <c r="AA2100" s="14">
        <f t="shared" si="267"/>
        <v>5.9999999999999995E-4</v>
      </c>
      <c r="AB2100">
        <v>2.9999999999999996</v>
      </c>
      <c r="AC2100">
        <v>3.1199999999999997</v>
      </c>
    </row>
    <row r="2101" spans="1:29" x14ac:dyDescent="0.3">
      <c r="A2101">
        <v>151366</v>
      </c>
      <c r="B2101" s="25" t="s">
        <v>5984</v>
      </c>
      <c r="C2101" t="s">
        <v>20</v>
      </c>
      <c r="D2101" t="s">
        <v>21</v>
      </c>
      <c r="E2101">
        <v>2222222</v>
      </c>
      <c r="F2101" s="8" t="s">
        <v>22</v>
      </c>
      <c r="G2101" s="2">
        <v>98</v>
      </c>
      <c r="H2101" t="s">
        <v>4213</v>
      </c>
      <c r="J2101" s="9" t="s">
        <v>4953</v>
      </c>
      <c r="K2101" t="s">
        <v>4961</v>
      </c>
      <c r="L2101" s="2">
        <v>1</v>
      </c>
      <c r="M2101" s="24" t="s">
        <v>5971</v>
      </c>
      <c r="N2101" s="2" t="s">
        <v>23</v>
      </c>
      <c r="O2101" s="18" t="s">
        <v>1648</v>
      </c>
      <c r="P2101" s="18" t="s">
        <v>0</v>
      </c>
      <c r="Q2101" s="6" t="s">
        <v>4475</v>
      </c>
      <c r="T2101" s="23">
        <v>46160</v>
      </c>
      <c r="U2101" s="23">
        <v>46250</v>
      </c>
      <c r="X2101" s="20">
        <v>5000</v>
      </c>
      <c r="Z2101" s="6" t="s">
        <v>5978</v>
      </c>
      <c r="AA2101" s="14">
        <f t="shared" si="267"/>
        <v>5.9999999999999995E-4</v>
      </c>
      <c r="AB2101">
        <v>2.9999999999999996</v>
      </c>
      <c r="AC2101">
        <v>3.1199999999999997</v>
      </c>
    </row>
    <row r="2102" spans="1:29" x14ac:dyDescent="0.3">
      <c r="A2102">
        <v>129322</v>
      </c>
      <c r="B2102" s="25" t="s">
        <v>5984</v>
      </c>
      <c r="C2102" t="s">
        <v>20</v>
      </c>
      <c r="D2102" t="s">
        <v>21</v>
      </c>
      <c r="E2102">
        <v>2222222</v>
      </c>
      <c r="F2102" s="8" t="s">
        <v>22</v>
      </c>
      <c r="G2102" s="2">
        <v>98</v>
      </c>
      <c r="H2102" t="s">
        <v>4214</v>
      </c>
      <c r="J2102" s="9" t="s">
        <v>5096</v>
      </c>
      <c r="K2102" t="s">
        <v>5545</v>
      </c>
      <c r="L2102" s="2">
        <v>1</v>
      </c>
      <c r="M2102" s="24" t="s">
        <v>5971</v>
      </c>
      <c r="N2102" s="2" t="s">
        <v>23</v>
      </c>
      <c r="O2102" s="18" t="s">
        <v>1675</v>
      </c>
      <c r="P2102" s="18" t="s">
        <v>3781</v>
      </c>
      <c r="Q2102" s="6" t="s">
        <v>4475</v>
      </c>
      <c r="T2102" s="23">
        <v>44781</v>
      </c>
      <c r="U2102" s="23">
        <v>46606</v>
      </c>
      <c r="X2102" s="20">
        <v>10000</v>
      </c>
      <c r="Z2102" s="6" t="s">
        <v>5978</v>
      </c>
      <c r="AA2102" s="13">
        <f>+(0.56/1000)</f>
        <v>5.6000000000000006E-4</v>
      </c>
      <c r="AB2102">
        <v>1.5803256000000003</v>
      </c>
      <c r="AC2102">
        <v>1.6435386240000005</v>
      </c>
    </row>
    <row r="2103" spans="1:29" x14ac:dyDescent="0.3">
      <c r="A2103">
        <v>124382</v>
      </c>
      <c r="B2103" s="25" t="s">
        <v>5984</v>
      </c>
      <c r="C2103" t="s">
        <v>20</v>
      </c>
      <c r="D2103" t="s">
        <v>21</v>
      </c>
      <c r="E2103">
        <v>2222222</v>
      </c>
      <c r="F2103" s="8" t="s">
        <v>22</v>
      </c>
      <c r="G2103" s="2">
        <v>98</v>
      </c>
      <c r="H2103" t="s">
        <v>4215</v>
      </c>
      <c r="J2103" s="9" t="s">
        <v>5580</v>
      </c>
      <c r="K2103" t="s">
        <v>5581</v>
      </c>
      <c r="L2103" s="2">
        <v>1</v>
      </c>
      <c r="M2103" s="24" t="s">
        <v>5971</v>
      </c>
      <c r="N2103" s="2" t="s">
        <v>23</v>
      </c>
      <c r="O2103" s="18" t="s">
        <v>1676</v>
      </c>
      <c r="P2103" s="18" t="s">
        <v>3781</v>
      </c>
      <c r="Q2103" s="6" t="s">
        <v>4475</v>
      </c>
      <c r="T2103" s="23">
        <v>44526</v>
      </c>
      <c r="U2103" s="23">
        <v>45987</v>
      </c>
      <c r="X2103" s="20">
        <v>11000</v>
      </c>
      <c r="Z2103" s="6" t="s">
        <v>5978</v>
      </c>
      <c r="AA2103" s="15">
        <f t="shared" ref="AA2103:AA2104" si="268">+(0.42/1000)</f>
        <v>4.1999999999999996E-4</v>
      </c>
      <c r="AB2103">
        <v>0.85763579999999995</v>
      </c>
      <c r="AC2103">
        <v>0.89194123199999997</v>
      </c>
    </row>
    <row r="2104" spans="1:29" x14ac:dyDescent="0.3">
      <c r="A2104">
        <v>127409</v>
      </c>
      <c r="B2104" s="25" t="s">
        <v>5984</v>
      </c>
      <c r="C2104" t="s">
        <v>20</v>
      </c>
      <c r="D2104" t="s">
        <v>21</v>
      </c>
      <c r="E2104">
        <v>2222222</v>
      </c>
      <c r="F2104" s="8" t="s">
        <v>22</v>
      </c>
      <c r="G2104" s="2">
        <v>98</v>
      </c>
      <c r="H2104" t="s">
        <v>4215</v>
      </c>
      <c r="J2104" s="9" t="s">
        <v>4874</v>
      </c>
      <c r="K2104" t="s">
        <v>4937</v>
      </c>
      <c r="L2104" s="2">
        <v>1</v>
      </c>
      <c r="M2104" s="24" t="s">
        <v>5971</v>
      </c>
      <c r="N2104" s="2" t="s">
        <v>23</v>
      </c>
      <c r="O2104" s="18" t="s">
        <v>1677</v>
      </c>
      <c r="P2104" s="18" t="s">
        <v>0</v>
      </c>
      <c r="Q2104" s="6" t="s">
        <v>4475</v>
      </c>
      <c r="T2104" s="23">
        <v>44670</v>
      </c>
      <c r="U2104" s="23">
        <v>46131</v>
      </c>
      <c r="X2104" s="20">
        <v>5000</v>
      </c>
      <c r="Z2104" s="6" t="s">
        <v>5978</v>
      </c>
      <c r="AA2104" s="15">
        <f t="shared" si="268"/>
        <v>4.1999999999999996E-4</v>
      </c>
      <c r="AB2104">
        <v>0.30271919999999997</v>
      </c>
      <c r="AC2104">
        <v>0.31482796799999996</v>
      </c>
    </row>
    <row r="2105" spans="1:29" x14ac:dyDescent="0.3">
      <c r="A2105">
        <v>129609</v>
      </c>
      <c r="B2105" s="25" t="s">
        <v>5984</v>
      </c>
      <c r="C2105" t="s">
        <v>20</v>
      </c>
      <c r="D2105" t="s">
        <v>21</v>
      </c>
      <c r="E2105">
        <v>2222222</v>
      </c>
      <c r="F2105" s="8" t="s">
        <v>22</v>
      </c>
      <c r="G2105" s="2">
        <v>98</v>
      </c>
      <c r="H2105" t="s">
        <v>4215</v>
      </c>
      <c r="J2105" s="9" t="s">
        <v>5204</v>
      </c>
      <c r="K2105" t="s">
        <v>5182</v>
      </c>
      <c r="L2105" s="2">
        <v>1</v>
      </c>
      <c r="M2105" s="24" t="s">
        <v>5971</v>
      </c>
      <c r="N2105" s="2" t="s">
        <v>23</v>
      </c>
      <c r="O2105" s="18" t="s">
        <v>1678</v>
      </c>
      <c r="P2105" s="18" t="s">
        <v>0</v>
      </c>
      <c r="Q2105" s="6" t="s">
        <v>4475</v>
      </c>
      <c r="T2105" s="23">
        <v>44790</v>
      </c>
      <c r="U2105" s="23">
        <v>46250</v>
      </c>
      <c r="X2105" s="20">
        <v>5000</v>
      </c>
      <c r="Z2105" s="6" t="s">
        <v>5978</v>
      </c>
      <c r="AA2105" s="13">
        <f t="shared" ref="AA2105:AA2108" si="269">+(0.56/1000)</f>
        <v>5.6000000000000006E-4</v>
      </c>
      <c r="AB2105">
        <v>8.1670400000000004E-2</v>
      </c>
      <c r="AC2105">
        <v>8.493721600000001E-2</v>
      </c>
    </row>
    <row r="2106" spans="1:29" x14ac:dyDescent="0.3">
      <c r="A2106">
        <v>134759</v>
      </c>
      <c r="B2106" s="25" t="s">
        <v>5984</v>
      </c>
      <c r="C2106" t="s">
        <v>20</v>
      </c>
      <c r="D2106" t="s">
        <v>21</v>
      </c>
      <c r="E2106">
        <v>2222222</v>
      </c>
      <c r="F2106" s="8" t="s">
        <v>22</v>
      </c>
      <c r="G2106" s="2">
        <v>98</v>
      </c>
      <c r="H2106" t="s">
        <v>4215</v>
      </c>
      <c r="J2106" s="9" t="s">
        <v>4815</v>
      </c>
      <c r="K2106" t="s">
        <v>5197</v>
      </c>
      <c r="L2106" s="2">
        <v>1</v>
      </c>
      <c r="M2106" s="24" t="s">
        <v>5971</v>
      </c>
      <c r="N2106" s="2" t="s">
        <v>23</v>
      </c>
      <c r="O2106" s="18" t="s">
        <v>1506</v>
      </c>
      <c r="P2106" s="18" t="s">
        <v>0</v>
      </c>
      <c r="Q2106" s="6" t="s">
        <v>4475</v>
      </c>
      <c r="T2106" s="23">
        <v>45074</v>
      </c>
      <c r="U2106" s="23">
        <v>46539</v>
      </c>
      <c r="X2106" s="20">
        <v>5000</v>
      </c>
      <c r="Z2106" s="6" t="s">
        <v>5978</v>
      </c>
      <c r="AA2106" s="13">
        <f t="shared" si="269"/>
        <v>5.6000000000000006E-4</v>
      </c>
      <c r="AB2106">
        <v>0.84437360000000006</v>
      </c>
      <c r="AC2106">
        <v>0.87814854400000009</v>
      </c>
    </row>
    <row r="2107" spans="1:29" x14ac:dyDescent="0.3">
      <c r="A2107">
        <v>135213</v>
      </c>
      <c r="B2107" s="25" t="s">
        <v>5984</v>
      </c>
      <c r="C2107" t="s">
        <v>20</v>
      </c>
      <c r="D2107" t="s">
        <v>21</v>
      </c>
      <c r="E2107">
        <v>2222222</v>
      </c>
      <c r="F2107" s="8" t="s">
        <v>22</v>
      </c>
      <c r="G2107" s="2">
        <v>98</v>
      </c>
      <c r="H2107" t="s">
        <v>4215</v>
      </c>
      <c r="J2107" s="9" t="s">
        <v>4911</v>
      </c>
      <c r="K2107" t="s">
        <v>4836</v>
      </c>
      <c r="L2107" s="2">
        <v>1</v>
      </c>
      <c r="M2107" s="24" t="s">
        <v>5971</v>
      </c>
      <c r="N2107" s="2" t="s">
        <v>23</v>
      </c>
      <c r="O2107" s="18" t="s">
        <v>1679</v>
      </c>
      <c r="P2107" s="18" t="s">
        <v>3781</v>
      </c>
      <c r="Q2107" s="6" t="s">
        <v>4475</v>
      </c>
      <c r="T2107" s="23">
        <v>45104</v>
      </c>
      <c r="U2107" s="23">
        <v>46571</v>
      </c>
      <c r="X2107" s="20">
        <v>10000</v>
      </c>
      <c r="Z2107" s="6" t="s">
        <v>5978</v>
      </c>
      <c r="AA2107" s="13">
        <f t="shared" si="269"/>
        <v>5.6000000000000006E-4</v>
      </c>
      <c r="AB2107">
        <v>1.7557904000000002</v>
      </c>
      <c r="AC2107">
        <v>1.8260220160000002</v>
      </c>
    </row>
    <row r="2108" spans="1:29" x14ac:dyDescent="0.3">
      <c r="A2108">
        <v>137226</v>
      </c>
      <c r="B2108" s="25" t="s">
        <v>5984</v>
      </c>
      <c r="C2108" t="s">
        <v>20</v>
      </c>
      <c r="D2108" t="s">
        <v>21</v>
      </c>
      <c r="E2108">
        <v>2222222</v>
      </c>
      <c r="F2108" s="8" t="s">
        <v>22</v>
      </c>
      <c r="G2108" s="2">
        <v>98</v>
      </c>
      <c r="H2108" t="s">
        <v>4215</v>
      </c>
      <c r="J2108" s="9" t="s">
        <v>4836</v>
      </c>
      <c r="K2108" t="s">
        <v>4880</v>
      </c>
      <c r="L2108" s="2">
        <v>1</v>
      </c>
      <c r="M2108" s="24" t="s">
        <v>5971</v>
      </c>
      <c r="N2108" s="2" t="s">
        <v>23</v>
      </c>
      <c r="O2108" s="18" t="s">
        <v>1680</v>
      </c>
      <c r="P2108" s="18" t="s">
        <v>3781</v>
      </c>
      <c r="Q2108" s="6" t="s">
        <v>4475</v>
      </c>
      <c r="T2108" s="23">
        <v>45211</v>
      </c>
      <c r="U2108" s="23">
        <v>46398</v>
      </c>
      <c r="X2108" s="20">
        <v>4000</v>
      </c>
      <c r="Z2108" s="6" t="s">
        <v>5978</v>
      </c>
      <c r="AA2108" s="13">
        <f t="shared" si="269"/>
        <v>5.6000000000000006E-4</v>
      </c>
      <c r="AB2108">
        <v>0.45982720000000005</v>
      </c>
      <c r="AC2108">
        <v>0.47822028800000005</v>
      </c>
    </row>
    <row r="2109" spans="1:29" x14ac:dyDescent="0.3">
      <c r="A2109">
        <v>142798</v>
      </c>
      <c r="B2109" s="25" t="s">
        <v>5984</v>
      </c>
      <c r="C2109" t="s">
        <v>20</v>
      </c>
      <c r="D2109" t="s">
        <v>21</v>
      </c>
      <c r="E2109">
        <v>2222222</v>
      </c>
      <c r="F2109" s="8" t="s">
        <v>22</v>
      </c>
      <c r="G2109" s="2">
        <v>98</v>
      </c>
      <c r="H2109" t="s">
        <v>4215</v>
      </c>
      <c r="J2109" s="9" t="s">
        <v>4936</v>
      </c>
      <c r="K2109" t="s">
        <v>4966</v>
      </c>
      <c r="L2109" s="2">
        <v>1</v>
      </c>
      <c r="M2109" s="24" t="s">
        <v>5971</v>
      </c>
      <c r="N2109" s="2" t="s">
        <v>23</v>
      </c>
      <c r="O2109" s="18" t="s">
        <v>1493</v>
      </c>
      <c r="P2109" s="18" t="s">
        <v>0</v>
      </c>
      <c r="Q2109" s="6" t="s">
        <v>4475</v>
      </c>
      <c r="T2109" s="23">
        <v>45547</v>
      </c>
      <c r="U2109" s="23">
        <v>47008</v>
      </c>
      <c r="X2109" s="20">
        <v>5000</v>
      </c>
      <c r="Z2109" s="6" t="s">
        <v>5978</v>
      </c>
      <c r="AA2109" s="14">
        <f t="shared" ref="AA2109:AA2137" si="270">+(0.6/1000)</f>
        <v>5.9999999999999995E-4</v>
      </c>
      <c r="AB2109">
        <v>1.9015679999999999</v>
      </c>
      <c r="AC2109">
        <v>1.9776307200000001</v>
      </c>
    </row>
    <row r="2110" spans="1:29" x14ac:dyDescent="0.3">
      <c r="A2110">
        <v>143265</v>
      </c>
      <c r="B2110" s="25" t="s">
        <v>5984</v>
      </c>
      <c r="C2110" t="s">
        <v>20</v>
      </c>
      <c r="D2110" t="s">
        <v>21</v>
      </c>
      <c r="E2110">
        <v>2222222</v>
      </c>
      <c r="F2110" s="8" t="s">
        <v>22</v>
      </c>
      <c r="G2110" s="2">
        <v>98</v>
      </c>
      <c r="H2110" t="s">
        <v>4215</v>
      </c>
      <c r="J2110" s="9" t="s">
        <v>5063</v>
      </c>
      <c r="K2110" t="s">
        <v>5085</v>
      </c>
      <c r="L2110" s="2">
        <v>1</v>
      </c>
      <c r="M2110" s="24" t="s">
        <v>5971</v>
      </c>
      <c r="N2110" s="2" t="s">
        <v>23</v>
      </c>
      <c r="O2110" s="18" t="s">
        <v>1681</v>
      </c>
      <c r="P2110" s="18" t="s">
        <v>0</v>
      </c>
      <c r="Q2110" s="6" t="s">
        <v>4475</v>
      </c>
      <c r="T2110" s="23">
        <v>45580</v>
      </c>
      <c r="U2110" s="23">
        <v>46674</v>
      </c>
      <c r="X2110" s="20">
        <v>2250</v>
      </c>
      <c r="Z2110" s="6" t="s">
        <v>5978</v>
      </c>
      <c r="AA2110" s="14">
        <f t="shared" si="270"/>
        <v>5.9999999999999995E-4</v>
      </c>
      <c r="AB2110">
        <v>0.65610599999999997</v>
      </c>
      <c r="AC2110">
        <v>0.68235024</v>
      </c>
    </row>
    <row r="2111" spans="1:29" x14ac:dyDescent="0.3">
      <c r="A2111">
        <v>143599</v>
      </c>
      <c r="B2111" s="25" t="s">
        <v>5984</v>
      </c>
      <c r="C2111" t="s">
        <v>20</v>
      </c>
      <c r="D2111" t="s">
        <v>21</v>
      </c>
      <c r="E2111">
        <v>2222222</v>
      </c>
      <c r="F2111" s="8" t="s">
        <v>22</v>
      </c>
      <c r="G2111" s="2">
        <v>98</v>
      </c>
      <c r="H2111" t="s">
        <v>4215</v>
      </c>
      <c r="J2111" s="9" t="s">
        <v>5204</v>
      </c>
      <c r="K2111" t="s">
        <v>4975</v>
      </c>
      <c r="L2111" s="2">
        <v>1</v>
      </c>
      <c r="M2111" s="24" t="s">
        <v>5971</v>
      </c>
      <c r="N2111" s="2" t="s">
        <v>23</v>
      </c>
      <c r="O2111" s="18" t="s">
        <v>1682</v>
      </c>
      <c r="P2111" s="18" t="s">
        <v>0</v>
      </c>
      <c r="Q2111" s="6" t="s">
        <v>4475</v>
      </c>
      <c r="T2111" s="23">
        <v>45603</v>
      </c>
      <c r="U2111" s="23">
        <v>47064</v>
      </c>
      <c r="X2111" s="20">
        <v>800</v>
      </c>
      <c r="Z2111" s="6" t="s">
        <v>5978</v>
      </c>
      <c r="AA2111" s="14">
        <f t="shared" si="270"/>
        <v>5.9999999999999995E-4</v>
      </c>
      <c r="AB2111">
        <v>0.32282999999999995</v>
      </c>
      <c r="AC2111">
        <v>0.33574319999999996</v>
      </c>
    </row>
    <row r="2112" spans="1:29" x14ac:dyDescent="0.3">
      <c r="A2112">
        <v>143624</v>
      </c>
      <c r="B2112" s="25" t="s">
        <v>5984</v>
      </c>
      <c r="C2112" t="s">
        <v>20</v>
      </c>
      <c r="D2112" t="s">
        <v>21</v>
      </c>
      <c r="E2112">
        <v>2222222</v>
      </c>
      <c r="F2112" s="8" t="s">
        <v>22</v>
      </c>
      <c r="G2112" s="2">
        <v>98</v>
      </c>
      <c r="H2112" t="s">
        <v>4215</v>
      </c>
      <c r="J2112" s="9" t="s">
        <v>4827</v>
      </c>
      <c r="K2112" t="s">
        <v>5064</v>
      </c>
      <c r="L2112" s="2">
        <v>1</v>
      </c>
      <c r="M2112" s="24" t="s">
        <v>5971</v>
      </c>
      <c r="N2112" s="2" t="s">
        <v>23</v>
      </c>
      <c r="O2112" s="18" t="s">
        <v>1610</v>
      </c>
      <c r="P2112" s="18" t="s">
        <v>0</v>
      </c>
      <c r="Q2112" s="6" t="s">
        <v>4475</v>
      </c>
      <c r="T2112" s="23">
        <v>45605</v>
      </c>
      <c r="U2112" s="23">
        <v>47431</v>
      </c>
      <c r="X2112" s="20">
        <v>4760</v>
      </c>
      <c r="Z2112" s="6" t="s">
        <v>5978</v>
      </c>
      <c r="AA2112" s="14">
        <f t="shared" si="270"/>
        <v>5.9999999999999995E-4</v>
      </c>
      <c r="AB2112">
        <v>2.1298139999999997</v>
      </c>
      <c r="AC2112">
        <v>2.2150065599999995</v>
      </c>
    </row>
    <row r="2113" spans="1:29" x14ac:dyDescent="0.3">
      <c r="A2113">
        <v>145836</v>
      </c>
      <c r="B2113" s="25" t="s">
        <v>5984</v>
      </c>
      <c r="C2113" t="s">
        <v>20</v>
      </c>
      <c r="D2113" t="s">
        <v>21</v>
      </c>
      <c r="E2113">
        <v>2222222</v>
      </c>
      <c r="F2113" s="8" t="s">
        <v>22</v>
      </c>
      <c r="G2113" s="2">
        <v>98</v>
      </c>
      <c r="H2113" t="s">
        <v>4215</v>
      </c>
      <c r="J2113" s="9" t="s">
        <v>5165</v>
      </c>
      <c r="K2113" t="s">
        <v>4924</v>
      </c>
      <c r="L2113" s="2">
        <v>1</v>
      </c>
      <c r="M2113" s="24" t="s">
        <v>5971</v>
      </c>
      <c r="N2113" s="2" t="s">
        <v>23</v>
      </c>
      <c r="O2113" s="18" t="s">
        <v>1683</v>
      </c>
      <c r="P2113" s="18" t="s">
        <v>3781</v>
      </c>
      <c r="Q2113" s="6" t="s">
        <v>4475</v>
      </c>
      <c r="T2113" s="23">
        <v>45769</v>
      </c>
      <c r="U2113" s="23">
        <v>46865</v>
      </c>
      <c r="X2113" s="20">
        <v>5000</v>
      </c>
      <c r="Z2113" s="6" t="s">
        <v>5978</v>
      </c>
      <c r="AA2113" s="14">
        <f t="shared" si="270"/>
        <v>5.9999999999999995E-4</v>
      </c>
      <c r="AB2113">
        <v>1.9440299999999999</v>
      </c>
      <c r="AC2113">
        <v>2.0217912</v>
      </c>
    </row>
    <row r="2114" spans="1:29" x14ac:dyDescent="0.3">
      <c r="A2114">
        <v>146426</v>
      </c>
      <c r="B2114" s="25" t="s">
        <v>5984</v>
      </c>
      <c r="C2114" t="s">
        <v>20</v>
      </c>
      <c r="D2114" t="s">
        <v>21</v>
      </c>
      <c r="E2114">
        <v>2222222</v>
      </c>
      <c r="F2114" s="8" t="s">
        <v>22</v>
      </c>
      <c r="G2114" s="2">
        <v>98</v>
      </c>
      <c r="H2114" t="s">
        <v>4215</v>
      </c>
      <c r="J2114" s="9" t="s">
        <v>4852</v>
      </c>
      <c r="K2114" t="s">
        <v>5257</v>
      </c>
      <c r="L2114" s="2">
        <v>1</v>
      </c>
      <c r="M2114" s="24" t="s">
        <v>5971</v>
      </c>
      <c r="N2114" s="2" t="s">
        <v>23</v>
      </c>
      <c r="O2114" s="18" t="s">
        <v>1684</v>
      </c>
      <c r="P2114" s="18" t="s">
        <v>0</v>
      </c>
      <c r="Q2114" s="6" t="s">
        <v>4475</v>
      </c>
      <c r="T2114" s="23">
        <v>45816</v>
      </c>
      <c r="U2114" s="23">
        <v>46912</v>
      </c>
      <c r="X2114" s="20">
        <v>4000</v>
      </c>
      <c r="Z2114" s="6" t="s">
        <v>5978</v>
      </c>
      <c r="AA2114" s="14">
        <f t="shared" si="270"/>
        <v>5.9999999999999995E-4</v>
      </c>
      <c r="AB2114">
        <v>1.671216</v>
      </c>
      <c r="AC2114">
        <v>1.7380646400000002</v>
      </c>
    </row>
    <row r="2115" spans="1:29" x14ac:dyDescent="0.3">
      <c r="A2115">
        <v>146619</v>
      </c>
      <c r="B2115" s="25" t="s">
        <v>5984</v>
      </c>
      <c r="C2115" t="s">
        <v>20</v>
      </c>
      <c r="D2115" t="s">
        <v>21</v>
      </c>
      <c r="E2115">
        <v>2222222</v>
      </c>
      <c r="F2115" s="8" t="s">
        <v>22</v>
      </c>
      <c r="G2115" s="2">
        <v>98</v>
      </c>
      <c r="H2115" t="s">
        <v>4215</v>
      </c>
      <c r="J2115" s="9" t="s">
        <v>4852</v>
      </c>
      <c r="K2115" t="s">
        <v>5257</v>
      </c>
      <c r="L2115" s="2">
        <v>1</v>
      </c>
      <c r="M2115" s="24" t="s">
        <v>5971</v>
      </c>
      <c r="N2115" s="2" t="s">
        <v>23</v>
      </c>
      <c r="O2115" s="18" t="s">
        <v>1684</v>
      </c>
      <c r="P2115" s="18" t="s">
        <v>0</v>
      </c>
      <c r="Q2115" s="6" t="s">
        <v>4475</v>
      </c>
      <c r="T2115" s="23">
        <v>45831</v>
      </c>
      <c r="U2115" s="23">
        <v>46561</v>
      </c>
      <c r="X2115" s="20">
        <v>1700</v>
      </c>
      <c r="Z2115" s="6" t="s">
        <v>5978</v>
      </c>
      <c r="AA2115" s="14">
        <f t="shared" si="270"/>
        <v>5.9999999999999995E-4</v>
      </c>
      <c r="AB2115">
        <v>0.55612799999999996</v>
      </c>
      <c r="AC2115">
        <v>0.57837311999999996</v>
      </c>
    </row>
    <row r="2116" spans="1:29" x14ac:dyDescent="0.3">
      <c r="A2116">
        <v>146653</v>
      </c>
      <c r="B2116" s="25" t="s">
        <v>5984</v>
      </c>
      <c r="C2116" t="s">
        <v>20</v>
      </c>
      <c r="D2116" t="s">
        <v>21</v>
      </c>
      <c r="E2116">
        <v>2222222</v>
      </c>
      <c r="F2116" s="8" t="s">
        <v>22</v>
      </c>
      <c r="G2116" s="2">
        <v>98</v>
      </c>
      <c r="H2116" t="s">
        <v>4215</v>
      </c>
      <c r="J2116" s="9" t="s">
        <v>4955</v>
      </c>
      <c r="K2116" t="s">
        <v>4942</v>
      </c>
      <c r="L2116" s="2">
        <v>1</v>
      </c>
      <c r="M2116" s="24" t="s">
        <v>5971</v>
      </c>
      <c r="N2116" s="2" t="s">
        <v>23</v>
      </c>
      <c r="O2116" s="18" t="s">
        <v>1685</v>
      </c>
      <c r="P2116" s="18" t="s">
        <v>3781</v>
      </c>
      <c r="Q2116" s="6" t="s">
        <v>4475</v>
      </c>
      <c r="T2116" s="23">
        <v>45833</v>
      </c>
      <c r="U2116" s="23">
        <v>46563</v>
      </c>
      <c r="X2116" s="20">
        <v>2800</v>
      </c>
      <c r="Z2116" s="6" t="s">
        <v>5978</v>
      </c>
      <c r="AA2116" s="14">
        <f t="shared" si="270"/>
        <v>5.9999999999999995E-4</v>
      </c>
      <c r="AB2116">
        <v>0.91182599999999991</v>
      </c>
      <c r="AC2116">
        <v>0.94829903999999998</v>
      </c>
    </row>
    <row r="2117" spans="1:29" x14ac:dyDescent="0.3">
      <c r="A2117">
        <v>148015</v>
      </c>
      <c r="B2117" s="25" t="s">
        <v>5984</v>
      </c>
      <c r="C2117" t="s">
        <v>20</v>
      </c>
      <c r="D2117" t="s">
        <v>21</v>
      </c>
      <c r="E2117">
        <v>2222222</v>
      </c>
      <c r="F2117" s="8" t="s">
        <v>22</v>
      </c>
      <c r="G2117" s="2">
        <v>98</v>
      </c>
      <c r="H2117" t="s">
        <v>4215</v>
      </c>
      <c r="J2117" s="9" t="s">
        <v>4903</v>
      </c>
      <c r="K2117" t="s">
        <v>5280</v>
      </c>
      <c r="L2117" s="2">
        <v>1</v>
      </c>
      <c r="M2117" s="24" t="s">
        <v>5971</v>
      </c>
      <c r="N2117" s="2" t="s">
        <v>23</v>
      </c>
      <c r="O2117" s="18" t="s">
        <v>1686</v>
      </c>
      <c r="P2117" s="18" t="s">
        <v>3781</v>
      </c>
      <c r="Q2117" s="6" t="s">
        <v>4475</v>
      </c>
      <c r="T2117" s="23">
        <v>45930</v>
      </c>
      <c r="U2117" s="23">
        <v>46314</v>
      </c>
      <c r="X2117" s="20">
        <v>5000</v>
      </c>
      <c r="Z2117" s="6" t="s">
        <v>5978</v>
      </c>
      <c r="AA2117" s="14">
        <f t="shared" si="270"/>
        <v>5.9999999999999995E-4</v>
      </c>
      <c r="AB2117">
        <v>0.79958399999999996</v>
      </c>
      <c r="AC2117">
        <v>0.83156735999999998</v>
      </c>
    </row>
    <row r="2118" spans="1:29" x14ac:dyDescent="0.3">
      <c r="A2118">
        <v>148731</v>
      </c>
      <c r="B2118" s="25" t="s">
        <v>5984</v>
      </c>
      <c r="C2118" t="s">
        <v>20</v>
      </c>
      <c r="D2118" t="s">
        <v>21</v>
      </c>
      <c r="E2118">
        <v>2222222</v>
      </c>
      <c r="F2118" s="8" t="s">
        <v>22</v>
      </c>
      <c r="G2118" s="2">
        <v>98</v>
      </c>
      <c r="H2118" t="s">
        <v>4215</v>
      </c>
      <c r="J2118" s="9" t="s">
        <v>4911</v>
      </c>
      <c r="K2118" t="s">
        <v>4836</v>
      </c>
      <c r="L2118" s="2">
        <v>1</v>
      </c>
      <c r="M2118" s="24" t="s">
        <v>5971</v>
      </c>
      <c r="N2118" s="2" t="s">
        <v>23</v>
      </c>
      <c r="O2118" s="18" t="s">
        <v>1679</v>
      </c>
      <c r="P2118" s="18" t="s">
        <v>3781</v>
      </c>
      <c r="Q2118" s="6" t="s">
        <v>4475</v>
      </c>
      <c r="T2118" s="23">
        <v>45975</v>
      </c>
      <c r="U2118" s="23">
        <v>46705</v>
      </c>
      <c r="X2118" s="20">
        <v>3000</v>
      </c>
      <c r="Z2118" s="6" t="s">
        <v>5978</v>
      </c>
      <c r="AA2118" s="14">
        <f t="shared" si="270"/>
        <v>5.9999999999999995E-4</v>
      </c>
      <c r="AB2118">
        <v>1.265952</v>
      </c>
      <c r="AC2118">
        <v>1.3165900800000001</v>
      </c>
    </row>
    <row r="2119" spans="1:29" x14ac:dyDescent="0.3">
      <c r="A2119">
        <v>149008</v>
      </c>
      <c r="B2119" s="25" t="s">
        <v>5984</v>
      </c>
      <c r="C2119" t="s">
        <v>20</v>
      </c>
      <c r="D2119" t="s">
        <v>21</v>
      </c>
      <c r="E2119">
        <v>2222222</v>
      </c>
      <c r="F2119" s="8" t="s">
        <v>22</v>
      </c>
      <c r="G2119" s="2">
        <v>98</v>
      </c>
      <c r="H2119" t="s">
        <v>4215</v>
      </c>
      <c r="J2119" s="9" t="s">
        <v>4900</v>
      </c>
      <c r="K2119" t="s">
        <v>4919</v>
      </c>
      <c r="L2119" s="2">
        <v>1</v>
      </c>
      <c r="M2119" s="24" t="s">
        <v>5971</v>
      </c>
      <c r="N2119" s="2" t="s">
        <v>23</v>
      </c>
      <c r="O2119" s="18" t="s">
        <v>1687</v>
      </c>
      <c r="P2119" s="18" t="s">
        <v>0</v>
      </c>
      <c r="Q2119" s="6" t="s">
        <v>4475</v>
      </c>
      <c r="T2119" s="23">
        <v>45992</v>
      </c>
      <c r="U2119" s="23">
        <v>46965</v>
      </c>
      <c r="X2119" s="20">
        <v>5000</v>
      </c>
      <c r="Z2119" s="6" t="s">
        <v>5978</v>
      </c>
      <c r="AA2119" s="14">
        <f t="shared" si="270"/>
        <v>5.9999999999999995E-4</v>
      </c>
      <c r="AB2119">
        <v>2.4586979999999996</v>
      </c>
      <c r="AC2119">
        <v>2.5570459199999998</v>
      </c>
    </row>
    <row r="2120" spans="1:29" x14ac:dyDescent="0.3">
      <c r="A2120">
        <v>149858</v>
      </c>
      <c r="B2120" s="25" t="s">
        <v>5984</v>
      </c>
      <c r="C2120" t="s">
        <v>20</v>
      </c>
      <c r="D2120" t="s">
        <v>21</v>
      </c>
      <c r="E2120">
        <v>2222222</v>
      </c>
      <c r="F2120" s="8" t="s">
        <v>22</v>
      </c>
      <c r="G2120" s="2">
        <v>98</v>
      </c>
      <c r="H2120" t="s">
        <v>4215</v>
      </c>
      <c r="J2120" s="9" t="s">
        <v>5068</v>
      </c>
      <c r="K2120" t="s">
        <v>4853</v>
      </c>
      <c r="L2120" s="2">
        <v>1</v>
      </c>
      <c r="M2120" s="24" t="s">
        <v>5971</v>
      </c>
      <c r="N2120" s="2" t="s">
        <v>23</v>
      </c>
      <c r="O2120" s="18" t="s">
        <v>1688</v>
      </c>
      <c r="P2120" s="18" t="s">
        <v>0</v>
      </c>
      <c r="Q2120" s="6" t="s">
        <v>4475</v>
      </c>
      <c r="T2120" s="23">
        <v>46150</v>
      </c>
      <c r="U2120" s="23">
        <v>47975</v>
      </c>
      <c r="X2120" s="20">
        <v>83000</v>
      </c>
      <c r="Z2120" s="6" t="s">
        <v>5978</v>
      </c>
      <c r="AA2120" s="14">
        <f t="shared" si="270"/>
        <v>5.9999999999999995E-4</v>
      </c>
      <c r="AB2120">
        <v>48.14000399999999</v>
      </c>
      <c r="AC2120">
        <v>50.065604159999992</v>
      </c>
    </row>
    <row r="2121" spans="1:29" x14ac:dyDescent="0.3">
      <c r="A2121">
        <v>150148</v>
      </c>
      <c r="B2121" s="25" t="s">
        <v>5984</v>
      </c>
      <c r="C2121" t="s">
        <v>20</v>
      </c>
      <c r="D2121" t="s">
        <v>21</v>
      </c>
      <c r="E2121">
        <v>2222222</v>
      </c>
      <c r="F2121" s="8" t="s">
        <v>22</v>
      </c>
      <c r="G2121" s="2">
        <v>98</v>
      </c>
      <c r="H2121" t="s">
        <v>4215</v>
      </c>
      <c r="J2121" s="9" t="s">
        <v>4903</v>
      </c>
      <c r="K2121" t="s">
        <v>5280</v>
      </c>
      <c r="L2121" s="2">
        <v>1</v>
      </c>
      <c r="M2121" s="24" t="s">
        <v>5971</v>
      </c>
      <c r="N2121" s="2" t="s">
        <v>23</v>
      </c>
      <c r="O2121" s="18" t="s">
        <v>1686</v>
      </c>
      <c r="P2121" s="18" t="s">
        <v>3781</v>
      </c>
      <c r="Q2121" s="6" t="s">
        <v>4475</v>
      </c>
      <c r="T2121" s="23">
        <v>46076</v>
      </c>
      <c r="U2121" s="23">
        <v>46443</v>
      </c>
      <c r="X2121" s="20">
        <v>5000</v>
      </c>
      <c r="Z2121" s="6" t="s">
        <v>5978</v>
      </c>
      <c r="AA2121" s="14">
        <f t="shared" si="270"/>
        <v>5.9999999999999995E-4</v>
      </c>
      <c r="AB2121">
        <v>1.8083579999999997</v>
      </c>
      <c r="AC2121">
        <v>1.8806923199999996</v>
      </c>
    </row>
    <row r="2122" spans="1:29" x14ac:dyDescent="0.3">
      <c r="A2122">
        <v>150290</v>
      </c>
      <c r="B2122" s="25" t="s">
        <v>5984</v>
      </c>
      <c r="C2122" t="s">
        <v>20</v>
      </c>
      <c r="D2122" t="s">
        <v>21</v>
      </c>
      <c r="E2122">
        <v>2222222</v>
      </c>
      <c r="F2122" s="8" t="s">
        <v>22</v>
      </c>
      <c r="G2122" s="2">
        <v>98</v>
      </c>
      <c r="H2122" t="s">
        <v>4215</v>
      </c>
      <c r="J2122" s="9" t="s">
        <v>5470</v>
      </c>
      <c r="K2122" t="s">
        <v>5023</v>
      </c>
      <c r="L2122" s="2">
        <v>1</v>
      </c>
      <c r="M2122" s="24" t="s">
        <v>5971</v>
      </c>
      <c r="N2122" s="2" t="s">
        <v>23</v>
      </c>
      <c r="O2122" s="18" t="s">
        <v>1689</v>
      </c>
      <c r="P2122" s="18" t="s">
        <v>0</v>
      </c>
      <c r="Q2122" s="6" t="s">
        <v>4475</v>
      </c>
      <c r="T2122" s="23">
        <v>46132</v>
      </c>
      <c r="U2122" s="23">
        <v>53437</v>
      </c>
      <c r="X2122" s="20">
        <v>129000</v>
      </c>
      <c r="Z2122" s="6" t="s">
        <v>5978</v>
      </c>
      <c r="AA2122" s="14">
        <f t="shared" si="270"/>
        <v>5.9999999999999995E-4</v>
      </c>
      <c r="AB2122">
        <v>77.099465999999993</v>
      </c>
      <c r="AC2122">
        <v>80.18344463999999</v>
      </c>
    </row>
    <row r="2123" spans="1:29" x14ac:dyDescent="0.3">
      <c r="A2123">
        <v>150341</v>
      </c>
      <c r="B2123" s="25" t="s">
        <v>5984</v>
      </c>
      <c r="C2123" t="s">
        <v>20</v>
      </c>
      <c r="D2123" t="s">
        <v>21</v>
      </c>
      <c r="E2123">
        <v>2222222</v>
      </c>
      <c r="F2123" s="8" t="s">
        <v>22</v>
      </c>
      <c r="G2123" s="2">
        <v>98</v>
      </c>
      <c r="H2123" t="s">
        <v>4215</v>
      </c>
      <c r="J2123" s="9" t="s">
        <v>5582</v>
      </c>
      <c r="K2123" t="s">
        <v>4875</v>
      </c>
      <c r="L2123" s="2">
        <v>1</v>
      </c>
      <c r="M2123" s="24" t="s">
        <v>5971</v>
      </c>
      <c r="N2123" s="2" t="s">
        <v>23</v>
      </c>
      <c r="O2123" s="18" t="s">
        <v>1690</v>
      </c>
      <c r="P2123" s="18" t="s">
        <v>0</v>
      </c>
      <c r="Q2123" s="6" t="s">
        <v>4475</v>
      </c>
      <c r="T2123" s="23">
        <v>46090</v>
      </c>
      <c r="U2123" s="23">
        <v>47185</v>
      </c>
      <c r="X2123" s="20">
        <v>4000</v>
      </c>
      <c r="Z2123" s="6" t="s">
        <v>5978</v>
      </c>
      <c r="AA2123" s="14">
        <f t="shared" si="270"/>
        <v>5.9999999999999995E-4</v>
      </c>
      <c r="AB2123">
        <v>2.1800579999999998</v>
      </c>
      <c r="AC2123">
        <v>2.2672603200000001</v>
      </c>
    </row>
    <row r="2124" spans="1:29" x14ac:dyDescent="0.3">
      <c r="A2124">
        <v>150366</v>
      </c>
      <c r="B2124" s="25" t="s">
        <v>5984</v>
      </c>
      <c r="C2124" t="s">
        <v>20</v>
      </c>
      <c r="D2124" t="s">
        <v>21</v>
      </c>
      <c r="E2124">
        <v>2222222</v>
      </c>
      <c r="F2124" s="8" t="s">
        <v>22</v>
      </c>
      <c r="G2124" s="2">
        <v>98</v>
      </c>
      <c r="H2124" t="s">
        <v>4215</v>
      </c>
      <c r="J2124" s="9" t="s">
        <v>4826</v>
      </c>
      <c r="K2124" t="s">
        <v>5204</v>
      </c>
      <c r="L2124" s="2">
        <v>1</v>
      </c>
      <c r="M2124" s="24" t="s">
        <v>5971</v>
      </c>
      <c r="N2124" s="2" t="s">
        <v>23</v>
      </c>
      <c r="O2124" s="18" t="s">
        <v>1691</v>
      </c>
      <c r="P2124" s="18" t="s">
        <v>0</v>
      </c>
      <c r="Q2124" s="6" t="s">
        <v>4475</v>
      </c>
      <c r="T2124" s="23">
        <v>46087</v>
      </c>
      <c r="U2124" s="23">
        <v>46331</v>
      </c>
      <c r="X2124" s="20">
        <v>800</v>
      </c>
      <c r="Z2124" s="6" t="s">
        <v>5978</v>
      </c>
      <c r="AA2124" s="14">
        <f t="shared" si="270"/>
        <v>5.9999999999999995E-4</v>
      </c>
      <c r="AB2124">
        <v>0.246696</v>
      </c>
      <c r="AC2124">
        <v>0.25656383999999999</v>
      </c>
    </row>
    <row r="2125" spans="1:29" x14ac:dyDescent="0.3">
      <c r="A2125">
        <v>150749</v>
      </c>
      <c r="B2125" s="25" t="s">
        <v>5984</v>
      </c>
      <c r="C2125" t="s">
        <v>20</v>
      </c>
      <c r="D2125" t="s">
        <v>21</v>
      </c>
      <c r="E2125">
        <v>2222222</v>
      </c>
      <c r="F2125" s="8" t="s">
        <v>22</v>
      </c>
      <c r="G2125" s="2">
        <v>98</v>
      </c>
      <c r="H2125" t="s">
        <v>4215</v>
      </c>
      <c r="J2125" s="9" t="s">
        <v>4970</v>
      </c>
      <c r="K2125" t="s">
        <v>4972</v>
      </c>
      <c r="L2125" s="2">
        <v>1</v>
      </c>
      <c r="M2125" s="24" t="s">
        <v>5971</v>
      </c>
      <c r="N2125" s="2" t="s">
        <v>23</v>
      </c>
      <c r="O2125" s="18" t="s">
        <v>1692</v>
      </c>
      <c r="P2125" s="18" t="s">
        <v>3781</v>
      </c>
      <c r="Q2125" s="6" t="s">
        <v>4475</v>
      </c>
      <c r="T2125" s="23">
        <v>46112</v>
      </c>
      <c r="U2125" s="23">
        <v>46844</v>
      </c>
      <c r="X2125" s="20">
        <v>1500</v>
      </c>
      <c r="Z2125" s="6" t="s">
        <v>5978</v>
      </c>
      <c r="AA2125" s="14">
        <f t="shared" si="270"/>
        <v>5.9999999999999995E-4</v>
      </c>
      <c r="AB2125">
        <v>0.80351399999999995</v>
      </c>
      <c r="AC2125">
        <v>0.83565455999999994</v>
      </c>
    </row>
    <row r="2126" spans="1:29" x14ac:dyDescent="0.3">
      <c r="A2126">
        <v>151108</v>
      </c>
      <c r="B2126" s="25" t="s">
        <v>5984</v>
      </c>
      <c r="C2126" t="s">
        <v>20</v>
      </c>
      <c r="D2126" t="s">
        <v>21</v>
      </c>
      <c r="E2126">
        <v>2222222</v>
      </c>
      <c r="F2126" s="8" t="s">
        <v>22</v>
      </c>
      <c r="G2126" s="2">
        <v>98</v>
      </c>
      <c r="H2126" t="s">
        <v>4215</v>
      </c>
      <c r="J2126" s="9" t="s">
        <v>4955</v>
      </c>
      <c r="K2126" t="s">
        <v>5165</v>
      </c>
      <c r="L2126" s="2">
        <v>1</v>
      </c>
      <c r="M2126" s="24" t="s">
        <v>5971</v>
      </c>
      <c r="N2126" s="2" t="s">
        <v>23</v>
      </c>
      <c r="O2126" s="18" t="s">
        <v>1693</v>
      </c>
      <c r="P2126" s="18" t="s">
        <v>3781</v>
      </c>
      <c r="Q2126" s="6" t="s">
        <v>4475</v>
      </c>
      <c r="T2126" s="23">
        <v>46139</v>
      </c>
      <c r="U2126" s="23">
        <v>46870</v>
      </c>
      <c r="X2126" s="20">
        <v>1500</v>
      </c>
      <c r="Z2126" s="6" t="s">
        <v>5978</v>
      </c>
      <c r="AA2126" s="14">
        <f t="shared" si="270"/>
        <v>5.9999999999999995E-4</v>
      </c>
      <c r="AB2126">
        <v>0.80351399999999995</v>
      </c>
      <c r="AC2126">
        <v>0.83565455999999994</v>
      </c>
    </row>
    <row r="2127" spans="1:29" x14ac:dyDescent="0.3">
      <c r="A2127">
        <v>151218</v>
      </c>
      <c r="B2127" s="25" t="s">
        <v>5984</v>
      </c>
      <c r="C2127" t="s">
        <v>20</v>
      </c>
      <c r="D2127" t="s">
        <v>21</v>
      </c>
      <c r="E2127">
        <v>2222222</v>
      </c>
      <c r="F2127" s="8" t="s">
        <v>22</v>
      </c>
      <c r="G2127" s="2">
        <v>98</v>
      </c>
      <c r="H2127" t="s">
        <v>4215</v>
      </c>
      <c r="J2127" s="9" t="s">
        <v>4836</v>
      </c>
      <c r="K2127" t="s">
        <v>5411</v>
      </c>
      <c r="L2127" s="2">
        <v>1</v>
      </c>
      <c r="M2127" s="24" t="s">
        <v>5971</v>
      </c>
      <c r="N2127" s="2" t="s">
        <v>23</v>
      </c>
      <c r="O2127" s="18" t="s">
        <v>1694</v>
      </c>
      <c r="P2127" s="18" t="s">
        <v>3781</v>
      </c>
      <c r="Q2127" s="6" t="s">
        <v>4475</v>
      </c>
      <c r="T2127" s="23">
        <v>46147</v>
      </c>
      <c r="U2127" s="23">
        <v>46237</v>
      </c>
      <c r="X2127" s="20">
        <v>4980</v>
      </c>
      <c r="Z2127" s="6" t="s">
        <v>5978</v>
      </c>
      <c r="AA2127" s="14">
        <f t="shared" si="270"/>
        <v>5.9999999999999995E-4</v>
      </c>
      <c r="AB2127">
        <v>2.9879999999999995</v>
      </c>
      <c r="AC2127">
        <v>3.1075199999999996</v>
      </c>
    </row>
    <row r="2128" spans="1:29" x14ac:dyDescent="0.3">
      <c r="A2128">
        <v>151326</v>
      </c>
      <c r="B2128" s="25" t="s">
        <v>5984</v>
      </c>
      <c r="C2128" t="s">
        <v>20</v>
      </c>
      <c r="D2128" t="s">
        <v>21</v>
      </c>
      <c r="E2128">
        <v>2222222</v>
      </c>
      <c r="F2128" s="8" t="s">
        <v>22</v>
      </c>
      <c r="G2128" s="2">
        <v>98</v>
      </c>
      <c r="H2128" t="s">
        <v>4215</v>
      </c>
      <c r="J2128" s="9" t="s">
        <v>4836</v>
      </c>
      <c r="K2128" t="s">
        <v>4889</v>
      </c>
      <c r="L2128" s="2">
        <v>1</v>
      </c>
      <c r="M2128" s="24" t="s">
        <v>5971</v>
      </c>
      <c r="N2128" s="2" t="s">
        <v>23</v>
      </c>
      <c r="O2128" s="18" t="s">
        <v>1695</v>
      </c>
      <c r="P2128" s="18" t="s">
        <v>3781</v>
      </c>
      <c r="Q2128" s="6" t="s">
        <v>4475</v>
      </c>
      <c r="T2128" s="23">
        <v>46156</v>
      </c>
      <c r="U2128" s="23">
        <v>46246</v>
      </c>
      <c r="X2128" s="20">
        <v>510</v>
      </c>
      <c r="Z2128" s="6" t="s">
        <v>5978</v>
      </c>
      <c r="AA2128" s="14">
        <f t="shared" si="270"/>
        <v>5.9999999999999995E-4</v>
      </c>
      <c r="AB2128">
        <v>0.30599999999999999</v>
      </c>
      <c r="AC2128">
        <v>0.31824000000000002</v>
      </c>
    </row>
    <row r="2129" spans="1:29" x14ac:dyDescent="0.3">
      <c r="A2129">
        <v>151524</v>
      </c>
      <c r="B2129" s="25" t="s">
        <v>5984</v>
      </c>
      <c r="C2129" t="s">
        <v>20</v>
      </c>
      <c r="D2129" t="s">
        <v>21</v>
      </c>
      <c r="E2129">
        <v>2222222</v>
      </c>
      <c r="F2129" s="8" t="s">
        <v>22</v>
      </c>
      <c r="G2129" s="2">
        <v>98</v>
      </c>
      <c r="H2129" t="s">
        <v>4215</v>
      </c>
      <c r="J2129" s="9" t="s">
        <v>4182</v>
      </c>
      <c r="K2129" t="s">
        <v>5190</v>
      </c>
      <c r="L2129" s="2">
        <v>1</v>
      </c>
      <c r="M2129" s="24" t="s">
        <v>5971</v>
      </c>
      <c r="N2129" s="2" t="s">
        <v>23</v>
      </c>
      <c r="O2129" s="18" t="s">
        <v>1696</v>
      </c>
      <c r="P2129" s="18" t="s">
        <v>0</v>
      </c>
      <c r="Q2129" s="6" t="s">
        <v>4475</v>
      </c>
      <c r="T2129" s="23">
        <v>46183</v>
      </c>
      <c r="U2129" s="23">
        <v>51662</v>
      </c>
      <c r="X2129" s="20">
        <v>123500</v>
      </c>
      <c r="Z2129" s="6" t="s">
        <v>5978</v>
      </c>
      <c r="AA2129" s="14">
        <f t="shared" si="270"/>
        <v>5.9999999999999995E-4</v>
      </c>
      <c r="AB2129">
        <v>73.908563999999998</v>
      </c>
      <c r="AC2129">
        <v>76.864906559999994</v>
      </c>
    </row>
    <row r="2130" spans="1:29" x14ac:dyDescent="0.3">
      <c r="A2130">
        <v>151532</v>
      </c>
      <c r="B2130" s="25" t="s">
        <v>5984</v>
      </c>
      <c r="C2130" t="s">
        <v>20</v>
      </c>
      <c r="D2130" t="s">
        <v>21</v>
      </c>
      <c r="E2130">
        <v>2222222</v>
      </c>
      <c r="F2130" s="8" t="s">
        <v>22</v>
      </c>
      <c r="G2130" s="2">
        <v>98</v>
      </c>
      <c r="H2130" t="s">
        <v>4215</v>
      </c>
      <c r="J2130" s="9" t="s">
        <v>4838</v>
      </c>
      <c r="K2130" t="s">
        <v>5068</v>
      </c>
      <c r="L2130" s="2">
        <v>1</v>
      </c>
      <c r="M2130" s="24" t="s">
        <v>5971</v>
      </c>
      <c r="N2130" s="2" t="s">
        <v>23</v>
      </c>
      <c r="O2130" s="18" t="s">
        <v>1697</v>
      </c>
      <c r="P2130" s="18" t="s">
        <v>0</v>
      </c>
      <c r="Q2130" s="6" t="s">
        <v>4475</v>
      </c>
      <c r="T2130" s="23">
        <v>46171</v>
      </c>
      <c r="U2130" s="23">
        <v>47996</v>
      </c>
      <c r="X2130" s="20">
        <v>5000</v>
      </c>
      <c r="Z2130" s="6" t="s">
        <v>5978</v>
      </c>
      <c r="AA2130" s="14">
        <f t="shared" si="270"/>
        <v>5.9999999999999995E-4</v>
      </c>
      <c r="AB2130">
        <v>2.9363459999999995</v>
      </c>
      <c r="AC2130">
        <v>3.0537998399999995</v>
      </c>
    </row>
    <row r="2131" spans="1:29" x14ac:dyDescent="0.3">
      <c r="A2131">
        <v>151776</v>
      </c>
      <c r="B2131" s="25" t="s">
        <v>5984</v>
      </c>
      <c r="C2131" t="s">
        <v>20</v>
      </c>
      <c r="D2131" t="s">
        <v>21</v>
      </c>
      <c r="E2131">
        <v>2222222</v>
      </c>
      <c r="F2131" s="8" t="s">
        <v>22</v>
      </c>
      <c r="G2131" s="2">
        <v>98</v>
      </c>
      <c r="H2131" t="s">
        <v>4215</v>
      </c>
      <c r="J2131" s="9" t="s">
        <v>4836</v>
      </c>
      <c r="K2131" t="s">
        <v>5411</v>
      </c>
      <c r="L2131" s="2">
        <v>1</v>
      </c>
      <c r="M2131" s="24" t="s">
        <v>5971</v>
      </c>
      <c r="N2131" s="2" t="s">
        <v>23</v>
      </c>
      <c r="O2131" s="18" t="s">
        <v>1694</v>
      </c>
      <c r="P2131" s="18" t="s">
        <v>3781</v>
      </c>
      <c r="Q2131" s="6" t="s">
        <v>4475</v>
      </c>
      <c r="T2131" s="23">
        <v>46186</v>
      </c>
      <c r="U2131" s="23">
        <v>47647</v>
      </c>
      <c r="X2131" s="20">
        <v>3200</v>
      </c>
      <c r="Z2131" s="6" t="s">
        <v>5978</v>
      </c>
      <c r="AA2131" s="14">
        <f t="shared" si="270"/>
        <v>5.9999999999999995E-4</v>
      </c>
      <c r="AB2131">
        <v>1.889742</v>
      </c>
      <c r="AC2131">
        <v>1.96533168</v>
      </c>
    </row>
    <row r="2132" spans="1:29" x14ac:dyDescent="0.3">
      <c r="A2132">
        <v>152101</v>
      </c>
      <c r="B2132" s="25" t="s">
        <v>5984</v>
      </c>
      <c r="C2132" t="s">
        <v>20</v>
      </c>
      <c r="D2132" t="s">
        <v>21</v>
      </c>
      <c r="E2132">
        <v>2222222</v>
      </c>
      <c r="F2132" s="8" t="s">
        <v>22</v>
      </c>
      <c r="G2132" s="2">
        <v>98</v>
      </c>
      <c r="H2132" t="s">
        <v>4215</v>
      </c>
      <c r="J2132" s="9" t="s">
        <v>5087</v>
      </c>
      <c r="K2132" t="s">
        <v>4980</v>
      </c>
      <c r="L2132" s="2">
        <v>1</v>
      </c>
      <c r="M2132" s="24" t="s">
        <v>5971</v>
      </c>
      <c r="N2132" s="2" t="s">
        <v>23</v>
      </c>
      <c r="O2132" s="18" t="s">
        <v>1698</v>
      </c>
      <c r="P2132" s="18" t="s">
        <v>3781</v>
      </c>
      <c r="Q2132" s="6" t="s">
        <v>4475</v>
      </c>
      <c r="T2132" s="23">
        <v>46211</v>
      </c>
      <c r="U2132" s="23">
        <v>46301</v>
      </c>
      <c r="X2132" s="20">
        <v>1520</v>
      </c>
      <c r="Z2132" s="6" t="s">
        <v>5978</v>
      </c>
      <c r="AA2132" s="14">
        <f t="shared" si="270"/>
        <v>5.9999999999999995E-4</v>
      </c>
      <c r="AB2132">
        <v>0.91199999999999992</v>
      </c>
      <c r="AC2132">
        <v>0.94847999999999999</v>
      </c>
    </row>
    <row r="2133" spans="1:29" x14ac:dyDescent="0.3">
      <c r="A2133">
        <v>152111</v>
      </c>
      <c r="B2133" s="25" t="s">
        <v>5984</v>
      </c>
      <c r="C2133" t="s">
        <v>20</v>
      </c>
      <c r="D2133" t="s">
        <v>21</v>
      </c>
      <c r="E2133">
        <v>2222222</v>
      </c>
      <c r="F2133" s="8" t="s">
        <v>22</v>
      </c>
      <c r="G2133" s="2">
        <v>98</v>
      </c>
      <c r="H2133" t="s">
        <v>4215</v>
      </c>
      <c r="J2133" s="9" t="s">
        <v>5507</v>
      </c>
      <c r="K2133" t="s">
        <v>5583</v>
      </c>
      <c r="L2133" s="2">
        <v>1</v>
      </c>
      <c r="M2133" s="24" t="s">
        <v>5971</v>
      </c>
      <c r="N2133" s="2" t="s">
        <v>23</v>
      </c>
      <c r="O2133" s="18" t="s">
        <v>1699</v>
      </c>
      <c r="P2133" s="18" t="s">
        <v>3781</v>
      </c>
      <c r="Q2133" s="6" t="s">
        <v>4475</v>
      </c>
      <c r="T2133" s="23">
        <v>46227</v>
      </c>
      <c r="U2133" s="23">
        <v>47322</v>
      </c>
      <c r="X2133" s="20">
        <v>15500</v>
      </c>
      <c r="Z2133" s="6" t="s">
        <v>5978</v>
      </c>
      <c r="AA2133" s="14">
        <f t="shared" si="270"/>
        <v>5.9999999999999995E-4</v>
      </c>
      <c r="AB2133">
        <v>9.2999999999999989</v>
      </c>
      <c r="AC2133">
        <v>9.6719999999999988</v>
      </c>
    </row>
    <row r="2134" spans="1:29" x14ac:dyDescent="0.3">
      <c r="A2134">
        <v>143573</v>
      </c>
      <c r="B2134" s="25" t="s">
        <v>5984</v>
      </c>
      <c r="C2134" t="s">
        <v>20</v>
      </c>
      <c r="D2134" t="s">
        <v>21</v>
      </c>
      <c r="E2134">
        <v>2222222</v>
      </c>
      <c r="F2134" s="8" t="s">
        <v>22</v>
      </c>
      <c r="G2134" s="2">
        <v>98</v>
      </c>
      <c r="H2134" t="s">
        <v>4216</v>
      </c>
      <c r="J2134" s="9" t="s">
        <v>5165</v>
      </c>
      <c r="K2134" t="s">
        <v>4899</v>
      </c>
      <c r="L2134" s="2">
        <v>1</v>
      </c>
      <c r="M2134" s="24" t="s">
        <v>5971</v>
      </c>
      <c r="N2134" s="2" t="s">
        <v>23</v>
      </c>
      <c r="O2134" s="18" t="s">
        <v>1700</v>
      </c>
      <c r="P2134" s="18" t="s">
        <v>3781</v>
      </c>
      <c r="Q2134" s="6" t="s">
        <v>4475</v>
      </c>
      <c r="T2134" s="23">
        <v>45603</v>
      </c>
      <c r="U2134" s="23">
        <v>47794</v>
      </c>
      <c r="X2134" s="20">
        <v>6000</v>
      </c>
      <c r="Z2134" s="6" t="s">
        <v>5978</v>
      </c>
      <c r="AA2134" s="14">
        <f t="shared" si="270"/>
        <v>5.9999999999999995E-4</v>
      </c>
      <c r="AB2134">
        <v>2.9841419999999994</v>
      </c>
      <c r="AC2134">
        <v>3.1035076799999994</v>
      </c>
    </row>
    <row r="2135" spans="1:29" x14ac:dyDescent="0.3">
      <c r="A2135">
        <v>148739</v>
      </c>
      <c r="B2135" s="25" t="s">
        <v>5984</v>
      </c>
      <c r="C2135" t="s">
        <v>20</v>
      </c>
      <c r="D2135" t="s">
        <v>21</v>
      </c>
      <c r="E2135">
        <v>2222222</v>
      </c>
      <c r="F2135" s="8" t="s">
        <v>22</v>
      </c>
      <c r="G2135" s="2">
        <v>98</v>
      </c>
      <c r="H2135" t="s">
        <v>4216</v>
      </c>
      <c r="J2135" s="9" t="s">
        <v>5165</v>
      </c>
      <c r="K2135" t="s">
        <v>4899</v>
      </c>
      <c r="L2135" s="2">
        <v>1</v>
      </c>
      <c r="M2135" s="24" t="s">
        <v>5971</v>
      </c>
      <c r="N2135" s="2" t="s">
        <v>23</v>
      </c>
      <c r="O2135" s="18" t="s">
        <v>1700</v>
      </c>
      <c r="P2135" s="18" t="s">
        <v>3781</v>
      </c>
      <c r="Q2135" s="6" t="s">
        <v>4475</v>
      </c>
      <c r="T2135" s="23">
        <v>45975</v>
      </c>
      <c r="U2135" s="23">
        <v>47252</v>
      </c>
      <c r="X2135" s="20">
        <v>4970</v>
      </c>
      <c r="Z2135" s="6" t="s">
        <v>5978</v>
      </c>
      <c r="AA2135" s="14">
        <f t="shared" si="270"/>
        <v>5.9999999999999995E-4</v>
      </c>
      <c r="AB2135">
        <v>2.6885759999999999</v>
      </c>
      <c r="AC2135">
        <v>2.7961190399999998</v>
      </c>
    </row>
    <row r="2136" spans="1:29" x14ac:dyDescent="0.3">
      <c r="A2136">
        <v>152089</v>
      </c>
      <c r="B2136" s="25" t="s">
        <v>5984</v>
      </c>
      <c r="C2136" t="s">
        <v>20</v>
      </c>
      <c r="D2136" t="s">
        <v>21</v>
      </c>
      <c r="E2136">
        <v>2222222</v>
      </c>
      <c r="F2136" s="8" t="s">
        <v>22</v>
      </c>
      <c r="G2136" s="2">
        <v>98</v>
      </c>
      <c r="H2136" t="s">
        <v>4216</v>
      </c>
      <c r="J2136" s="9" t="s">
        <v>5007</v>
      </c>
      <c r="K2136" t="s">
        <v>5121</v>
      </c>
      <c r="L2136" s="2">
        <v>1</v>
      </c>
      <c r="M2136" s="24" t="s">
        <v>5971</v>
      </c>
      <c r="N2136" s="2" t="s">
        <v>23</v>
      </c>
      <c r="O2136" s="18" t="s">
        <v>1701</v>
      </c>
      <c r="P2136" s="18" t="s">
        <v>0</v>
      </c>
      <c r="Q2136" s="6" t="s">
        <v>4475</v>
      </c>
      <c r="T2136" s="23">
        <v>46210</v>
      </c>
      <c r="U2136" s="23">
        <v>48035</v>
      </c>
      <c r="X2136" s="20">
        <v>5000</v>
      </c>
      <c r="Z2136" s="6" t="s">
        <v>5978</v>
      </c>
      <c r="AA2136" s="14">
        <f t="shared" si="270"/>
        <v>5.9999999999999995E-4</v>
      </c>
      <c r="AB2136">
        <v>2.9999999999999996</v>
      </c>
      <c r="AC2136">
        <v>3.1199999999999997</v>
      </c>
    </row>
    <row r="2137" spans="1:29" x14ac:dyDescent="0.3">
      <c r="A2137">
        <v>143010</v>
      </c>
      <c r="B2137" s="25" t="s">
        <v>5984</v>
      </c>
      <c r="C2137" t="s">
        <v>20</v>
      </c>
      <c r="D2137" t="s">
        <v>21</v>
      </c>
      <c r="E2137">
        <v>2222222</v>
      </c>
      <c r="F2137" s="8" t="s">
        <v>22</v>
      </c>
      <c r="G2137" s="2">
        <v>98</v>
      </c>
      <c r="H2137" t="s">
        <v>4217</v>
      </c>
      <c r="J2137" s="9" t="s">
        <v>5584</v>
      </c>
      <c r="K2137" t="s">
        <v>4924</v>
      </c>
      <c r="L2137" s="2">
        <v>1</v>
      </c>
      <c r="M2137" s="24" t="s">
        <v>5971</v>
      </c>
      <c r="N2137" s="2" t="s">
        <v>23</v>
      </c>
      <c r="O2137" s="18" t="s">
        <v>1702</v>
      </c>
      <c r="P2137" s="18" t="s">
        <v>3781</v>
      </c>
      <c r="Q2137" s="6" t="s">
        <v>4475</v>
      </c>
      <c r="T2137" s="23">
        <v>45562</v>
      </c>
      <c r="U2137" s="23">
        <v>47844</v>
      </c>
      <c r="X2137" s="20">
        <v>37900</v>
      </c>
      <c r="Z2137" s="6" t="s">
        <v>5978</v>
      </c>
      <c r="AA2137" s="14">
        <f t="shared" si="270"/>
        <v>5.9999999999999995E-4</v>
      </c>
      <c r="AB2137">
        <v>18.596453999999998</v>
      </c>
      <c r="AC2137">
        <v>19.34031216</v>
      </c>
    </row>
    <row r="2138" spans="1:29" x14ac:dyDescent="0.3">
      <c r="A2138">
        <v>128012</v>
      </c>
      <c r="B2138" s="25" t="s">
        <v>5984</v>
      </c>
      <c r="C2138" t="s">
        <v>20</v>
      </c>
      <c r="D2138" t="s">
        <v>21</v>
      </c>
      <c r="E2138">
        <v>2222222</v>
      </c>
      <c r="F2138" s="8" t="s">
        <v>22</v>
      </c>
      <c r="G2138" s="2">
        <v>98</v>
      </c>
      <c r="H2138" t="s">
        <v>4218</v>
      </c>
      <c r="J2138" s="9" t="s">
        <v>5172</v>
      </c>
      <c r="K2138" t="s">
        <v>4876</v>
      </c>
      <c r="L2138" s="2">
        <v>1</v>
      </c>
      <c r="M2138" s="24" t="s">
        <v>5971</v>
      </c>
      <c r="N2138" s="2" t="s">
        <v>23</v>
      </c>
      <c r="O2138" s="18" t="s">
        <v>1703</v>
      </c>
      <c r="P2138" s="18" t="s">
        <v>0</v>
      </c>
      <c r="Q2138" s="6" t="s">
        <v>4475</v>
      </c>
      <c r="T2138" s="23">
        <v>44701</v>
      </c>
      <c r="U2138" s="23">
        <v>46526</v>
      </c>
      <c r="X2138" s="20">
        <v>11000</v>
      </c>
      <c r="Z2138" s="6" t="s">
        <v>5978</v>
      </c>
      <c r="AA2138" s="15">
        <f>+(0.42/1000)</f>
        <v>4.1999999999999996E-4</v>
      </c>
      <c r="AB2138">
        <v>3.2331389999999995</v>
      </c>
      <c r="AC2138">
        <v>3.3624645599999998</v>
      </c>
    </row>
    <row r="2139" spans="1:29" x14ac:dyDescent="0.3">
      <c r="A2139">
        <v>152102</v>
      </c>
      <c r="B2139" s="25" t="s">
        <v>5984</v>
      </c>
      <c r="C2139" t="s">
        <v>20</v>
      </c>
      <c r="D2139" t="s">
        <v>21</v>
      </c>
      <c r="E2139">
        <v>2222222</v>
      </c>
      <c r="F2139" s="8" t="s">
        <v>22</v>
      </c>
      <c r="G2139" s="2">
        <v>98</v>
      </c>
      <c r="H2139" t="s">
        <v>4219</v>
      </c>
      <c r="J2139" s="9" t="s">
        <v>5316</v>
      </c>
      <c r="K2139" t="s">
        <v>4929</v>
      </c>
      <c r="L2139" s="2">
        <v>1</v>
      </c>
      <c r="M2139" s="24" t="s">
        <v>5971</v>
      </c>
      <c r="N2139" s="2" t="s">
        <v>23</v>
      </c>
      <c r="O2139" s="18" t="s">
        <v>1704</v>
      </c>
      <c r="P2139" s="18" t="s">
        <v>0</v>
      </c>
      <c r="Q2139" s="6" t="s">
        <v>4475</v>
      </c>
      <c r="T2139" s="23">
        <v>46220</v>
      </c>
      <c r="U2139" s="23">
        <v>47134</v>
      </c>
      <c r="X2139" s="20">
        <v>7800</v>
      </c>
      <c r="Z2139" s="6" t="s">
        <v>5978</v>
      </c>
      <c r="AA2139" s="14">
        <f>+(0.6/1000)</f>
        <v>5.9999999999999995E-4</v>
      </c>
      <c r="AB2139">
        <v>4.68</v>
      </c>
      <c r="AC2139">
        <v>4.8671999999999995</v>
      </c>
    </row>
    <row r="2140" spans="1:29" x14ac:dyDescent="0.3">
      <c r="A2140">
        <v>124859</v>
      </c>
      <c r="B2140" s="25" t="s">
        <v>5984</v>
      </c>
      <c r="C2140" t="s">
        <v>20</v>
      </c>
      <c r="D2140" t="s">
        <v>21</v>
      </c>
      <c r="E2140">
        <v>2222222</v>
      </c>
      <c r="F2140" s="8" t="s">
        <v>22</v>
      </c>
      <c r="G2140" s="2">
        <v>98</v>
      </c>
      <c r="H2140" t="s">
        <v>4220</v>
      </c>
      <c r="J2140" s="9" t="s">
        <v>4928</v>
      </c>
      <c r="K2140" t="s">
        <v>4845</v>
      </c>
      <c r="L2140" s="2">
        <v>1</v>
      </c>
      <c r="M2140" s="24" t="s">
        <v>5971</v>
      </c>
      <c r="N2140" s="2" t="s">
        <v>23</v>
      </c>
      <c r="O2140" s="18" t="s">
        <v>1705</v>
      </c>
      <c r="P2140" s="18" t="s">
        <v>3781</v>
      </c>
      <c r="Q2140" s="6" t="s">
        <v>4475</v>
      </c>
      <c r="T2140" s="23">
        <v>44537</v>
      </c>
      <c r="U2140" s="23">
        <v>50015</v>
      </c>
      <c r="X2140" s="20">
        <v>57500</v>
      </c>
      <c r="Z2140" s="6" t="s">
        <v>5978</v>
      </c>
      <c r="AA2140" s="15">
        <f>+(0.42/1000)</f>
        <v>4.1999999999999996E-4</v>
      </c>
      <c r="AB2140">
        <v>15.848586599999999</v>
      </c>
      <c r="AC2140">
        <v>16.482530063999999</v>
      </c>
    </row>
    <row r="2141" spans="1:29" x14ac:dyDescent="0.3">
      <c r="A2141">
        <v>134854</v>
      </c>
      <c r="B2141" s="25" t="s">
        <v>5984</v>
      </c>
      <c r="C2141" t="s">
        <v>20</v>
      </c>
      <c r="D2141" t="s">
        <v>21</v>
      </c>
      <c r="E2141">
        <v>2222222</v>
      </c>
      <c r="F2141" s="8" t="s">
        <v>22</v>
      </c>
      <c r="G2141" s="2">
        <v>98</v>
      </c>
      <c r="H2141" t="s">
        <v>4220</v>
      </c>
      <c r="J2141" s="9" t="s">
        <v>5575</v>
      </c>
      <c r="K2141" t="s">
        <v>5270</v>
      </c>
      <c r="L2141" s="2">
        <v>1</v>
      </c>
      <c r="M2141" s="24" t="s">
        <v>5971</v>
      </c>
      <c r="N2141" s="2" t="s">
        <v>23</v>
      </c>
      <c r="O2141" s="18" t="s">
        <v>1706</v>
      </c>
      <c r="P2141" s="18" t="s">
        <v>0</v>
      </c>
      <c r="Q2141" s="6" t="s">
        <v>4475</v>
      </c>
      <c r="T2141" s="23">
        <v>45077</v>
      </c>
      <c r="U2141" s="23">
        <v>46628</v>
      </c>
      <c r="X2141" s="20">
        <v>15500</v>
      </c>
      <c r="Z2141" s="6" t="s">
        <v>5978</v>
      </c>
      <c r="AA2141" s="13">
        <f t="shared" ref="AA2141:AA2143" si="271">+(0.56/1000)</f>
        <v>5.6000000000000006E-4</v>
      </c>
      <c r="AB2141">
        <v>3.3515048000000003</v>
      </c>
      <c r="AC2141">
        <v>3.4855649920000005</v>
      </c>
    </row>
    <row r="2142" spans="1:29" x14ac:dyDescent="0.3">
      <c r="A2142">
        <v>139951</v>
      </c>
      <c r="B2142" s="25" t="s">
        <v>5984</v>
      </c>
      <c r="C2142" t="s">
        <v>20</v>
      </c>
      <c r="D2142" t="s">
        <v>21</v>
      </c>
      <c r="E2142">
        <v>2222222</v>
      </c>
      <c r="F2142" s="8" t="s">
        <v>22</v>
      </c>
      <c r="G2142" s="2">
        <v>98</v>
      </c>
      <c r="H2142" t="s">
        <v>4220</v>
      </c>
      <c r="J2142" s="9" t="s">
        <v>4903</v>
      </c>
      <c r="K2142" t="s">
        <v>4516</v>
      </c>
      <c r="L2142" s="2">
        <v>1</v>
      </c>
      <c r="M2142" s="24" t="s">
        <v>5971</v>
      </c>
      <c r="N2142" s="2" t="s">
        <v>23</v>
      </c>
      <c r="O2142" s="18" t="s">
        <v>1707</v>
      </c>
      <c r="P2142" s="18" t="s">
        <v>3781</v>
      </c>
      <c r="Q2142" s="6" t="s">
        <v>4475</v>
      </c>
      <c r="T2142" s="23">
        <v>45356</v>
      </c>
      <c r="U2142" s="23">
        <v>46821</v>
      </c>
      <c r="X2142" s="20">
        <v>5000</v>
      </c>
      <c r="Z2142" s="6" t="s">
        <v>5978</v>
      </c>
      <c r="AA2142" s="13">
        <f t="shared" si="271"/>
        <v>5.6000000000000006E-4</v>
      </c>
      <c r="AB2142">
        <v>1.4285712000000002</v>
      </c>
      <c r="AC2142">
        <v>1.4857140480000002</v>
      </c>
    </row>
    <row r="2143" spans="1:29" x14ac:dyDescent="0.3">
      <c r="A2143">
        <v>140004</v>
      </c>
      <c r="B2143" s="25" t="s">
        <v>5984</v>
      </c>
      <c r="C2143" t="s">
        <v>20</v>
      </c>
      <c r="D2143" t="s">
        <v>21</v>
      </c>
      <c r="E2143">
        <v>2222222</v>
      </c>
      <c r="F2143" s="8" t="s">
        <v>22</v>
      </c>
      <c r="G2143" s="2">
        <v>98</v>
      </c>
      <c r="H2143" t="s">
        <v>4220</v>
      </c>
      <c r="J2143" s="9" t="s">
        <v>5234</v>
      </c>
      <c r="K2143" t="s">
        <v>4913</v>
      </c>
      <c r="L2143" s="2">
        <v>1</v>
      </c>
      <c r="M2143" s="24" t="s">
        <v>5971</v>
      </c>
      <c r="N2143" s="2" t="s">
        <v>23</v>
      </c>
      <c r="O2143" s="18" t="s">
        <v>1708</v>
      </c>
      <c r="P2143" s="18" t="s">
        <v>0</v>
      </c>
      <c r="Q2143" s="6" t="s">
        <v>4475</v>
      </c>
      <c r="T2143" s="23">
        <v>45371</v>
      </c>
      <c r="U2143" s="23">
        <v>47561</v>
      </c>
      <c r="X2143" s="20">
        <v>7000</v>
      </c>
      <c r="Z2143" s="6" t="s">
        <v>5978</v>
      </c>
      <c r="AA2143" s="13">
        <f t="shared" si="271"/>
        <v>5.6000000000000006E-4</v>
      </c>
      <c r="AB2143">
        <v>2.9137864000000002</v>
      </c>
      <c r="AC2143">
        <v>3.0303378560000005</v>
      </c>
    </row>
    <row r="2144" spans="1:29" x14ac:dyDescent="0.3">
      <c r="A2144">
        <v>141261</v>
      </c>
      <c r="B2144" s="25" t="s">
        <v>5984</v>
      </c>
      <c r="C2144" t="s">
        <v>20</v>
      </c>
      <c r="D2144" t="s">
        <v>21</v>
      </c>
      <c r="E2144">
        <v>2222222</v>
      </c>
      <c r="F2144" s="8" t="s">
        <v>22</v>
      </c>
      <c r="G2144" s="2">
        <v>98</v>
      </c>
      <c r="H2144" t="s">
        <v>4220</v>
      </c>
      <c r="J2144" s="9" t="s">
        <v>5566</v>
      </c>
      <c r="K2144" t="s">
        <v>5585</v>
      </c>
      <c r="L2144" s="2">
        <v>1</v>
      </c>
      <c r="M2144" s="24" t="s">
        <v>5971</v>
      </c>
      <c r="N2144" s="2" t="s">
        <v>23</v>
      </c>
      <c r="O2144" s="18" t="s">
        <v>1709</v>
      </c>
      <c r="P2144" s="18" t="s">
        <v>0</v>
      </c>
      <c r="Q2144" s="6" t="s">
        <v>4475</v>
      </c>
      <c r="T2144" s="23">
        <v>45442</v>
      </c>
      <c r="U2144" s="23">
        <v>47359</v>
      </c>
      <c r="X2144" s="20">
        <v>5500</v>
      </c>
      <c r="Z2144" s="6" t="s">
        <v>5978</v>
      </c>
      <c r="AA2144" s="14">
        <f t="shared" ref="AA2144:AA2156" si="272">+(0.6/1000)</f>
        <v>5.9999999999999995E-4</v>
      </c>
      <c r="AB2144">
        <v>2.3654879999999996</v>
      </c>
      <c r="AC2144">
        <v>2.4601075199999998</v>
      </c>
    </row>
    <row r="2145" spans="1:29" x14ac:dyDescent="0.3">
      <c r="A2145">
        <v>141519</v>
      </c>
      <c r="B2145" s="25" t="s">
        <v>5984</v>
      </c>
      <c r="C2145" t="s">
        <v>20</v>
      </c>
      <c r="D2145" t="s">
        <v>21</v>
      </c>
      <c r="E2145">
        <v>2222222</v>
      </c>
      <c r="F2145" s="8" t="s">
        <v>22</v>
      </c>
      <c r="G2145" s="2">
        <v>98</v>
      </c>
      <c r="H2145" t="s">
        <v>4220</v>
      </c>
      <c r="J2145" s="9" t="s">
        <v>4852</v>
      </c>
      <c r="K2145" t="s">
        <v>5288</v>
      </c>
      <c r="L2145" s="2">
        <v>1</v>
      </c>
      <c r="M2145" s="24" t="s">
        <v>5971</v>
      </c>
      <c r="N2145" s="2" t="s">
        <v>23</v>
      </c>
      <c r="O2145" s="18" t="s">
        <v>1710</v>
      </c>
      <c r="P2145" s="18" t="s">
        <v>0</v>
      </c>
      <c r="Q2145" s="6" t="s">
        <v>4475</v>
      </c>
      <c r="T2145" s="23">
        <v>45461</v>
      </c>
      <c r="U2145" s="23">
        <v>49113</v>
      </c>
      <c r="X2145" s="20">
        <v>17700</v>
      </c>
      <c r="Z2145" s="6" t="s">
        <v>5978</v>
      </c>
      <c r="AA2145" s="14">
        <f t="shared" si="272"/>
        <v>5.9999999999999995E-4</v>
      </c>
      <c r="AB2145">
        <v>9.5275739999999995</v>
      </c>
      <c r="AC2145">
        <v>9.9086769599999993</v>
      </c>
    </row>
    <row r="2146" spans="1:29" x14ac:dyDescent="0.3">
      <c r="A2146">
        <v>141717</v>
      </c>
      <c r="B2146" s="25" t="s">
        <v>5984</v>
      </c>
      <c r="C2146" t="s">
        <v>20</v>
      </c>
      <c r="D2146" t="s">
        <v>21</v>
      </c>
      <c r="E2146">
        <v>2222222</v>
      </c>
      <c r="F2146" s="8" t="s">
        <v>22</v>
      </c>
      <c r="G2146" s="2">
        <v>98</v>
      </c>
      <c r="H2146" t="s">
        <v>4220</v>
      </c>
      <c r="J2146" s="9" t="s">
        <v>4182</v>
      </c>
      <c r="K2146" t="s">
        <v>5481</v>
      </c>
      <c r="L2146" s="2">
        <v>1</v>
      </c>
      <c r="M2146" s="24" t="s">
        <v>5971</v>
      </c>
      <c r="N2146" s="2" t="s">
        <v>23</v>
      </c>
      <c r="O2146" s="18" t="s">
        <v>1711</v>
      </c>
      <c r="P2146" s="18" t="s">
        <v>0</v>
      </c>
      <c r="Q2146" s="6" t="s">
        <v>4475</v>
      </c>
      <c r="T2146" s="23">
        <v>45477</v>
      </c>
      <c r="U2146" s="23">
        <v>47302</v>
      </c>
      <c r="X2146" s="20">
        <v>7000</v>
      </c>
      <c r="Z2146" s="6" t="s">
        <v>5978</v>
      </c>
      <c r="AA2146" s="14">
        <f t="shared" si="272"/>
        <v>5.9999999999999995E-4</v>
      </c>
      <c r="AB2146">
        <v>2.9312219999999996</v>
      </c>
      <c r="AC2146">
        <v>3.0484708799999995</v>
      </c>
    </row>
    <row r="2147" spans="1:29" x14ac:dyDescent="0.3">
      <c r="A2147">
        <v>144580</v>
      </c>
      <c r="B2147" s="25" t="s">
        <v>5984</v>
      </c>
      <c r="C2147" t="s">
        <v>20</v>
      </c>
      <c r="D2147" t="s">
        <v>21</v>
      </c>
      <c r="E2147">
        <v>2222222</v>
      </c>
      <c r="F2147" s="8" t="s">
        <v>22</v>
      </c>
      <c r="G2147" s="2">
        <v>98</v>
      </c>
      <c r="H2147" t="s">
        <v>4220</v>
      </c>
      <c r="J2147" s="9" t="s">
        <v>4929</v>
      </c>
      <c r="K2147" t="s">
        <v>5085</v>
      </c>
      <c r="L2147" s="2">
        <v>1</v>
      </c>
      <c r="M2147" s="24" t="s">
        <v>5971</v>
      </c>
      <c r="N2147" s="2" t="s">
        <v>23</v>
      </c>
      <c r="O2147" s="18" t="s">
        <v>1712</v>
      </c>
      <c r="P2147" s="18" t="s">
        <v>0</v>
      </c>
      <c r="Q2147" s="6" t="s">
        <v>4475</v>
      </c>
      <c r="T2147" s="23">
        <v>45673</v>
      </c>
      <c r="U2147" s="23">
        <v>46767</v>
      </c>
      <c r="X2147" s="20">
        <v>2500</v>
      </c>
      <c r="Z2147" s="6" t="s">
        <v>5978</v>
      </c>
      <c r="AA2147" s="14">
        <f t="shared" si="272"/>
        <v>5.9999999999999995E-4</v>
      </c>
      <c r="AB2147">
        <v>0.84373199999999993</v>
      </c>
      <c r="AC2147">
        <v>0.87748127999999992</v>
      </c>
    </row>
    <row r="2148" spans="1:29" x14ac:dyDescent="0.3">
      <c r="A2148">
        <v>146768</v>
      </c>
      <c r="B2148" s="25" t="s">
        <v>5984</v>
      </c>
      <c r="C2148" t="s">
        <v>20</v>
      </c>
      <c r="D2148" t="s">
        <v>21</v>
      </c>
      <c r="E2148">
        <v>2222222</v>
      </c>
      <c r="F2148" s="8" t="s">
        <v>22</v>
      </c>
      <c r="G2148" s="2">
        <v>98</v>
      </c>
      <c r="H2148" t="s">
        <v>4220</v>
      </c>
      <c r="J2148" s="9" t="s">
        <v>4826</v>
      </c>
      <c r="K2148" t="s">
        <v>4913</v>
      </c>
      <c r="L2148" s="2">
        <v>1</v>
      </c>
      <c r="M2148" s="24" t="s">
        <v>5971</v>
      </c>
      <c r="N2148" s="2" t="s">
        <v>23</v>
      </c>
      <c r="O2148" s="18" t="s">
        <v>1713</v>
      </c>
      <c r="P2148" s="18" t="s">
        <v>0</v>
      </c>
      <c r="Q2148" s="6" t="s">
        <v>4475</v>
      </c>
      <c r="T2148" s="23">
        <v>45841</v>
      </c>
      <c r="U2148" s="23">
        <v>47666</v>
      </c>
      <c r="X2148" s="20">
        <v>2635</v>
      </c>
      <c r="Z2148" s="6" t="s">
        <v>5978</v>
      </c>
      <c r="AA2148" s="14">
        <f t="shared" si="272"/>
        <v>5.9999999999999995E-4</v>
      </c>
      <c r="AB2148">
        <v>1.3676339999999998</v>
      </c>
      <c r="AC2148">
        <v>1.4223393599999998</v>
      </c>
    </row>
    <row r="2149" spans="1:29" x14ac:dyDescent="0.3">
      <c r="A2149">
        <v>148387</v>
      </c>
      <c r="B2149" s="25" t="s">
        <v>5984</v>
      </c>
      <c r="C2149" t="s">
        <v>20</v>
      </c>
      <c r="D2149" t="s">
        <v>21</v>
      </c>
      <c r="E2149">
        <v>2222222</v>
      </c>
      <c r="F2149" s="8" t="s">
        <v>22</v>
      </c>
      <c r="G2149" s="2">
        <v>98</v>
      </c>
      <c r="H2149" t="s">
        <v>4220</v>
      </c>
      <c r="J2149" s="9" t="s">
        <v>4953</v>
      </c>
      <c r="K2149" t="s">
        <v>4857</v>
      </c>
      <c r="L2149" s="2">
        <v>1</v>
      </c>
      <c r="M2149" s="24" t="s">
        <v>5971</v>
      </c>
      <c r="N2149" s="2" t="s">
        <v>23</v>
      </c>
      <c r="O2149" s="18" t="s">
        <v>1714</v>
      </c>
      <c r="P2149" s="18" t="s">
        <v>0</v>
      </c>
      <c r="Q2149" s="6" t="s">
        <v>4475</v>
      </c>
      <c r="T2149" s="23">
        <v>45957</v>
      </c>
      <c r="U2149" s="23">
        <v>46747</v>
      </c>
      <c r="X2149" s="20">
        <v>1035</v>
      </c>
      <c r="Z2149" s="6" t="s">
        <v>5978</v>
      </c>
      <c r="AA2149" s="14">
        <f t="shared" si="272"/>
        <v>5.9999999999999995E-4</v>
      </c>
      <c r="AB2149">
        <v>0.43107000000000001</v>
      </c>
      <c r="AC2149">
        <v>0.44831280000000001</v>
      </c>
    </row>
    <row r="2150" spans="1:29" x14ac:dyDescent="0.3">
      <c r="A2150">
        <v>148995</v>
      </c>
      <c r="B2150" s="25" t="s">
        <v>5984</v>
      </c>
      <c r="C2150" t="s">
        <v>20</v>
      </c>
      <c r="D2150" t="s">
        <v>21</v>
      </c>
      <c r="E2150">
        <v>2222222</v>
      </c>
      <c r="F2150" s="8" t="s">
        <v>22</v>
      </c>
      <c r="G2150" s="2">
        <v>98</v>
      </c>
      <c r="H2150" t="s">
        <v>4220</v>
      </c>
      <c r="J2150" s="9" t="s">
        <v>4965</v>
      </c>
      <c r="K2150" t="s">
        <v>4870</v>
      </c>
      <c r="L2150" s="2">
        <v>1</v>
      </c>
      <c r="M2150" s="24" t="s">
        <v>5971</v>
      </c>
      <c r="N2150" s="2" t="s">
        <v>23</v>
      </c>
      <c r="O2150" s="18" t="s">
        <v>1715</v>
      </c>
      <c r="P2150" s="18" t="s">
        <v>0</v>
      </c>
      <c r="Q2150" s="6" t="s">
        <v>4475</v>
      </c>
      <c r="T2150" s="23">
        <v>45992</v>
      </c>
      <c r="U2150" s="23">
        <v>46356</v>
      </c>
      <c r="X2150" s="20">
        <v>500</v>
      </c>
      <c r="Z2150" s="6" t="s">
        <v>5978</v>
      </c>
      <c r="AA2150" s="14">
        <f t="shared" si="272"/>
        <v>5.9999999999999995E-4</v>
      </c>
      <c r="AB2150">
        <v>0.10553399999999999</v>
      </c>
      <c r="AC2150">
        <v>0.10975536</v>
      </c>
    </row>
    <row r="2151" spans="1:29" x14ac:dyDescent="0.3">
      <c r="A2151">
        <v>149510</v>
      </c>
      <c r="B2151" s="25" t="s">
        <v>5984</v>
      </c>
      <c r="C2151" t="s">
        <v>20</v>
      </c>
      <c r="D2151" t="s">
        <v>21</v>
      </c>
      <c r="E2151">
        <v>2222222</v>
      </c>
      <c r="F2151" s="8" t="s">
        <v>22</v>
      </c>
      <c r="G2151" s="2">
        <v>98</v>
      </c>
      <c r="H2151" t="s">
        <v>4220</v>
      </c>
      <c r="J2151" s="9" t="s">
        <v>5122</v>
      </c>
      <c r="K2151" t="s">
        <v>5536</v>
      </c>
      <c r="L2151" s="2">
        <v>1</v>
      </c>
      <c r="M2151" s="24" t="s">
        <v>5971</v>
      </c>
      <c r="N2151" s="2" t="s">
        <v>23</v>
      </c>
      <c r="O2151" s="18" t="s">
        <v>1716</v>
      </c>
      <c r="P2151" s="18" t="s">
        <v>3781</v>
      </c>
      <c r="Q2151" s="6" t="s">
        <v>4475</v>
      </c>
      <c r="T2151" s="23">
        <v>46030</v>
      </c>
      <c r="U2151" s="23">
        <v>47125</v>
      </c>
      <c r="X2151" s="20">
        <v>4000</v>
      </c>
      <c r="Z2151" s="6" t="s">
        <v>5978</v>
      </c>
      <c r="AA2151" s="14">
        <f t="shared" si="272"/>
        <v>5.9999999999999995E-4</v>
      </c>
      <c r="AB2151">
        <v>2.077518</v>
      </c>
      <c r="AC2151">
        <v>2.16061872</v>
      </c>
    </row>
    <row r="2152" spans="1:29" x14ac:dyDescent="0.3">
      <c r="A2152">
        <v>150851</v>
      </c>
      <c r="B2152" s="25" t="s">
        <v>5984</v>
      </c>
      <c r="C2152" t="s">
        <v>20</v>
      </c>
      <c r="D2152" t="s">
        <v>21</v>
      </c>
      <c r="E2152">
        <v>2222222</v>
      </c>
      <c r="F2152" s="8" t="s">
        <v>22</v>
      </c>
      <c r="G2152" s="2">
        <v>98</v>
      </c>
      <c r="H2152" t="s">
        <v>4220</v>
      </c>
      <c r="J2152" s="9" t="s">
        <v>4858</v>
      </c>
      <c r="K2152" t="s">
        <v>4859</v>
      </c>
      <c r="L2152" s="2">
        <v>1</v>
      </c>
      <c r="M2152" s="24" t="s">
        <v>5971</v>
      </c>
      <c r="N2152" s="2" t="s">
        <v>23</v>
      </c>
      <c r="O2152" s="18" t="s">
        <v>1717</v>
      </c>
      <c r="P2152" s="18" t="s">
        <v>3781</v>
      </c>
      <c r="Q2152" s="6" t="s">
        <v>4475</v>
      </c>
      <c r="T2152" s="23">
        <v>46121</v>
      </c>
      <c r="U2152" s="23">
        <v>47217</v>
      </c>
      <c r="X2152" s="20">
        <v>3460</v>
      </c>
      <c r="Z2152" s="6" t="s">
        <v>5978</v>
      </c>
      <c r="AA2152" s="14">
        <f t="shared" si="272"/>
        <v>5.9999999999999995E-4</v>
      </c>
      <c r="AB2152">
        <v>1.9343699999999997</v>
      </c>
      <c r="AC2152">
        <v>2.0117447999999998</v>
      </c>
    </row>
    <row r="2153" spans="1:29" x14ac:dyDescent="0.3">
      <c r="A2153">
        <v>151473</v>
      </c>
      <c r="B2153" s="25" t="s">
        <v>5984</v>
      </c>
      <c r="C2153" t="s">
        <v>20</v>
      </c>
      <c r="D2153" t="s">
        <v>21</v>
      </c>
      <c r="E2153">
        <v>2222222</v>
      </c>
      <c r="F2153" s="8" t="s">
        <v>22</v>
      </c>
      <c r="G2153" s="2">
        <v>98</v>
      </c>
      <c r="H2153" t="s">
        <v>4220</v>
      </c>
      <c r="J2153" s="9" t="s">
        <v>4904</v>
      </c>
      <c r="K2153" t="s">
        <v>4924</v>
      </c>
      <c r="L2153" s="2">
        <v>1</v>
      </c>
      <c r="M2153" s="24" t="s">
        <v>5971</v>
      </c>
      <c r="N2153" s="2" t="s">
        <v>23</v>
      </c>
      <c r="O2153" s="18" t="s">
        <v>1718</v>
      </c>
      <c r="P2153" s="18" t="s">
        <v>3781</v>
      </c>
      <c r="Q2153" s="6" t="s">
        <v>4475</v>
      </c>
      <c r="T2153" s="23">
        <v>46168</v>
      </c>
      <c r="U2153" s="23">
        <v>47263</v>
      </c>
      <c r="X2153" s="20">
        <v>2640</v>
      </c>
      <c r="Z2153" s="6" t="s">
        <v>5978</v>
      </c>
      <c r="AA2153" s="14">
        <f t="shared" si="272"/>
        <v>5.9999999999999995E-4</v>
      </c>
      <c r="AB2153">
        <v>1.548192</v>
      </c>
      <c r="AC2153">
        <v>1.6101196800000002</v>
      </c>
    </row>
    <row r="2154" spans="1:29" x14ac:dyDescent="0.3">
      <c r="A2154">
        <v>148439</v>
      </c>
      <c r="B2154" s="25" t="s">
        <v>5984</v>
      </c>
      <c r="C2154" t="s">
        <v>20</v>
      </c>
      <c r="D2154" t="s">
        <v>21</v>
      </c>
      <c r="E2154">
        <v>2222222</v>
      </c>
      <c r="F2154" s="8" t="s">
        <v>22</v>
      </c>
      <c r="G2154" s="2">
        <v>98</v>
      </c>
      <c r="H2154" t="s">
        <v>4221</v>
      </c>
      <c r="J2154" s="9" t="s">
        <v>4913</v>
      </c>
      <c r="K2154" t="s">
        <v>4878</v>
      </c>
      <c r="L2154" s="2">
        <v>1</v>
      </c>
      <c r="M2154" s="24" t="s">
        <v>5971</v>
      </c>
      <c r="N2154" s="2" t="s">
        <v>23</v>
      </c>
      <c r="O2154" s="18" t="s">
        <v>1719</v>
      </c>
      <c r="P2154" s="18" t="s">
        <v>0</v>
      </c>
      <c r="Q2154" s="6" t="s">
        <v>4475</v>
      </c>
      <c r="T2154" s="23">
        <v>45961</v>
      </c>
      <c r="U2154" s="23">
        <v>51439</v>
      </c>
      <c r="X2154" s="20">
        <v>8350</v>
      </c>
      <c r="Z2154" s="6" t="s">
        <v>5978</v>
      </c>
      <c r="AA2154" s="14">
        <f t="shared" si="272"/>
        <v>5.9999999999999995E-4</v>
      </c>
      <c r="AB2154">
        <v>4.9354740000000001</v>
      </c>
      <c r="AC2154">
        <v>5.1328929600000004</v>
      </c>
    </row>
    <row r="2155" spans="1:29" x14ac:dyDescent="0.3">
      <c r="A2155">
        <v>152230</v>
      </c>
      <c r="B2155" s="25" t="s">
        <v>5984</v>
      </c>
      <c r="C2155" t="s">
        <v>20</v>
      </c>
      <c r="D2155" t="s">
        <v>21</v>
      </c>
      <c r="E2155">
        <v>2222222</v>
      </c>
      <c r="F2155" s="8" t="s">
        <v>22</v>
      </c>
      <c r="G2155" s="2">
        <v>98</v>
      </c>
      <c r="H2155" t="s">
        <v>4221</v>
      </c>
      <c r="J2155" s="9" t="s">
        <v>5096</v>
      </c>
      <c r="K2155" t="s">
        <v>5075</v>
      </c>
      <c r="L2155" s="2">
        <v>1</v>
      </c>
      <c r="M2155" s="24" t="s">
        <v>5971</v>
      </c>
      <c r="N2155" s="2" t="s">
        <v>23</v>
      </c>
      <c r="O2155" s="18" t="s">
        <v>1720</v>
      </c>
      <c r="P2155" s="18" t="s">
        <v>3781</v>
      </c>
      <c r="Q2155" s="6" t="s">
        <v>4475</v>
      </c>
      <c r="T2155" s="23">
        <v>46220</v>
      </c>
      <c r="U2155" s="23">
        <v>46443</v>
      </c>
      <c r="X2155" s="20">
        <v>9190</v>
      </c>
      <c r="Z2155" s="6" t="s">
        <v>5978</v>
      </c>
      <c r="AA2155" s="14">
        <f t="shared" si="272"/>
        <v>5.9999999999999995E-4</v>
      </c>
      <c r="AB2155">
        <v>5.5139999999999993</v>
      </c>
      <c r="AC2155">
        <v>5.7345599999999992</v>
      </c>
    </row>
    <row r="2156" spans="1:29" x14ac:dyDescent="0.3">
      <c r="A2156">
        <v>152248</v>
      </c>
      <c r="B2156" s="25" t="s">
        <v>5984</v>
      </c>
      <c r="C2156" t="s">
        <v>20</v>
      </c>
      <c r="D2156" t="s">
        <v>21</v>
      </c>
      <c r="E2156">
        <v>2222222</v>
      </c>
      <c r="F2156" s="8" t="s">
        <v>22</v>
      </c>
      <c r="G2156" s="2">
        <v>98</v>
      </c>
      <c r="H2156" t="s">
        <v>4221</v>
      </c>
      <c r="J2156" s="9" t="s">
        <v>5096</v>
      </c>
      <c r="K2156" t="s">
        <v>5075</v>
      </c>
      <c r="L2156" s="2">
        <v>1</v>
      </c>
      <c r="M2156" s="24" t="s">
        <v>5971</v>
      </c>
      <c r="N2156" s="2" t="s">
        <v>23</v>
      </c>
      <c r="O2156" s="18" t="s">
        <v>1720</v>
      </c>
      <c r="P2156" s="18" t="s">
        <v>3781</v>
      </c>
      <c r="Q2156" s="6" t="s">
        <v>4475</v>
      </c>
      <c r="T2156" s="23">
        <v>46227</v>
      </c>
      <c r="U2156" s="23">
        <v>48052</v>
      </c>
      <c r="X2156" s="20">
        <v>6000</v>
      </c>
      <c r="Z2156" s="6" t="s">
        <v>5978</v>
      </c>
      <c r="AA2156" s="14">
        <f t="shared" si="272"/>
        <v>5.9999999999999995E-4</v>
      </c>
      <c r="AB2156">
        <v>3.5999999999999996</v>
      </c>
      <c r="AC2156">
        <v>3.7439999999999998</v>
      </c>
    </row>
    <row r="2157" spans="1:29" x14ac:dyDescent="0.3">
      <c r="A2157">
        <v>134796</v>
      </c>
      <c r="B2157" s="25" t="s">
        <v>5984</v>
      </c>
      <c r="C2157" t="s">
        <v>20</v>
      </c>
      <c r="D2157" t="s">
        <v>21</v>
      </c>
      <c r="E2157">
        <v>2222222</v>
      </c>
      <c r="F2157" s="8" t="s">
        <v>22</v>
      </c>
      <c r="G2157" s="2">
        <v>98</v>
      </c>
      <c r="H2157" t="s">
        <v>4222</v>
      </c>
      <c r="J2157" s="9" t="s">
        <v>5411</v>
      </c>
      <c r="K2157" t="s">
        <v>5075</v>
      </c>
      <c r="L2157" s="2">
        <v>1</v>
      </c>
      <c r="M2157" s="24" t="s">
        <v>5971</v>
      </c>
      <c r="N2157" s="2" t="s">
        <v>23</v>
      </c>
      <c r="O2157" s="18" t="s">
        <v>1721</v>
      </c>
      <c r="P2157" s="18" t="s">
        <v>3781</v>
      </c>
      <c r="Q2157" s="6" t="s">
        <v>4475</v>
      </c>
      <c r="T2157" s="23">
        <v>45076</v>
      </c>
      <c r="U2157" s="23">
        <v>46536</v>
      </c>
      <c r="X2157" s="20">
        <v>5000</v>
      </c>
      <c r="Z2157" s="6" t="s">
        <v>5978</v>
      </c>
      <c r="AA2157" s="13">
        <f t="shared" ref="AA2157:AA2158" si="273">+(0.56/1000)</f>
        <v>5.6000000000000006E-4</v>
      </c>
      <c r="AB2157">
        <v>2.7198136000000006</v>
      </c>
      <c r="AC2157">
        <v>2.8286061440000005</v>
      </c>
    </row>
    <row r="2158" spans="1:29" x14ac:dyDescent="0.3">
      <c r="A2158">
        <v>135922</v>
      </c>
      <c r="B2158" s="25" t="s">
        <v>5984</v>
      </c>
      <c r="C2158" t="s">
        <v>20</v>
      </c>
      <c r="D2158" t="s">
        <v>21</v>
      </c>
      <c r="E2158">
        <v>2222222</v>
      </c>
      <c r="F2158" s="8" t="s">
        <v>22</v>
      </c>
      <c r="G2158" s="2">
        <v>98</v>
      </c>
      <c r="H2158" t="s">
        <v>4222</v>
      </c>
      <c r="J2158" s="9" t="s">
        <v>4967</v>
      </c>
      <c r="K2158" t="s">
        <v>5586</v>
      </c>
      <c r="L2158" s="2">
        <v>1</v>
      </c>
      <c r="M2158" s="24" t="s">
        <v>5971</v>
      </c>
      <c r="N2158" s="2" t="s">
        <v>23</v>
      </c>
      <c r="O2158" s="18" t="s">
        <v>1722</v>
      </c>
      <c r="P2158" s="18" t="s">
        <v>3781</v>
      </c>
      <c r="Q2158" s="6" t="s">
        <v>4475</v>
      </c>
      <c r="T2158" s="23">
        <v>45142</v>
      </c>
      <c r="U2158" s="23">
        <v>46602</v>
      </c>
      <c r="X2158" s="20">
        <v>5000</v>
      </c>
      <c r="Z2158" s="6" t="s">
        <v>5978</v>
      </c>
      <c r="AA2158" s="13">
        <f t="shared" si="273"/>
        <v>5.6000000000000006E-4</v>
      </c>
      <c r="AB2158">
        <v>0.97932800000000009</v>
      </c>
      <c r="AC2158">
        <v>1.01850112</v>
      </c>
    </row>
    <row r="2159" spans="1:29" x14ac:dyDescent="0.3">
      <c r="A2159">
        <v>148827</v>
      </c>
      <c r="B2159" s="25" t="s">
        <v>5984</v>
      </c>
      <c r="C2159" t="s">
        <v>20</v>
      </c>
      <c r="D2159" t="s">
        <v>21</v>
      </c>
      <c r="E2159">
        <v>2222222</v>
      </c>
      <c r="F2159" s="8" t="s">
        <v>22</v>
      </c>
      <c r="G2159" s="2">
        <v>98</v>
      </c>
      <c r="H2159" t="s">
        <v>4222</v>
      </c>
      <c r="J2159" s="9" t="s">
        <v>5366</v>
      </c>
      <c r="K2159" t="s">
        <v>4845</v>
      </c>
      <c r="L2159" s="2">
        <v>1</v>
      </c>
      <c r="M2159" s="24" t="s">
        <v>5971</v>
      </c>
      <c r="N2159" s="2" t="s">
        <v>23</v>
      </c>
      <c r="O2159" s="18" t="s">
        <v>1723</v>
      </c>
      <c r="P2159" s="18" t="s">
        <v>3781</v>
      </c>
      <c r="Q2159" s="6" t="s">
        <v>4475</v>
      </c>
      <c r="T2159" s="23">
        <v>45981</v>
      </c>
      <c r="U2159" s="23">
        <v>46346</v>
      </c>
      <c r="X2159" s="20">
        <v>1000</v>
      </c>
      <c r="Z2159" s="6" t="s">
        <v>5978</v>
      </c>
      <c r="AA2159" s="14">
        <f t="shared" ref="AA2159:AA2163" si="274">+(0.6/1000)</f>
        <v>5.9999999999999995E-4</v>
      </c>
      <c r="AB2159">
        <v>0.21120599999999998</v>
      </c>
      <c r="AC2159">
        <v>0.21965423999999997</v>
      </c>
    </row>
    <row r="2160" spans="1:29" x14ac:dyDescent="0.3">
      <c r="A2160">
        <v>149069</v>
      </c>
      <c r="B2160" s="25" t="s">
        <v>5984</v>
      </c>
      <c r="C2160" t="s">
        <v>20</v>
      </c>
      <c r="D2160" t="s">
        <v>21</v>
      </c>
      <c r="E2160">
        <v>2222222</v>
      </c>
      <c r="F2160" s="8" t="s">
        <v>22</v>
      </c>
      <c r="G2160" s="2">
        <v>98</v>
      </c>
      <c r="H2160" t="s">
        <v>4222</v>
      </c>
      <c r="J2160" s="9" t="s">
        <v>5055</v>
      </c>
      <c r="K2160" t="s">
        <v>5132</v>
      </c>
      <c r="L2160" s="2">
        <v>1</v>
      </c>
      <c r="M2160" s="24" t="s">
        <v>5971</v>
      </c>
      <c r="N2160" s="2" t="s">
        <v>23</v>
      </c>
      <c r="O2160" s="18" t="s">
        <v>1724</v>
      </c>
      <c r="P2160" s="18" t="s">
        <v>3781</v>
      </c>
      <c r="Q2160" s="6" t="s">
        <v>4475</v>
      </c>
      <c r="T2160" s="23">
        <v>45995</v>
      </c>
      <c r="U2160" s="23">
        <v>46359</v>
      </c>
      <c r="X2160" s="20">
        <v>4000</v>
      </c>
      <c r="Z2160" s="6" t="s">
        <v>5978</v>
      </c>
      <c r="AA2160" s="14">
        <f t="shared" si="274"/>
        <v>5.9999999999999995E-4</v>
      </c>
      <c r="AB2160">
        <v>1.048152</v>
      </c>
      <c r="AC2160">
        <v>1.0900780800000001</v>
      </c>
    </row>
    <row r="2161" spans="1:29" x14ac:dyDescent="0.3">
      <c r="A2161">
        <v>149900</v>
      </c>
      <c r="B2161" s="25" t="s">
        <v>5984</v>
      </c>
      <c r="C2161" t="s">
        <v>20</v>
      </c>
      <c r="D2161" t="s">
        <v>21</v>
      </c>
      <c r="E2161">
        <v>2222222</v>
      </c>
      <c r="F2161" s="8" t="s">
        <v>22</v>
      </c>
      <c r="G2161" s="2">
        <v>98</v>
      </c>
      <c r="H2161" t="s">
        <v>4222</v>
      </c>
      <c r="J2161" s="9" t="s">
        <v>5366</v>
      </c>
      <c r="K2161" t="s">
        <v>4845</v>
      </c>
      <c r="L2161" s="2">
        <v>1</v>
      </c>
      <c r="M2161" s="24" t="s">
        <v>5971</v>
      </c>
      <c r="N2161" s="2" t="s">
        <v>23</v>
      </c>
      <c r="O2161" s="18" t="s">
        <v>1723</v>
      </c>
      <c r="P2161" s="18" t="s">
        <v>3781</v>
      </c>
      <c r="Q2161" s="6" t="s">
        <v>4475</v>
      </c>
      <c r="T2161" s="23">
        <v>46056</v>
      </c>
      <c r="U2161" s="23">
        <v>47519</v>
      </c>
      <c r="X2161" s="20">
        <v>5000</v>
      </c>
      <c r="Z2161" s="6" t="s">
        <v>5978</v>
      </c>
      <c r="AA2161" s="14">
        <f t="shared" si="274"/>
        <v>5.9999999999999995E-4</v>
      </c>
      <c r="AB2161">
        <v>2.7603779999999998</v>
      </c>
      <c r="AC2161">
        <v>2.8707931200000001</v>
      </c>
    </row>
    <row r="2162" spans="1:29" x14ac:dyDescent="0.3">
      <c r="A2162">
        <v>151741</v>
      </c>
      <c r="B2162" s="25" t="s">
        <v>5984</v>
      </c>
      <c r="C2162" t="s">
        <v>20</v>
      </c>
      <c r="D2162" t="s">
        <v>21</v>
      </c>
      <c r="E2162">
        <v>2222222</v>
      </c>
      <c r="F2162" s="8" t="s">
        <v>22</v>
      </c>
      <c r="G2162" s="2">
        <v>98</v>
      </c>
      <c r="H2162" t="s">
        <v>4222</v>
      </c>
      <c r="J2162" s="9" t="s">
        <v>4967</v>
      </c>
      <c r="K2162" t="s">
        <v>5586</v>
      </c>
      <c r="L2162" s="2">
        <v>1</v>
      </c>
      <c r="M2162" s="24" t="s">
        <v>5971</v>
      </c>
      <c r="N2162" s="2" t="s">
        <v>23</v>
      </c>
      <c r="O2162" s="18" t="s">
        <v>1722</v>
      </c>
      <c r="P2162" s="18" t="s">
        <v>3781</v>
      </c>
      <c r="Q2162" s="6" t="s">
        <v>4475</v>
      </c>
      <c r="T2162" s="23">
        <v>46233</v>
      </c>
      <c r="U2162" s="23">
        <v>46963</v>
      </c>
      <c r="X2162" s="20">
        <v>16000</v>
      </c>
      <c r="Z2162" s="6" t="s">
        <v>5978</v>
      </c>
      <c r="AA2162" s="14">
        <f t="shared" si="274"/>
        <v>5.9999999999999995E-4</v>
      </c>
      <c r="AB2162">
        <v>9.6</v>
      </c>
      <c r="AC2162">
        <v>9.984</v>
      </c>
    </row>
    <row r="2163" spans="1:29" x14ac:dyDescent="0.3">
      <c r="A2163">
        <v>152149</v>
      </c>
      <c r="B2163" s="25" t="s">
        <v>5984</v>
      </c>
      <c r="C2163" t="s">
        <v>20</v>
      </c>
      <c r="D2163" t="s">
        <v>21</v>
      </c>
      <c r="E2163">
        <v>2222222</v>
      </c>
      <c r="F2163" s="8" t="s">
        <v>22</v>
      </c>
      <c r="G2163" s="2">
        <v>98</v>
      </c>
      <c r="H2163" t="s">
        <v>4222</v>
      </c>
      <c r="J2163" s="9" t="s">
        <v>5220</v>
      </c>
      <c r="K2163" t="s">
        <v>5189</v>
      </c>
      <c r="L2163" s="2">
        <v>1</v>
      </c>
      <c r="M2163" s="24" t="s">
        <v>5971</v>
      </c>
      <c r="N2163" s="2" t="s">
        <v>23</v>
      </c>
      <c r="O2163" s="18" t="s">
        <v>87</v>
      </c>
      <c r="P2163" s="18" t="s">
        <v>0</v>
      </c>
      <c r="Q2163" s="6" t="s">
        <v>4475</v>
      </c>
      <c r="T2163" s="23">
        <v>46217</v>
      </c>
      <c r="U2163" s="23">
        <v>46860</v>
      </c>
      <c r="X2163" s="20">
        <v>3600</v>
      </c>
      <c r="Z2163" s="6" t="s">
        <v>5978</v>
      </c>
      <c r="AA2163" s="14">
        <f t="shared" si="274"/>
        <v>5.9999999999999995E-4</v>
      </c>
      <c r="AB2163">
        <v>2.1599999999999997</v>
      </c>
      <c r="AC2163">
        <v>2.2464</v>
      </c>
    </row>
    <row r="2164" spans="1:29" x14ac:dyDescent="0.3">
      <c r="A2164">
        <v>138374</v>
      </c>
      <c r="B2164" s="25" t="s">
        <v>5984</v>
      </c>
      <c r="C2164" t="s">
        <v>20</v>
      </c>
      <c r="D2164" t="s">
        <v>21</v>
      </c>
      <c r="E2164">
        <v>2222222</v>
      </c>
      <c r="F2164" s="8" t="s">
        <v>22</v>
      </c>
      <c r="G2164" s="2">
        <v>98</v>
      </c>
      <c r="H2164" t="s">
        <v>4223</v>
      </c>
      <c r="J2164" s="9" t="s">
        <v>5587</v>
      </c>
      <c r="K2164" t="s">
        <v>5021</v>
      </c>
      <c r="L2164" s="2">
        <v>1</v>
      </c>
      <c r="M2164" s="24" t="s">
        <v>5971</v>
      </c>
      <c r="N2164" s="2" t="s">
        <v>23</v>
      </c>
      <c r="O2164" s="18" t="s">
        <v>1725</v>
      </c>
      <c r="P2164" s="18" t="s">
        <v>3781</v>
      </c>
      <c r="Q2164" s="6" t="s">
        <v>4475</v>
      </c>
      <c r="T2164" s="23">
        <v>45272</v>
      </c>
      <c r="U2164" s="23">
        <v>46732</v>
      </c>
      <c r="X2164" s="20">
        <v>5000</v>
      </c>
      <c r="Z2164" s="6" t="s">
        <v>5978</v>
      </c>
      <c r="AA2164" s="13">
        <f t="shared" ref="AA2164:AA2165" si="275">+(0.56/1000)</f>
        <v>5.6000000000000006E-4</v>
      </c>
      <c r="AB2164">
        <v>0.79262960000000016</v>
      </c>
      <c r="AC2164">
        <v>0.82433478400000015</v>
      </c>
    </row>
    <row r="2165" spans="1:29" x14ac:dyDescent="0.3">
      <c r="A2165">
        <v>139819</v>
      </c>
      <c r="B2165" s="25" t="s">
        <v>5984</v>
      </c>
      <c r="C2165" t="s">
        <v>20</v>
      </c>
      <c r="D2165" t="s">
        <v>21</v>
      </c>
      <c r="E2165">
        <v>2222222</v>
      </c>
      <c r="F2165" s="8" t="s">
        <v>22</v>
      </c>
      <c r="G2165" s="2">
        <v>98</v>
      </c>
      <c r="H2165" t="s">
        <v>4224</v>
      </c>
      <c r="J2165" s="9" t="s">
        <v>4929</v>
      </c>
      <c r="K2165" t="s">
        <v>5193</v>
      </c>
      <c r="L2165" s="2">
        <v>1</v>
      </c>
      <c r="M2165" s="24" t="s">
        <v>5971</v>
      </c>
      <c r="N2165" s="2" t="s">
        <v>23</v>
      </c>
      <c r="O2165" s="18" t="s">
        <v>1726</v>
      </c>
      <c r="P2165" s="18" t="s">
        <v>0</v>
      </c>
      <c r="Q2165" s="6" t="s">
        <v>4475</v>
      </c>
      <c r="T2165" s="23">
        <v>45372</v>
      </c>
      <c r="U2165" s="23">
        <v>47197</v>
      </c>
      <c r="X2165" s="20">
        <v>20000</v>
      </c>
      <c r="Z2165" s="6" t="s">
        <v>5978</v>
      </c>
      <c r="AA2165" s="13">
        <f t="shared" si="275"/>
        <v>5.6000000000000006E-4</v>
      </c>
      <c r="AB2165">
        <v>7.0691880000000005</v>
      </c>
      <c r="AC2165">
        <v>7.3519555200000006</v>
      </c>
    </row>
    <row r="2166" spans="1:29" x14ac:dyDescent="0.3">
      <c r="A2166">
        <v>144373</v>
      </c>
      <c r="B2166" s="25" t="s">
        <v>5984</v>
      </c>
      <c r="C2166" t="s">
        <v>20</v>
      </c>
      <c r="D2166" t="s">
        <v>21</v>
      </c>
      <c r="E2166">
        <v>2222222</v>
      </c>
      <c r="F2166" s="8" t="s">
        <v>22</v>
      </c>
      <c r="G2166" s="2">
        <v>98</v>
      </c>
      <c r="H2166" t="s">
        <v>4224</v>
      </c>
      <c r="J2166" s="9" t="s">
        <v>5095</v>
      </c>
      <c r="K2166" t="s">
        <v>5104</v>
      </c>
      <c r="L2166" s="2">
        <v>1</v>
      </c>
      <c r="M2166" s="24" t="s">
        <v>5971</v>
      </c>
      <c r="N2166" s="2" t="s">
        <v>23</v>
      </c>
      <c r="O2166" s="18" t="s">
        <v>1727</v>
      </c>
      <c r="P2166" s="18" t="s">
        <v>3781</v>
      </c>
      <c r="Q2166" s="6" t="s">
        <v>4475</v>
      </c>
      <c r="T2166" s="23">
        <v>45657</v>
      </c>
      <c r="U2166" s="23">
        <v>49313</v>
      </c>
      <c r="X2166" s="20">
        <v>8450</v>
      </c>
      <c r="Z2166" s="6" t="s">
        <v>5978</v>
      </c>
      <c r="AA2166" s="14">
        <f t="shared" ref="AA2166:AA2168" si="276">+(0.6/1000)</f>
        <v>5.9999999999999995E-4</v>
      </c>
      <c r="AB2166">
        <v>4.7176799999999997</v>
      </c>
      <c r="AC2166">
        <v>4.9063872000000002</v>
      </c>
    </row>
    <row r="2167" spans="1:29" x14ac:dyDescent="0.3">
      <c r="A2167">
        <v>147693</v>
      </c>
      <c r="B2167" s="25" t="s">
        <v>5984</v>
      </c>
      <c r="C2167" t="s">
        <v>20</v>
      </c>
      <c r="D2167" t="s">
        <v>21</v>
      </c>
      <c r="E2167">
        <v>2222222</v>
      </c>
      <c r="F2167" s="8" t="s">
        <v>22</v>
      </c>
      <c r="G2167" s="2">
        <v>98</v>
      </c>
      <c r="H2167" t="s">
        <v>4224</v>
      </c>
      <c r="J2167" s="9" t="s">
        <v>4871</v>
      </c>
      <c r="K2167" t="s">
        <v>4848</v>
      </c>
      <c r="L2167" s="2">
        <v>1</v>
      </c>
      <c r="M2167" s="24" t="s">
        <v>5971</v>
      </c>
      <c r="N2167" s="2" t="s">
        <v>23</v>
      </c>
      <c r="O2167" s="18" t="s">
        <v>1728</v>
      </c>
      <c r="P2167" s="18" t="s">
        <v>0</v>
      </c>
      <c r="Q2167" s="6" t="s">
        <v>4475</v>
      </c>
      <c r="T2167" s="23">
        <v>45905</v>
      </c>
      <c r="U2167" s="23">
        <v>47001</v>
      </c>
      <c r="X2167" s="20">
        <v>5000</v>
      </c>
      <c r="Z2167" s="6" t="s">
        <v>5978</v>
      </c>
      <c r="AA2167" s="14">
        <f t="shared" si="276"/>
        <v>5.9999999999999995E-4</v>
      </c>
      <c r="AB2167">
        <v>2.3212379999999997</v>
      </c>
      <c r="AC2167">
        <v>2.4140875199999998</v>
      </c>
    </row>
    <row r="2168" spans="1:29" x14ac:dyDescent="0.3">
      <c r="A2168">
        <v>148665</v>
      </c>
      <c r="B2168" s="25" t="s">
        <v>5984</v>
      </c>
      <c r="C2168" t="s">
        <v>20</v>
      </c>
      <c r="D2168" t="s">
        <v>21</v>
      </c>
      <c r="E2168">
        <v>2222222</v>
      </c>
      <c r="F2168" s="8" t="s">
        <v>22</v>
      </c>
      <c r="G2168" s="2">
        <v>98</v>
      </c>
      <c r="H2168" t="s">
        <v>4224</v>
      </c>
      <c r="J2168" s="9" t="s">
        <v>4826</v>
      </c>
      <c r="K2168" t="s">
        <v>5588</v>
      </c>
      <c r="L2168" s="2">
        <v>1</v>
      </c>
      <c r="M2168" s="24" t="s">
        <v>5971</v>
      </c>
      <c r="N2168" s="2" t="s">
        <v>23</v>
      </c>
      <c r="O2168" s="18" t="s">
        <v>1729</v>
      </c>
      <c r="P2168" s="18" t="s">
        <v>0</v>
      </c>
      <c r="Q2168" s="6" t="s">
        <v>4475</v>
      </c>
      <c r="T2168" s="23">
        <v>45971</v>
      </c>
      <c r="U2168" s="23">
        <v>47432</v>
      </c>
      <c r="X2168" s="20">
        <v>5000</v>
      </c>
      <c r="Z2168" s="6" t="s">
        <v>5978</v>
      </c>
      <c r="AA2168" s="14">
        <f t="shared" si="276"/>
        <v>5.9999999999999995E-4</v>
      </c>
      <c r="AB2168">
        <v>2.6360219999999996</v>
      </c>
      <c r="AC2168">
        <v>2.7414628799999998</v>
      </c>
    </row>
    <row r="2169" spans="1:29" x14ac:dyDescent="0.3">
      <c r="A2169">
        <v>132865</v>
      </c>
      <c r="B2169" s="25" t="s">
        <v>5984</v>
      </c>
      <c r="C2169" t="s">
        <v>20</v>
      </c>
      <c r="D2169" t="s">
        <v>21</v>
      </c>
      <c r="E2169">
        <v>2222222</v>
      </c>
      <c r="F2169" s="8" t="s">
        <v>22</v>
      </c>
      <c r="G2169" s="2">
        <v>98</v>
      </c>
      <c r="H2169" t="s">
        <v>4225</v>
      </c>
      <c r="J2169" s="9" t="s">
        <v>4815</v>
      </c>
      <c r="K2169" t="s">
        <v>4848</v>
      </c>
      <c r="L2169" s="2">
        <v>1</v>
      </c>
      <c r="M2169" s="24" t="s">
        <v>5971</v>
      </c>
      <c r="N2169" s="2" t="s">
        <v>23</v>
      </c>
      <c r="O2169" s="18" t="s">
        <v>1730</v>
      </c>
      <c r="P2169" s="18" t="s">
        <v>0</v>
      </c>
      <c r="Q2169" s="6" t="s">
        <v>4475</v>
      </c>
      <c r="T2169" s="23">
        <v>44963</v>
      </c>
      <c r="U2169" s="23">
        <v>45877</v>
      </c>
      <c r="X2169" s="20">
        <v>2365</v>
      </c>
      <c r="Z2169" s="6" t="s">
        <v>5978</v>
      </c>
      <c r="AA2169" s="13">
        <f>+(0.56/1000)</f>
        <v>5.6000000000000006E-4</v>
      </c>
      <c r="AB2169">
        <v>0.98862960000000011</v>
      </c>
      <c r="AC2169">
        <v>1.0281747840000002</v>
      </c>
    </row>
    <row r="2170" spans="1:29" x14ac:dyDescent="0.3">
      <c r="A2170">
        <v>150387</v>
      </c>
      <c r="B2170" s="25" t="s">
        <v>5984</v>
      </c>
      <c r="C2170" t="s">
        <v>20</v>
      </c>
      <c r="D2170" t="s">
        <v>21</v>
      </c>
      <c r="E2170">
        <v>2222222</v>
      </c>
      <c r="F2170" s="8" t="s">
        <v>22</v>
      </c>
      <c r="G2170" s="2">
        <v>98</v>
      </c>
      <c r="H2170" t="s">
        <v>4225</v>
      </c>
      <c r="J2170" s="9" t="s">
        <v>4901</v>
      </c>
      <c r="K2170" t="s">
        <v>5078</v>
      </c>
      <c r="L2170" s="2">
        <v>1</v>
      </c>
      <c r="M2170" s="24" t="s">
        <v>5971</v>
      </c>
      <c r="N2170" s="2" t="s">
        <v>23</v>
      </c>
      <c r="O2170" s="18" t="s">
        <v>1731</v>
      </c>
      <c r="P2170" s="18" t="s">
        <v>0</v>
      </c>
      <c r="Q2170" s="6" t="s">
        <v>4475</v>
      </c>
      <c r="T2170" s="23">
        <v>46090</v>
      </c>
      <c r="U2170" s="23">
        <v>46820</v>
      </c>
      <c r="X2170" s="20">
        <v>2030</v>
      </c>
      <c r="Z2170" s="6" t="s">
        <v>5978</v>
      </c>
      <c r="AA2170" s="14">
        <f>+(0.6/1000)</f>
        <v>5.9999999999999995E-4</v>
      </c>
      <c r="AB2170">
        <v>0.16503599999999999</v>
      </c>
      <c r="AC2170">
        <v>0.17163744</v>
      </c>
    </row>
    <row r="2171" spans="1:29" x14ac:dyDescent="0.3">
      <c r="A2171">
        <v>131227</v>
      </c>
      <c r="B2171" s="25" t="s">
        <v>5984</v>
      </c>
      <c r="C2171" t="s">
        <v>20</v>
      </c>
      <c r="D2171" t="s">
        <v>21</v>
      </c>
      <c r="E2171">
        <v>2222222</v>
      </c>
      <c r="F2171" s="8" t="s">
        <v>22</v>
      </c>
      <c r="G2171" s="2">
        <v>98</v>
      </c>
      <c r="H2171" t="s">
        <v>4226</v>
      </c>
      <c r="J2171" s="9" t="s">
        <v>4916</v>
      </c>
      <c r="K2171" t="s">
        <v>5411</v>
      </c>
      <c r="L2171" s="2">
        <v>1</v>
      </c>
      <c r="M2171" s="24" t="s">
        <v>5971</v>
      </c>
      <c r="N2171" s="2" t="s">
        <v>23</v>
      </c>
      <c r="O2171" s="18" t="s">
        <v>1732</v>
      </c>
      <c r="P2171" s="18" t="s">
        <v>3781</v>
      </c>
      <c r="Q2171" s="6" t="s">
        <v>4475</v>
      </c>
      <c r="T2171" s="23">
        <v>44913</v>
      </c>
      <c r="U2171" s="23">
        <v>47104</v>
      </c>
      <c r="X2171" s="20">
        <v>25000</v>
      </c>
      <c r="Z2171" s="6" t="s">
        <v>5978</v>
      </c>
      <c r="AA2171" s="13">
        <f t="shared" ref="AA2171:AA2172" si="277">+(0.56/1000)</f>
        <v>5.6000000000000006E-4</v>
      </c>
      <c r="AB2171">
        <v>6.7084416000000013</v>
      </c>
      <c r="AC2171">
        <v>6.9767792640000019</v>
      </c>
    </row>
    <row r="2172" spans="1:29" x14ac:dyDescent="0.3">
      <c r="A2172">
        <v>138432</v>
      </c>
      <c r="B2172" s="25" t="s">
        <v>5984</v>
      </c>
      <c r="C2172" t="s">
        <v>20</v>
      </c>
      <c r="D2172" t="s">
        <v>21</v>
      </c>
      <c r="E2172">
        <v>2222222</v>
      </c>
      <c r="F2172" s="8" t="s">
        <v>22</v>
      </c>
      <c r="G2172" s="2">
        <v>98</v>
      </c>
      <c r="H2172" t="s">
        <v>4226</v>
      </c>
      <c r="J2172" s="9" t="s">
        <v>4916</v>
      </c>
      <c r="K2172" t="s">
        <v>5411</v>
      </c>
      <c r="L2172" s="2">
        <v>1</v>
      </c>
      <c r="M2172" s="24" t="s">
        <v>5971</v>
      </c>
      <c r="N2172" s="2" t="s">
        <v>23</v>
      </c>
      <c r="O2172" s="18" t="s">
        <v>1732</v>
      </c>
      <c r="P2172" s="18" t="s">
        <v>3781</v>
      </c>
      <c r="Q2172" s="6" t="s">
        <v>4475</v>
      </c>
      <c r="T2172" s="23">
        <v>45282</v>
      </c>
      <c r="U2172" s="23">
        <v>46377</v>
      </c>
      <c r="X2172" s="20">
        <v>1500</v>
      </c>
      <c r="Z2172" s="6" t="s">
        <v>5978</v>
      </c>
      <c r="AA2172" s="13">
        <f t="shared" si="277"/>
        <v>5.6000000000000006E-4</v>
      </c>
      <c r="AB2172">
        <v>0.13554800000000003</v>
      </c>
      <c r="AC2172">
        <v>0.14096992000000003</v>
      </c>
    </row>
    <row r="2173" spans="1:29" x14ac:dyDescent="0.3">
      <c r="A2173">
        <v>145618</v>
      </c>
      <c r="B2173" s="25" t="s">
        <v>5984</v>
      </c>
      <c r="C2173" t="s">
        <v>20</v>
      </c>
      <c r="D2173" t="s">
        <v>21</v>
      </c>
      <c r="E2173">
        <v>2222222</v>
      </c>
      <c r="F2173" s="8" t="s">
        <v>22</v>
      </c>
      <c r="G2173" s="2">
        <v>98</v>
      </c>
      <c r="H2173" t="s">
        <v>4226</v>
      </c>
      <c r="J2173" s="9" t="s">
        <v>4916</v>
      </c>
      <c r="K2173" t="s">
        <v>5411</v>
      </c>
      <c r="L2173" s="2">
        <v>1</v>
      </c>
      <c r="M2173" s="24" t="s">
        <v>5971</v>
      </c>
      <c r="N2173" s="2" t="s">
        <v>23</v>
      </c>
      <c r="O2173" s="18" t="s">
        <v>1732</v>
      </c>
      <c r="P2173" s="18" t="s">
        <v>3781</v>
      </c>
      <c r="Q2173" s="6" t="s">
        <v>4475</v>
      </c>
      <c r="T2173" s="23">
        <v>45755</v>
      </c>
      <c r="U2173" s="23">
        <v>46851</v>
      </c>
      <c r="X2173" s="20">
        <v>5000</v>
      </c>
      <c r="Z2173" s="6" t="s">
        <v>5978</v>
      </c>
      <c r="AA2173" s="14">
        <f t="shared" ref="AA2173:AA2179" si="278">+(0.6/1000)</f>
        <v>5.9999999999999995E-4</v>
      </c>
      <c r="AB2173">
        <v>1.3256459999999999</v>
      </c>
      <c r="AC2173">
        <v>1.37867184</v>
      </c>
    </row>
    <row r="2174" spans="1:29" x14ac:dyDescent="0.3">
      <c r="A2174">
        <v>151459</v>
      </c>
      <c r="B2174" s="25" t="s">
        <v>5984</v>
      </c>
      <c r="C2174" t="s">
        <v>20</v>
      </c>
      <c r="D2174" t="s">
        <v>21</v>
      </c>
      <c r="E2174">
        <v>2222222</v>
      </c>
      <c r="F2174" s="8" t="s">
        <v>22</v>
      </c>
      <c r="G2174" s="2">
        <v>98</v>
      </c>
      <c r="H2174" t="s">
        <v>4226</v>
      </c>
      <c r="J2174" s="9" t="s">
        <v>4901</v>
      </c>
      <c r="K2174" t="s">
        <v>4935</v>
      </c>
      <c r="L2174" s="2">
        <v>1</v>
      </c>
      <c r="M2174" s="24" t="s">
        <v>5971</v>
      </c>
      <c r="N2174" s="2" t="s">
        <v>23</v>
      </c>
      <c r="O2174" s="18" t="s">
        <v>1733</v>
      </c>
      <c r="P2174" s="18" t="s">
        <v>0</v>
      </c>
      <c r="Q2174" s="6" t="s">
        <v>4475</v>
      </c>
      <c r="T2174" s="23">
        <v>46166</v>
      </c>
      <c r="U2174" s="23">
        <v>46256</v>
      </c>
      <c r="X2174" s="20">
        <v>1300</v>
      </c>
      <c r="Z2174" s="6" t="s">
        <v>5978</v>
      </c>
      <c r="AA2174" s="14">
        <f t="shared" si="278"/>
        <v>5.9999999999999995E-4</v>
      </c>
      <c r="AB2174">
        <v>0.77999999999999992</v>
      </c>
      <c r="AC2174">
        <v>0.81119999999999992</v>
      </c>
    </row>
    <row r="2175" spans="1:29" x14ac:dyDescent="0.3">
      <c r="A2175">
        <v>151462</v>
      </c>
      <c r="B2175" s="25" t="s">
        <v>5984</v>
      </c>
      <c r="C2175" t="s">
        <v>20</v>
      </c>
      <c r="D2175" t="s">
        <v>21</v>
      </c>
      <c r="E2175">
        <v>2222222</v>
      </c>
      <c r="F2175" s="8" t="s">
        <v>22</v>
      </c>
      <c r="G2175" s="2">
        <v>98</v>
      </c>
      <c r="H2175" t="s">
        <v>4226</v>
      </c>
      <c r="J2175" s="9" t="s">
        <v>5032</v>
      </c>
      <c r="K2175" t="s">
        <v>5589</v>
      </c>
      <c r="L2175" s="2">
        <v>1</v>
      </c>
      <c r="M2175" s="24" t="s">
        <v>5971</v>
      </c>
      <c r="N2175" s="2" t="s">
        <v>23</v>
      </c>
      <c r="O2175" s="18" t="s">
        <v>1734</v>
      </c>
      <c r="P2175" s="18" t="s">
        <v>3781</v>
      </c>
      <c r="Q2175" s="6" t="s">
        <v>4475</v>
      </c>
      <c r="T2175" s="23">
        <v>46166</v>
      </c>
      <c r="U2175" s="23">
        <v>46256</v>
      </c>
      <c r="X2175" s="20">
        <v>2000</v>
      </c>
      <c r="Z2175" s="6" t="s">
        <v>5978</v>
      </c>
      <c r="AA2175" s="14">
        <f t="shared" si="278"/>
        <v>5.9999999999999995E-4</v>
      </c>
      <c r="AB2175">
        <v>1.2</v>
      </c>
      <c r="AC2175">
        <v>1.248</v>
      </c>
    </row>
    <row r="2176" spans="1:29" x14ac:dyDescent="0.3">
      <c r="A2176">
        <v>151837</v>
      </c>
      <c r="B2176" s="25" t="s">
        <v>5984</v>
      </c>
      <c r="C2176" t="s">
        <v>20</v>
      </c>
      <c r="D2176" t="s">
        <v>21</v>
      </c>
      <c r="E2176">
        <v>2222222</v>
      </c>
      <c r="F2176" s="8" t="s">
        <v>22</v>
      </c>
      <c r="G2176" s="2">
        <v>98</v>
      </c>
      <c r="H2176" t="s">
        <v>4226</v>
      </c>
      <c r="J2176" s="9" t="s">
        <v>4901</v>
      </c>
      <c r="K2176" t="s">
        <v>4935</v>
      </c>
      <c r="L2176" s="2">
        <v>1</v>
      </c>
      <c r="M2176" s="24" t="s">
        <v>5971</v>
      </c>
      <c r="N2176" s="2" t="s">
        <v>23</v>
      </c>
      <c r="O2176" s="18" t="s">
        <v>1733</v>
      </c>
      <c r="P2176" s="18" t="s">
        <v>0</v>
      </c>
      <c r="Q2176" s="6" t="s">
        <v>4475</v>
      </c>
      <c r="T2176" s="23">
        <v>46191</v>
      </c>
      <c r="U2176" s="23">
        <v>46281</v>
      </c>
      <c r="X2176" s="20">
        <v>500</v>
      </c>
      <c r="Z2176" s="6" t="s">
        <v>5978</v>
      </c>
      <c r="AA2176" s="14">
        <f t="shared" si="278"/>
        <v>5.9999999999999995E-4</v>
      </c>
      <c r="AB2176">
        <v>0.3</v>
      </c>
      <c r="AC2176">
        <v>0.312</v>
      </c>
    </row>
    <row r="2177" spans="1:29" x14ac:dyDescent="0.3">
      <c r="A2177">
        <v>152316</v>
      </c>
      <c r="B2177" s="25" t="s">
        <v>5984</v>
      </c>
      <c r="C2177" t="s">
        <v>20</v>
      </c>
      <c r="D2177" t="s">
        <v>21</v>
      </c>
      <c r="E2177">
        <v>2222222</v>
      </c>
      <c r="F2177" s="8" t="s">
        <v>22</v>
      </c>
      <c r="G2177" s="2">
        <v>98</v>
      </c>
      <c r="H2177" t="s">
        <v>4226</v>
      </c>
      <c r="J2177" s="9" t="s">
        <v>5032</v>
      </c>
      <c r="K2177" t="s">
        <v>5589</v>
      </c>
      <c r="L2177" s="2">
        <v>1</v>
      </c>
      <c r="M2177" s="24" t="s">
        <v>5971</v>
      </c>
      <c r="N2177" s="2" t="s">
        <v>23</v>
      </c>
      <c r="O2177" s="18" t="s">
        <v>1734</v>
      </c>
      <c r="P2177" s="18" t="s">
        <v>3781</v>
      </c>
      <c r="Q2177" s="6" t="s">
        <v>4475</v>
      </c>
      <c r="T2177" s="23">
        <v>46227</v>
      </c>
      <c r="U2177" s="23">
        <v>46317</v>
      </c>
      <c r="X2177" s="20">
        <v>500</v>
      </c>
      <c r="Z2177" s="6" t="s">
        <v>5978</v>
      </c>
      <c r="AA2177" s="14">
        <f t="shared" si="278"/>
        <v>5.9999999999999995E-4</v>
      </c>
      <c r="AB2177">
        <v>0.3</v>
      </c>
      <c r="AC2177">
        <v>0.312</v>
      </c>
    </row>
    <row r="2178" spans="1:29" x14ac:dyDescent="0.3">
      <c r="A2178">
        <v>152336</v>
      </c>
      <c r="B2178" s="25" t="s">
        <v>5984</v>
      </c>
      <c r="C2178" t="s">
        <v>20</v>
      </c>
      <c r="D2178" t="s">
        <v>21</v>
      </c>
      <c r="E2178">
        <v>2222222</v>
      </c>
      <c r="F2178" s="8" t="s">
        <v>22</v>
      </c>
      <c r="G2178" s="2">
        <v>98</v>
      </c>
      <c r="H2178" t="s">
        <v>4226</v>
      </c>
      <c r="J2178" s="9" t="s">
        <v>5143</v>
      </c>
      <c r="K2178" t="s">
        <v>4837</v>
      </c>
      <c r="L2178" s="2">
        <v>1</v>
      </c>
      <c r="M2178" s="24" t="s">
        <v>5971</v>
      </c>
      <c r="N2178" s="2" t="s">
        <v>23</v>
      </c>
      <c r="O2178" s="18" t="s">
        <v>1735</v>
      </c>
      <c r="P2178" s="18" t="s">
        <v>3781</v>
      </c>
      <c r="Q2178" s="6" t="s">
        <v>4475</v>
      </c>
      <c r="T2178" s="23">
        <v>46230</v>
      </c>
      <c r="U2178" s="23">
        <v>46320</v>
      </c>
      <c r="X2178" s="20">
        <v>1750</v>
      </c>
      <c r="Z2178" s="6" t="s">
        <v>5978</v>
      </c>
      <c r="AA2178" s="14">
        <f t="shared" si="278"/>
        <v>5.9999999999999995E-4</v>
      </c>
      <c r="AB2178">
        <v>1.0499999999999998</v>
      </c>
      <c r="AC2178">
        <v>1.0919999999999999</v>
      </c>
    </row>
    <row r="2179" spans="1:29" x14ac:dyDescent="0.3">
      <c r="A2179">
        <v>152321</v>
      </c>
      <c r="B2179" s="25" t="s">
        <v>5984</v>
      </c>
      <c r="C2179" t="s">
        <v>20</v>
      </c>
      <c r="D2179" t="s">
        <v>21</v>
      </c>
      <c r="E2179">
        <v>2222222</v>
      </c>
      <c r="F2179" s="8" t="s">
        <v>22</v>
      </c>
      <c r="G2179" s="2">
        <v>98</v>
      </c>
      <c r="H2179" t="s">
        <v>4227</v>
      </c>
      <c r="J2179" s="9" t="s">
        <v>4838</v>
      </c>
      <c r="K2179" t="s">
        <v>5068</v>
      </c>
      <c r="L2179" s="2">
        <v>1</v>
      </c>
      <c r="M2179" s="24" t="s">
        <v>5971</v>
      </c>
      <c r="N2179" s="2" t="s">
        <v>23</v>
      </c>
      <c r="O2179" s="18" t="s">
        <v>1735</v>
      </c>
      <c r="P2179" s="18" t="s">
        <v>0</v>
      </c>
      <c r="Q2179" s="6" t="s">
        <v>4475</v>
      </c>
      <c r="T2179" s="23">
        <v>46229</v>
      </c>
      <c r="U2179" s="23">
        <v>46959</v>
      </c>
      <c r="X2179" s="20">
        <v>1000</v>
      </c>
      <c r="Z2179" s="6" t="s">
        <v>5978</v>
      </c>
      <c r="AA2179" s="14">
        <f t="shared" si="278"/>
        <v>5.9999999999999995E-4</v>
      </c>
      <c r="AB2179">
        <v>0.6</v>
      </c>
      <c r="AC2179">
        <v>0.624</v>
      </c>
    </row>
    <row r="2180" spans="1:29" x14ac:dyDescent="0.3">
      <c r="A2180">
        <v>132862</v>
      </c>
      <c r="B2180" s="25" t="s">
        <v>5984</v>
      </c>
      <c r="C2180" t="s">
        <v>20</v>
      </c>
      <c r="D2180" t="s">
        <v>21</v>
      </c>
      <c r="E2180">
        <v>2222222</v>
      </c>
      <c r="F2180" s="8" t="s">
        <v>22</v>
      </c>
      <c r="G2180" s="2">
        <v>98</v>
      </c>
      <c r="H2180" t="s">
        <v>4228</v>
      </c>
      <c r="J2180" s="9" t="s">
        <v>4830</v>
      </c>
      <c r="K2180" t="s">
        <v>5196</v>
      </c>
      <c r="L2180" s="2">
        <v>1</v>
      </c>
      <c r="M2180" s="24" t="s">
        <v>5971</v>
      </c>
      <c r="N2180" s="2" t="s">
        <v>23</v>
      </c>
      <c r="O2180" s="18" t="s">
        <v>1736</v>
      </c>
      <c r="P2180" s="18" t="s">
        <v>3781</v>
      </c>
      <c r="Q2180" s="6" t="s">
        <v>4475</v>
      </c>
      <c r="T2180" s="23">
        <v>44962</v>
      </c>
      <c r="U2180" s="23">
        <v>46428</v>
      </c>
      <c r="X2180" s="20">
        <v>5000</v>
      </c>
      <c r="Z2180" s="6" t="s">
        <v>5978</v>
      </c>
      <c r="AA2180" s="13">
        <f t="shared" ref="AA2180:AA2181" si="279">+(0.56/1000)</f>
        <v>5.6000000000000006E-4</v>
      </c>
      <c r="AB2180">
        <v>2.7212696000000003</v>
      </c>
      <c r="AC2180">
        <v>2.8301203840000002</v>
      </c>
    </row>
    <row r="2181" spans="1:29" x14ac:dyDescent="0.3">
      <c r="A2181">
        <v>140394</v>
      </c>
      <c r="B2181" s="25" t="s">
        <v>5984</v>
      </c>
      <c r="C2181" t="s">
        <v>20</v>
      </c>
      <c r="D2181" t="s">
        <v>21</v>
      </c>
      <c r="E2181">
        <v>2222222</v>
      </c>
      <c r="F2181" s="8" t="s">
        <v>22</v>
      </c>
      <c r="G2181" s="2">
        <v>98</v>
      </c>
      <c r="H2181" t="s">
        <v>4228</v>
      </c>
      <c r="J2181" s="9" t="s">
        <v>4911</v>
      </c>
      <c r="K2181" t="s">
        <v>5169</v>
      </c>
      <c r="L2181" s="2">
        <v>1</v>
      </c>
      <c r="M2181" s="24" t="s">
        <v>5971</v>
      </c>
      <c r="N2181" s="2" t="s">
        <v>23</v>
      </c>
      <c r="O2181" s="18" t="s">
        <v>1737</v>
      </c>
      <c r="P2181" s="18" t="s">
        <v>3781</v>
      </c>
      <c r="Q2181" s="6" t="s">
        <v>4475</v>
      </c>
      <c r="T2181" s="23">
        <v>45393</v>
      </c>
      <c r="U2181" s="23">
        <v>47219</v>
      </c>
      <c r="X2181" s="20">
        <v>40000</v>
      </c>
      <c r="Z2181" s="6" t="s">
        <v>5978</v>
      </c>
      <c r="AA2181" s="13">
        <f t="shared" si="279"/>
        <v>5.6000000000000006E-4</v>
      </c>
      <c r="AB2181">
        <v>14.495919200000001</v>
      </c>
      <c r="AC2181">
        <v>15.075755968000001</v>
      </c>
    </row>
    <row r="2182" spans="1:29" x14ac:dyDescent="0.3">
      <c r="A2182">
        <v>141576</v>
      </c>
      <c r="B2182" s="25" t="s">
        <v>5984</v>
      </c>
      <c r="C2182" t="s">
        <v>20</v>
      </c>
      <c r="D2182" t="s">
        <v>21</v>
      </c>
      <c r="E2182">
        <v>2222222</v>
      </c>
      <c r="F2182" s="8" t="s">
        <v>22</v>
      </c>
      <c r="G2182" s="2">
        <v>98</v>
      </c>
      <c r="H2182" t="s">
        <v>4228</v>
      </c>
      <c r="J2182" s="9" t="s">
        <v>4911</v>
      </c>
      <c r="K2182" t="s">
        <v>5169</v>
      </c>
      <c r="L2182" s="2">
        <v>1</v>
      </c>
      <c r="M2182" s="24" t="s">
        <v>5971</v>
      </c>
      <c r="N2182" s="2" t="s">
        <v>23</v>
      </c>
      <c r="O2182" s="18" t="s">
        <v>1737</v>
      </c>
      <c r="P2182" s="18" t="s">
        <v>3781</v>
      </c>
      <c r="Q2182" s="6" t="s">
        <v>4475</v>
      </c>
      <c r="T2182" s="23">
        <v>45462</v>
      </c>
      <c r="U2182" s="23">
        <v>46923</v>
      </c>
      <c r="X2182" s="20">
        <v>5000</v>
      </c>
      <c r="Z2182" s="6" t="s">
        <v>5978</v>
      </c>
      <c r="AA2182" s="14">
        <f t="shared" ref="AA2182:AA2186" si="280">+(0.6/1000)</f>
        <v>5.9999999999999995E-4</v>
      </c>
      <c r="AB2182">
        <v>1.721706</v>
      </c>
      <c r="AC2182">
        <v>1.79057424</v>
      </c>
    </row>
    <row r="2183" spans="1:29" x14ac:dyDescent="0.3">
      <c r="A2183">
        <v>144343</v>
      </c>
      <c r="B2183" s="25" t="s">
        <v>5984</v>
      </c>
      <c r="C2183" t="s">
        <v>20</v>
      </c>
      <c r="D2183" t="s">
        <v>21</v>
      </c>
      <c r="E2183">
        <v>2222222</v>
      </c>
      <c r="F2183" s="8" t="s">
        <v>22</v>
      </c>
      <c r="G2183" s="2">
        <v>98</v>
      </c>
      <c r="H2183" t="s">
        <v>4228</v>
      </c>
      <c r="J2183" s="9" t="s">
        <v>4941</v>
      </c>
      <c r="K2183" t="s">
        <v>4980</v>
      </c>
      <c r="L2183" s="2">
        <v>1</v>
      </c>
      <c r="M2183" s="24" t="s">
        <v>5971</v>
      </c>
      <c r="N2183" s="2" t="s">
        <v>23</v>
      </c>
      <c r="O2183" s="18" t="s">
        <v>1738</v>
      </c>
      <c r="P2183" s="18" t="s">
        <v>3781</v>
      </c>
      <c r="Q2183" s="6" t="s">
        <v>4475</v>
      </c>
      <c r="T2183" s="23">
        <v>45656</v>
      </c>
      <c r="U2183" s="23">
        <v>46388</v>
      </c>
      <c r="X2183" s="20">
        <v>3500</v>
      </c>
      <c r="Z2183" s="6" t="s">
        <v>5978</v>
      </c>
      <c r="AA2183" s="14">
        <f t="shared" si="280"/>
        <v>5.9999999999999995E-4</v>
      </c>
      <c r="AB2183">
        <v>0.59153999999999995</v>
      </c>
      <c r="AC2183">
        <v>0.61520160000000002</v>
      </c>
    </row>
    <row r="2184" spans="1:29" x14ac:dyDescent="0.3">
      <c r="A2184">
        <v>144548</v>
      </c>
      <c r="B2184" s="25" t="s">
        <v>5984</v>
      </c>
      <c r="C2184" t="s">
        <v>20</v>
      </c>
      <c r="D2184" t="s">
        <v>21</v>
      </c>
      <c r="E2184">
        <v>2222222</v>
      </c>
      <c r="F2184" s="8" t="s">
        <v>22</v>
      </c>
      <c r="G2184" s="2">
        <v>98</v>
      </c>
      <c r="H2184" t="s">
        <v>4228</v>
      </c>
      <c r="J2184" s="9" t="s">
        <v>4815</v>
      </c>
      <c r="K2184" t="s">
        <v>5590</v>
      </c>
      <c r="L2184" s="2">
        <v>1</v>
      </c>
      <c r="M2184" s="24" t="s">
        <v>5971</v>
      </c>
      <c r="N2184" s="2" t="s">
        <v>23</v>
      </c>
      <c r="O2184" s="18" t="s">
        <v>1739</v>
      </c>
      <c r="P2184" s="18" t="s">
        <v>0</v>
      </c>
      <c r="Q2184" s="6" t="s">
        <v>4475</v>
      </c>
      <c r="T2184" s="23">
        <v>45672</v>
      </c>
      <c r="U2184" s="23">
        <v>47132</v>
      </c>
      <c r="X2184" s="20">
        <v>4100</v>
      </c>
      <c r="Z2184" s="6" t="s">
        <v>5978</v>
      </c>
      <c r="AA2184" s="14">
        <f t="shared" si="280"/>
        <v>5.9999999999999995E-4</v>
      </c>
      <c r="AB2184">
        <v>1.73454</v>
      </c>
      <c r="AC2184">
        <v>1.8039216</v>
      </c>
    </row>
    <row r="2185" spans="1:29" x14ac:dyDescent="0.3">
      <c r="A2185">
        <v>144819</v>
      </c>
      <c r="B2185" s="25" t="s">
        <v>5984</v>
      </c>
      <c r="C2185" t="s">
        <v>20</v>
      </c>
      <c r="D2185" t="s">
        <v>21</v>
      </c>
      <c r="E2185">
        <v>2222222</v>
      </c>
      <c r="F2185" s="8" t="s">
        <v>22</v>
      </c>
      <c r="G2185" s="2">
        <v>98</v>
      </c>
      <c r="H2185" t="s">
        <v>4228</v>
      </c>
      <c r="J2185" s="9" t="s">
        <v>5591</v>
      </c>
      <c r="K2185" t="s">
        <v>5280</v>
      </c>
      <c r="L2185" s="2">
        <v>1</v>
      </c>
      <c r="M2185" s="24" t="s">
        <v>5971</v>
      </c>
      <c r="N2185" s="2" t="s">
        <v>23</v>
      </c>
      <c r="O2185" s="18" t="s">
        <v>1740</v>
      </c>
      <c r="P2185" s="18" t="s">
        <v>3781</v>
      </c>
      <c r="Q2185" s="6" t="s">
        <v>4475</v>
      </c>
      <c r="T2185" s="23">
        <v>45691</v>
      </c>
      <c r="U2185" s="23">
        <v>46788</v>
      </c>
      <c r="X2185" s="20">
        <v>5000</v>
      </c>
      <c r="Z2185" s="6" t="s">
        <v>5978</v>
      </c>
      <c r="AA2185" s="14">
        <f t="shared" si="280"/>
        <v>5.9999999999999995E-4</v>
      </c>
      <c r="AB2185">
        <v>1.7845739999999999</v>
      </c>
      <c r="AC2185">
        <v>1.8559569599999999</v>
      </c>
    </row>
    <row r="2186" spans="1:29" x14ac:dyDescent="0.3">
      <c r="A2186">
        <v>147664</v>
      </c>
      <c r="B2186" s="25" t="s">
        <v>5984</v>
      </c>
      <c r="C2186" t="s">
        <v>20</v>
      </c>
      <c r="D2186" t="s">
        <v>21</v>
      </c>
      <c r="E2186">
        <v>2222222</v>
      </c>
      <c r="F2186" s="8" t="s">
        <v>22</v>
      </c>
      <c r="G2186" s="2">
        <v>98</v>
      </c>
      <c r="H2186" t="s">
        <v>4228</v>
      </c>
      <c r="J2186" s="9" t="s">
        <v>4911</v>
      </c>
      <c r="K2186" t="s">
        <v>5169</v>
      </c>
      <c r="L2186" s="2">
        <v>1</v>
      </c>
      <c r="M2186" s="24" t="s">
        <v>5971</v>
      </c>
      <c r="N2186" s="2" t="s">
        <v>23</v>
      </c>
      <c r="O2186" s="18" t="s">
        <v>1737</v>
      </c>
      <c r="P2186" s="18" t="s">
        <v>3781</v>
      </c>
      <c r="Q2186" s="6" t="s">
        <v>4475</v>
      </c>
      <c r="T2186" s="23">
        <v>45904</v>
      </c>
      <c r="U2186" s="23">
        <v>47000</v>
      </c>
      <c r="X2186" s="20">
        <v>4000</v>
      </c>
      <c r="Z2186" s="6" t="s">
        <v>5978</v>
      </c>
      <c r="AA2186" s="14">
        <f t="shared" si="280"/>
        <v>5.9999999999999995E-4</v>
      </c>
      <c r="AB2186">
        <v>1.8505199999999997</v>
      </c>
      <c r="AC2186">
        <v>1.9245407999999997</v>
      </c>
    </row>
    <row r="2187" spans="1:29" x14ac:dyDescent="0.3">
      <c r="A2187">
        <v>148533</v>
      </c>
      <c r="B2187" s="25" t="s">
        <v>5984</v>
      </c>
      <c r="C2187" t="s">
        <v>20</v>
      </c>
      <c r="D2187" t="s">
        <v>21</v>
      </c>
      <c r="E2187">
        <v>2222222</v>
      </c>
      <c r="F2187" s="8" t="s">
        <v>22</v>
      </c>
      <c r="G2187" s="2">
        <v>98</v>
      </c>
      <c r="H2187" t="s">
        <v>4228</v>
      </c>
      <c r="J2187" s="9" t="s">
        <v>4836</v>
      </c>
      <c r="K2187" t="s">
        <v>4942</v>
      </c>
      <c r="L2187" s="2">
        <v>1</v>
      </c>
      <c r="M2187" s="24" t="s">
        <v>5971</v>
      </c>
      <c r="N2187" s="2" t="s">
        <v>23</v>
      </c>
      <c r="O2187" s="18" t="s">
        <v>1741</v>
      </c>
      <c r="P2187" s="18" t="s">
        <v>3781</v>
      </c>
      <c r="Q2187" s="6" t="s">
        <v>4475</v>
      </c>
      <c r="T2187" s="23">
        <v>44846</v>
      </c>
      <c r="U2187" s="23">
        <v>47128</v>
      </c>
      <c r="X2187" s="20">
        <v>30000</v>
      </c>
      <c r="Z2187" s="6" t="s">
        <v>5978</v>
      </c>
      <c r="AA2187" s="13">
        <f>+(0.56/1000)</f>
        <v>5.6000000000000006E-4</v>
      </c>
      <c r="AB2187">
        <v>8.9934320000000021</v>
      </c>
      <c r="AC2187">
        <v>9.353169280000003</v>
      </c>
    </row>
    <row r="2188" spans="1:29" x14ac:dyDescent="0.3">
      <c r="A2188">
        <v>150756</v>
      </c>
      <c r="B2188" s="25" t="s">
        <v>5984</v>
      </c>
      <c r="C2188" t="s">
        <v>20</v>
      </c>
      <c r="D2188" t="s">
        <v>21</v>
      </c>
      <c r="E2188">
        <v>2222222</v>
      </c>
      <c r="F2188" s="8" t="s">
        <v>22</v>
      </c>
      <c r="G2188" s="2">
        <v>98</v>
      </c>
      <c r="H2188" t="s">
        <v>4228</v>
      </c>
      <c r="J2188" s="9" t="s">
        <v>4836</v>
      </c>
      <c r="K2188" t="s">
        <v>4942</v>
      </c>
      <c r="L2188" s="2">
        <v>1</v>
      </c>
      <c r="M2188" s="24" t="s">
        <v>5971</v>
      </c>
      <c r="N2188" s="2" t="s">
        <v>23</v>
      </c>
      <c r="O2188" s="18" t="s">
        <v>1741</v>
      </c>
      <c r="P2188" s="18" t="s">
        <v>3781</v>
      </c>
      <c r="Q2188" s="6" t="s">
        <v>4475</v>
      </c>
      <c r="T2188" s="23">
        <v>46113</v>
      </c>
      <c r="U2188" s="23">
        <v>47574</v>
      </c>
      <c r="X2188" s="20">
        <v>2880</v>
      </c>
      <c r="Z2188" s="6" t="s">
        <v>5978</v>
      </c>
      <c r="AA2188" s="14">
        <f t="shared" ref="AA2188:AA2190" si="281">+(0.6/1000)</f>
        <v>5.9999999999999995E-4</v>
      </c>
      <c r="AB2188">
        <v>1.6460279999999998</v>
      </c>
      <c r="AC2188">
        <v>1.7118691199999998</v>
      </c>
    </row>
    <row r="2189" spans="1:29" x14ac:dyDescent="0.3">
      <c r="A2189">
        <v>150759</v>
      </c>
      <c r="B2189" s="25" t="s">
        <v>5984</v>
      </c>
      <c r="C2189" t="s">
        <v>20</v>
      </c>
      <c r="D2189" t="s">
        <v>21</v>
      </c>
      <c r="E2189">
        <v>2222222</v>
      </c>
      <c r="F2189" s="8" t="s">
        <v>22</v>
      </c>
      <c r="G2189" s="2">
        <v>98</v>
      </c>
      <c r="H2189" t="s">
        <v>4228</v>
      </c>
      <c r="J2189" s="9" t="s">
        <v>5592</v>
      </c>
      <c r="K2189" t="s">
        <v>5148</v>
      </c>
      <c r="L2189" s="2">
        <v>1</v>
      </c>
      <c r="M2189" s="24" t="s">
        <v>5971</v>
      </c>
      <c r="N2189" s="2" t="s">
        <v>23</v>
      </c>
      <c r="O2189" s="18" t="s">
        <v>1742</v>
      </c>
      <c r="P2189" s="18" t="s">
        <v>3781</v>
      </c>
      <c r="Q2189" s="6" t="s">
        <v>4475</v>
      </c>
      <c r="T2189" s="23">
        <v>46113</v>
      </c>
      <c r="U2189" s="23">
        <v>47209</v>
      </c>
      <c r="X2189" s="20">
        <v>5000</v>
      </c>
      <c r="Z2189" s="6" t="s">
        <v>5978</v>
      </c>
      <c r="AA2189" s="14">
        <f t="shared" si="281"/>
        <v>5.9999999999999995E-4</v>
      </c>
      <c r="AB2189">
        <v>2.8070999999999997</v>
      </c>
      <c r="AC2189">
        <v>2.919384</v>
      </c>
    </row>
    <row r="2190" spans="1:29" x14ac:dyDescent="0.3">
      <c r="A2190">
        <v>151940</v>
      </c>
      <c r="B2190" s="25" t="s">
        <v>5984</v>
      </c>
      <c r="C2190" t="s">
        <v>20</v>
      </c>
      <c r="D2190" t="s">
        <v>21</v>
      </c>
      <c r="E2190">
        <v>2222222</v>
      </c>
      <c r="F2190" s="8" t="s">
        <v>22</v>
      </c>
      <c r="G2190" s="2">
        <v>98</v>
      </c>
      <c r="H2190" t="s">
        <v>4228</v>
      </c>
      <c r="J2190" s="9" t="s">
        <v>5592</v>
      </c>
      <c r="K2190" t="s">
        <v>5148</v>
      </c>
      <c r="L2190" s="2">
        <v>1</v>
      </c>
      <c r="M2190" s="24" t="s">
        <v>5971</v>
      </c>
      <c r="N2190" s="2" t="s">
        <v>23</v>
      </c>
      <c r="O2190" s="18" t="s">
        <v>1742</v>
      </c>
      <c r="P2190" s="18" t="s">
        <v>3781</v>
      </c>
      <c r="Q2190" s="6" t="s">
        <v>4475</v>
      </c>
      <c r="T2190" s="23">
        <v>46200</v>
      </c>
      <c r="U2190" s="23">
        <v>46290</v>
      </c>
      <c r="X2190" s="20">
        <v>2595</v>
      </c>
      <c r="Z2190" s="6" t="s">
        <v>5978</v>
      </c>
      <c r="AA2190" s="14">
        <f t="shared" si="281"/>
        <v>5.9999999999999995E-4</v>
      </c>
      <c r="AB2190">
        <v>1.5569999999999999</v>
      </c>
      <c r="AC2190">
        <v>1.6192800000000001</v>
      </c>
    </row>
    <row r="2191" spans="1:29" x14ac:dyDescent="0.3">
      <c r="A2191">
        <v>132621</v>
      </c>
      <c r="B2191" s="25" t="s">
        <v>5984</v>
      </c>
      <c r="C2191" t="s">
        <v>20</v>
      </c>
      <c r="D2191" t="s">
        <v>21</v>
      </c>
      <c r="E2191">
        <v>2222222</v>
      </c>
      <c r="F2191" s="8" t="s">
        <v>22</v>
      </c>
      <c r="G2191" s="2">
        <v>98</v>
      </c>
      <c r="H2191" t="s">
        <v>4229</v>
      </c>
      <c r="J2191" s="9" t="s">
        <v>4836</v>
      </c>
      <c r="K2191" t="s">
        <v>4873</v>
      </c>
      <c r="L2191" s="2">
        <v>1</v>
      </c>
      <c r="M2191" s="24" t="s">
        <v>5971</v>
      </c>
      <c r="N2191" s="2" t="s">
        <v>23</v>
      </c>
      <c r="O2191" s="18" t="s">
        <v>1743</v>
      </c>
      <c r="P2191" s="18" t="s">
        <v>3781</v>
      </c>
      <c r="Q2191" s="6" t="s">
        <v>4475</v>
      </c>
      <c r="T2191" s="23">
        <v>44950</v>
      </c>
      <c r="U2191" s="23">
        <v>46410</v>
      </c>
      <c r="X2191" s="20">
        <v>4100</v>
      </c>
      <c r="Z2191" s="6" t="s">
        <v>5978</v>
      </c>
      <c r="AA2191" s="13">
        <f t="shared" ref="AA2191:AA2192" si="282">+(0.56/1000)</f>
        <v>5.6000000000000006E-4</v>
      </c>
      <c r="AB2191">
        <v>0.37199120000000002</v>
      </c>
      <c r="AC2191">
        <v>0.38687084800000004</v>
      </c>
    </row>
    <row r="2192" spans="1:29" x14ac:dyDescent="0.3">
      <c r="A2192">
        <v>135819</v>
      </c>
      <c r="B2192" s="25" t="s">
        <v>5984</v>
      </c>
      <c r="C2192" t="s">
        <v>20</v>
      </c>
      <c r="D2192" t="s">
        <v>21</v>
      </c>
      <c r="E2192">
        <v>2222222</v>
      </c>
      <c r="F2192" s="8" t="s">
        <v>22</v>
      </c>
      <c r="G2192" s="2">
        <v>98</v>
      </c>
      <c r="H2192" t="s">
        <v>4229</v>
      </c>
      <c r="J2192" s="9" t="s">
        <v>5050</v>
      </c>
      <c r="K2192" t="s">
        <v>5025</v>
      </c>
      <c r="L2192" s="2">
        <v>1</v>
      </c>
      <c r="M2192" s="24" t="s">
        <v>5971</v>
      </c>
      <c r="N2192" s="2" t="s">
        <v>23</v>
      </c>
      <c r="O2192" s="18" t="s">
        <v>1744</v>
      </c>
      <c r="P2192" s="18" t="s">
        <v>3781</v>
      </c>
      <c r="Q2192" s="6" t="s">
        <v>4475</v>
      </c>
      <c r="T2192" s="23">
        <v>45196</v>
      </c>
      <c r="U2192" s="23">
        <v>47753</v>
      </c>
      <c r="X2192" s="20">
        <v>50000</v>
      </c>
      <c r="Z2192" s="6" t="s">
        <v>5978</v>
      </c>
      <c r="AA2192" s="13">
        <f t="shared" si="282"/>
        <v>5.6000000000000006E-4</v>
      </c>
      <c r="AB2192">
        <v>19.302684800000002</v>
      </c>
      <c r="AC2192">
        <v>20.074792192000004</v>
      </c>
    </row>
    <row r="2193" spans="1:29" x14ac:dyDescent="0.3">
      <c r="A2193">
        <v>142680</v>
      </c>
      <c r="B2193" s="25" t="s">
        <v>5984</v>
      </c>
      <c r="C2193" t="s">
        <v>20</v>
      </c>
      <c r="D2193" t="s">
        <v>21</v>
      </c>
      <c r="E2193">
        <v>2222222</v>
      </c>
      <c r="F2193" s="8" t="s">
        <v>22</v>
      </c>
      <c r="G2193" s="2">
        <v>98</v>
      </c>
      <c r="H2193" t="s">
        <v>4229</v>
      </c>
      <c r="J2193" s="9" t="s">
        <v>4815</v>
      </c>
      <c r="K2193" t="s">
        <v>5484</v>
      </c>
      <c r="L2193" s="2">
        <v>1</v>
      </c>
      <c r="M2193" s="24" t="s">
        <v>5971</v>
      </c>
      <c r="N2193" s="2" t="s">
        <v>23</v>
      </c>
      <c r="O2193" s="18" t="s">
        <v>1745</v>
      </c>
      <c r="P2193" s="18" t="s">
        <v>0</v>
      </c>
      <c r="Q2193" s="6" t="s">
        <v>4475</v>
      </c>
      <c r="T2193" s="23">
        <v>45538</v>
      </c>
      <c r="U2193" s="23">
        <v>46633</v>
      </c>
      <c r="X2193" s="20">
        <v>3500</v>
      </c>
      <c r="Z2193" s="6" t="s">
        <v>5978</v>
      </c>
      <c r="AA2193" s="14">
        <f t="shared" ref="AA2193:AA2205" si="283">+(0.6/1000)</f>
        <v>5.9999999999999995E-4</v>
      </c>
      <c r="AB2193">
        <v>1.021884</v>
      </c>
      <c r="AC2193">
        <v>1.06275936</v>
      </c>
    </row>
    <row r="2194" spans="1:29" x14ac:dyDescent="0.3">
      <c r="A2194">
        <v>145431</v>
      </c>
      <c r="B2194" s="25" t="s">
        <v>5984</v>
      </c>
      <c r="C2194" t="s">
        <v>20</v>
      </c>
      <c r="D2194" t="s">
        <v>21</v>
      </c>
      <c r="E2194">
        <v>2222222</v>
      </c>
      <c r="F2194" s="8" t="s">
        <v>22</v>
      </c>
      <c r="G2194" s="2">
        <v>98</v>
      </c>
      <c r="H2194" t="s">
        <v>4229</v>
      </c>
      <c r="J2194" s="9" t="s">
        <v>5011</v>
      </c>
      <c r="K2194" t="s">
        <v>5092</v>
      </c>
      <c r="L2194" s="2">
        <v>1</v>
      </c>
      <c r="M2194" s="24" t="s">
        <v>5971</v>
      </c>
      <c r="N2194" s="2" t="s">
        <v>23</v>
      </c>
      <c r="O2194" s="18" t="s">
        <v>1746</v>
      </c>
      <c r="P2194" s="18" t="s">
        <v>3781</v>
      </c>
      <c r="Q2194" s="6" t="s">
        <v>4475</v>
      </c>
      <c r="T2194" s="23">
        <v>45740</v>
      </c>
      <c r="U2194" s="23">
        <v>47200</v>
      </c>
      <c r="X2194" s="20">
        <v>5000</v>
      </c>
      <c r="Z2194" s="6" t="s">
        <v>5978</v>
      </c>
      <c r="AA2194" s="14">
        <f t="shared" si="283"/>
        <v>5.9999999999999995E-4</v>
      </c>
      <c r="AB2194">
        <v>2.283042</v>
      </c>
      <c r="AC2194">
        <v>2.3743636800000001</v>
      </c>
    </row>
    <row r="2195" spans="1:29" x14ac:dyDescent="0.3">
      <c r="A2195">
        <v>148991</v>
      </c>
      <c r="B2195" s="25" t="s">
        <v>5984</v>
      </c>
      <c r="C2195" t="s">
        <v>20</v>
      </c>
      <c r="D2195" t="s">
        <v>21</v>
      </c>
      <c r="E2195">
        <v>2222222</v>
      </c>
      <c r="F2195" s="8" t="s">
        <v>22</v>
      </c>
      <c r="G2195" s="2">
        <v>98</v>
      </c>
      <c r="H2195" t="s">
        <v>4229</v>
      </c>
      <c r="J2195" s="9" t="s">
        <v>4830</v>
      </c>
      <c r="K2195" t="s">
        <v>5132</v>
      </c>
      <c r="L2195" s="2">
        <v>1</v>
      </c>
      <c r="M2195" s="24" t="s">
        <v>5971</v>
      </c>
      <c r="N2195" s="2" t="s">
        <v>23</v>
      </c>
      <c r="O2195" s="18" t="s">
        <v>1747</v>
      </c>
      <c r="P2195" s="18" t="s">
        <v>3781</v>
      </c>
      <c r="Q2195" s="6" t="s">
        <v>4475</v>
      </c>
      <c r="T2195" s="23">
        <v>45991</v>
      </c>
      <c r="U2195" s="23">
        <v>47454</v>
      </c>
      <c r="X2195" s="20">
        <v>5000</v>
      </c>
      <c r="Z2195" s="6" t="s">
        <v>5978</v>
      </c>
      <c r="AA2195" s="14">
        <f t="shared" si="283"/>
        <v>5.9999999999999995E-4</v>
      </c>
      <c r="AB2195">
        <v>2.6827320000000001</v>
      </c>
      <c r="AC2195">
        <v>2.7900412800000001</v>
      </c>
    </row>
    <row r="2196" spans="1:29" x14ac:dyDescent="0.3">
      <c r="A2196">
        <v>149174</v>
      </c>
      <c r="B2196" s="25" t="s">
        <v>5984</v>
      </c>
      <c r="C2196" t="s">
        <v>20</v>
      </c>
      <c r="D2196" t="s">
        <v>21</v>
      </c>
      <c r="E2196">
        <v>2222222</v>
      </c>
      <c r="F2196" s="8" t="s">
        <v>22</v>
      </c>
      <c r="G2196" s="2">
        <v>98</v>
      </c>
      <c r="H2196" t="s">
        <v>4229</v>
      </c>
      <c r="J2196" s="9" t="s">
        <v>5039</v>
      </c>
      <c r="K2196" t="s">
        <v>4880</v>
      </c>
      <c r="L2196" s="2">
        <v>1</v>
      </c>
      <c r="M2196" s="24" t="s">
        <v>5971</v>
      </c>
      <c r="N2196" s="2" t="s">
        <v>23</v>
      </c>
      <c r="O2196" s="18" t="s">
        <v>1748</v>
      </c>
      <c r="P2196" s="18" t="s">
        <v>3781</v>
      </c>
      <c r="Q2196" s="6" t="s">
        <v>4475</v>
      </c>
      <c r="T2196" s="23">
        <v>46002</v>
      </c>
      <c r="U2196" s="23">
        <v>46731</v>
      </c>
      <c r="X2196" s="20">
        <v>3000</v>
      </c>
      <c r="Z2196" s="6" t="s">
        <v>5978</v>
      </c>
      <c r="AA2196" s="14">
        <f t="shared" si="283"/>
        <v>5.9999999999999995E-4</v>
      </c>
      <c r="AB2196">
        <v>1.3353839999999999</v>
      </c>
      <c r="AC2196">
        <v>1.3887993599999999</v>
      </c>
    </row>
    <row r="2197" spans="1:29" x14ac:dyDescent="0.3">
      <c r="A2197">
        <v>149365</v>
      </c>
      <c r="B2197" s="25" t="s">
        <v>5984</v>
      </c>
      <c r="C2197" t="s">
        <v>20</v>
      </c>
      <c r="D2197" t="s">
        <v>21</v>
      </c>
      <c r="E2197">
        <v>2222222</v>
      </c>
      <c r="F2197" s="8" t="s">
        <v>22</v>
      </c>
      <c r="G2197" s="2">
        <v>98</v>
      </c>
      <c r="H2197" t="s">
        <v>4229</v>
      </c>
      <c r="J2197" s="9" t="s">
        <v>4836</v>
      </c>
      <c r="K2197" t="s">
        <v>4873</v>
      </c>
      <c r="L2197" s="2">
        <v>1</v>
      </c>
      <c r="M2197" s="24" t="s">
        <v>5971</v>
      </c>
      <c r="N2197" s="2" t="s">
        <v>23</v>
      </c>
      <c r="O2197" s="18" t="s">
        <v>1743</v>
      </c>
      <c r="P2197" s="18" t="s">
        <v>3781</v>
      </c>
      <c r="Q2197" s="6" t="s">
        <v>4475</v>
      </c>
      <c r="T2197" s="23">
        <v>46017</v>
      </c>
      <c r="U2197" s="23">
        <v>46410</v>
      </c>
      <c r="X2197" s="20">
        <v>1680</v>
      </c>
      <c r="Z2197" s="6" t="s">
        <v>5978</v>
      </c>
      <c r="AA2197" s="14">
        <f t="shared" si="283"/>
        <v>5.9999999999999995E-4</v>
      </c>
      <c r="AB2197">
        <v>1.008</v>
      </c>
      <c r="AC2197">
        <v>1.0483200000000001</v>
      </c>
    </row>
    <row r="2198" spans="1:29" x14ac:dyDescent="0.3">
      <c r="A2198">
        <v>149778</v>
      </c>
      <c r="B2198" s="25" t="s">
        <v>5984</v>
      </c>
      <c r="C2198" t="s">
        <v>20</v>
      </c>
      <c r="D2198" t="s">
        <v>21</v>
      </c>
      <c r="E2198">
        <v>2222222</v>
      </c>
      <c r="F2198" s="8" t="s">
        <v>22</v>
      </c>
      <c r="G2198" s="2">
        <v>98</v>
      </c>
      <c r="H2198" t="s">
        <v>4229</v>
      </c>
      <c r="J2198" s="9" t="s">
        <v>4981</v>
      </c>
      <c r="K2198" t="s">
        <v>5057</v>
      </c>
      <c r="L2198" s="2">
        <v>1</v>
      </c>
      <c r="M2198" s="24" t="s">
        <v>5971</v>
      </c>
      <c r="N2198" s="2" t="s">
        <v>23</v>
      </c>
      <c r="O2198" s="18" t="s">
        <v>1143</v>
      </c>
      <c r="P2198" s="18" t="s">
        <v>3781</v>
      </c>
      <c r="Q2198" s="6" t="s">
        <v>4475</v>
      </c>
      <c r="T2198" s="23">
        <v>46050</v>
      </c>
      <c r="U2198" s="23">
        <v>46779</v>
      </c>
      <c r="X2198" s="20">
        <v>2390</v>
      </c>
      <c r="Z2198" s="6" t="s">
        <v>5978</v>
      </c>
      <c r="AA2198" s="14">
        <f t="shared" si="283"/>
        <v>5.9999999999999995E-4</v>
      </c>
      <c r="AB2198">
        <v>1.1183759999999998</v>
      </c>
      <c r="AC2198">
        <v>1.1631110399999998</v>
      </c>
    </row>
    <row r="2199" spans="1:29" x14ac:dyDescent="0.3">
      <c r="A2199">
        <v>150913</v>
      </c>
      <c r="B2199" s="25" t="s">
        <v>5984</v>
      </c>
      <c r="C2199" t="s">
        <v>20</v>
      </c>
      <c r="D2199" t="s">
        <v>21</v>
      </c>
      <c r="E2199">
        <v>2222222</v>
      </c>
      <c r="F2199" s="8" t="s">
        <v>22</v>
      </c>
      <c r="G2199" s="2">
        <v>98</v>
      </c>
      <c r="H2199" t="s">
        <v>4229</v>
      </c>
      <c r="J2199" s="9" t="s">
        <v>4914</v>
      </c>
      <c r="K2199" t="s">
        <v>5411</v>
      </c>
      <c r="L2199" s="2">
        <v>1</v>
      </c>
      <c r="M2199" s="24" t="s">
        <v>5971</v>
      </c>
      <c r="N2199" s="2" t="s">
        <v>23</v>
      </c>
      <c r="O2199" s="18" t="s">
        <v>1749</v>
      </c>
      <c r="P2199" s="18" t="s">
        <v>3781</v>
      </c>
      <c r="Q2199" s="6" t="s">
        <v>4475</v>
      </c>
      <c r="T2199" s="23">
        <v>46126</v>
      </c>
      <c r="U2199" s="23">
        <v>46857</v>
      </c>
      <c r="X2199" s="20">
        <v>1500</v>
      </c>
      <c r="Z2199" s="6" t="s">
        <v>5978</v>
      </c>
      <c r="AA2199" s="14">
        <f t="shared" si="283"/>
        <v>5.9999999999999995E-4</v>
      </c>
      <c r="AB2199">
        <v>0.80438999999999994</v>
      </c>
      <c r="AC2199">
        <v>0.83656559999999991</v>
      </c>
    </row>
    <row r="2200" spans="1:29" x14ac:dyDescent="0.3">
      <c r="A2200">
        <v>151434</v>
      </c>
      <c r="B2200" s="25" t="s">
        <v>5984</v>
      </c>
      <c r="C2200" t="s">
        <v>20</v>
      </c>
      <c r="D2200" t="s">
        <v>21</v>
      </c>
      <c r="E2200">
        <v>2222222</v>
      </c>
      <c r="F2200" s="8" t="s">
        <v>22</v>
      </c>
      <c r="G2200" s="2">
        <v>98</v>
      </c>
      <c r="H2200" t="s">
        <v>4229</v>
      </c>
      <c r="J2200" s="9" t="s">
        <v>4852</v>
      </c>
      <c r="K2200" t="s">
        <v>5180</v>
      </c>
      <c r="L2200" s="2">
        <v>1</v>
      </c>
      <c r="M2200" s="24" t="s">
        <v>5971</v>
      </c>
      <c r="N2200" s="2" t="s">
        <v>23</v>
      </c>
      <c r="O2200" s="18" t="s">
        <v>1750</v>
      </c>
      <c r="P2200" s="18" t="s">
        <v>0</v>
      </c>
      <c r="Q2200" s="6" t="s">
        <v>4475</v>
      </c>
      <c r="T2200" s="23">
        <v>46168</v>
      </c>
      <c r="U2200" s="23">
        <v>46898</v>
      </c>
      <c r="X2200" s="20">
        <v>5000</v>
      </c>
      <c r="Z2200" s="6" t="s">
        <v>5978</v>
      </c>
      <c r="AA2200" s="14">
        <f t="shared" si="283"/>
        <v>5.9999999999999995E-4</v>
      </c>
      <c r="AB2200">
        <v>2.7881580000000001</v>
      </c>
      <c r="AC2200">
        <v>2.8996843200000004</v>
      </c>
    </row>
    <row r="2201" spans="1:29" x14ac:dyDescent="0.3">
      <c r="A2201">
        <v>152219</v>
      </c>
      <c r="B2201" s="25" t="s">
        <v>5984</v>
      </c>
      <c r="C2201" t="s">
        <v>20</v>
      </c>
      <c r="D2201" t="s">
        <v>21</v>
      </c>
      <c r="E2201">
        <v>2222222</v>
      </c>
      <c r="F2201" s="8" t="s">
        <v>22</v>
      </c>
      <c r="G2201" s="2">
        <v>98</v>
      </c>
      <c r="H2201" t="s">
        <v>4229</v>
      </c>
      <c r="J2201" s="9" t="s">
        <v>4826</v>
      </c>
      <c r="K2201" t="s">
        <v>5197</v>
      </c>
      <c r="L2201" s="2">
        <v>1</v>
      </c>
      <c r="M2201" s="24" t="s">
        <v>5971</v>
      </c>
      <c r="N2201" s="2" t="s">
        <v>23</v>
      </c>
      <c r="O2201" s="18" t="s">
        <v>1751</v>
      </c>
      <c r="P2201" s="18" t="s">
        <v>0</v>
      </c>
      <c r="Q2201" s="6" t="s">
        <v>4475</v>
      </c>
      <c r="T2201" s="23">
        <v>46220</v>
      </c>
      <c r="U2201" s="23">
        <v>46950</v>
      </c>
      <c r="X2201" s="20">
        <v>4500</v>
      </c>
      <c r="Z2201" s="6" t="s">
        <v>5978</v>
      </c>
      <c r="AA2201" s="14">
        <f t="shared" si="283"/>
        <v>5.9999999999999995E-4</v>
      </c>
      <c r="AB2201">
        <v>2.6999999999999997</v>
      </c>
      <c r="AC2201">
        <v>2.8079999999999998</v>
      </c>
    </row>
    <row r="2202" spans="1:29" x14ac:dyDescent="0.3">
      <c r="A2202">
        <v>147543</v>
      </c>
      <c r="B2202" s="25" t="s">
        <v>5984</v>
      </c>
      <c r="C2202" t="s">
        <v>20</v>
      </c>
      <c r="D2202" t="s">
        <v>21</v>
      </c>
      <c r="E2202">
        <v>2222222</v>
      </c>
      <c r="F2202" s="8" t="s">
        <v>22</v>
      </c>
      <c r="G2202" s="2">
        <v>98</v>
      </c>
      <c r="H2202" t="s">
        <v>4230</v>
      </c>
      <c r="J2202" s="9" t="s">
        <v>5356</v>
      </c>
      <c r="K2202" t="s">
        <v>5090</v>
      </c>
      <c r="L2202" s="2">
        <v>1</v>
      </c>
      <c r="M2202" s="24" t="s">
        <v>5971</v>
      </c>
      <c r="N2202" s="2" t="s">
        <v>23</v>
      </c>
      <c r="O2202" s="18" t="s">
        <v>1752</v>
      </c>
      <c r="P2202" s="18" t="s">
        <v>3781</v>
      </c>
      <c r="Q2202" s="6" t="s">
        <v>4475</v>
      </c>
      <c r="T2202" s="23">
        <v>45896</v>
      </c>
      <c r="U2202" s="23">
        <v>47356</v>
      </c>
      <c r="X2202" s="20">
        <v>3000</v>
      </c>
      <c r="Z2202" s="6" t="s">
        <v>5978</v>
      </c>
      <c r="AA2202" s="14">
        <f t="shared" si="283"/>
        <v>5.9999999999999995E-4</v>
      </c>
      <c r="AB2202">
        <v>1.492926</v>
      </c>
      <c r="AC2202">
        <v>1.55264304</v>
      </c>
    </row>
    <row r="2203" spans="1:29" x14ac:dyDescent="0.3">
      <c r="A2203">
        <v>149354</v>
      </c>
      <c r="B2203" s="25" t="s">
        <v>5984</v>
      </c>
      <c r="C2203" t="s">
        <v>20</v>
      </c>
      <c r="D2203" t="s">
        <v>21</v>
      </c>
      <c r="E2203">
        <v>2222222</v>
      </c>
      <c r="F2203" s="8" t="s">
        <v>22</v>
      </c>
      <c r="G2203" s="2">
        <v>98</v>
      </c>
      <c r="H2203" t="s">
        <v>4230</v>
      </c>
      <c r="J2203" s="9" t="s">
        <v>5164</v>
      </c>
      <c r="K2203" t="s">
        <v>5019</v>
      </c>
      <c r="L2203" s="2">
        <v>1</v>
      </c>
      <c r="M2203" s="24" t="s">
        <v>5971</v>
      </c>
      <c r="N2203" s="2" t="s">
        <v>23</v>
      </c>
      <c r="O2203" s="18" t="s">
        <v>1753</v>
      </c>
      <c r="P2203" s="18" t="s">
        <v>3781</v>
      </c>
      <c r="Q2203" s="6" t="s">
        <v>4475</v>
      </c>
      <c r="T2203" s="23">
        <v>46022</v>
      </c>
      <c r="U2203" s="23">
        <v>48943</v>
      </c>
      <c r="X2203" s="20">
        <v>20000</v>
      </c>
      <c r="Z2203" s="6" t="s">
        <v>5978</v>
      </c>
      <c r="AA2203" s="14">
        <f t="shared" si="283"/>
        <v>5.9999999999999995E-4</v>
      </c>
      <c r="AB2203">
        <v>11.539349999999999</v>
      </c>
      <c r="AC2203">
        <v>12.000923999999999</v>
      </c>
    </row>
    <row r="2204" spans="1:29" x14ac:dyDescent="0.3">
      <c r="A2204">
        <v>148591</v>
      </c>
      <c r="B2204" s="25" t="s">
        <v>5984</v>
      </c>
      <c r="C2204" t="s">
        <v>20</v>
      </c>
      <c r="D2204" t="s">
        <v>21</v>
      </c>
      <c r="E2204">
        <v>2222222</v>
      </c>
      <c r="F2204" s="8" t="s">
        <v>22</v>
      </c>
      <c r="G2204" s="2">
        <v>98</v>
      </c>
      <c r="H2204" t="s">
        <v>4231</v>
      </c>
      <c r="J2204" s="9" t="s">
        <v>5193</v>
      </c>
      <c r="K2204" t="s">
        <v>4827</v>
      </c>
      <c r="L2204" s="2">
        <v>1</v>
      </c>
      <c r="M2204" s="24" t="s">
        <v>5971</v>
      </c>
      <c r="N2204" s="2" t="s">
        <v>23</v>
      </c>
      <c r="O2204" s="18" t="s">
        <v>1754</v>
      </c>
      <c r="P2204" s="18" t="s">
        <v>0</v>
      </c>
      <c r="Q2204" s="6" t="s">
        <v>4475</v>
      </c>
      <c r="T2204" s="23">
        <v>45799</v>
      </c>
      <c r="U2204" s="23">
        <v>48344</v>
      </c>
      <c r="X2204" s="20">
        <v>40000</v>
      </c>
      <c r="Z2204" s="6" t="s">
        <v>5978</v>
      </c>
      <c r="AA2204" s="14">
        <f t="shared" si="283"/>
        <v>5.9999999999999995E-4</v>
      </c>
      <c r="AB2204">
        <v>21.475823999999999</v>
      </c>
      <c r="AC2204">
        <v>22.33485696</v>
      </c>
    </row>
    <row r="2205" spans="1:29" x14ac:dyDescent="0.3">
      <c r="A2205">
        <v>149808</v>
      </c>
      <c r="B2205" s="25" t="s">
        <v>5984</v>
      </c>
      <c r="C2205" t="s">
        <v>20</v>
      </c>
      <c r="D2205" t="s">
        <v>21</v>
      </c>
      <c r="E2205">
        <v>2222222</v>
      </c>
      <c r="F2205" s="8" t="s">
        <v>22</v>
      </c>
      <c r="G2205" s="2">
        <v>98</v>
      </c>
      <c r="H2205" t="s">
        <v>4231</v>
      </c>
      <c r="J2205" s="9" t="s">
        <v>5193</v>
      </c>
      <c r="K2205" t="s">
        <v>4827</v>
      </c>
      <c r="L2205" s="2">
        <v>1</v>
      </c>
      <c r="M2205" s="24" t="s">
        <v>5971</v>
      </c>
      <c r="N2205" s="2" t="s">
        <v>23</v>
      </c>
      <c r="O2205" s="18" t="s">
        <v>1754</v>
      </c>
      <c r="P2205" s="18" t="s">
        <v>0</v>
      </c>
      <c r="Q2205" s="6" t="s">
        <v>4475</v>
      </c>
      <c r="T2205" s="23">
        <v>46050</v>
      </c>
      <c r="U2205" s="23">
        <v>47145</v>
      </c>
      <c r="X2205" s="20">
        <v>5000</v>
      </c>
      <c r="Z2205" s="6" t="s">
        <v>5978</v>
      </c>
      <c r="AA2205" s="14">
        <f t="shared" si="283"/>
        <v>5.9999999999999995E-4</v>
      </c>
      <c r="AB2205">
        <v>2.6021100000000001</v>
      </c>
      <c r="AC2205">
        <v>2.7061944000000002</v>
      </c>
    </row>
    <row r="2206" spans="1:29" x14ac:dyDescent="0.3">
      <c r="A2206">
        <v>114849</v>
      </c>
      <c r="B2206" s="25" t="s">
        <v>5984</v>
      </c>
      <c r="C2206" t="s">
        <v>20</v>
      </c>
      <c r="D2206" t="s">
        <v>21</v>
      </c>
      <c r="E2206">
        <v>2222222</v>
      </c>
      <c r="F2206" s="8" t="s">
        <v>22</v>
      </c>
      <c r="G2206" s="2">
        <v>98</v>
      </c>
      <c r="H2206" t="s">
        <v>4232</v>
      </c>
      <c r="J2206" s="9" t="s">
        <v>5593</v>
      </c>
      <c r="K2206" t="s">
        <v>5435</v>
      </c>
      <c r="L2206" s="2">
        <v>1</v>
      </c>
      <c r="M2206" s="24" t="s">
        <v>5971</v>
      </c>
      <c r="N2206" s="2" t="s">
        <v>23</v>
      </c>
      <c r="O2206" s="18" t="s">
        <v>1755</v>
      </c>
      <c r="P2206" s="18" t="s">
        <v>0</v>
      </c>
      <c r="Q2206" s="6" t="s">
        <v>4475</v>
      </c>
      <c r="T2206" s="23">
        <v>44089</v>
      </c>
      <c r="U2206" s="23">
        <v>46645</v>
      </c>
      <c r="X2206" s="20">
        <v>25000</v>
      </c>
      <c r="Z2206" s="6" t="s">
        <v>5978</v>
      </c>
      <c r="AA2206" s="15">
        <f>+(0.42/1000)</f>
        <v>4.1999999999999996E-4</v>
      </c>
      <c r="AB2206">
        <v>2.6589779999999994</v>
      </c>
      <c r="AC2206">
        <v>2.7653371199999994</v>
      </c>
    </row>
    <row r="2207" spans="1:29" x14ac:dyDescent="0.3">
      <c r="A2207">
        <v>138922</v>
      </c>
      <c r="B2207" s="25" t="s">
        <v>5984</v>
      </c>
      <c r="C2207" t="s">
        <v>20</v>
      </c>
      <c r="D2207" t="s">
        <v>21</v>
      </c>
      <c r="E2207">
        <v>2222222</v>
      </c>
      <c r="F2207" s="8" t="s">
        <v>22</v>
      </c>
      <c r="G2207" s="2">
        <v>98</v>
      </c>
      <c r="H2207" t="s">
        <v>4232</v>
      </c>
      <c r="J2207" s="9" t="s">
        <v>4836</v>
      </c>
      <c r="K2207" t="s">
        <v>5196</v>
      </c>
      <c r="L2207" s="2">
        <v>1</v>
      </c>
      <c r="M2207" s="24" t="s">
        <v>5971</v>
      </c>
      <c r="N2207" s="2" t="s">
        <v>23</v>
      </c>
      <c r="O2207" s="18" t="s">
        <v>1756</v>
      </c>
      <c r="P2207" s="18" t="s">
        <v>3781</v>
      </c>
      <c r="Q2207" s="6" t="s">
        <v>4475</v>
      </c>
      <c r="T2207" s="23">
        <v>45306</v>
      </c>
      <c r="U2207" s="23">
        <v>46857</v>
      </c>
      <c r="X2207" s="20">
        <v>5000</v>
      </c>
      <c r="Z2207" s="6" t="s">
        <v>5978</v>
      </c>
      <c r="AA2207" s="13">
        <f>+(0.56/1000)</f>
        <v>5.6000000000000006E-4</v>
      </c>
      <c r="AB2207">
        <v>1.4871248000000001</v>
      </c>
      <c r="AC2207">
        <v>1.5466097920000001</v>
      </c>
    </row>
    <row r="2208" spans="1:29" x14ac:dyDescent="0.3">
      <c r="A2208">
        <v>151790</v>
      </c>
      <c r="B2208" s="25" t="s">
        <v>5984</v>
      </c>
      <c r="C2208" t="s">
        <v>20</v>
      </c>
      <c r="D2208" t="s">
        <v>21</v>
      </c>
      <c r="E2208">
        <v>2222222</v>
      </c>
      <c r="F2208" s="8" t="s">
        <v>22</v>
      </c>
      <c r="G2208" s="2">
        <v>98</v>
      </c>
      <c r="H2208" t="s">
        <v>4232</v>
      </c>
      <c r="J2208" s="9" t="s">
        <v>4836</v>
      </c>
      <c r="K2208" t="s">
        <v>5196</v>
      </c>
      <c r="L2208" s="2">
        <v>1</v>
      </c>
      <c r="M2208" s="24" t="s">
        <v>5971</v>
      </c>
      <c r="N2208" s="2" t="s">
        <v>23</v>
      </c>
      <c r="O2208" s="18" t="s">
        <v>1756</v>
      </c>
      <c r="P2208" s="18" t="s">
        <v>3781</v>
      </c>
      <c r="Q2208" s="6" t="s">
        <v>4475</v>
      </c>
      <c r="T2208" s="23">
        <v>46188</v>
      </c>
      <c r="U2208" s="23">
        <v>46278</v>
      </c>
      <c r="X2208" s="20">
        <v>190</v>
      </c>
      <c r="Z2208" s="6" t="s">
        <v>5978</v>
      </c>
      <c r="AA2208" s="14">
        <f t="shared" ref="AA2208:AA2210" si="284">+(0.6/1000)</f>
        <v>5.9999999999999995E-4</v>
      </c>
      <c r="AB2208">
        <v>0.11399999999999999</v>
      </c>
      <c r="AC2208">
        <v>0.11856</v>
      </c>
    </row>
    <row r="2209" spans="1:29" x14ac:dyDescent="0.3">
      <c r="A2209">
        <v>147552</v>
      </c>
      <c r="B2209" s="25" t="s">
        <v>5984</v>
      </c>
      <c r="C2209" t="s">
        <v>20</v>
      </c>
      <c r="D2209" t="s">
        <v>21</v>
      </c>
      <c r="E2209">
        <v>2222222</v>
      </c>
      <c r="F2209" s="8" t="s">
        <v>22</v>
      </c>
      <c r="G2209" s="2">
        <v>98</v>
      </c>
      <c r="H2209" t="s">
        <v>4233</v>
      </c>
      <c r="J2209" s="9" t="s">
        <v>5152</v>
      </c>
      <c r="K2209" t="s">
        <v>5039</v>
      </c>
      <c r="L2209" s="2">
        <v>1</v>
      </c>
      <c r="M2209" s="24" t="s">
        <v>5971</v>
      </c>
      <c r="N2209" s="2" t="s">
        <v>23</v>
      </c>
      <c r="O2209" s="18" t="s">
        <v>1757</v>
      </c>
      <c r="P2209" s="18" t="s">
        <v>3781</v>
      </c>
      <c r="Q2209" s="6" t="s">
        <v>4475</v>
      </c>
      <c r="T2209" s="23">
        <v>45904</v>
      </c>
      <c r="U2209" s="23">
        <v>48101</v>
      </c>
      <c r="X2209" s="20">
        <v>15000</v>
      </c>
      <c r="Z2209" s="6" t="s">
        <v>5978</v>
      </c>
      <c r="AA2209" s="14">
        <f t="shared" si="284"/>
        <v>5.9999999999999995E-4</v>
      </c>
      <c r="AB2209">
        <v>8.1964859999999984</v>
      </c>
      <c r="AC2209">
        <v>8.5243454399999994</v>
      </c>
    </row>
    <row r="2210" spans="1:29" x14ac:dyDescent="0.3">
      <c r="A2210">
        <v>151805</v>
      </c>
      <c r="B2210" s="25" t="s">
        <v>5984</v>
      </c>
      <c r="C2210" t="s">
        <v>20</v>
      </c>
      <c r="D2210" t="s">
        <v>21</v>
      </c>
      <c r="E2210">
        <v>2222222</v>
      </c>
      <c r="F2210" s="8" t="s">
        <v>22</v>
      </c>
      <c r="G2210" s="2">
        <v>98</v>
      </c>
      <c r="H2210" t="s">
        <v>4234</v>
      </c>
      <c r="J2210" s="9" t="s">
        <v>5235</v>
      </c>
      <c r="K2210" t="s">
        <v>5025</v>
      </c>
      <c r="L2210" s="2">
        <v>1</v>
      </c>
      <c r="M2210" s="24" t="s">
        <v>5971</v>
      </c>
      <c r="N2210" s="2" t="s">
        <v>23</v>
      </c>
      <c r="O2210" s="18" t="s">
        <v>1758</v>
      </c>
      <c r="P2210" s="18" t="s">
        <v>3781</v>
      </c>
      <c r="Q2210" s="6" t="s">
        <v>4475</v>
      </c>
      <c r="T2210" s="23">
        <v>46189</v>
      </c>
      <c r="U2210" s="23">
        <v>47285</v>
      </c>
      <c r="X2210" s="20">
        <v>2930</v>
      </c>
      <c r="Z2210" s="6" t="s">
        <v>5978</v>
      </c>
      <c r="AA2210" s="14">
        <f t="shared" si="284"/>
        <v>5.9999999999999995E-4</v>
      </c>
      <c r="AB2210">
        <v>1.7200199999999997</v>
      </c>
      <c r="AC2210">
        <v>1.7888207999999997</v>
      </c>
    </row>
    <row r="2211" spans="1:29" x14ac:dyDescent="0.3">
      <c r="A2211">
        <v>51335</v>
      </c>
      <c r="B2211" s="25" t="s">
        <v>5984</v>
      </c>
      <c r="C2211" t="s">
        <v>20</v>
      </c>
      <c r="D2211" t="s">
        <v>21</v>
      </c>
      <c r="E2211">
        <v>2222222</v>
      </c>
      <c r="F2211" s="8" t="s">
        <v>22</v>
      </c>
      <c r="G2211" s="2">
        <v>98</v>
      </c>
      <c r="H2211" t="s">
        <v>4235</v>
      </c>
      <c r="J2211" s="9" t="s">
        <v>4908</v>
      </c>
      <c r="K2211" t="s">
        <v>4870</v>
      </c>
      <c r="L2211" s="2">
        <v>1</v>
      </c>
      <c r="M2211" s="24" t="s">
        <v>5971</v>
      </c>
      <c r="N2211" s="2" t="s">
        <v>23</v>
      </c>
      <c r="O2211" s="18" t="s">
        <v>1759</v>
      </c>
      <c r="P2211" s="18" t="s">
        <v>0</v>
      </c>
      <c r="Q2211" s="6" t="s">
        <v>4475</v>
      </c>
      <c r="T2211" s="23">
        <v>40840</v>
      </c>
      <c r="U2211" s="23">
        <v>42667</v>
      </c>
      <c r="X2211" s="20">
        <v>5000</v>
      </c>
      <c r="Z2211" s="6" t="s">
        <v>5978</v>
      </c>
      <c r="AA2211" s="16">
        <f>+(0.36/1000)</f>
        <v>3.5999999999999997E-4</v>
      </c>
      <c r="AB2211">
        <v>1.4407596</v>
      </c>
      <c r="AC2211">
        <v>1.4983899840000001</v>
      </c>
    </row>
    <row r="2212" spans="1:29" x14ac:dyDescent="0.3">
      <c r="A2212">
        <v>116555</v>
      </c>
      <c r="B2212" s="25" t="s">
        <v>5984</v>
      </c>
      <c r="C2212" t="s">
        <v>20</v>
      </c>
      <c r="D2212" t="s">
        <v>21</v>
      </c>
      <c r="E2212">
        <v>2222222</v>
      </c>
      <c r="F2212" s="8" t="s">
        <v>22</v>
      </c>
      <c r="G2212" s="2">
        <v>98</v>
      </c>
      <c r="H2212" t="s">
        <v>4235</v>
      </c>
      <c r="J2212" s="9" t="s">
        <v>4815</v>
      </c>
      <c r="K2212" t="s">
        <v>5298</v>
      </c>
      <c r="L2212" s="2">
        <v>1</v>
      </c>
      <c r="M2212" s="24" t="s">
        <v>5971</v>
      </c>
      <c r="N2212" s="2" t="s">
        <v>23</v>
      </c>
      <c r="O2212" s="18" t="s">
        <v>1760</v>
      </c>
      <c r="P2212" s="18" t="s">
        <v>0</v>
      </c>
      <c r="Q2212" s="6" t="s">
        <v>4475</v>
      </c>
      <c r="T2212" s="23">
        <v>44144</v>
      </c>
      <c r="U2212" s="23">
        <v>46700</v>
      </c>
      <c r="X2212" s="20">
        <v>13500</v>
      </c>
      <c r="Z2212" s="6" t="s">
        <v>5978</v>
      </c>
      <c r="AA2212" s="15">
        <f t="shared" ref="AA2212:AA2216" si="285">+(0.42/1000)</f>
        <v>4.1999999999999996E-4</v>
      </c>
      <c r="AB2212">
        <v>1.6188815999999999</v>
      </c>
      <c r="AC2212">
        <v>1.6836368639999999</v>
      </c>
    </row>
    <row r="2213" spans="1:29" x14ac:dyDescent="0.3">
      <c r="A2213">
        <v>120597</v>
      </c>
      <c r="B2213" s="25" t="s">
        <v>5984</v>
      </c>
      <c r="C2213" t="s">
        <v>20</v>
      </c>
      <c r="D2213" t="s">
        <v>21</v>
      </c>
      <c r="E2213">
        <v>2222222</v>
      </c>
      <c r="F2213" s="8" t="s">
        <v>22</v>
      </c>
      <c r="G2213" s="2">
        <v>98</v>
      </c>
      <c r="H2213" t="s">
        <v>4235</v>
      </c>
      <c r="J2213" s="9" t="s">
        <v>5108</v>
      </c>
      <c r="K2213" t="s">
        <v>4964</v>
      </c>
      <c r="L2213" s="2">
        <v>1</v>
      </c>
      <c r="M2213" s="24" t="s">
        <v>5971</v>
      </c>
      <c r="N2213" s="2" t="s">
        <v>23</v>
      </c>
      <c r="O2213" s="18" t="s">
        <v>1761</v>
      </c>
      <c r="P2213" s="18" t="s">
        <v>0</v>
      </c>
      <c r="Q2213" s="6" t="s">
        <v>4475</v>
      </c>
      <c r="T2213" s="23">
        <v>44328</v>
      </c>
      <c r="U2213" s="23">
        <v>46884</v>
      </c>
      <c r="X2213" s="20">
        <v>14400</v>
      </c>
      <c r="Z2213" s="6" t="s">
        <v>5978</v>
      </c>
      <c r="AA2213" s="15">
        <f t="shared" si="285"/>
        <v>4.1999999999999996E-4</v>
      </c>
      <c r="AB2213">
        <v>4.9430556000000001</v>
      </c>
      <c r="AC2213">
        <v>5.1407778240000006</v>
      </c>
    </row>
    <row r="2214" spans="1:29" x14ac:dyDescent="0.3">
      <c r="A2214">
        <v>123200</v>
      </c>
      <c r="B2214" s="25" t="s">
        <v>5984</v>
      </c>
      <c r="C2214" t="s">
        <v>20</v>
      </c>
      <c r="D2214" t="s">
        <v>21</v>
      </c>
      <c r="E2214">
        <v>2222222</v>
      </c>
      <c r="F2214" s="8" t="s">
        <v>22</v>
      </c>
      <c r="G2214" s="2">
        <v>98</v>
      </c>
      <c r="H2214" t="s">
        <v>4235</v>
      </c>
      <c r="J2214" s="9" t="s">
        <v>5108</v>
      </c>
      <c r="K2214" t="s">
        <v>4964</v>
      </c>
      <c r="L2214" s="2">
        <v>1</v>
      </c>
      <c r="M2214" s="24" t="s">
        <v>5971</v>
      </c>
      <c r="N2214" s="2" t="s">
        <v>23</v>
      </c>
      <c r="O2214" s="18" t="s">
        <v>1761</v>
      </c>
      <c r="P2214" s="18" t="s">
        <v>0</v>
      </c>
      <c r="Q2214" s="6" t="s">
        <v>4475</v>
      </c>
      <c r="T2214" s="23">
        <v>44455</v>
      </c>
      <c r="U2214" s="23">
        <v>45551</v>
      </c>
      <c r="X2214" s="20">
        <v>3000</v>
      </c>
      <c r="Z2214" s="6" t="s">
        <v>5978</v>
      </c>
      <c r="AA2214" s="15">
        <f t="shared" si="285"/>
        <v>4.1999999999999996E-4</v>
      </c>
      <c r="AB2214">
        <v>0.6442464</v>
      </c>
      <c r="AC2214">
        <v>0.67001625600000003</v>
      </c>
    </row>
    <row r="2215" spans="1:29" x14ac:dyDescent="0.3">
      <c r="A2215">
        <v>124403</v>
      </c>
      <c r="B2215" s="25" t="s">
        <v>5984</v>
      </c>
      <c r="C2215" t="s">
        <v>20</v>
      </c>
      <c r="D2215" t="s">
        <v>21</v>
      </c>
      <c r="E2215">
        <v>2222222</v>
      </c>
      <c r="F2215" s="8" t="s">
        <v>22</v>
      </c>
      <c r="G2215" s="2">
        <v>98</v>
      </c>
      <c r="H2215" t="s">
        <v>4235</v>
      </c>
      <c r="J2215" s="9" t="s">
        <v>4970</v>
      </c>
      <c r="K2215" t="s">
        <v>5047</v>
      </c>
      <c r="L2215" s="2">
        <v>1</v>
      </c>
      <c r="M2215" s="24" t="s">
        <v>5971</v>
      </c>
      <c r="N2215" s="2" t="s">
        <v>23</v>
      </c>
      <c r="O2215" s="18" t="s">
        <v>1762</v>
      </c>
      <c r="P2215" s="18" t="s">
        <v>3781</v>
      </c>
      <c r="Q2215" s="6" t="s">
        <v>4475</v>
      </c>
      <c r="T2215" s="23">
        <v>44532</v>
      </c>
      <c r="U2215" s="23">
        <v>47092</v>
      </c>
      <c r="X2215" s="20">
        <v>15000</v>
      </c>
      <c r="Z2215" s="6" t="s">
        <v>5978</v>
      </c>
      <c r="AA2215" s="15">
        <f t="shared" si="285"/>
        <v>4.1999999999999996E-4</v>
      </c>
      <c r="AB2215">
        <v>5.0385425999999995</v>
      </c>
      <c r="AC2215">
        <v>5.2400843039999998</v>
      </c>
    </row>
    <row r="2216" spans="1:29" x14ac:dyDescent="0.3">
      <c r="A2216">
        <v>126919</v>
      </c>
      <c r="B2216" s="25" t="s">
        <v>5984</v>
      </c>
      <c r="C2216" t="s">
        <v>20</v>
      </c>
      <c r="D2216" t="s">
        <v>21</v>
      </c>
      <c r="E2216">
        <v>2222222</v>
      </c>
      <c r="F2216" s="8" t="s">
        <v>22</v>
      </c>
      <c r="G2216" s="2">
        <v>98</v>
      </c>
      <c r="H2216" t="s">
        <v>4235</v>
      </c>
      <c r="J2216" s="9" t="s">
        <v>5055</v>
      </c>
      <c r="K2216" t="s">
        <v>4924</v>
      </c>
      <c r="L2216" s="2">
        <v>1</v>
      </c>
      <c r="M2216" s="24" t="s">
        <v>5971</v>
      </c>
      <c r="N2216" s="2" t="s">
        <v>23</v>
      </c>
      <c r="O2216" s="18" t="s">
        <v>1140</v>
      </c>
      <c r="P2216" s="18" t="s">
        <v>3781</v>
      </c>
      <c r="Q2216" s="6" t="s">
        <v>4475</v>
      </c>
      <c r="T2216" s="23">
        <v>44650</v>
      </c>
      <c r="U2216" s="23">
        <v>46841</v>
      </c>
      <c r="X2216" s="20">
        <v>10000</v>
      </c>
      <c r="Z2216" s="6" t="s">
        <v>5978</v>
      </c>
      <c r="AA2216" s="15">
        <f t="shared" si="285"/>
        <v>4.1999999999999996E-4</v>
      </c>
      <c r="AB2216">
        <v>1.5977892</v>
      </c>
      <c r="AC2216">
        <v>1.661700768</v>
      </c>
    </row>
    <row r="2217" spans="1:29" x14ac:dyDescent="0.3">
      <c r="A2217">
        <v>129463</v>
      </c>
      <c r="B2217" s="25" t="s">
        <v>5984</v>
      </c>
      <c r="C2217" t="s">
        <v>20</v>
      </c>
      <c r="D2217" t="s">
        <v>21</v>
      </c>
      <c r="E2217">
        <v>2222222</v>
      </c>
      <c r="F2217" s="8" t="s">
        <v>22</v>
      </c>
      <c r="G2217" s="2">
        <v>98</v>
      </c>
      <c r="H2217" t="s">
        <v>4235</v>
      </c>
      <c r="J2217" s="9" t="s">
        <v>4970</v>
      </c>
      <c r="K2217" t="s">
        <v>5047</v>
      </c>
      <c r="L2217" s="2">
        <v>1</v>
      </c>
      <c r="M2217" s="24" t="s">
        <v>5971</v>
      </c>
      <c r="N2217" s="2" t="s">
        <v>23</v>
      </c>
      <c r="O2217" s="18" t="s">
        <v>1762</v>
      </c>
      <c r="P2217" s="18" t="s">
        <v>3781</v>
      </c>
      <c r="Q2217" s="6" t="s">
        <v>4475</v>
      </c>
      <c r="T2217" s="23">
        <v>44781</v>
      </c>
      <c r="U2217" s="23">
        <v>45889</v>
      </c>
      <c r="X2217" s="20">
        <v>5000</v>
      </c>
      <c r="Z2217" s="6" t="s">
        <v>5978</v>
      </c>
      <c r="AA2217" s="13">
        <f t="shared" ref="AA2217:AA2222" si="286">+(0.56/1000)</f>
        <v>5.6000000000000006E-4</v>
      </c>
      <c r="AB2217">
        <v>1.5989344000000001</v>
      </c>
      <c r="AC2217">
        <v>1.6628917760000002</v>
      </c>
    </row>
    <row r="2218" spans="1:29" x14ac:dyDescent="0.3">
      <c r="A2218">
        <v>131765</v>
      </c>
      <c r="B2218" s="25" t="s">
        <v>5984</v>
      </c>
      <c r="C2218" t="s">
        <v>20</v>
      </c>
      <c r="D2218" t="s">
        <v>21</v>
      </c>
      <c r="E2218">
        <v>2222222</v>
      </c>
      <c r="F2218" s="8" t="s">
        <v>22</v>
      </c>
      <c r="G2218" s="2">
        <v>98</v>
      </c>
      <c r="H2218" t="s">
        <v>4235</v>
      </c>
      <c r="J2218" s="9" t="s">
        <v>4969</v>
      </c>
      <c r="K2218" t="s">
        <v>5146</v>
      </c>
      <c r="L2218" s="2">
        <v>1</v>
      </c>
      <c r="M2218" s="24" t="s">
        <v>5971</v>
      </c>
      <c r="N2218" s="2" t="s">
        <v>23</v>
      </c>
      <c r="O2218" s="18" t="s">
        <v>1763</v>
      </c>
      <c r="P2218" s="18" t="s">
        <v>3781</v>
      </c>
      <c r="Q2218" s="6" t="s">
        <v>4475</v>
      </c>
      <c r="T2218" s="23">
        <v>44907</v>
      </c>
      <c r="U2218" s="23">
        <v>47553</v>
      </c>
      <c r="X2218" s="20">
        <v>6761.96</v>
      </c>
      <c r="Z2218" s="6" t="s">
        <v>5978</v>
      </c>
      <c r="AA2218" s="13">
        <f t="shared" si="286"/>
        <v>5.6000000000000006E-4</v>
      </c>
      <c r="AB2218">
        <v>2.3684639999999999</v>
      </c>
      <c r="AC2218">
        <v>2.46320256</v>
      </c>
    </row>
    <row r="2219" spans="1:29" x14ac:dyDescent="0.3">
      <c r="A2219">
        <v>132156</v>
      </c>
      <c r="B2219" s="25" t="s">
        <v>5984</v>
      </c>
      <c r="C2219" t="s">
        <v>20</v>
      </c>
      <c r="D2219" t="s">
        <v>21</v>
      </c>
      <c r="E2219">
        <v>2222222</v>
      </c>
      <c r="F2219" s="8" t="s">
        <v>22</v>
      </c>
      <c r="G2219" s="2">
        <v>98</v>
      </c>
      <c r="H2219" t="s">
        <v>4235</v>
      </c>
      <c r="J2219" s="9" t="s">
        <v>5071</v>
      </c>
      <c r="K2219" t="s">
        <v>4854</v>
      </c>
      <c r="L2219" s="2">
        <v>1</v>
      </c>
      <c r="M2219" s="24" t="s">
        <v>5971</v>
      </c>
      <c r="N2219" s="2" t="s">
        <v>23</v>
      </c>
      <c r="O2219" s="18" t="s">
        <v>692</v>
      </c>
      <c r="P2219" s="18" t="s">
        <v>3781</v>
      </c>
      <c r="Q2219" s="6" t="s">
        <v>4475</v>
      </c>
      <c r="T2219" s="23">
        <v>44926</v>
      </c>
      <c r="U2219" s="23">
        <v>46024</v>
      </c>
      <c r="X2219" s="20">
        <v>5000</v>
      </c>
      <c r="Z2219" s="6" t="s">
        <v>5978</v>
      </c>
      <c r="AA2219" s="13">
        <f t="shared" si="286"/>
        <v>5.6000000000000006E-4</v>
      </c>
      <c r="AB2219">
        <v>2.5581080000000003</v>
      </c>
      <c r="AC2219">
        <v>2.6604323200000004</v>
      </c>
    </row>
    <row r="2220" spans="1:29" x14ac:dyDescent="0.3">
      <c r="A2220">
        <v>135818</v>
      </c>
      <c r="B2220" s="25" t="s">
        <v>5984</v>
      </c>
      <c r="C2220" t="s">
        <v>20</v>
      </c>
      <c r="D2220" t="s">
        <v>21</v>
      </c>
      <c r="E2220">
        <v>2222222</v>
      </c>
      <c r="F2220" s="8" t="s">
        <v>22</v>
      </c>
      <c r="G2220" s="2">
        <v>98</v>
      </c>
      <c r="H2220" t="s">
        <v>4235</v>
      </c>
      <c r="J2220" s="9" t="s">
        <v>4845</v>
      </c>
      <c r="K2220" t="s">
        <v>4829</v>
      </c>
      <c r="L2220" s="2">
        <v>1</v>
      </c>
      <c r="M2220" s="24" t="s">
        <v>5971</v>
      </c>
      <c r="N2220" s="2" t="s">
        <v>23</v>
      </c>
      <c r="O2220" s="18" t="s">
        <v>1764</v>
      </c>
      <c r="P2220" s="18" t="s">
        <v>3781</v>
      </c>
      <c r="Q2220" s="6" t="s">
        <v>4475</v>
      </c>
      <c r="T2220" s="23">
        <v>45152</v>
      </c>
      <c r="U2220" s="23">
        <v>47350</v>
      </c>
      <c r="X2220" s="20">
        <v>17000</v>
      </c>
      <c r="Z2220" s="6" t="s">
        <v>5978</v>
      </c>
      <c r="AA2220" s="13">
        <f t="shared" si="286"/>
        <v>5.6000000000000006E-4</v>
      </c>
      <c r="AB2220">
        <v>6.0132688000000005</v>
      </c>
      <c r="AC2220">
        <v>6.2537995520000011</v>
      </c>
    </row>
    <row r="2221" spans="1:29" x14ac:dyDescent="0.3">
      <c r="A2221">
        <v>139442</v>
      </c>
      <c r="B2221" s="25" t="s">
        <v>5984</v>
      </c>
      <c r="C2221" t="s">
        <v>20</v>
      </c>
      <c r="D2221" t="s">
        <v>21</v>
      </c>
      <c r="E2221">
        <v>2222222</v>
      </c>
      <c r="F2221" s="8" t="s">
        <v>22</v>
      </c>
      <c r="G2221" s="2">
        <v>98</v>
      </c>
      <c r="H2221" t="s">
        <v>4235</v>
      </c>
      <c r="J2221" s="9" t="s">
        <v>4857</v>
      </c>
      <c r="K2221" t="s">
        <v>4844</v>
      </c>
      <c r="L2221" s="2">
        <v>1</v>
      </c>
      <c r="M2221" s="24" t="s">
        <v>5971</v>
      </c>
      <c r="N2221" s="2" t="s">
        <v>23</v>
      </c>
      <c r="O2221" s="18" t="s">
        <v>1765</v>
      </c>
      <c r="P2221" s="18" t="s">
        <v>0</v>
      </c>
      <c r="Q2221" s="6" t="s">
        <v>4475</v>
      </c>
      <c r="T2221" s="23">
        <v>45331</v>
      </c>
      <c r="U2221" s="23">
        <v>46793</v>
      </c>
      <c r="X2221" s="20">
        <v>5000</v>
      </c>
      <c r="Z2221" s="6" t="s">
        <v>5978</v>
      </c>
      <c r="AA2221" s="13">
        <f t="shared" si="286"/>
        <v>5.6000000000000006E-4</v>
      </c>
      <c r="AB2221">
        <v>1.3687016000000003</v>
      </c>
      <c r="AC2221">
        <v>1.4234496640000003</v>
      </c>
    </row>
    <row r="2222" spans="1:29" x14ac:dyDescent="0.3">
      <c r="A2222">
        <v>140118</v>
      </c>
      <c r="B2222" s="25" t="s">
        <v>5984</v>
      </c>
      <c r="C2222" t="s">
        <v>20</v>
      </c>
      <c r="D2222" t="s">
        <v>21</v>
      </c>
      <c r="E2222">
        <v>2222222</v>
      </c>
      <c r="F2222" s="8" t="s">
        <v>22</v>
      </c>
      <c r="G2222" s="2">
        <v>98</v>
      </c>
      <c r="H2222" t="s">
        <v>4235</v>
      </c>
      <c r="J2222" s="9" t="s">
        <v>5048</v>
      </c>
      <c r="K2222" t="s">
        <v>4980</v>
      </c>
      <c r="L2222" s="2">
        <v>1</v>
      </c>
      <c r="M2222" s="24" t="s">
        <v>5971</v>
      </c>
      <c r="N2222" s="2" t="s">
        <v>23</v>
      </c>
      <c r="O2222" s="18" t="s">
        <v>1766</v>
      </c>
      <c r="P2222" s="18" t="s">
        <v>3781</v>
      </c>
      <c r="Q2222" s="6" t="s">
        <v>4475</v>
      </c>
      <c r="T2222" s="23">
        <v>45365</v>
      </c>
      <c r="U2222" s="23">
        <v>46458</v>
      </c>
      <c r="X2222" s="20">
        <v>2950</v>
      </c>
      <c r="Z2222" s="6" t="s">
        <v>5978</v>
      </c>
      <c r="AA2222" s="13">
        <f t="shared" si="286"/>
        <v>5.6000000000000006E-4</v>
      </c>
      <c r="AB2222">
        <v>0.51976960000000005</v>
      </c>
      <c r="AC2222">
        <v>0.54056038400000006</v>
      </c>
    </row>
    <row r="2223" spans="1:29" x14ac:dyDescent="0.3">
      <c r="A2223">
        <v>141914</v>
      </c>
      <c r="B2223" s="25" t="s">
        <v>5984</v>
      </c>
      <c r="C2223" t="s">
        <v>20</v>
      </c>
      <c r="D2223" t="s">
        <v>21</v>
      </c>
      <c r="E2223">
        <v>2222222</v>
      </c>
      <c r="F2223" s="8" t="s">
        <v>22</v>
      </c>
      <c r="G2223" s="2">
        <v>98</v>
      </c>
      <c r="H2223" t="s">
        <v>4235</v>
      </c>
      <c r="J2223" s="9" t="s">
        <v>5063</v>
      </c>
      <c r="K2223" t="s">
        <v>5111</v>
      </c>
      <c r="L2223" s="2">
        <v>1</v>
      </c>
      <c r="M2223" s="24" t="s">
        <v>5971</v>
      </c>
      <c r="N2223" s="2" t="s">
        <v>23</v>
      </c>
      <c r="O2223" s="18" t="s">
        <v>1767</v>
      </c>
      <c r="P2223" s="18" t="s">
        <v>0</v>
      </c>
      <c r="Q2223" s="6" t="s">
        <v>4475</v>
      </c>
      <c r="T2223" s="23">
        <v>45487</v>
      </c>
      <c r="U2223" s="23">
        <v>46581</v>
      </c>
      <c r="X2223" s="20">
        <v>20000</v>
      </c>
      <c r="Z2223" s="6" t="s">
        <v>5978</v>
      </c>
      <c r="AA2223" s="14">
        <f t="shared" ref="AA2223:AA2231" si="287">+(0.6/1000)</f>
        <v>5.9999999999999995E-4</v>
      </c>
      <c r="AB2223">
        <v>4.6967879999999997</v>
      </c>
      <c r="AC2223">
        <v>4.8846595199999996</v>
      </c>
    </row>
    <row r="2224" spans="1:29" x14ac:dyDescent="0.3">
      <c r="A2224">
        <v>141980</v>
      </c>
      <c r="B2224" s="25" t="s">
        <v>5984</v>
      </c>
      <c r="C2224" t="s">
        <v>20</v>
      </c>
      <c r="D2224" t="s">
        <v>21</v>
      </c>
      <c r="E2224">
        <v>2222222</v>
      </c>
      <c r="F2224" s="8" t="s">
        <v>22</v>
      </c>
      <c r="G2224" s="2">
        <v>98</v>
      </c>
      <c r="H2224" t="s">
        <v>4235</v>
      </c>
      <c r="J2224" s="9" t="s">
        <v>5228</v>
      </c>
      <c r="K2224" t="s">
        <v>5547</v>
      </c>
      <c r="L2224" s="2">
        <v>1</v>
      </c>
      <c r="M2224" s="24" t="s">
        <v>5971</v>
      </c>
      <c r="N2224" s="2" t="s">
        <v>23</v>
      </c>
      <c r="O2224" s="18" t="s">
        <v>1768</v>
      </c>
      <c r="P2224" s="18" t="s">
        <v>0</v>
      </c>
      <c r="Q2224" s="6" t="s">
        <v>4475</v>
      </c>
      <c r="T2224" s="23">
        <v>45489</v>
      </c>
      <c r="U2224" s="23">
        <v>46583</v>
      </c>
      <c r="X2224" s="20">
        <v>5000</v>
      </c>
      <c r="Z2224" s="6" t="s">
        <v>5978</v>
      </c>
      <c r="AA2224" s="14">
        <f t="shared" si="287"/>
        <v>5.9999999999999995E-4</v>
      </c>
      <c r="AB2224">
        <v>1.0729859999999998</v>
      </c>
      <c r="AC2224">
        <v>1.1159054399999997</v>
      </c>
    </row>
    <row r="2225" spans="1:29" x14ac:dyDescent="0.3">
      <c r="A2225">
        <v>142011</v>
      </c>
      <c r="B2225" s="25" t="s">
        <v>5984</v>
      </c>
      <c r="C2225" t="s">
        <v>20</v>
      </c>
      <c r="D2225" t="s">
        <v>21</v>
      </c>
      <c r="E2225">
        <v>2222222</v>
      </c>
      <c r="F2225" s="8" t="s">
        <v>22</v>
      </c>
      <c r="G2225" s="2">
        <v>98</v>
      </c>
      <c r="H2225" t="s">
        <v>4235</v>
      </c>
      <c r="J2225" s="9" t="s">
        <v>4891</v>
      </c>
      <c r="K2225" t="s">
        <v>4942</v>
      </c>
      <c r="L2225" s="2">
        <v>1</v>
      </c>
      <c r="M2225" s="24" t="s">
        <v>5971</v>
      </c>
      <c r="N2225" s="2" t="s">
        <v>23</v>
      </c>
      <c r="O2225" s="18" t="s">
        <v>1769</v>
      </c>
      <c r="P2225" s="18" t="s">
        <v>3781</v>
      </c>
      <c r="Q2225" s="6" t="s">
        <v>4475</v>
      </c>
      <c r="T2225" s="23">
        <v>45490</v>
      </c>
      <c r="U2225" s="23">
        <v>46954</v>
      </c>
      <c r="X2225" s="20">
        <v>5000</v>
      </c>
      <c r="Z2225" s="6" t="s">
        <v>5978</v>
      </c>
      <c r="AA2225" s="14">
        <f t="shared" si="287"/>
        <v>5.9999999999999995E-4</v>
      </c>
      <c r="AB2225">
        <v>1.781892</v>
      </c>
      <c r="AC2225">
        <v>1.8531676800000001</v>
      </c>
    </row>
    <row r="2226" spans="1:29" x14ac:dyDescent="0.3">
      <c r="A2226">
        <v>145380</v>
      </c>
      <c r="B2226" s="25" t="s">
        <v>5984</v>
      </c>
      <c r="C2226" t="s">
        <v>20</v>
      </c>
      <c r="D2226" t="s">
        <v>21</v>
      </c>
      <c r="E2226">
        <v>2222222</v>
      </c>
      <c r="F2226" s="8" t="s">
        <v>22</v>
      </c>
      <c r="G2226" s="2">
        <v>98</v>
      </c>
      <c r="H2226" t="s">
        <v>4235</v>
      </c>
      <c r="J2226" s="9" t="s">
        <v>4826</v>
      </c>
      <c r="K2226" t="s">
        <v>4937</v>
      </c>
      <c r="L2226" s="2">
        <v>1</v>
      </c>
      <c r="M2226" s="24" t="s">
        <v>5971</v>
      </c>
      <c r="N2226" s="2" t="s">
        <v>23</v>
      </c>
      <c r="O2226" s="18" t="s">
        <v>1770</v>
      </c>
      <c r="P2226" s="18" t="s">
        <v>0</v>
      </c>
      <c r="Q2226" s="6" t="s">
        <v>4475</v>
      </c>
      <c r="T2226" s="23">
        <v>45734</v>
      </c>
      <c r="U2226" s="23">
        <v>46653</v>
      </c>
      <c r="X2226" s="20">
        <v>3000</v>
      </c>
      <c r="Z2226" s="6" t="s">
        <v>5978</v>
      </c>
      <c r="AA2226" s="14">
        <f t="shared" si="287"/>
        <v>5.9999999999999995E-4</v>
      </c>
      <c r="AB2226">
        <v>0.93560399999999988</v>
      </c>
      <c r="AC2226">
        <v>0.97302815999999992</v>
      </c>
    </row>
    <row r="2227" spans="1:29" x14ac:dyDescent="0.3">
      <c r="A2227">
        <v>145603</v>
      </c>
      <c r="B2227" s="25" t="s">
        <v>5984</v>
      </c>
      <c r="C2227" t="s">
        <v>20</v>
      </c>
      <c r="D2227" t="s">
        <v>21</v>
      </c>
      <c r="E2227">
        <v>2222222</v>
      </c>
      <c r="F2227" s="8" t="s">
        <v>22</v>
      </c>
      <c r="G2227" s="2">
        <v>98</v>
      </c>
      <c r="H2227" t="s">
        <v>4235</v>
      </c>
      <c r="J2227" s="9" t="s">
        <v>5098</v>
      </c>
      <c r="K2227" t="s">
        <v>4891</v>
      </c>
      <c r="L2227" s="2">
        <v>1</v>
      </c>
      <c r="M2227" s="24" t="s">
        <v>5971</v>
      </c>
      <c r="N2227" s="2" t="s">
        <v>23</v>
      </c>
      <c r="O2227" s="18" t="s">
        <v>1771</v>
      </c>
      <c r="P2227" s="18" t="s">
        <v>3781</v>
      </c>
      <c r="Q2227" s="6" t="s">
        <v>4475</v>
      </c>
      <c r="T2227" s="23">
        <v>45754</v>
      </c>
      <c r="U2227" s="23">
        <v>47580</v>
      </c>
      <c r="X2227" s="20">
        <v>10500</v>
      </c>
      <c r="Z2227" s="6" t="s">
        <v>5978</v>
      </c>
      <c r="AA2227" s="14">
        <f t="shared" si="287"/>
        <v>5.9999999999999995E-4</v>
      </c>
      <c r="AB2227">
        <v>5.1140879999999989</v>
      </c>
      <c r="AC2227">
        <v>5.3186515199999986</v>
      </c>
    </row>
    <row r="2228" spans="1:29" x14ac:dyDescent="0.3">
      <c r="A2228">
        <v>145843</v>
      </c>
      <c r="B2228" s="25" t="s">
        <v>5984</v>
      </c>
      <c r="C2228" t="s">
        <v>20</v>
      </c>
      <c r="D2228" t="s">
        <v>21</v>
      </c>
      <c r="E2228">
        <v>2222222</v>
      </c>
      <c r="F2228" s="8" t="s">
        <v>22</v>
      </c>
      <c r="G2228" s="2">
        <v>98</v>
      </c>
      <c r="H2228" t="s">
        <v>4235</v>
      </c>
      <c r="J2228" s="9" t="s">
        <v>5486</v>
      </c>
      <c r="K2228" t="s">
        <v>4863</v>
      </c>
      <c r="L2228" s="2">
        <v>1</v>
      </c>
      <c r="M2228" s="24" t="s">
        <v>5971</v>
      </c>
      <c r="N2228" s="2" t="s">
        <v>23</v>
      </c>
      <c r="O2228" s="18" t="s">
        <v>1772</v>
      </c>
      <c r="P2228" s="18" t="s">
        <v>3781</v>
      </c>
      <c r="Q2228" s="6" t="s">
        <v>4475</v>
      </c>
      <c r="T2228" s="23">
        <v>45770</v>
      </c>
      <c r="U2228" s="23">
        <v>46866</v>
      </c>
      <c r="X2228" s="20">
        <v>3000</v>
      </c>
      <c r="Z2228" s="6" t="s">
        <v>5978</v>
      </c>
      <c r="AA2228" s="14">
        <f t="shared" si="287"/>
        <v>5.9999999999999995E-4</v>
      </c>
      <c r="AB2228">
        <v>1.1601719999999998</v>
      </c>
      <c r="AC2228">
        <v>1.2065788799999997</v>
      </c>
    </row>
    <row r="2229" spans="1:29" x14ac:dyDescent="0.3">
      <c r="A2229">
        <v>146124</v>
      </c>
      <c r="B2229" s="25" t="s">
        <v>5984</v>
      </c>
      <c r="C2229" t="s">
        <v>20</v>
      </c>
      <c r="D2229" t="s">
        <v>21</v>
      </c>
      <c r="E2229">
        <v>2222222</v>
      </c>
      <c r="F2229" s="8" t="s">
        <v>22</v>
      </c>
      <c r="G2229" s="2">
        <v>98</v>
      </c>
      <c r="H2229" t="s">
        <v>4235</v>
      </c>
      <c r="J2229" s="9" t="s">
        <v>4836</v>
      </c>
      <c r="K2229" t="s">
        <v>5594</v>
      </c>
      <c r="L2229" s="2">
        <v>1</v>
      </c>
      <c r="M2229" s="24" t="s">
        <v>5971</v>
      </c>
      <c r="N2229" s="2" t="s">
        <v>23</v>
      </c>
      <c r="O2229" s="18" t="s">
        <v>1773</v>
      </c>
      <c r="P2229" s="18" t="s">
        <v>3781</v>
      </c>
      <c r="Q2229" s="6" t="s">
        <v>4475</v>
      </c>
      <c r="T2229" s="23">
        <v>45792</v>
      </c>
      <c r="U2229" s="23">
        <v>47252</v>
      </c>
      <c r="X2229" s="20">
        <v>4600</v>
      </c>
      <c r="Z2229" s="6" t="s">
        <v>5978</v>
      </c>
      <c r="AA2229" s="14">
        <f t="shared" si="287"/>
        <v>5.9999999999999995E-4</v>
      </c>
      <c r="AB2229">
        <v>2.1484379999999996</v>
      </c>
      <c r="AC2229">
        <v>2.2343755199999995</v>
      </c>
    </row>
    <row r="2230" spans="1:29" x14ac:dyDescent="0.3">
      <c r="A2230">
        <v>147625</v>
      </c>
      <c r="B2230" s="25" t="s">
        <v>5984</v>
      </c>
      <c r="C2230" t="s">
        <v>20</v>
      </c>
      <c r="D2230" t="s">
        <v>21</v>
      </c>
      <c r="E2230">
        <v>2222222</v>
      </c>
      <c r="F2230" s="8" t="s">
        <v>22</v>
      </c>
      <c r="G2230" s="2">
        <v>98</v>
      </c>
      <c r="H2230" t="s">
        <v>4235</v>
      </c>
      <c r="J2230" s="9" t="s">
        <v>5096</v>
      </c>
      <c r="K2230" t="s">
        <v>4921</v>
      </c>
      <c r="L2230" s="2">
        <v>1</v>
      </c>
      <c r="M2230" s="24" t="s">
        <v>5971</v>
      </c>
      <c r="N2230" s="2" t="s">
        <v>23</v>
      </c>
      <c r="O2230" s="18" t="s">
        <v>1774</v>
      </c>
      <c r="P2230" s="18" t="s">
        <v>0</v>
      </c>
      <c r="Q2230" s="6" t="s">
        <v>4475</v>
      </c>
      <c r="T2230" s="23">
        <v>45901</v>
      </c>
      <c r="U2230" s="23">
        <v>46997</v>
      </c>
      <c r="X2230" s="20">
        <v>5000</v>
      </c>
      <c r="Z2230" s="6" t="s">
        <v>5978</v>
      </c>
      <c r="AA2230" s="14">
        <f t="shared" si="287"/>
        <v>5.9999999999999995E-4</v>
      </c>
      <c r="AB2230">
        <v>2.3212379999999997</v>
      </c>
      <c r="AC2230">
        <v>2.4140875199999998</v>
      </c>
    </row>
    <row r="2231" spans="1:29" x14ac:dyDescent="0.3">
      <c r="A2231">
        <v>148497</v>
      </c>
      <c r="B2231" s="25" t="s">
        <v>5984</v>
      </c>
      <c r="C2231" t="s">
        <v>20</v>
      </c>
      <c r="D2231" t="s">
        <v>21</v>
      </c>
      <c r="E2231">
        <v>2222222</v>
      </c>
      <c r="F2231" s="8" t="s">
        <v>22</v>
      </c>
      <c r="G2231" s="2">
        <v>98</v>
      </c>
      <c r="H2231" t="s">
        <v>4235</v>
      </c>
      <c r="J2231" s="9" t="s">
        <v>5138</v>
      </c>
      <c r="K2231" t="s">
        <v>5490</v>
      </c>
      <c r="L2231" s="2">
        <v>1</v>
      </c>
      <c r="M2231" s="24" t="s">
        <v>5971</v>
      </c>
      <c r="N2231" s="2" t="s">
        <v>23</v>
      </c>
      <c r="O2231" s="18" t="s">
        <v>1775</v>
      </c>
      <c r="P2231" s="18" t="s">
        <v>3781</v>
      </c>
      <c r="Q2231" s="6" t="s">
        <v>4475</v>
      </c>
      <c r="T2231" s="23">
        <v>45828</v>
      </c>
      <c r="U2231" s="23">
        <v>46914</v>
      </c>
      <c r="X2231" s="20">
        <v>3070</v>
      </c>
      <c r="Z2231" s="6" t="s">
        <v>5978</v>
      </c>
      <c r="AA2231" s="14">
        <f t="shared" si="287"/>
        <v>5.9999999999999995E-4</v>
      </c>
      <c r="AB2231">
        <v>1.2666359999999999</v>
      </c>
      <c r="AC2231">
        <v>1.3173014399999998</v>
      </c>
    </row>
    <row r="2232" spans="1:29" x14ac:dyDescent="0.3">
      <c r="A2232">
        <v>148511</v>
      </c>
      <c r="B2232" s="25" t="s">
        <v>5984</v>
      </c>
      <c r="C2232" t="s">
        <v>20</v>
      </c>
      <c r="D2232" t="s">
        <v>21</v>
      </c>
      <c r="E2232">
        <v>2222222</v>
      </c>
      <c r="F2232" s="8" t="s">
        <v>22</v>
      </c>
      <c r="G2232" s="2">
        <v>98</v>
      </c>
      <c r="H2232" t="s">
        <v>4235</v>
      </c>
      <c r="J2232" s="9" t="s">
        <v>4830</v>
      </c>
      <c r="K2232" t="s">
        <v>5266</v>
      </c>
      <c r="L2232" s="2">
        <v>1</v>
      </c>
      <c r="M2232" s="24" t="s">
        <v>5971</v>
      </c>
      <c r="N2232" s="2" t="s">
        <v>23</v>
      </c>
      <c r="O2232" s="18" t="s">
        <v>1776</v>
      </c>
      <c r="P2232" s="18" t="s">
        <v>3781</v>
      </c>
      <c r="Q2232" s="6" t="s">
        <v>4475</v>
      </c>
      <c r="T2232" s="23">
        <v>44157</v>
      </c>
      <c r="U2232" s="23">
        <v>47087</v>
      </c>
      <c r="X2232" s="20">
        <v>20800</v>
      </c>
      <c r="Z2232" s="6" t="s">
        <v>5978</v>
      </c>
      <c r="AA2232" s="15">
        <f t="shared" ref="AA2232:AA2234" si="288">+(0.42/1000)</f>
        <v>4.1999999999999996E-4</v>
      </c>
      <c r="AB2232">
        <v>4.3162643999999997</v>
      </c>
      <c r="AC2232">
        <v>4.4889149760000002</v>
      </c>
    </row>
    <row r="2233" spans="1:29" x14ac:dyDescent="0.3">
      <c r="A2233">
        <v>148522</v>
      </c>
      <c r="B2233" s="25" t="s">
        <v>5984</v>
      </c>
      <c r="C2233" t="s">
        <v>20</v>
      </c>
      <c r="D2233" t="s">
        <v>21</v>
      </c>
      <c r="E2233">
        <v>2222222</v>
      </c>
      <c r="F2233" s="8" t="s">
        <v>22</v>
      </c>
      <c r="G2233" s="2">
        <v>98</v>
      </c>
      <c r="H2233" t="s">
        <v>4235</v>
      </c>
      <c r="J2233" s="9" t="s">
        <v>4955</v>
      </c>
      <c r="K2233" t="s">
        <v>5310</v>
      </c>
      <c r="L2233" s="2">
        <v>1</v>
      </c>
      <c r="M2233" s="24" t="s">
        <v>5971</v>
      </c>
      <c r="N2233" s="2" t="s">
        <v>23</v>
      </c>
      <c r="O2233" s="18" t="s">
        <v>1777</v>
      </c>
      <c r="P2233" s="18" t="s">
        <v>3781</v>
      </c>
      <c r="Q2233" s="6" t="s">
        <v>4475</v>
      </c>
      <c r="T2233" s="23">
        <v>44681</v>
      </c>
      <c r="U2233" s="23">
        <v>47603</v>
      </c>
      <c r="X2233" s="20">
        <v>32029</v>
      </c>
      <c r="Z2233" s="6" t="s">
        <v>5978</v>
      </c>
      <c r="AA2233" s="15">
        <f t="shared" si="288"/>
        <v>4.1999999999999996E-4</v>
      </c>
      <c r="AB2233">
        <v>8.5853333999999997</v>
      </c>
      <c r="AC2233">
        <v>8.9287467360000008</v>
      </c>
    </row>
    <row r="2234" spans="1:29" x14ac:dyDescent="0.3">
      <c r="A2234">
        <v>148526</v>
      </c>
      <c r="B2234" s="25" t="s">
        <v>5984</v>
      </c>
      <c r="C2234" t="s">
        <v>20</v>
      </c>
      <c r="D2234" t="s">
        <v>21</v>
      </c>
      <c r="E2234">
        <v>2222222</v>
      </c>
      <c r="F2234" s="8" t="s">
        <v>22</v>
      </c>
      <c r="G2234" s="2">
        <v>98</v>
      </c>
      <c r="H2234" t="s">
        <v>4235</v>
      </c>
      <c r="J2234" s="9" t="s">
        <v>5045</v>
      </c>
      <c r="K2234" t="s">
        <v>5591</v>
      </c>
      <c r="L2234" s="2">
        <v>1</v>
      </c>
      <c r="M2234" s="24" t="s">
        <v>5971</v>
      </c>
      <c r="N2234" s="2" t="s">
        <v>23</v>
      </c>
      <c r="O2234" s="18" t="s">
        <v>1778</v>
      </c>
      <c r="P2234" s="18" t="s">
        <v>3781</v>
      </c>
      <c r="Q2234" s="6" t="s">
        <v>4475</v>
      </c>
      <c r="T2234" s="23">
        <v>44727</v>
      </c>
      <c r="U2234" s="23">
        <v>46553</v>
      </c>
      <c r="X2234" s="20">
        <v>10000</v>
      </c>
      <c r="Z2234" s="6" t="s">
        <v>5978</v>
      </c>
      <c r="AA2234" s="15">
        <f t="shared" si="288"/>
        <v>4.1999999999999996E-4</v>
      </c>
      <c r="AB2234">
        <v>0.76993139999999993</v>
      </c>
      <c r="AC2234">
        <v>0.80072865599999998</v>
      </c>
    </row>
    <row r="2235" spans="1:29" x14ac:dyDescent="0.3">
      <c r="A2235">
        <v>148585</v>
      </c>
      <c r="B2235" s="25" t="s">
        <v>5984</v>
      </c>
      <c r="C2235" t="s">
        <v>20</v>
      </c>
      <c r="D2235" t="s">
        <v>21</v>
      </c>
      <c r="E2235">
        <v>2222222</v>
      </c>
      <c r="F2235" s="8" t="s">
        <v>22</v>
      </c>
      <c r="G2235" s="2">
        <v>98</v>
      </c>
      <c r="H2235" t="s">
        <v>4235</v>
      </c>
      <c r="J2235" s="9" t="s">
        <v>4836</v>
      </c>
      <c r="K2235" t="s">
        <v>4883</v>
      </c>
      <c r="L2235" s="2">
        <v>1</v>
      </c>
      <c r="M2235" s="24" t="s">
        <v>5971</v>
      </c>
      <c r="N2235" s="2" t="s">
        <v>23</v>
      </c>
      <c r="O2235" s="18" t="s">
        <v>1779</v>
      </c>
      <c r="P2235" s="18" t="s">
        <v>3781</v>
      </c>
      <c r="Q2235" s="6" t="s">
        <v>4475</v>
      </c>
      <c r="T2235" s="23">
        <v>45777</v>
      </c>
      <c r="U2235" s="23">
        <v>47213</v>
      </c>
      <c r="X2235" s="20">
        <v>5295</v>
      </c>
      <c r="Z2235" s="6" t="s">
        <v>5978</v>
      </c>
      <c r="AA2235" s="14">
        <f t="shared" ref="AA2235:AA2241" si="289">+(0.6/1000)</f>
        <v>5.9999999999999995E-4</v>
      </c>
      <c r="AB2235">
        <v>2.3513159999999997</v>
      </c>
      <c r="AC2235">
        <v>2.4453686399999999</v>
      </c>
    </row>
    <row r="2236" spans="1:29" x14ac:dyDescent="0.3">
      <c r="A2236">
        <v>150021</v>
      </c>
      <c r="B2236" s="25" t="s">
        <v>5984</v>
      </c>
      <c r="C2236" t="s">
        <v>20</v>
      </c>
      <c r="D2236" t="s">
        <v>21</v>
      </c>
      <c r="E2236">
        <v>2222222</v>
      </c>
      <c r="F2236" s="8" t="s">
        <v>22</v>
      </c>
      <c r="G2236" s="2">
        <v>98</v>
      </c>
      <c r="H2236" t="s">
        <v>4235</v>
      </c>
      <c r="J2236" s="9" t="s">
        <v>4903</v>
      </c>
      <c r="K2236" t="s">
        <v>4893</v>
      </c>
      <c r="L2236" s="2">
        <v>1</v>
      </c>
      <c r="M2236" s="24" t="s">
        <v>5971</v>
      </c>
      <c r="N2236" s="2" t="s">
        <v>23</v>
      </c>
      <c r="O2236" s="18" t="s">
        <v>1780</v>
      </c>
      <c r="P2236" s="18" t="s">
        <v>3781</v>
      </c>
      <c r="Q2236" s="6" t="s">
        <v>4475</v>
      </c>
      <c r="T2236" s="23">
        <v>46065</v>
      </c>
      <c r="U2236" s="23">
        <v>46979</v>
      </c>
      <c r="X2236" s="20">
        <v>6000</v>
      </c>
      <c r="Z2236" s="6" t="s">
        <v>5978</v>
      </c>
      <c r="AA2236" s="14">
        <f t="shared" si="289"/>
        <v>5.9999999999999995E-4</v>
      </c>
      <c r="AB2236">
        <v>1.5009239999999999</v>
      </c>
      <c r="AC2236">
        <v>1.5609609600000001</v>
      </c>
    </row>
    <row r="2237" spans="1:29" x14ac:dyDescent="0.3">
      <c r="A2237">
        <v>150088</v>
      </c>
      <c r="B2237" s="25" t="s">
        <v>5984</v>
      </c>
      <c r="C2237" t="s">
        <v>20</v>
      </c>
      <c r="D2237" t="s">
        <v>21</v>
      </c>
      <c r="E2237">
        <v>2222222</v>
      </c>
      <c r="F2237" s="8" t="s">
        <v>22</v>
      </c>
      <c r="G2237" s="2">
        <v>98</v>
      </c>
      <c r="H2237" t="s">
        <v>4235</v>
      </c>
      <c r="J2237" s="9" t="s">
        <v>5096</v>
      </c>
      <c r="K2237" t="s">
        <v>5165</v>
      </c>
      <c r="L2237" s="2">
        <v>1</v>
      </c>
      <c r="M2237" s="24" t="s">
        <v>5971</v>
      </c>
      <c r="N2237" s="2" t="s">
        <v>23</v>
      </c>
      <c r="O2237" s="18" t="s">
        <v>1781</v>
      </c>
      <c r="P2237" s="18" t="s">
        <v>3781</v>
      </c>
      <c r="Q2237" s="6" t="s">
        <v>4475</v>
      </c>
      <c r="T2237" s="23">
        <v>46081</v>
      </c>
      <c r="U2237" s="23">
        <v>48273</v>
      </c>
      <c r="X2237" s="20">
        <v>25000</v>
      </c>
      <c r="Z2237" s="6" t="s">
        <v>5978</v>
      </c>
      <c r="AA2237" s="14">
        <f t="shared" si="289"/>
        <v>5.9999999999999995E-4</v>
      </c>
      <c r="AB2237">
        <v>14.422967999999997</v>
      </c>
      <c r="AC2237">
        <v>14.999886719999997</v>
      </c>
    </row>
    <row r="2238" spans="1:29" x14ac:dyDescent="0.3">
      <c r="A2238">
        <v>150336</v>
      </c>
      <c r="B2238" s="25" t="s">
        <v>5984</v>
      </c>
      <c r="C2238" t="s">
        <v>20</v>
      </c>
      <c r="D2238" t="s">
        <v>21</v>
      </c>
      <c r="E2238">
        <v>2222222</v>
      </c>
      <c r="F2238" s="8" t="s">
        <v>22</v>
      </c>
      <c r="G2238" s="2">
        <v>98</v>
      </c>
      <c r="H2238" t="s">
        <v>4235</v>
      </c>
      <c r="J2238" s="9" t="s">
        <v>4830</v>
      </c>
      <c r="K2238" t="s">
        <v>4942</v>
      </c>
      <c r="L2238" s="2">
        <v>1</v>
      </c>
      <c r="M2238" s="24" t="s">
        <v>5971</v>
      </c>
      <c r="N2238" s="2" t="s">
        <v>23</v>
      </c>
      <c r="O2238" s="18" t="s">
        <v>1782</v>
      </c>
      <c r="P2238" s="18" t="s">
        <v>3781</v>
      </c>
      <c r="Q2238" s="6" t="s">
        <v>4475</v>
      </c>
      <c r="T2238" s="23">
        <v>46093</v>
      </c>
      <c r="U2238" s="23">
        <v>46823</v>
      </c>
      <c r="X2238" s="20">
        <v>10000</v>
      </c>
      <c r="Z2238" s="6" t="s">
        <v>5978</v>
      </c>
      <c r="AA2238" s="14">
        <f t="shared" si="289"/>
        <v>5.9999999999999995E-4</v>
      </c>
      <c r="AB2238">
        <v>5.1275399999999998</v>
      </c>
      <c r="AC2238">
        <v>5.3326415999999996</v>
      </c>
    </row>
    <row r="2239" spans="1:29" x14ac:dyDescent="0.3">
      <c r="A2239">
        <v>150480</v>
      </c>
      <c r="B2239" s="25" t="s">
        <v>5984</v>
      </c>
      <c r="C2239" t="s">
        <v>20</v>
      </c>
      <c r="D2239" t="s">
        <v>21</v>
      </c>
      <c r="E2239">
        <v>2222222</v>
      </c>
      <c r="F2239" s="8" t="s">
        <v>22</v>
      </c>
      <c r="G2239" s="2">
        <v>98</v>
      </c>
      <c r="H2239" t="s">
        <v>4235</v>
      </c>
      <c r="J2239" s="9" t="s">
        <v>4929</v>
      </c>
      <c r="K2239" t="s">
        <v>4964</v>
      </c>
      <c r="L2239" s="2">
        <v>1</v>
      </c>
      <c r="M2239" s="24" t="s">
        <v>5971</v>
      </c>
      <c r="N2239" s="2" t="s">
        <v>23</v>
      </c>
      <c r="O2239" s="18" t="s">
        <v>1783</v>
      </c>
      <c r="P2239" s="18" t="s">
        <v>0</v>
      </c>
      <c r="Q2239" s="6" t="s">
        <v>4475</v>
      </c>
      <c r="T2239" s="23">
        <v>46104</v>
      </c>
      <c r="U2239" s="23">
        <v>49757</v>
      </c>
      <c r="X2239" s="20">
        <v>65000</v>
      </c>
      <c r="Z2239" s="6" t="s">
        <v>5978</v>
      </c>
      <c r="AA2239" s="14">
        <f t="shared" si="289"/>
        <v>5.9999999999999995E-4</v>
      </c>
      <c r="AB2239">
        <v>20.462999999999997</v>
      </c>
      <c r="AC2239">
        <v>21.281519999999997</v>
      </c>
    </row>
    <row r="2240" spans="1:29" x14ac:dyDescent="0.3">
      <c r="A2240">
        <v>150866</v>
      </c>
      <c r="B2240" s="25" t="s">
        <v>5984</v>
      </c>
      <c r="C2240" t="s">
        <v>20</v>
      </c>
      <c r="D2240" t="s">
        <v>21</v>
      </c>
      <c r="E2240">
        <v>2222222</v>
      </c>
      <c r="F2240" s="8" t="s">
        <v>22</v>
      </c>
      <c r="G2240" s="2">
        <v>98</v>
      </c>
      <c r="H2240" t="s">
        <v>4235</v>
      </c>
      <c r="J2240" s="9" t="s">
        <v>4939</v>
      </c>
      <c r="K2240" t="s">
        <v>5595</v>
      </c>
      <c r="L2240" s="2">
        <v>1</v>
      </c>
      <c r="M2240" s="24" t="s">
        <v>5971</v>
      </c>
      <c r="N2240" s="2" t="s">
        <v>23</v>
      </c>
      <c r="O2240" s="18" t="s">
        <v>1784</v>
      </c>
      <c r="P2240" s="18" t="s">
        <v>0</v>
      </c>
      <c r="Q2240" s="6" t="s">
        <v>4475</v>
      </c>
      <c r="T2240" s="23">
        <v>46127</v>
      </c>
      <c r="U2240" s="23">
        <v>47953</v>
      </c>
      <c r="X2240" s="20">
        <v>10000</v>
      </c>
      <c r="Z2240" s="6" t="s">
        <v>5978</v>
      </c>
      <c r="AA2240" s="14">
        <f t="shared" si="289"/>
        <v>5.9999999999999995E-4</v>
      </c>
      <c r="AB2240">
        <v>5.8001459999999998</v>
      </c>
      <c r="AC2240">
        <v>6.03215184</v>
      </c>
    </row>
    <row r="2241" spans="1:29" x14ac:dyDescent="0.3">
      <c r="A2241">
        <v>151063</v>
      </c>
      <c r="B2241" s="25" t="s">
        <v>5984</v>
      </c>
      <c r="C2241" t="s">
        <v>20</v>
      </c>
      <c r="D2241" t="s">
        <v>21</v>
      </c>
      <c r="E2241">
        <v>2222222</v>
      </c>
      <c r="F2241" s="8" t="s">
        <v>22</v>
      </c>
      <c r="G2241" s="2">
        <v>98</v>
      </c>
      <c r="H2241" t="s">
        <v>4235</v>
      </c>
      <c r="J2241" s="9" t="s">
        <v>4981</v>
      </c>
      <c r="K2241" t="s">
        <v>5070</v>
      </c>
      <c r="L2241" s="2">
        <v>1</v>
      </c>
      <c r="M2241" s="24" t="s">
        <v>5971</v>
      </c>
      <c r="N2241" s="2" t="s">
        <v>23</v>
      </c>
      <c r="O2241" s="18" t="s">
        <v>1785</v>
      </c>
      <c r="P2241" s="18" t="s">
        <v>3781</v>
      </c>
      <c r="Q2241" s="6" t="s">
        <v>4475</v>
      </c>
      <c r="T2241" s="23">
        <v>46135</v>
      </c>
      <c r="U2241" s="23">
        <v>46500</v>
      </c>
      <c r="X2241" s="20">
        <v>2100</v>
      </c>
      <c r="Z2241" s="6" t="s">
        <v>5978</v>
      </c>
      <c r="AA2241" s="14">
        <f t="shared" si="289"/>
        <v>5.9999999999999995E-4</v>
      </c>
      <c r="AB2241">
        <v>0.96476999999999991</v>
      </c>
      <c r="AC2241">
        <v>1.0033607999999998</v>
      </c>
    </row>
    <row r="2242" spans="1:29" x14ac:dyDescent="0.3">
      <c r="A2242">
        <v>54961</v>
      </c>
      <c r="B2242" s="25" t="s">
        <v>5984</v>
      </c>
      <c r="C2242" t="s">
        <v>20</v>
      </c>
      <c r="D2242" t="s">
        <v>21</v>
      </c>
      <c r="E2242">
        <v>2222222</v>
      </c>
      <c r="F2242" s="8" t="s">
        <v>22</v>
      </c>
      <c r="G2242" s="2">
        <v>98</v>
      </c>
      <c r="H2242" t="s">
        <v>4236</v>
      </c>
      <c r="J2242" s="9" t="s">
        <v>5596</v>
      </c>
      <c r="K2242" t="s">
        <v>4893</v>
      </c>
      <c r="L2242" s="2">
        <v>1</v>
      </c>
      <c r="M2242" s="24" t="s">
        <v>5971</v>
      </c>
      <c r="N2242" s="2" t="s">
        <v>23</v>
      </c>
      <c r="O2242" s="18" t="s">
        <v>1786</v>
      </c>
      <c r="P2242" s="18" t="s">
        <v>3781</v>
      </c>
      <c r="Q2242" s="6" t="s">
        <v>4475</v>
      </c>
      <c r="T2242" s="23">
        <v>41606</v>
      </c>
      <c r="U2242" s="23">
        <v>44530</v>
      </c>
      <c r="X2242" s="20">
        <v>7602.66</v>
      </c>
      <c r="Z2242" s="6" t="s">
        <v>5978</v>
      </c>
      <c r="AA2242" s="16">
        <f>+(0.36/1000)</f>
        <v>3.5999999999999997E-4</v>
      </c>
      <c r="AB2242">
        <v>2.3541983999999996</v>
      </c>
      <c r="AC2242">
        <v>2.4483663359999999</v>
      </c>
    </row>
    <row r="2243" spans="1:29" x14ac:dyDescent="0.3">
      <c r="A2243">
        <v>119297</v>
      </c>
      <c r="B2243" s="25" t="s">
        <v>5984</v>
      </c>
      <c r="C2243" t="s">
        <v>20</v>
      </c>
      <c r="D2243" t="s">
        <v>21</v>
      </c>
      <c r="E2243">
        <v>2222222</v>
      </c>
      <c r="F2243" s="8" t="s">
        <v>22</v>
      </c>
      <c r="G2243" s="2">
        <v>98</v>
      </c>
      <c r="H2243" t="s">
        <v>4236</v>
      </c>
      <c r="J2243" s="9" t="s">
        <v>5204</v>
      </c>
      <c r="K2243" t="s">
        <v>4946</v>
      </c>
      <c r="L2243" s="2">
        <v>1</v>
      </c>
      <c r="M2243" s="24" t="s">
        <v>5971</v>
      </c>
      <c r="N2243" s="2" t="s">
        <v>23</v>
      </c>
      <c r="O2243" s="18" t="s">
        <v>1787</v>
      </c>
      <c r="P2243" s="18" t="s">
        <v>0</v>
      </c>
      <c r="Q2243" s="6" t="s">
        <v>4475</v>
      </c>
      <c r="T2243" s="23">
        <v>44265</v>
      </c>
      <c r="U2243" s="23">
        <v>49744</v>
      </c>
      <c r="X2243" s="20">
        <v>47120</v>
      </c>
      <c r="Z2243" s="6" t="s">
        <v>5978</v>
      </c>
      <c r="AA2243" s="15">
        <f t="shared" ref="AA2243:AA2244" si="290">+(0.42/1000)</f>
        <v>4.1999999999999996E-4</v>
      </c>
      <c r="AB2243">
        <v>8.3778702000000003</v>
      </c>
      <c r="AC2243">
        <v>8.7129850080000004</v>
      </c>
    </row>
    <row r="2244" spans="1:29" x14ac:dyDescent="0.3">
      <c r="A2244">
        <v>127791</v>
      </c>
      <c r="B2244" s="25" t="s">
        <v>5984</v>
      </c>
      <c r="C2244" t="s">
        <v>20</v>
      </c>
      <c r="D2244" t="s">
        <v>21</v>
      </c>
      <c r="E2244">
        <v>2222222</v>
      </c>
      <c r="F2244" s="8" t="s">
        <v>22</v>
      </c>
      <c r="G2244" s="2">
        <v>98</v>
      </c>
      <c r="H2244" t="s">
        <v>4236</v>
      </c>
      <c r="J2244" s="9" t="s">
        <v>5137</v>
      </c>
      <c r="K2244" t="s">
        <v>5056</v>
      </c>
      <c r="L2244" s="2">
        <v>1</v>
      </c>
      <c r="M2244" s="24" t="s">
        <v>5971</v>
      </c>
      <c r="N2244" s="2" t="s">
        <v>23</v>
      </c>
      <c r="O2244" s="18" t="s">
        <v>1788</v>
      </c>
      <c r="P2244" s="18" t="s">
        <v>3781</v>
      </c>
      <c r="Q2244" s="6" t="s">
        <v>4475</v>
      </c>
      <c r="T2244" s="23">
        <v>44693</v>
      </c>
      <c r="U2244" s="23">
        <v>51997</v>
      </c>
      <c r="X2244" s="20">
        <v>99000</v>
      </c>
      <c r="Z2244" s="6" t="s">
        <v>5978</v>
      </c>
      <c r="AA2244" s="15">
        <f t="shared" si="290"/>
        <v>4.1999999999999996E-4</v>
      </c>
      <c r="AB2244">
        <v>38.399696999999996</v>
      </c>
      <c r="AC2244">
        <v>39.935684879999997</v>
      </c>
    </row>
    <row r="2245" spans="1:29" x14ac:dyDescent="0.3">
      <c r="A2245">
        <v>130971</v>
      </c>
      <c r="B2245" s="25" t="s">
        <v>5984</v>
      </c>
      <c r="C2245" t="s">
        <v>20</v>
      </c>
      <c r="D2245" t="s">
        <v>21</v>
      </c>
      <c r="E2245">
        <v>2222222</v>
      </c>
      <c r="F2245" s="8" t="s">
        <v>22</v>
      </c>
      <c r="G2245" s="2">
        <v>98</v>
      </c>
      <c r="H2245" t="s">
        <v>4236</v>
      </c>
      <c r="J2245" s="9" t="s">
        <v>4834</v>
      </c>
      <c r="K2245" t="s">
        <v>4926</v>
      </c>
      <c r="L2245" s="2">
        <v>1</v>
      </c>
      <c r="M2245" s="24" t="s">
        <v>5971</v>
      </c>
      <c r="N2245" s="2" t="s">
        <v>23</v>
      </c>
      <c r="O2245" s="18" t="s">
        <v>1789</v>
      </c>
      <c r="P2245" s="18" t="s">
        <v>3781</v>
      </c>
      <c r="Q2245" s="6" t="s">
        <v>4475</v>
      </c>
      <c r="T2245" s="23">
        <v>44895</v>
      </c>
      <c r="U2245" s="23">
        <v>48640</v>
      </c>
      <c r="X2245" s="20">
        <v>21600</v>
      </c>
      <c r="Z2245" s="6" t="s">
        <v>5978</v>
      </c>
      <c r="AA2245" s="13">
        <f t="shared" ref="AA2245:AA2247" si="291">+(0.56/1000)</f>
        <v>5.6000000000000006E-4</v>
      </c>
      <c r="AB2245">
        <v>4.6401376000000001</v>
      </c>
      <c r="AC2245">
        <v>4.8257431039999998</v>
      </c>
    </row>
    <row r="2246" spans="1:29" x14ac:dyDescent="0.3">
      <c r="A2246">
        <v>134218</v>
      </c>
      <c r="B2246" s="25" t="s">
        <v>5984</v>
      </c>
      <c r="C2246" t="s">
        <v>20</v>
      </c>
      <c r="D2246" t="s">
        <v>21</v>
      </c>
      <c r="E2246">
        <v>2222222</v>
      </c>
      <c r="F2246" s="8" t="s">
        <v>22</v>
      </c>
      <c r="G2246" s="2">
        <v>98</v>
      </c>
      <c r="H2246" t="s">
        <v>4236</v>
      </c>
      <c r="J2246" s="9" t="s">
        <v>4852</v>
      </c>
      <c r="K2246" t="s">
        <v>5099</v>
      </c>
      <c r="L2246" s="2">
        <v>1</v>
      </c>
      <c r="M2246" s="24" t="s">
        <v>5971</v>
      </c>
      <c r="N2246" s="2" t="s">
        <v>23</v>
      </c>
      <c r="O2246" s="18" t="s">
        <v>430</v>
      </c>
      <c r="P2246" s="18" t="s">
        <v>0</v>
      </c>
      <c r="Q2246" s="6" t="s">
        <v>4475</v>
      </c>
      <c r="T2246" s="23">
        <v>45042</v>
      </c>
      <c r="U2246" s="23">
        <v>46503</v>
      </c>
      <c r="X2246" s="20">
        <v>5000</v>
      </c>
      <c r="Z2246" s="6" t="s">
        <v>5978</v>
      </c>
      <c r="AA2246" s="13">
        <f t="shared" si="291"/>
        <v>5.6000000000000006E-4</v>
      </c>
      <c r="AB2246">
        <v>0.70243040000000001</v>
      </c>
      <c r="AC2246">
        <v>0.73052761600000005</v>
      </c>
    </row>
    <row r="2247" spans="1:29" x14ac:dyDescent="0.3">
      <c r="A2247">
        <v>139864</v>
      </c>
      <c r="B2247" s="25" t="s">
        <v>5984</v>
      </c>
      <c r="C2247" t="s">
        <v>20</v>
      </c>
      <c r="D2247" t="s">
        <v>21</v>
      </c>
      <c r="E2247">
        <v>2222222</v>
      </c>
      <c r="F2247" s="8" t="s">
        <v>22</v>
      </c>
      <c r="G2247" s="2">
        <v>98</v>
      </c>
      <c r="H2247" t="s">
        <v>4236</v>
      </c>
      <c r="J2247" s="9" t="s">
        <v>5196</v>
      </c>
      <c r="L2247" s="2">
        <v>1</v>
      </c>
      <c r="M2247" s="24" t="s">
        <v>5971</v>
      </c>
      <c r="N2247" s="2" t="s">
        <v>23</v>
      </c>
      <c r="O2247" s="18" t="s">
        <v>1790</v>
      </c>
      <c r="P2247" s="18" t="s">
        <v>3781</v>
      </c>
      <c r="Q2247" s="6" t="s">
        <v>4475</v>
      </c>
      <c r="T2247" s="23">
        <v>45352</v>
      </c>
      <c r="U2247" s="23">
        <v>46812</v>
      </c>
      <c r="X2247" s="20">
        <v>4000</v>
      </c>
      <c r="Z2247" s="6" t="s">
        <v>5978</v>
      </c>
      <c r="AA2247" s="13">
        <f t="shared" si="291"/>
        <v>5.6000000000000006E-4</v>
      </c>
      <c r="AB2247">
        <v>2.0780592000000002</v>
      </c>
      <c r="AC2247">
        <v>2.1611815680000004</v>
      </c>
    </row>
    <row r="2248" spans="1:29" x14ac:dyDescent="0.3">
      <c r="A2248">
        <v>142021</v>
      </c>
      <c r="B2248" s="25" t="s">
        <v>5984</v>
      </c>
      <c r="C2248" t="s">
        <v>20</v>
      </c>
      <c r="D2248" t="s">
        <v>21</v>
      </c>
      <c r="E2248">
        <v>2222222</v>
      </c>
      <c r="F2248" s="8" t="s">
        <v>22</v>
      </c>
      <c r="G2248" s="2">
        <v>98</v>
      </c>
      <c r="H2248" t="s">
        <v>4236</v>
      </c>
      <c r="J2248" s="9" t="s">
        <v>5237</v>
      </c>
      <c r="K2248" t="s">
        <v>5411</v>
      </c>
      <c r="L2248" s="2">
        <v>1</v>
      </c>
      <c r="M2248" s="24" t="s">
        <v>5971</v>
      </c>
      <c r="N2248" s="2" t="s">
        <v>23</v>
      </c>
      <c r="O2248" s="18" t="s">
        <v>1791</v>
      </c>
      <c r="P2248" s="18" t="s">
        <v>3781</v>
      </c>
      <c r="Q2248" s="6" t="s">
        <v>4475</v>
      </c>
      <c r="T2248" s="23">
        <v>45590</v>
      </c>
      <c r="U2248" s="23">
        <v>47780</v>
      </c>
      <c r="X2248" s="20">
        <v>20000</v>
      </c>
      <c r="Z2248" s="6" t="s">
        <v>5978</v>
      </c>
      <c r="AA2248" s="14">
        <f t="shared" ref="AA2248:AA2265" si="292">+(0.6/1000)</f>
        <v>5.9999999999999995E-4</v>
      </c>
      <c r="AB2248">
        <v>9.650993999999999</v>
      </c>
      <c r="AC2248">
        <v>10.03703376</v>
      </c>
    </row>
    <row r="2249" spans="1:29" x14ac:dyDescent="0.3">
      <c r="A2249">
        <v>143385</v>
      </c>
      <c r="B2249" s="25" t="s">
        <v>5984</v>
      </c>
      <c r="C2249" t="s">
        <v>20</v>
      </c>
      <c r="D2249" t="s">
        <v>21</v>
      </c>
      <c r="E2249">
        <v>2222222</v>
      </c>
      <c r="F2249" s="8" t="s">
        <v>22</v>
      </c>
      <c r="G2249" s="2">
        <v>98</v>
      </c>
      <c r="H2249" t="s">
        <v>4236</v>
      </c>
      <c r="J2249" s="9" t="s">
        <v>4911</v>
      </c>
      <c r="K2249" t="s">
        <v>5196</v>
      </c>
      <c r="L2249" s="2">
        <v>1</v>
      </c>
      <c r="M2249" s="24" t="s">
        <v>5971</v>
      </c>
      <c r="N2249" s="2" t="s">
        <v>23</v>
      </c>
      <c r="O2249" s="18" t="s">
        <v>1792</v>
      </c>
      <c r="P2249" s="18" t="s">
        <v>3781</v>
      </c>
      <c r="Q2249" s="6" t="s">
        <v>4475</v>
      </c>
      <c r="T2249" s="23">
        <v>45587</v>
      </c>
      <c r="U2249" s="23">
        <v>46681</v>
      </c>
      <c r="X2249" s="20">
        <v>2320</v>
      </c>
      <c r="Z2249" s="6" t="s">
        <v>5978</v>
      </c>
      <c r="AA2249" s="14">
        <f t="shared" si="292"/>
        <v>5.9999999999999995E-4</v>
      </c>
      <c r="AB2249">
        <v>0.67660200000000004</v>
      </c>
      <c r="AC2249">
        <v>0.70366608000000008</v>
      </c>
    </row>
    <row r="2250" spans="1:29" x14ac:dyDescent="0.3">
      <c r="A2250">
        <v>144236</v>
      </c>
      <c r="B2250" s="25" t="s">
        <v>5984</v>
      </c>
      <c r="C2250" t="s">
        <v>20</v>
      </c>
      <c r="D2250" t="s">
        <v>21</v>
      </c>
      <c r="E2250">
        <v>2222222</v>
      </c>
      <c r="F2250" s="8" t="s">
        <v>22</v>
      </c>
      <c r="G2250" s="2">
        <v>98</v>
      </c>
      <c r="H2250" t="s">
        <v>4236</v>
      </c>
      <c r="J2250" s="9" t="s">
        <v>5597</v>
      </c>
      <c r="K2250" t="s">
        <v>5524</v>
      </c>
      <c r="L2250" s="2">
        <v>1</v>
      </c>
      <c r="M2250" s="24" t="s">
        <v>5971</v>
      </c>
      <c r="N2250" s="2" t="s">
        <v>23</v>
      </c>
      <c r="O2250" s="18" t="s">
        <v>1793</v>
      </c>
      <c r="P2250" s="18" t="s">
        <v>3781</v>
      </c>
      <c r="Q2250" s="6" t="s">
        <v>4475</v>
      </c>
      <c r="T2250" s="23">
        <v>45652</v>
      </c>
      <c r="U2250" s="23">
        <v>46746</v>
      </c>
      <c r="X2250" s="20">
        <v>20000</v>
      </c>
      <c r="Z2250" s="6" t="s">
        <v>5978</v>
      </c>
      <c r="AA2250" s="14">
        <f t="shared" si="292"/>
        <v>5.9999999999999995E-4</v>
      </c>
      <c r="AB2250">
        <v>6.3788159999999996</v>
      </c>
      <c r="AC2250">
        <v>6.63396864</v>
      </c>
    </row>
    <row r="2251" spans="1:29" x14ac:dyDescent="0.3">
      <c r="A2251">
        <v>145146</v>
      </c>
      <c r="B2251" s="25" t="s">
        <v>5984</v>
      </c>
      <c r="C2251" t="s">
        <v>20</v>
      </c>
      <c r="D2251" t="s">
        <v>21</v>
      </c>
      <c r="E2251">
        <v>2222222</v>
      </c>
      <c r="F2251" s="8" t="s">
        <v>22</v>
      </c>
      <c r="G2251" s="2">
        <v>98</v>
      </c>
      <c r="H2251" t="s">
        <v>4236</v>
      </c>
      <c r="J2251" s="9" t="s">
        <v>4900</v>
      </c>
      <c r="K2251" t="s">
        <v>4901</v>
      </c>
      <c r="L2251" s="2">
        <v>1</v>
      </c>
      <c r="M2251" s="24" t="s">
        <v>5971</v>
      </c>
      <c r="N2251" s="2" t="s">
        <v>23</v>
      </c>
      <c r="O2251" s="18" t="s">
        <v>1794</v>
      </c>
      <c r="P2251" s="18" t="s">
        <v>0</v>
      </c>
      <c r="Q2251" s="6" t="s">
        <v>4475</v>
      </c>
      <c r="T2251" s="23">
        <v>45715</v>
      </c>
      <c r="U2251" s="23">
        <v>47177</v>
      </c>
      <c r="X2251" s="20">
        <v>3560</v>
      </c>
      <c r="Z2251" s="6" t="s">
        <v>5978</v>
      </c>
      <c r="AA2251" s="14">
        <f t="shared" si="292"/>
        <v>5.9999999999999995E-4</v>
      </c>
      <c r="AB2251">
        <v>1.5927180000000001</v>
      </c>
      <c r="AC2251">
        <v>1.6564267200000002</v>
      </c>
    </row>
    <row r="2252" spans="1:29" x14ac:dyDescent="0.3">
      <c r="A2252">
        <v>145274</v>
      </c>
      <c r="B2252" s="25" t="s">
        <v>5984</v>
      </c>
      <c r="C2252" t="s">
        <v>20</v>
      </c>
      <c r="D2252" t="s">
        <v>21</v>
      </c>
      <c r="E2252">
        <v>2222222</v>
      </c>
      <c r="F2252" s="8" t="s">
        <v>22</v>
      </c>
      <c r="G2252" s="2">
        <v>98</v>
      </c>
      <c r="H2252" t="s">
        <v>4236</v>
      </c>
      <c r="J2252" s="9" t="s">
        <v>5133</v>
      </c>
      <c r="K2252" t="s">
        <v>5166</v>
      </c>
      <c r="L2252" s="2">
        <v>1</v>
      </c>
      <c r="M2252" s="24" t="s">
        <v>5971</v>
      </c>
      <c r="N2252" s="2" t="s">
        <v>23</v>
      </c>
      <c r="O2252" s="18" t="s">
        <v>1795</v>
      </c>
      <c r="P2252" s="18" t="s">
        <v>3781</v>
      </c>
      <c r="Q2252" s="6" t="s">
        <v>4475</v>
      </c>
      <c r="T2252" s="23">
        <v>45754</v>
      </c>
      <c r="U2252" s="23">
        <v>51233</v>
      </c>
      <c r="X2252" s="20">
        <v>100000</v>
      </c>
      <c r="Z2252" s="6" t="s">
        <v>5978</v>
      </c>
      <c r="AA2252" s="14">
        <f t="shared" si="292"/>
        <v>5.9999999999999995E-4</v>
      </c>
      <c r="AB2252">
        <v>58.004111999999999</v>
      </c>
      <c r="AC2252">
        <v>60.324276480000002</v>
      </c>
    </row>
    <row r="2253" spans="1:29" x14ac:dyDescent="0.3">
      <c r="A2253">
        <v>146823</v>
      </c>
      <c r="B2253" s="25" t="s">
        <v>5984</v>
      </c>
      <c r="C2253" t="s">
        <v>20</v>
      </c>
      <c r="D2253" t="s">
        <v>21</v>
      </c>
      <c r="E2253">
        <v>2222222</v>
      </c>
      <c r="F2253" s="8" t="s">
        <v>22</v>
      </c>
      <c r="G2253" s="2">
        <v>98</v>
      </c>
      <c r="H2253" t="s">
        <v>4236</v>
      </c>
      <c r="J2253" s="9" t="s">
        <v>5143</v>
      </c>
      <c r="K2253" t="s">
        <v>5019</v>
      </c>
      <c r="L2253" s="2">
        <v>1</v>
      </c>
      <c r="M2253" s="24" t="s">
        <v>5971</v>
      </c>
      <c r="N2253" s="2" t="s">
        <v>23</v>
      </c>
      <c r="O2253" s="18" t="s">
        <v>1796</v>
      </c>
      <c r="P2253" s="18" t="s">
        <v>3781</v>
      </c>
      <c r="Q2253" s="6" t="s">
        <v>4475</v>
      </c>
      <c r="T2253" s="23">
        <v>45846</v>
      </c>
      <c r="U2253" s="23">
        <v>47671</v>
      </c>
      <c r="X2253" s="20">
        <v>5000</v>
      </c>
      <c r="Z2253" s="6" t="s">
        <v>5978</v>
      </c>
      <c r="AA2253" s="14">
        <f t="shared" si="292"/>
        <v>5.9999999999999995E-4</v>
      </c>
      <c r="AB2253">
        <v>2.5552979999999996</v>
      </c>
      <c r="AC2253">
        <v>2.6575099199999999</v>
      </c>
    </row>
    <row r="2254" spans="1:29" x14ac:dyDescent="0.3">
      <c r="A2254">
        <v>147326</v>
      </c>
      <c r="B2254" s="25" t="s">
        <v>5984</v>
      </c>
      <c r="C2254" t="s">
        <v>20</v>
      </c>
      <c r="D2254" t="s">
        <v>21</v>
      </c>
      <c r="E2254">
        <v>2222222</v>
      </c>
      <c r="F2254" s="8" t="s">
        <v>22</v>
      </c>
      <c r="G2254" s="2">
        <v>98</v>
      </c>
      <c r="H2254" t="s">
        <v>4236</v>
      </c>
      <c r="J2254" s="9" t="s">
        <v>4834</v>
      </c>
      <c r="K2254" t="s">
        <v>4926</v>
      </c>
      <c r="L2254" s="2">
        <v>1</v>
      </c>
      <c r="M2254" s="24" t="s">
        <v>5971</v>
      </c>
      <c r="N2254" s="2" t="s">
        <v>23</v>
      </c>
      <c r="O2254" s="18" t="s">
        <v>1789</v>
      </c>
      <c r="P2254" s="18" t="s">
        <v>3781</v>
      </c>
      <c r="Q2254" s="6" t="s">
        <v>4475</v>
      </c>
      <c r="T2254" s="23">
        <v>45889</v>
      </c>
      <c r="U2254" s="23">
        <v>51367</v>
      </c>
      <c r="X2254" s="20">
        <v>36000</v>
      </c>
      <c r="Z2254" s="6" t="s">
        <v>5978</v>
      </c>
      <c r="AA2254" s="14">
        <f t="shared" si="292"/>
        <v>5.9999999999999995E-4</v>
      </c>
      <c r="AB2254">
        <v>21.095513999999998</v>
      </c>
      <c r="AC2254">
        <v>21.939334559999999</v>
      </c>
    </row>
    <row r="2255" spans="1:29" x14ac:dyDescent="0.3">
      <c r="A2255">
        <v>149039</v>
      </c>
      <c r="B2255" s="25" t="s">
        <v>5984</v>
      </c>
      <c r="C2255" t="s">
        <v>20</v>
      </c>
      <c r="D2255" t="s">
        <v>21</v>
      </c>
      <c r="E2255">
        <v>2222222</v>
      </c>
      <c r="F2255" s="8" t="s">
        <v>22</v>
      </c>
      <c r="G2255" s="2">
        <v>98</v>
      </c>
      <c r="H2255" t="s">
        <v>4236</v>
      </c>
      <c r="J2255" s="9" t="s">
        <v>5068</v>
      </c>
      <c r="K2255" t="s">
        <v>4953</v>
      </c>
      <c r="L2255" s="2">
        <v>1</v>
      </c>
      <c r="M2255" s="24" t="s">
        <v>5971</v>
      </c>
      <c r="N2255" s="2" t="s">
        <v>23</v>
      </c>
      <c r="O2255" s="18" t="s">
        <v>1797</v>
      </c>
      <c r="P2255" s="18" t="s">
        <v>0</v>
      </c>
      <c r="Q2255" s="6" t="s">
        <v>4475</v>
      </c>
      <c r="T2255" s="23">
        <v>45994</v>
      </c>
      <c r="U2255" s="23">
        <v>46358</v>
      </c>
      <c r="X2255" s="20">
        <v>5000</v>
      </c>
      <c r="Z2255" s="6" t="s">
        <v>5978</v>
      </c>
      <c r="AA2255" s="14">
        <f t="shared" si="292"/>
        <v>5.9999999999999995E-4</v>
      </c>
      <c r="AB2255">
        <v>1.313706</v>
      </c>
      <c r="AC2255">
        <v>1.3662542400000002</v>
      </c>
    </row>
    <row r="2256" spans="1:29" x14ac:dyDescent="0.3">
      <c r="A2256">
        <v>149479</v>
      </c>
      <c r="B2256" s="25" t="s">
        <v>5984</v>
      </c>
      <c r="C2256" t="s">
        <v>20</v>
      </c>
      <c r="D2256" t="s">
        <v>21</v>
      </c>
      <c r="E2256">
        <v>2222222</v>
      </c>
      <c r="F2256" s="8" t="s">
        <v>22</v>
      </c>
      <c r="G2256" s="2">
        <v>98</v>
      </c>
      <c r="H2256" t="s">
        <v>4236</v>
      </c>
      <c r="J2256" s="9" t="s">
        <v>5133</v>
      </c>
      <c r="K2256" t="s">
        <v>5166</v>
      </c>
      <c r="L2256" s="2">
        <v>1</v>
      </c>
      <c r="M2256" s="24" t="s">
        <v>5971</v>
      </c>
      <c r="N2256" s="2" t="s">
        <v>23</v>
      </c>
      <c r="O2256" s="18" t="s">
        <v>1795</v>
      </c>
      <c r="P2256" s="18" t="s">
        <v>3781</v>
      </c>
      <c r="Q2256" s="6" t="s">
        <v>4475</v>
      </c>
      <c r="T2256" s="23">
        <v>46028</v>
      </c>
      <c r="U2256" s="23">
        <v>47488</v>
      </c>
      <c r="X2256" s="20">
        <v>5000</v>
      </c>
      <c r="Z2256" s="6" t="s">
        <v>5978</v>
      </c>
      <c r="AA2256" s="14">
        <f t="shared" si="292"/>
        <v>5.9999999999999995E-4</v>
      </c>
      <c r="AB2256">
        <v>2.7287159999999995</v>
      </c>
      <c r="AC2256">
        <v>2.8378646399999994</v>
      </c>
    </row>
    <row r="2257" spans="1:29" x14ac:dyDescent="0.3">
      <c r="A2257">
        <v>149697</v>
      </c>
      <c r="B2257" s="25" t="s">
        <v>5984</v>
      </c>
      <c r="C2257" t="s">
        <v>20</v>
      </c>
      <c r="D2257" t="s">
        <v>21</v>
      </c>
      <c r="E2257">
        <v>2222222</v>
      </c>
      <c r="F2257" s="8" t="s">
        <v>22</v>
      </c>
      <c r="G2257" s="2">
        <v>98</v>
      </c>
      <c r="H2257" t="s">
        <v>4236</v>
      </c>
      <c r="J2257" s="9" t="s">
        <v>4956</v>
      </c>
      <c r="K2257" t="s">
        <v>4980</v>
      </c>
      <c r="L2257" s="2">
        <v>1</v>
      </c>
      <c r="M2257" s="24" t="s">
        <v>5971</v>
      </c>
      <c r="N2257" s="2" t="s">
        <v>23</v>
      </c>
      <c r="O2257" s="18" t="s">
        <v>1798</v>
      </c>
      <c r="P2257" s="18" t="s">
        <v>3781</v>
      </c>
      <c r="Q2257" s="6" t="s">
        <v>4475</v>
      </c>
      <c r="T2257" s="23">
        <v>46045</v>
      </c>
      <c r="U2257" s="23">
        <v>47141</v>
      </c>
      <c r="X2257" s="20">
        <v>2000</v>
      </c>
      <c r="Z2257" s="6" t="s">
        <v>5978</v>
      </c>
      <c r="AA2257" s="14">
        <f t="shared" si="292"/>
        <v>5.9999999999999995E-4</v>
      </c>
      <c r="AB2257">
        <v>1.038756</v>
      </c>
      <c r="AC2257">
        <v>1.0803062400000001</v>
      </c>
    </row>
    <row r="2258" spans="1:29" x14ac:dyDescent="0.3">
      <c r="A2258">
        <v>150113</v>
      </c>
      <c r="B2258" s="25" t="s">
        <v>5984</v>
      </c>
      <c r="C2258" t="s">
        <v>20</v>
      </c>
      <c r="D2258" t="s">
        <v>21</v>
      </c>
      <c r="E2258">
        <v>2222222</v>
      </c>
      <c r="F2258" s="8" t="s">
        <v>22</v>
      </c>
      <c r="G2258" s="2">
        <v>98</v>
      </c>
      <c r="H2258" t="s">
        <v>4236</v>
      </c>
      <c r="J2258" s="9" t="s">
        <v>4967</v>
      </c>
      <c r="K2258" t="s">
        <v>5598</v>
      </c>
      <c r="L2258" s="2">
        <v>1</v>
      </c>
      <c r="M2258" s="24" t="s">
        <v>5971</v>
      </c>
      <c r="N2258" s="2" t="s">
        <v>23</v>
      </c>
      <c r="O2258" s="18" t="s">
        <v>1799</v>
      </c>
      <c r="P2258" s="18" t="s">
        <v>3781</v>
      </c>
      <c r="Q2258" s="6" t="s">
        <v>4475</v>
      </c>
      <c r="T2258" s="23">
        <v>46072</v>
      </c>
      <c r="U2258" s="23">
        <v>46804</v>
      </c>
      <c r="X2258" s="20">
        <v>2600</v>
      </c>
      <c r="Z2258" s="6" t="s">
        <v>5978</v>
      </c>
      <c r="AA2258" s="14">
        <f t="shared" si="292"/>
        <v>5.9999999999999995E-4</v>
      </c>
      <c r="AB2258">
        <v>1.2774179999999999</v>
      </c>
      <c r="AC2258">
        <v>1.32851472</v>
      </c>
    </row>
    <row r="2259" spans="1:29" x14ac:dyDescent="0.3">
      <c r="A2259">
        <v>150641</v>
      </c>
      <c r="B2259" s="25" t="s">
        <v>5984</v>
      </c>
      <c r="C2259" t="s">
        <v>20</v>
      </c>
      <c r="D2259" t="s">
        <v>21</v>
      </c>
      <c r="E2259">
        <v>2222222</v>
      </c>
      <c r="F2259" s="8" t="s">
        <v>22</v>
      </c>
      <c r="G2259" s="2">
        <v>98</v>
      </c>
      <c r="H2259" t="s">
        <v>4236</v>
      </c>
      <c r="J2259" s="9" t="s">
        <v>4836</v>
      </c>
      <c r="K2259" t="s">
        <v>4873</v>
      </c>
      <c r="L2259" s="2">
        <v>1</v>
      </c>
      <c r="M2259" s="24" t="s">
        <v>5971</v>
      </c>
      <c r="N2259" s="2" t="s">
        <v>23</v>
      </c>
      <c r="O2259" s="18" t="s">
        <v>1800</v>
      </c>
      <c r="P2259" s="18" t="s">
        <v>3781</v>
      </c>
      <c r="Q2259" s="6" t="s">
        <v>4475</v>
      </c>
      <c r="T2259" s="23">
        <v>46106</v>
      </c>
      <c r="U2259" s="23">
        <v>47566</v>
      </c>
      <c r="X2259" s="20">
        <v>3750</v>
      </c>
      <c r="Z2259" s="6" t="s">
        <v>5978</v>
      </c>
      <c r="AA2259" s="14">
        <f t="shared" si="292"/>
        <v>5.9999999999999995E-4</v>
      </c>
      <c r="AB2259">
        <v>2.1175799999999998</v>
      </c>
      <c r="AC2259">
        <v>2.2022831999999997</v>
      </c>
    </row>
    <row r="2260" spans="1:29" x14ac:dyDescent="0.3">
      <c r="A2260">
        <v>150810</v>
      </c>
      <c r="B2260" s="25" t="s">
        <v>5984</v>
      </c>
      <c r="C2260" t="s">
        <v>20</v>
      </c>
      <c r="D2260" t="s">
        <v>21</v>
      </c>
      <c r="E2260">
        <v>2222222</v>
      </c>
      <c r="F2260" s="8" t="s">
        <v>22</v>
      </c>
      <c r="G2260" s="2">
        <v>98</v>
      </c>
      <c r="H2260" t="s">
        <v>4236</v>
      </c>
      <c r="J2260" s="9" t="s">
        <v>5199</v>
      </c>
      <c r="K2260" t="s">
        <v>5130</v>
      </c>
      <c r="L2260" s="2">
        <v>1</v>
      </c>
      <c r="M2260" s="24" t="s">
        <v>5971</v>
      </c>
      <c r="N2260" s="2" t="s">
        <v>23</v>
      </c>
      <c r="O2260" s="18" t="s">
        <v>1801</v>
      </c>
      <c r="P2260" s="18" t="s">
        <v>0</v>
      </c>
      <c r="Q2260" s="6" t="s">
        <v>4475</v>
      </c>
      <c r="T2260" s="23">
        <v>46119</v>
      </c>
      <c r="U2260" s="23">
        <v>46394</v>
      </c>
      <c r="X2260" s="20">
        <v>3100</v>
      </c>
      <c r="Z2260" s="6" t="s">
        <v>5978</v>
      </c>
      <c r="AA2260" s="14">
        <f t="shared" si="292"/>
        <v>5.9999999999999995E-4</v>
      </c>
      <c r="AB2260">
        <v>1.2661319999999998</v>
      </c>
      <c r="AC2260">
        <v>1.3167772799999999</v>
      </c>
    </row>
    <row r="2261" spans="1:29" x14ac:dyDescent="0.3">
      <c r="A2261">
        <v>151160</v>
      </c>
      <c r="B2261" s="25" t="s">
        <v>5984</v>
      </c>
      <c r="C2261" t="s">
        <v>20</v>
      </c>
      <c r="D2261" t="s">
        <v>21</v>
      </c>
      <c r="E2261">
        <v>2222222</v>
      </c>
      <c r="F2261" s="8" t="s">
        <v>22</v>
      </c>
      <c r="G2261" s="2">
        <v>98</v>
      </c>
      <c r="H2261" t="s">
        <v>4236</v>
      </c>
      <c r="J2261" s="9" t="s">
        <v>5083</v>
      </c>
      <c r="K2261" t="s">
        <v>4924</v>
      </c>
      <c r="L2261" s="2">
        <v>1</v>
      </c>
      <c r="M2261" s="24" t="s">
        <v>5971</v>
      </c>
      <c r="N2261" s="2" t="s">
        <v>23</v>
      </c>
      <c r="O2261" s="18" t="s">
        <v>1802</v>
      </c>
      <c r="P2261" s="18" t="s">
        <v>3781</v>
      </c>
      <c r="Q2261" s="6" t="s">
        <v>4475</v>
      </c>
      <c r="T2261" s="23">
        <v>46141</v>
      </c>
      <c r="U2261" s="23">
        <v>46385</v>
      </c>
      <c r="X2261" s="20">
        <v>550</v>
      </c>
      <c r="Z2261" s="6" t="s">
        <v>5978</v>
      </c>
      <c r="AA2261" s="14">
        <f t="shared" si="292"/>
        <v>5.9999999999999995E-4</v>
      </c>
      <c r="AB2261">
        <v>0.21059999999999998</v>
      </c>
      <c r="AC2261">
        <v>0.219024</v>
      </c>
    </row>
    <row r="2262" spans="1:29" x14ac:dyDescent="0.3">
      <c r="A2262">
        <v>151201</v>
      </c>
      <c r="B2262" s="25" t="s">
        <v>5984</v>
      </c>
      <c r="C2262" t="s">
        <v>20</v>
      </c>
      <c r="D2262" t="s">
        <v>21</v>
      </c>
      <c r="E2262">
        <v>2222222</v>
      </c>
      <c r="F2262" s="8" t="s">
        <v>22</v>
      </c>
      <c r="G2262" s="2">
        <v>98</v>
      </c>
      <c r="H2262" t="s">
        <v>4236</v>
      </c>
      <c r="J2262" s="9" t="s">
        <v>5068</v>
      </c>
      <c r="K2262" t="s">
        <v>4953</v>
      </c>
      <c r="L2262" s="2">
        <v>1</v>
      </c>
      <c r="M2262" s="24" t="s">
        <v>5971</v>
      </c>
      <c r="N2262" s="2" t="s">
        <v>23</v>
      </c>
      <c r="O2262" s="18" t="s">
        <v>1797</v>
      </c>
      <c r="P2262" s="18" t="s">
        <v>0</v>
      </c>
      <c r="Q2262" s="6" t="s">
        <v>4475</v>
      </c>
      <c r="T2262" s="23">
        <v>46147</v>
      </c>
      <c r="U2262" s="23">
        <v>47242</v>
      </c>
      <c r="X2262" s="20">
        <v>4000</v>
      </c>
      <c r="Z2262" s="6" t="s">
        <v>5978</v>
      </c>
      <c r="AA2262" s="14">
        <f t="shared" si="292"/>
        <v>5.9999999999999995E-4</v>
      </c>
      <c r="AB2262">
        <v>2.2955699999999997</v>
      </c>
      <c r="AC2262">
        <v>2.3873927999999998</v>
      </c>
    </row>
    <row r="2263" spans="1:29" x14ac:dyDescent="0.3">
      <c r="A2263">
        <v>151761</v>
      </c>
      <c r="B2263" s="25" t="s">
        <v>5984</v>
      </c>
      <c r="C2263" t="s">
        <v>20</v>
      </c>
      <c r="D2263" t="s">
        <v>21</v>
      </c>
      <c r="E2263">
        <v>2222222</v>
      </c>
      <c r="F2263" s="8" t="s">
        <v>22</v>
      </c>
      <c r="G2263" s="2">
        <v>98</v>
      </c>
      <c r="H2263" t="s">
        <v>4236</v>
      </c>
      <c r="J2263" s="9" t="s">
        <v>4834</v>
      </c>
      <c r="K2263" t="s">
        <v>4926</v>
      </c>
      <c r="L2263" s="2">
        <v>1</v>
      </c>
      <c r="M2263" s="24" t="s">
        <v>5971</v>
      </c>
      <c r="N2263" s="2" t="s">
        <v>23</v>
      </c>
      <c r="O2263" s="18" t="s">
        <v>1789</v>
      </c>
      <c r="P2263" s="18" t="s">
        <v>3781</v>
      </c>
      <c r="Q2263" s="6" t="s">
        <v>4475</v>
      </c>
      <c r="T2263" s="23">
        <v>46185</v>
      </c>
      <c r="U2263" s="23">
        <v>46733</v>
      </c>
      <c r="X2263" s="20">
        <v>500</v>
      </c>
      <c r="Z2263" s="6" t="s">
        <v>5978</v>
      </c>
      <c r="AA2263" s="14">
        <f t="shared" si="292"/>
        <v>5.9999999999999995E-4</v>
      </c>
      <c r="AB2263">
        <v>0.28521599999999997</v>
      </c>
      <c r="AC2263">
        <v>0.29662463999999999</v>
      </c>
    </row>
    <row r="2264" spans="1:29" x14ac:dyDescent="0.3">
      <c r="A2264">
        <v>152069</v>
      </c>
      <c r="B2264" s="25" t="s">
        <v>5984</v>
      </c>
      <c r="C2264" t="s">
        <v>20</v>
      </c>
      <c r="D2264" t="s">
        <v>21</v>
      </c>
      <c r="E2264">
        <v>2222222</v>
      </c>
      <c r="F2264" s="8" t="s">
        <v>22</v>
      </c>
      <c r="G2264" s="2">
        <v>98</v>
      </c>
      <c r="H2264" t="s">
        <v>4236</v>
      </c>
      <c r="J2264" s="9" t="s">
        <v>5143</v>
      </c>
      <c r="K2264" t="s">
        <v>5019</v>
      </c>
      <c r="L2264" s="2">
        <v>1</v>
      </c>
      <c r="M2264" s="24" t="s">
        <v>5971</v>
      </c>
      <c r="N2264" s="2" t="s">
        <v>23</v>
      </c>
      <c r="O2264" s="18" t="s">
        <v>1796</v>
      </c>
      <c r="P2264" s="18" t="s">
        <v>3781</v>
      </c>
      <c r="Q2264" s="6" t="s">
        <v>4475</v>
      </c>
      <c r="T2264" s="23">
        <v>46209</v>
      </c>
      <c r="U2264" s="23">
        <v>46299</v>
      </c>
      <c r="X2264" s="20">
        <v>2145</v>
      </c>
      <c r="Z2264" s="6" t="s">
        <v>5978</v>
      </c>
      <c r="AA2264" s="14">
        <f t="shared" si="292"/>
        <v>5.9999999999999995E-4</v>
      </c>
      <c r="AB2264">
        <v>1.2869999999999999</v>
      </c>
      <c r="AC2264">
        <v>1.3384799999999999</v>
      </c>
    </row>
    <row r="2265" spans="1:29" x14ac:dyDescent="0.3">
      <c r="A2265">
        <v>152080</v>
      </c>
      <c r="B2265" s="25" t="s">
        <v>5984</v>
      </c>
      <c r="C2265" t="s">
        <v>20</v>
      </c>
      <c r="D2265" t="s">
        <v>21</v>
      </c>
      <c r="E2265">
        <v>2222222</v>
      </c>
      <c r="F2265" s="8" t="s">
        <v>22</v>
      </c>
      <c r="G2265" s="2">
        <v>98</v>
      </c>
      <c r="H2265" t="s">
        <v>4236</v>
      </c>
      <c r="J2265" s="9" t="s">
        <v>4911</v>
      </c>
      <c r="K2265" t="s">
        <v>5524</v>
      </c>
      <c r="L2265" s="2">
        <v>1</v>
      </c>
      <c r="M2265" s="24" t="s">
        <v>5971</v>
      </c>
      <c r="N2265" s="2" t="s">
        <v>23</v>
      </c>
      <c r="O2265" s="18" t="s">
        <v>1803</v>
      </c>
      <c r="P2265" s="18" t="s">
        <v>3781</v>
      </c>
      <c r="Q2265" s="6" t="s">
        <v>4475</v>
      </c>
      <c r="T2265" s="23">
        <v>46210</v>
      </c>
      <c r="U2265" s="23">
        <v>46940</v>
      </c>
      <c r="X2265" s="20">
        <v>535</v>
      </c>
      <c r="Z2265" s="6" t="s">
        <v>5978</v>
      </c>
      <c r="AA2265" s="14">
        <f t="shared" si="292"/>
        <v>5.9999999999999995E-4</v>
      </c>
      <c r="AB2265">
        <v>0.32099999999999995</v>
      </c>
      <c r="AC2265">
        <v>0.33383999999999997</v>
      </c>
    </row>
    <row r="2266" spans="1:29" x14ac:dyDescent="0.3">
      <c r="A2266">
        <v>136831</v>
      </c>
      <c r="B2266" s="25" t="s">
        <v>5984</v>
      </c>
      <c r="C2266" t="s">
        <v>20</v>
      </c>
      <c r="D2266" t="s">
        <v>21</v>
      </c>
      <c r="E2266">
        <v>2222222</v>
      </c>
      <c r="F2266" s="8" t="s">
        <v>22</v>
      </c>
      <c r="G2266" s="2">
        <v>98</v>
      </c>
      <c r="H2266" t="s">
        <v>4237</v>
      </c>
      <c r="J2266" s="9" t="s">
        <v>5048</v>
      </c>
      <c r="K2266" t="s">
        <v>4980</v>
      </c>
      <c r="L2266" s="2">
        <v>1</v>
      </c>
      <c r="M2266" s="24" t="s">
        <v>5971</v>
      </c>
      <c r="N2266" s="2" t="s">
        <v>23</v>
      </c>
      <c r="O2266" s="18" t="s">
        <v>1804</v>
      </c>
      <c r="P2266" s="18" t="s">
        <v>3781</v>
      </c>
      <c r="Q2266" s="6" t="s">
        <v>4475</v>
      </c>
      <c r="T2266" s="23">
        <v>45191</v>
      </c>
      <c r="U2266" s="23">
        <v>46287</v>
      </c>
      <c r="X2266" s="20">
        <v>4000</v>
      </c>
      <c r="Z2266" s="6" t="s">
        <v>5978</v>
      </c>
      <c r="AA2266" s="13">
        <f t="shared" ref="AA2266:AA2267" si="293">+(0.56/1000)</f>
        <v>5.6000000000000006E-4</v>
      </c>
      <c r="AB2266">
        <v>0.23727760000000001</v>
      </c>
      <c r="AC2266">
        <v>0.24676870400000001</v>
      </c>
    </row>
    <row r="2267" spans="1:29" x14ac:dyDescent="0.3">
      <c r="A2267">
        <v>139862</v>
      </c>
      <c r="B2267" s="25" t="s">
        <v>5984</v>
      </c>
      <c r="C2267" t="s">
        <v>20</v>
      </c>
      <c r="D2267" t="s">
        <v>21</v>
      </c>
      <c r="E2267">
        <v>2222222</v>
      </c>
      <c r="F2267" s="8" t="s">
        <v>22</v>
      </c>
      <c r="G2267" s="2">
        <v>98</v>
      </c>
      <c r="H2267" t="s">
        <v>4237</v>
      </c>
      <c r="J2267" s="9" t="s">
        <v>5048</v>
      </c>
      <c r="K2267" t="s">
        <v>4980</v>
      </c>
      <c r="L2267" s="2">
        <v>1</v>
      </c>
      <c r="M2267" s="24" t="s">
        <v>5971</v>
      </c>
      <c r="N2267" s="2" t="s">
        <v>23</v>
      </c>
      <c r="O2267" s="18" t="s">
        <v>1804</v>
      </c>
      <c r="P2267" s="18" t="s">
        <v>3781</v>
      </c>
      <c r="Q2267" s="6" t="s">
        <v>4475</v>
      </c>
      <c r="T2267" s="23">
        <v>45352</v>
      </c>
      <c r="U2267" s="23">
        <v>46812</v>
      </c>
      <c r="X2267" s="20">
        <v>5000</v>
      </c>
      <c r="Z2267" s="6" t="s">
        <v>5978</v>
      </c>
      <c r="AA2267" s="13">
        <f t="shared" si="293"/>
        <v>5.6000000000000006E-4</v>
      </c>
      <c r="AB2267">
        <v>1.4285712000000002</v>
      </c>
      <c r="AC2267">
        <v>1.4857140480000002</v>
      </c>
    </row>
    <row r="2268" spans="1:29" x14ac:dyDescent="0.3">
      <c r="A2268">
        <v>147374</v>
      </c>
      <c r="B2268" s="25" t="s">
        <v>5984</v>
      </c>
      <c r="C2268" t="s">
        <v>20</v>
      </c>
      <c r="D2268" t="s">
        <v>21</v>
      </c>
      <c r="E2268">
        <v>2222222</v>
      </c>
      <c r="F2268" s="8" t="s">
        <v>22</v>
      </c>
      <c r="G2268" s="2">
        <v>98</v>
      </c>
      <c r="H2268" t="s">
        <v>4237</v>
      </c>
      <c r="J2268" s="9" t="s">
        <v>5085</v>
      </c>
      <c r="K2268" t="s">
        <v>4848</v>
      </c>
      <c r="L2268" s="2">
        <v>1</v>
      </c>
      <c r="M2268" s="24" t="s">
        <v>5971</v>
      </c>
      <c r="N2268" s="2" t="s">
        <v>23</v>
      </c>
      <c r="O2268" s="18" t="s">
        <v>790</v>
      </c>
      <c r="P2268" s="18" t="s">
        <v>0</v>
      </c>
      <c r="Q2268" s="6" t="s">
        <v>4475</v>
      </c>
      <c r="T2268" s="23">
        <v>45905</v>
      </c>
      <c r="U2268" s="23">
        <v>51384</v>
      </c>
      <c r="X2268" s="20">
        <v>200000</v>
      </c>
      <c r="Z2268" s="6" t="s">
        <v>5978</v>
      </c>
      <c r="AA2268" s="14">
        <f t="shared" ref="AA2268:AA2269" si="294">+(0.6/1000)</f>
        <v>5.9999999999999995E-4</v>
      </c>
      <c r="AB2268">
        <v>117.47721</v>
      </c>
      <c r="AC2268">
        <v>122.17629840000001</v>
      </c>
    </row>
    <row r="2269" spans="1:29" x14ac:dyDescent="0.3">
      <c r="A2269">
        <v>148331</v>
      </c>
      <c r="B2269" s="25" t="s">
        <v>5984</v>
      </c>
      <c r="C2269" t="s">
        <v>20</v>
      </c>
      <c r="D2269" t="s">
        <v>21</v>
      </c>
      <c r="E2269">
        <v>2222222</v>
      </c>
      <c r="F2269" s="8" t="s">
        <v>22</v>
      </c>
      <c r="G2269" s="2">
        <v>98</v>
      </c>
      <c r="H2269" t="s">
        <v>4237</v>
      </c>
      <c r="J2269" s="9" t="s">
        <v>5048</v>
      </c>
      <c r="K2269" t="s">
        <v>4980</v>
      </c>
      <c r="L2269" s="2">
        <v>1</v>
      </c>
      <c r="M2269" s="24" t="s">
        <v>5971</v>
      </c>
      <c r="N2269" s="2" t="s">
        <v>23</v>
      </c>
      <c r="O2269" s="18" t="s">
        <v>1804</v>
      </c>
      <c r="P2269" s="18" t="s">
        <v>3781</v>
      </c>
      <c r="Q2269" s="6" t="s">
        <v>4475</v>
      </c>
      <c r="T2269" s="23">
        <v>45959</v>
      </c>
      <c r="U2269" s="23">
        <v>48515</v>
      </c>
      <c r="X2269" s="20">
        <v>20000</v>
      </c>
      <c r="Z2269" s="6" t="s">
        <v>5978</v>
      </c>
      <c r="AA2269" s="14">
        <f t="shared" si="294"/>
        <v>5.9999999999999995E-4</v>
      </c>
      <c r="AB2269">
        <v>11.333928</v>
      </c>
      <c r="AC2269">
        <v>11.78728512</v>
      </c>
    </row>
    <row r="2270" spans="1:29" x14ac:dyDescent="0.3">
      <c r="A2270">
        <v>134613</v>
      </c>
      <c r="B2270" s="25" t="s">
        <v>5984</v>
      </c>
      <c r="C2270" t="s">
        <v>20</v>
      </c>
      <c r="D2270" t="s">
        <v>21</v>
      </c>
      <c r="E2270">
        <v>2222222</v>
      </c>
      <c r="F2270" s="8" t="s">
        <v>22</v>
      </c>
      <c r="G2270" s="2">
        <v>98</v>
      </c>
      <c r="H2270" t="s">
        <v>4238</v>
      </c>
      <c r="J2270" s="9" t="s">
        <v>5599</v>
      </c>
      <c r="K2270" t="s">
        <v>4861</v>
      </c>
      <c r="L2270" s="2">
        <v>1</v>
      </c>
      <c r="M2270" s="24" t="s">
        <v>5971</v>
      </c>
      <c r="N2270" s="2" t="s">
        <v>23</v>
      </c>
      <c r="O2270" s="18" t="s">
        <v>1805</v>
      </c>
      <c r="P2270" s="18" t="s">
        <v>3781</v>
      </c>
      <c r="Q2270" s="6" t="s">
        <v>4475</v>
      </c>
      <c r="T2270" s="23">
        <v>45066</v>
      </c>
      <c r="U2270" s="23">
        <v>46984</v>
      </c>
      <c r="X2270" s="20">
        <v>6140</v>
      </c>
      <c r="Z2270" s="6" t="s">
        <v>5978</v>
      </c>
      <c r="AA2270" s="13">
        <f>+(0.56/1000)</f>
        <v>5.6000000000000006E-4</v>
      </c>
      <c r="AB2270">
        <v>1.8006800000000003</v>
      </c>
      <c r="AC2270">
        <v>1.8727072000000005</v>
      </c>
    </row>
    <row r="2271" spans="1:29" x14ac:dyDescent="0.3">
      <c r="A2271">
        <v>116652</v>
      </c>
      <c r="B2271" s="25" t="s">
        <v>5984</v>
      </c>
      <c r="C2271" t="s">
        <v>20</v>
      </c>
      <c r="D2271" t="s">
        <v>21</v>
      </c>
      <c r="E2271">
        <v>2222222</v>
      </c>
      <c r="F2271" s="8" t="s">
        <v>22</v>
      </c>
      <c r="G2271" s="2">
        <v>98</v>
      </c>
      <c r="H2271" t="s">
        <v>4239</v>
      </c>
      <c r="J2271" s="9" t="s">
        <v>5273</v>
      </c>
      <c r="K2271" t="s">
        <v>4924</v>
      </c>
      <c r="L2271" s="2">
        <v>1</v>
      </c>
      <c r="M2271" s="24" t="s">
        <v>5971</v>
      </c>
      <c r="N2271" s="2" t="s">
        <v>23</v>
      </c>
      <c r="O2271" s="18" t="s">
        <v>1806</v>
      </c>
      <c r="P2271" s="18" t="s">
        <v>3781</v>
      </c>
      <c r="Q2271" s="6" t="s">
        <v>4475</v>
      </c>
      <c r="T2271" s="23">
        <v>44165</v>
      </c>
      <c r="U2271" s="23">
        <v>46724</v>
      </c>
      <c r="X2271" s="20">
        <v>20000</v>
      </c>
      <c r="Z2271" s="6" t="s">
        <v>5978</v>
      </c>
      <c r="AA2271" s="15">
        <f t="shared" ref="AA2271:AA2272" si="295">+(0.42/1000)</f>
        <v>4.1999999999999996E-4</v>
      </c>
      <c r="AB2271">
        <v>2.6591039999999997</v>
      </c>
      <c r="AC2271">
        <v>2.7654681599999997</v>
      </c>
    </row>
    <row r="2272" spans="1:29" x14ac:dyDescent="0.3">
      <c r="A2272">
        <v>126948</v>
      </c>
      <c r="B2272" s="25" t="s">
        <v>5984</v>
      </c>
      <c r="C2272" t="s">
        <v>20</v>
      </c>
      <c r="D2272" t="s">
        <v>21</v>
      </c>
      <c r="E2272">
        <v>2222222</v>
      </c>
      <c r="F2272" s="8" t="s">
        <v>22</v>
      </c>
      <c r="G2272" s="2">
        <v>98</v>
      </c>
      <c r="H2272" t="s">
        <v>4239</v>
      </c>
      <c r="J2272" s="9" t="s">
        <v>5103</v>
      </c>
      <c r="K2272" t="s">
        <v>5179</v>
      </c>
      <c r="L2272" s="2">
        <v>1</v>
      </c>
      <c r="M2272" s="24" t="s">
        <v>5971</v>
      </c>
      <c r="N2272" s="2" t="s">
        <v>23</v>
      </c>
      <c r="O2272" s="18" t="s">
        <v>1807</v>
      </c>
      <c r="P2272" s="18" t="s">
        <v>3781</v>
      </c>
      <c r="Q2272" s="6" t="s">
        <v>4475</v>
      </c>
      <c r="T2272" s="23">
        <v>44643</v>
      </c>
      <c r="U2272" s="23">
        <v>46468</v>
      </c>
      <c r="X2272" s="20">
        <v>7640</v>
      </c>
      <c r="Z2272" s="6" t="s">
        <v>5978</v>
      </c>
      <c r="AA2272" s="15">
        <f t="shared" si="295"/>
        <v>4.1999999999999996E-4</v>
      </c>
      <c r="AB2272">
        <v>1.6987781999999998</v>
      </c>
      <c r="AC2272">
        <v>1.7667293279999998</v>
      </c>
    </row>
    <row r="2273" spans="1:29" x14ac:dyDescent="0.3">
      <c r="A2273">
        <v>130755</v>
      </c>
      <c r="B2273" s="25" t="s">
        <v>5984</v>
      </c>
      <c r="C2273" t="s">
        <v>20</v>
      </c>
      <c r="D2273" t="s">
        <v>21</v>
      </c>
      <c r="E2273">
        <v>2222222</v>
      </c>
      <c r="F2273" s="8" t="s">
        <v>22</v>
      </c>
      <c r="G2273" s="2">
        <v>98</v>
      </c>
      <c r="H2273" t="s">
        <v>4239</v>
      </c>
      <c r="J2273" s="9" t="s">
        <v>4883</v>
      </c>
      <c r="K2273" t="s">
        <v>4872</v>
      </c>
      <c r="L2273" s="2">
        <v>1</v>
      </c>
      <c r="M2273" s="24" t="s">
        <v>5971</v>
      </c>
      <c r="N2273" s="2" t="s">
        <v>23</v>
      </c>
      <c r="O2273" s="18" t="s">
        <v>1808</v>
      </c>
      <c r="P2273" s="18" t="s">
        <v>3781</v>
      </c>
      <c r="Q2273" s="6" t="s">
        <v>4475</v>
      </c>
      <c r="T2273" s="23">
        <v>44865</v>
      </c>
      <c r="U2273" s="23">
        <v>46692</v>
      </c>
      <c r="X2273" s="20">
        <v>20000</v>
      </c>
      <c r="Z2273" s="6" t="s">
        <v>5978</v>
      </c>
      <c r="AA2273" s="13">
        <f t="shared" ref="AA2273:AA2281" si="296">+(0.56/1000)</f>
        <v>5.6000000000000006E-4</v>
      </c>
      <c r="AB2273">
        <v>3.9130616000000003</v>
      </c>
      <c r="AC2273">
        <v>4.0695840640000007</v>
      </c>
    </row>
    <row r="2274" spans="1:29" x14ac:dyDescent="0.3">
      <c r="A2274">
        <v>134497</v>
      </c>
      <c r="B2274" s="25" t="s">
        <v>5984</v>
      </c>
      <c r="C2274" t="s">
        <v>20</v>
      </c>
      <c r="D2274" t="s">
        <v>21</v>
      </c>
      <c r="E2274">
        <v>2222222</v>
      </c>
      <c r="F2274" s="8" t="s">
        <v>22</v>
      </c>
      <c r="G2274" s="2">
        <v>98</v>
      </c>
      <c r="H2274" t="s">
        <v>4239</v>
      </c>
      <c r="J2274" s="9" t="s">
        <v>4929</v>
      </c>
      <c r="K2274" t="s">
        <v>4875</v>
      </c>
      <c r="L2274" s="2">
        <v>1</v>
      </c>
      <c r="M2274" s="24" t="s">
        <v>5971</v>
      </c>
      <c r="N2274" s="2" t="s">
        <v>23</v>
      </c>
      <c r="O2274" s="18" t="s">
        <v>1809</v>
      </c>
      <c r="P2274" s="18" t="s">
        <v>0</v>
      </c>
      <c r="Q2274" s="6" t="s">
        <v>4475</v>
      </c>
      <c r="T2274" s="23">
        <v>45058</v>
      </c>
      <c r="U2274" s="23">
        <v>49806</v>
      </c>
      <c r="X2274" s="20">
        <v>92550</v>
      </c>
      <c r="Z2274" s="6" t="s">
        <v>5978</v>
      </c>
      <c r="AA2274" s="13">
        <f t="shared" si="296"/>
        <v>5.6000000000000006E-4</v>
      </c>
      <c r="AB2274">
        <v>44.462314400000011</v>
      </c>
      <c r="AC2274">
        <v>46.240806976000016</v>
      </c>
    </row>
    <row r="2275" spans="1:29" x14ac:dyDescent="0.3">
      <c r="A2275">
        <v>134663</v>
      </c>
      <c r="B2275" s="25" t="s">
        <v>5984</v>
      </c>
      <c r="C2275" t="s">
        <v>20</v>
      </c>
      <c r="D2275" t="s">
        <v>21</v>
      </c>
      <c r="E2275">
        <v>2222222</v>
      </c>
      <c r="F2275" s="8" t="s">
        <v>22</v>
      </c>
      <c r="G2275" s="2">
        <v>98</v>
      </c>
      <c r="H2275" t="s">
        <v>4239</v>
      </c>
      <c r="J2275" s="9" t="s">
        <v>4883</v>
      </c>
      <c r="K2275" t="s">
        <v>4956</v>
      </c>
      <c r="L2275" s="2">
        <v>1</v>
      </c>
      <c r="M2275" s="24" t="s">
        <v>5971</v>
      </c>
      <c r="N2275" s="2" t="s">
        <v>23</v>
      </c>
      <c r="O2275" s="18" t="s">
        <v>1810</v>
      </c>
      <c r="P2275" s="18" t="s">
        <v>3781</v>
      </c>
      <c r="Q2275" s="6" t="s">
        <v>4475</v>
      </c>
      <c r="T2275" s="23">
        <v>45071</v>
      </c>
      <c r="U2275" s="23">
        <v>46897</v>
      </c>
      <c r="X2275" s="20">
        <v>14400</v>
      </c>
      <c r="Z2275" s="6" t="s">
        <v>5978</v>
      </c>
      <c r="AA2275" s="13">
        <f t="shared" si="296"/>
        <v>5.6000000000000006E-4</v>
      </c>
      <c r="AB2275">
        <v>6.6720975999999999</v>
      </c>
      <c r="AC2275">
        <v>6.938981504</v>
      </c>
    </row>
    <row r="2276" spans="1:29" x14ac:dyDescent="0.3">
      <c r="A2276">
        <v>134679</v>
      </c>
      <c r="B2276" s="25" t="s">
        <v>5984</v>
      </c>
      <c r="C2276" t="s">
        <v>20</v>
      </c>
      <c r="D2276" t="s">
        <v>21</v>
      </c>
      <c r="E2276">
        <v>2222222</v>
      </c>
      <c r="F2276" s="8" t="s">
        <v>22</v>
      </c>
      <c r="G2276" s="2">
        <v>98</v>
      </c>
      <c r="H2276" t="s">
        <v>4239</v>
      </c>
      <c r="J2276" s="9" t="s">
        <v>5020</v>
      </c>
      <c r="K2276" t="s">
        <v>5197</v>
      </c>
      <c r="L2276" s="2">
        <v>1</v>
      </c>
      <c r="M2276" s="24" t="s">
        <v>5971</v>
      </c>
      <c r="N2276" s="2" t="s">
        <v>23</v>
      </c>
      <c r="O2276" s="18" t="s">
        <v>1811</v>
      </c>
      <c r="P2276" s="18" t="s">
        <v>0</v>
      </c>
      <c r="Q2276" s="6" t="s">
        <v>4475</v>
      </c>
      <c r="T2276" s="23">
        <v>45069</v>
      </c>
      <c r="U2276" s="23">
        <v>50639</v>
      </c>
      <c r="X2276" s="20">
        <v>35400</v>
      </c>
      <c r="Z2276" s="6" t="s">
        <v>5978</v>
      </c>
      <c r="AA2276" s="13">
        <f t="shared" si="296"/>
        <v>5.6000000000000006E-4</v>
      </c>
      <c r="AB2276">
        <v>18.129602400000003</v>
      </c>
      <c r="AC2276">
        <v>18.854786496000003</v>
      </c>
    </row>
    <row r="2277" spans="1:29" x14ac:dyDescent="0.3">
      <c r="A2277">
        <v>136030</v>
      </c>
      <c r="B2277" s="25" t="s">
        <v>5984</v>
      </c>
      <c r="C2277" t="s">
        <v>20</v>
      </c>
      <c r="D2277" t="s">
        <v>21</v>
      </c>
      <c r="E2277">
        <v>2222222</v>
      </c>
      <c r="F2277" s="8" t="s">
        <v>22</v>
      </c>
      <c r="G2277" s="2">
        <v>98</v>
      </c>
      <c r="H2277" t="s">
        <v>4239</v>
      </c>
      <c r="J2277" s="9" t="s">
        <v>4864</v>
      </c>
      <c r="K2277" t="s">
        <v>5193</v>
      </c>
      <c r="L2277" s="2">
        <v>1</v>
      </c>
      <c r="M2277" s="24" t="s">
        <v>5971</v>
      </c>
      <c r="N2277" s="2" t="s">
        <v>23</v>
      </c>
      <c r="O2277" s="18" t="s">
        <v>1812</v>
      </c>
      <c r="P2277" s="18" t="s">
        <v>0</v>
      </c>
      <c r="Q2277" s="6" t="s">
        <v>4475</v>
      </c>
      <c r="T2277" s="23">
        <v>45156</v>
      </c>
      <c r="U2277" s="23">
        <v>46890</v>
      </c>
      <c r="X2277" s="20">
        <v>12000</v>
      </c>
      <c r="Z2277" s="6" t="s">
        <v>5978</v>
      </c>
      <c r="AA2277" s="13">
        <f t="shared" si="296"/>
        <v>5.6000000000000006E-4</v>
      </c>
      <c r="AB2277">
        <v>3.3322296000000002</v>
      </c>
      <c r="AC2277">
        <v>3.4655187840000004</v>
      </c>
    </row>
    <row r="2278" spans="1:29" x14ac:dyDescent="0.3">
      <c r="A2278">
        <v>137609</v>
      </c>
      <c r="B2278" s="25" t="s">
        <v>5984</v>
      </c>
      <c r="C2278" t="s">
        <v>20</v>
      </c>
      <c r="D2278" t="s">
        <v>21</v>
      </c>
      <c r="E2278">
        <v>2222222</v>
      </c>
      <c r="F2278" s="8" t="s">
        <v>22</v>
      </c>
      <c r="G2278" s="2">
        <v>98</v>
      </c>
      <c r="H2278" t="s">
        <v>4239</v>
      </c>
      <c r="J2278" s="9" t="s">
        <v>4891</v>
      </c>
      <c r="K2278" t="s">
        <v>5600</v>
      </c>
      <c r="L2278" s="2">
        <v>1</v>
      </c>
      <c r="M2278" s="24" t="s">
        <v>5971</v>
      </c>
      <c r="N2278" s="2" t="s">
        <v>23</v>
      </c>
      <c r="O2278" s="18" t="s">
        <v>1813</v>
      </c>
      <c r="P2278" s="18" t="s">
        <v>3781</v>
      </c>
      <c r="Q2278" s="6" t="s">
        <v>4475</v>
      </c>
      <c r="T2278" s="23">
        <v>45236</v>
      </c>
      <c r="U2278" s="23">
        <v>46337</v>
      </c>
      <c r="X2278" s="20">
        <v>3000</v>
      </c>
      <c r="Z2278" s="6" t="s">
        <v>5978</v>
      </c>
      <c r="AA2278" s="13">
        <f t="shared" si="296"/>
        <v>5.6000000000000006E-4</v>
      </c>
      <c r="AB2278">
        <v>0.23512720000000004</v>
      </c>
      <c r="AC2278">
        <v>0.24453228800000004</v>
      </c>
    </row>
    <row r="2279" spans="1:29" x14ac:dyDescent="0.3">
      <c r="A2279">
        <v>139209</v>
      </c>
      <c r="B2279" s="25" t="s">
        <v>5984</v>
      </c>
      <c r="C2279" t="s">
        <v>20</v>
      </c>
      <c r="D2279" t="s">
        <v>21</v>
      </c>
      <c r="E2279">
        <v>2222222</v>
      </c>
      <c r="F2279" s="8" t="s">
        <v>22</v>
      </c>
      <c r="G2279" s="2">
        <v>98</v>
      </c>
      <c r="H2279" t="s">
        <v>4239</v>
      </c>
      <c r="J2279" s="9" t="s">
        <v>5140</v>
      </c>
      <c r="K2279" t="s">
        <v>4928</v>
      </c>
      <c r="L2279" s="2">
        <v>1</v>
      </c>
      <c r="M2279" s="24" t="s">
        <v>5971</v>
      </c>
      <c r="N2279" s="2" t="s">
        <v>23</v>
      </c>
      <c r="O2279" s="18" t="s">
        <v>1814</v>
      </c>
      <c r="P2279" s="18" t="s">
        <v>3781</v>
      </c>
      <c r="Q2279" s="6" t="s">
        <v>4475</v>
      </c>
      <c r="T2279" s="23">
        <v>45320</v>
      </c>
      <c r="U2279" s="23">
        <v>46780</v>
      </c>
      <c r="X2279" s="20">
        <v>5000</v>
      </c>
      <c r="Z2279" s="6" t="s">
        <v>5978</v>
      </c>
      <c r="AA2279" s="13">
        <f t="shared" si="296"/>
        <v>5.6000000000000006E-4</v>
      </c>
      <c r="AB2279">
        <v>1.3657896</v>
      </c>
      <c r="AC2279">
        <v>1.4204211840000001</v>
      </c>
    </row>
    <row r="2280" spans="1:29" x14ac:dyDescent="0.3">
      <c r="A2280">
        <v>139400</v>
      </c>
      <c r="B2280" s="25" t="s">
        <v>5984</v>
      </c>
      <c r="C2280" t="s">
        <v>20</v>
      </c>
      <c r="D2280" t="s">
        <v>21</v>
      </c>
      <c r="E2280">
        <v>2222222</v>
      </c>
      <c r="F2280" s="8" t="s">
        <v>22</v>
      </c>
      <c r="G2280" s="2">
        <v>98</v>
      </c>
      <c r="H2280" t="s">
        <v>4239</v>
      </c>
      <c r="J2280" s="9" t="s">
        <v>4962</v>
      </c>
      <c r="K2280" t="s">
        <v>5601</v>
      </c>
      <c r="L2280" s="2">
        <v>1</v>
      </c>
      <c r="M2280" s="24" t="s">
        <v>5971</v>
      </c>
      <c r="N2280" s="2" t="s">
        <v>23</v>
      </c>
      <c r="O2280" s="18" t="s">
        <v>1815</v>
      </c>
      <c r="P2280" s="18" t="s">
        <v>3781</v>
      </c>
      <c r="Q2280" s="6" t="s">
        <v>4475</v>
      </c>
      <c r="T2280" s="23">
        <v>45329</v>
      </c>
      <c r="U2280" s="23">
        <v>46150</v>
      </c>
      <c r="X2280" s="20">
        <v>5000</v>
      </c>
      <c r="Z2280" s="6" t="s">
        <v>5978</v>
      </c>
      <c r="AA2280" s="13">
        <f t="shared" si="296"/>
        <v>5.6000000000000006E-4</v>
      </c>
      <c r="AB2280">
        <v>1.5355704000000003</v>
      </c>
      <c r="AC2280">
        <v>1.5969932160000004</v>
      </c>
    </row>
    <row r="2281" spans="1:29" x14ac:dyDescent="0.3">
      <c r="A2281">
        <v>139580</v>
      </c>
      <c r="B2281" s="25" t="s">
        <v>5984</v>
      </c>
      <c r="C2281" t="s">
        <v>20</v>
      </c>
      <c r="D2281" t="s">
        <v>21</v>
      </c>
      <c r="E2281">
        <v>2222222</v>
      </c>
      <c r="F2281" s="8" t="s">
        <v>22</v>
      </c>
      <c r="G2281" s="2">
        <v>98</v>
      </c>
      <c r="H2281" t="s">
        <v>4239</v>
      </c>
      <c r="J2281" s="9" t="s">
        <v>5051</v>
      </c>
      <c r="K2281" t="s">
        <v>4921</v>
      </c>
      <c r="L2281" s="2">
        <v>1</v>
      </c>
      <c r="M2281" s="24" t="s">
        <v>5971</v>
      </c>
      <c r="N2281" s="2" t="s">
        <v>23</v>
      </c>
      <c r="O2281" s="18" t="s">
        <v>1816</v>
      </c>
      <c r="P2281" s="18" t="s">
        <v>3781</v>
      </c>
      <c r="Q2281" s="6" t="s">
        <v>4475</v>
      </c>
      <c r="T2281" s="23">
        <v>45352</v>
      </c>
      <c r="U2281" s="23">
        <v>47542</v>
      </c>
      <c r="X2281" s="20">
        <v>20000</v>
      </c>
      <c r="Z2281" s="6" t="s">
        <v>5978</v>
      </c>
      <c r="AA2281" s="13">
        <f t="shared" si="296"/>
        <v>5.6000000000000006E-4</v>
      </c>
      <c r="AB2281">
        <v>7.9271416000000015</v>
      </c>
      <c r="AC2281">
        <v>8.2442272640000009</v>
      </c>
    </row>
    <row r="2282" spans="1:29" x14ac:dyDescent="0.3">
      <c r="A2282">
        <v>141340</v>
      </c>
      <c r="B2282" s="25" t="s">
        <v>5984</v>
      </c>
      <c r="C2282" t="s">
        <v>20</v>
      </c>
      <c r="D2282" t="s">
        <v>21</v>
      </c>
      <c r="E2282">
        <v>2222222</v>
      </c>
      <c r="F2282" s="8" t="s">
        <v>22</v>
      </c>
      <c r="G2282" s="2">
        <v>98</v>
      </c>
      <c r="H2282" t="s">
        <v>4239</v>
      </c>
      <c r="J2282" s="9" t="s">
        <v>5101</v>
      </c>
      <c r="K2282" t="s">
        <v>4910</v>
      </c>
      <c r="L2282" s="2">
        <v>1</v>
      </c>
      <c r="M2282" s="24" t="s">
        <v>5971</v>
      </c>
      <c r="N2282" s="2" t="s">
        <v>23</v>
      </c>
      <c r="O2282" s="18" t="s">
        <v>1817</v>
      </c>
      <c r="P2282" s="18" t="s">
        <v>3781</v>
      </c>
      <c r="Q2282" s="6" t="s">
        <v>4475</v>
      </c>
      <c r="T2282" s="23">
        <v>45450</v>
      </c>
      <c r="U2282" s="23">
        <v>47276</v>
      </c>
      <c r="X2282" s="20">
        <v>30000</v>
      </c>
      <c r="Z2282" s="6" t="s">
        <v>5978</v>
      </c>
      <c r="AA2282" s="14">
        <f t="shared" ref="AA2282:AA2345" si="297">+(0.6/1000)</f>
        <v>5.9999999999999995E-4</v>
      </c>
      <c r="AB2282">
        <v>5.4751620000000001</v>
      </c>
      <c r="AC2282">
        <v>5.6941684800000001</v>
      </c>
    </row>
    <row r="2283" spans="1:29" x14ac:dyDescent="0.3">
      <c r="A2283">
        <v>141730</v>
      </c>
      <c r="B2283" s="25" t="s">
        <v>5984</v>
      </c>
      <c r="C2283" t="s">
        <v>20</v>
      </c>
      <c r="D2283" t="s">
        <v>21</v>
      </c>
      <c r="E2283">
        <v>2222222</v>
      </c>
      <c r="F2283" s="8" t="s">
        <v>22</v>
      </c>
      <c r="G2283" s="2">
        <v>98</v>
      </c>
      <c r="H2283" t="s">
        <v>4239</v>
      </c>
      <c r="J2283" s="9" t="s">
        <v>5596</v>
      </c>
      <c r="K2283" t="s">
        <v>5165</v>
      </c>
      <c r="L2283" s="2">
        <v>1</v>
      </c>
      <c r="M2283" s="24" t="s">
        <v>5971</v>
      </c>
      <c r="N2283" s="2" t="s">
        <v>23</v>
      </c>
      <c r="O2283" s="18" t="s">
        <v>1818</v>
      </c>
      <c r="P2283" s="18" t="s">
        <v>3781</v>
      </c>
      <c r="Q2283" s="6" t="s">
        <v>4475</v>
      </c>
      <c r="T2283" s="23">
        <v>45473</v>
      </c>
      <c r="U2283" s="23">
        <v>46478</v>
      </c>
      <c r="X2283" s="20">
        <v>4190</v>
      </c>
      <c r="Z2283" s="6" t="s">
        <v>5978</v>
      </c>
      <c r="AA2283" s="14">
        <f t="shared" si="297"/>
        <v>5.9999999999999995E-4</v>
      </c>
      <c r="AB2283">
        <v>0.85572599999999999</v>
      </c>
      <c r="AC2283">
        <v>0.88995504000000003</v>
      </c>
    </row>
    <row r="2284" spans="1:29" x14ac:dyDescent="0.3">
      <c r="A2284">
        <v>141975</v>
      </c>
      <c r="B2284" s="25" t="s">
        <v>5984</v>
      </c>
      <c r="C2284" t="s">
        <v>20</v>
      </c>
      <c r="D2284" t="s">
        <v>21</v>
      </c>
      <c r="E2284">
        <v>2222222</v>
      </c>
      <c r="F2284" s="8" t="s">
        <v>22</v>
      </c>
      <c r="G2284" s="2">
        <v>98</v>
      </c>
      <c r="H2284" t="s">
        <v>4239</v>
      </c>
      <c r="J2284" s="9" t="s">
        <v>5093</v>
      </c>
      <c r="K2284" t="s">
        <v>5266</v>
      </c>
      <c r="L2284" s="2">
        <v>1</v>
      </c>
      <c r="M2284" s="24" t="s">
        <v>5971</v>
      </c>
      <c r="N2284" s="2" t="s">
        <v>23</v>
      </c>
      <c r="O2284" s="18" t="s">
        <v>1819</v>
      </c>
      <c r="P2284" s="18" t="s">
        <v>3781</v>
      </c>
      <c r="Q2284" s="6" t="s">
        <v>4475</v>
      </c>
      <c r="T2284" s="23">
        <v>45488</v>
      </c>
      <c r="U2284" s="23">
        <v>46401</v>
      </c>
      <c r="X2284" s="20">
        <v>4000</v>
      </c>
      <c r="Z2284" s="6" t="s">
        <v>5978</v>
      </c>
      <c r="AA2284" s="14">
        <f t="shared" si="297"/>
        <v>5.9999999999999995E-4</v>
      </c>
      <c r="AB2284">
        <v>0.57516</v>
      </c>
      <c r="AC2284">
        <v>0.59816639999999999</v>
      </c>
    </row>
    <row r="2285" spans="1:29" x14ac:dyDescent="0.3">
      <c r="A2285">
        <v>142063</v>
      </c>
      <c r="B2285" s="25" t="s">
        <v>5984</v>
      </c>
      <c r="C2285" t="s">
        <v>20</v>
      </c>
      <c r="D2285" t="s">
        <v>21</v>
      </c>
      <c r="E2285">
        <v>2222222</v>
      </c>
      <c r="F2285" s="8" t="s">
        <v>22</v>
      </c>
      <c r="G2285" s="2">
        <v>98</v>
      </c>
      <c r="H2285" t="s">
        <v>4239</v>
      </c>
      <c r="J2285" s="9" t="s">
        <v>4900</v>
      </c>
      <c r="K2285" t="s">
        <v>5291</v>
      </c>
      <c r="L2285" s="2">
        <v>1</v>
      </c>
      <c r="M2285" s="24" t="s">
        <v>5971</v>
      </c>
      <c r="N2285" s="2" t="s">
        <v>23</v>
      </c>
      <c r="O2285" s="18" t="s">
        <v>1820</v>
      </c>
      <c r="P2285" s="18" t="s">
        <v>0</v>
      </c>
      <c r="Q2285" s="6" t="s">
        <v>4475</v>
      </c>
      <c r="T2285" s="23">
        <v>45495</v>
      </c>
      <c r="U2285" s="23">
        <v>46681</v>
      </c>
      <c r="X2285" s="20">
        <v>3800</v>
      </c>
      <c r="Z2285" s="6" t="s">
        <v>5978</v>
      </c>
      <c r="AA2285" s="14">
        <f t="shared" si="297"/>
        <v>5.9999999999999995E-4</v>
      </c>
      <c r="AB2285">
        <v>1.076136</v>
      </c>
      <c r="AC2285">
        <v>1.11918144</v>
      </c>
    </row>
    <row r="2286" spans="1:29" x14ac:dyDescent="0.3">
      <c r="A2286">
        <v>142139</v>
      </c>
      <c r="B2286" s="25" t="s">
        <v>5984</v>
      </c>
      <c r="C2286" t="s">
        <v>20</v>
      </c>
      <c r="D2286" t="s">
        <v>21</v>
      </c>
      <c r="E2286">
        <v>2222222</v>
      </c>
      <c r="F2286" s="8" t="s">
        <v>22</v>
      </c>
      <c r="G2286" s="2">
        <v>98</v>
      </c>
      <c r="H2286" t="s">
        <v>4239</v>
      </c>
      <c r="J2286" s="9" t="s">
        <v>5066</v>
      </c>
      <c r="K2286" t="s">
        <v>4932</v>
      </c>
      <c r="L2286" s="2">
        <v>1</v>
      </c>
      <c r="M2286" s="24" t="s">
        <v>5971</v>
      </c>
      <c r="N2286" s="2" t="s">
        <v>23</v>
      </c>
      <c r="O2286" s="18" t="s">
        <v>1821</v>
      </c>
      <c r="P2286" s="18" t="s">
        <v>3781</v>
      </c>
      <c r="Q2286" s="6" t="s">
        <v>4475</v>
      </c>
      <c r="T2286" s="23">
        <v>45504</v>
      </c>
      <c r="U2286" s="23">
        <v>47423</v>
      </c>
      <c r="X2286" s="20">
        <v>9900</v>
      </c>
      <c r="Z2286" s="6" t="s">
        <v>5978</v>
      </c>
      <c r="AA2286" s="14">
        <f t="shared" si="297"/>
        <v>5.9999999999999995E-4</v>
      </c>
      <c r="AB2286">
        <v>4.4295119999999999</v>
      </c>
      <c r="AC2286">
        <v>4.6066924800000004</v>
      </c>
    </row>
    <row r="2287" spans="1:29" x14ac:dyDescent="0.3">
      <c r="A2287">
        <v>142361</v>
      </c>
      <c r="B2287" s="25" t="s">
        <v>5984</v>
      </c>
      <c r="C2287" t="s">
        <v>20</v>
      </c>
      <c r="D2287" t="s">
        <v>21</v>
      </c>
      <c r="E2287">
        <v>2222222</v>
      </c>
      <c r="F2287" s="8" t="s">
        <v>22</v>
      </c>
      <c r="G2287" s="2">
        <v>98</v>
      </c>
      <c r="H2287" t="s">
        <v>4239</v>
      </c>
      <c r="J2287" s="9" t="s">
        <v>5110</v>
      </c>
      <c r="K2287" t="s">
        <v>5311</v>
      </c>
      <c r="L2287" s="2">
        <v>1</v>
      </c>
      <c r="M2287" s="24" t="s">
        <v>5971</v>
      </c>
      <c r="N2287" s="2" t="s">
        <v>23</v>
      </c>
      <c r="O2287" s="18" t="s">
        <v>1822</v>
      </c>
      <c r="P2287" s="18" t="s">
        <v>3781</v>
      </c>
      <c r="Q2287" s="6" t="s">
        <v>4475</v>
      </c>
      <c r="T2287" s="23">
        <v>45514</v>
      </c>
      <c r="U2287" s="23">
        <v>46304</v>
      </c>
      <c r="X2287" s="20">
        <v>4000</v>
      </c>
      <c r="Z2287" s="6" t="s">
        <v>5978</v>
      </c>
      <c r="AA2287" s="14">
        <f t="shared" si="297"/>
        <v>5.9999999999999995E-4</v>
      </c>
      <c r="AB2287">
        <v>0.35088599999999992</v>
      </c>
      <c r="AC2287">
        <v>0.36492143999999993</v>
      </c>
    </row>
    <row r="2288" spans="1:29" x14ac:dyDescent="0.3">
      <c r="A2288">
        <v>143199</v>
      </c>
      <c r="B2288" s="25" t="s">
        <v>5984</v>
      </c>
      <c r="C2288" t="s">
        <v>20</v>
      </c>
      <c r="D2288" t="s">
        <v>21</v>
      </c>
      <c r="E2288">
        <v>2222222</v>
      </c>
      <c r="F2288" s="8" t="s">
        <v>22</v>
      </c>
      <c r="G2288" s="2">
        <v>98</v>
      </c>
      <c r="H2288" t="s">
        <v>4239</v>
      </c>
      <c r="J2288" s="9" t="s">
        <v>4876</v>
      </c>
      <c r="K2288" t="s">
        <v>5134</v>
      </c>
      <c r="L2288" s="2">
        <v>1</v>
      </c>
      <c r="M2288" s="24" t="s">
        <v>5971</v>
      </c>
      <c r="N2288" s="2" t="s">
        <v>23</v>
      </c>
      <c r="O2288" s="18" t="s">
        <v>1823</v>
      </c>
      <c r="P2288" s="18" t="s">
        <v>0</v>
      </c>
      <c r="Q2288" s="6" t="s">
        <v>4475</v>
      </c>
      <c r="T2288" s="23">
        <v>45575</v>
      </c>
      <c r="U2288" s="23">
        <v>47492</v>
      </c>
      <c r="X2288" s="20">
        <v>6400</v>
      </c>
      <c r="Z2288" s="6" t="s">
        <v>5978</v>
      </c>
      <c r="AA2288" s="14">
        <f t="shared" si="297"/>
        <v>5.9999999999999995E-4</v>
      </c>
      <c r="AB2288">
        <v>2.9719439999999997</v>
      </c>
      <c r="AC2288">
        <v>3.0908217599999999</v>
      </c>
    </row>
    <row r="2289" spans="1:29" x14ac:dyDescent="0.3">
      <c r="A2289">
        <v>143371</v>
      </c>
      <c r="B2289" s="25" t="s">
        <v>5984</v>
      </c>
      <c r="C2289" t="s">
        <v>20</v>
      </c>
      <c r="D2289" t="s">
        <v>21</v>
      </c>
      <c r="E2289">
        <v>2222222</v>
      </c>
      <c r="F2289" s="8" t="s">
        <v>22</v>
      </c>
      <c r="G2289" s="2">
        <v>98</v>
      </c>
      <c r="H2289" t="s">
        <v>4239</v>
      </c>
      <c r="J2289" s="9" t="s">
        <v>4830</v>
      </c>
      <c r="K2289" t="s">
        <v>5205</v>
      </c>
      <c r="L2289" s="2">
        <v>1</v>
      </c>
      <c r="M2289" s="24" t="s">
        <v>5971</v>
      </c>
      <c r="N2289" s="2" t="s">
        <v>23</v>
      </c>
      <c r="O2289" s="18" t="s">
        <v>1824</v>
      </c>
      <c r="P2289" s="18" t="s">
        <v>3781</v>
      </c>
      <c r="Q2289" s="6" t="s">
        <v>4475</v>
      </c>
      <c r="T2289" s="23">
        <v>45593</v>
      </c>
      <c r="U2289" s="23">
        <v>51070</v>
      </c>
      <c r="X2289" s="20">
        <v>64650</v>
      </c>
      <c r="Z2289" s="6" t="s">
        <v>5978</v>
      </c>
      <c r="AA2289" s="14">
        <f t="shared" si="297"/>
        <v>5.9999999999999995E-4</v>
      </c>
      <c r="AB2289">
        <v>37.226717999999998</v>
      </c>
      <c r="AC2289">
        <v>38.715786719999997</v>
      </c>
    </row>
    <row r="2290" spans="1:29" x14ac:dyDescent="0.3">
      <c r="A2290">
        <v>143721</v>
      </c>
      <c r="B2290" s="25" t="s">
        <v>5984</v>
      </c>
      <c r="C2290" t="s">
        <v>20</v>
      </c>
      <c r="D2290" t="s">
        <v>21</v>
      </c>
      <c r="E2290">
        <v>2222222</v>
      </c>
      <c r="F2290" s="8" t="s">
        <v>22</v>
      </c>
      <c r="G2290" s="2">
        <v>98</v>
      </c>
      <c r="H2290" t="s">
        <v>4239</v>
      </c>
      <c r="J2290" s="9" t="s">
        <v>4968</v>
      </c>
      <c r="K2290" t="s">
        <v>4875</v>
      </c>
      <c r="L2290" s="2">
        <v>1</v>
      </c>
      <c r="M2290" s="24" t="s">
        <v>5971</v>
      </c>
      <c r="N2290" s="2" t="s">
        <v>23</v>
      </c>
      <c r="O2290" s="18" t="s">
        <v>1825</v>
      </c>
      <c r="P2290" s="18" t="s">
        <v>0</v>
      </c>
      <c r="Q2290" s="6" t="s">
        <v>4475</v>
      </c>
      <c r="T2290" s="23">
        <v>45617</v>
      </c>
      <c r="U2290" s="23">
        <v>46347</v>
      </c>
      <c r="X2290" s="20">
        <v>5000</v>
      </c>
      <c r="Z2290" s="6" t="s">
        <v>5978</v>
      </c>
      <c r="AA2290" s="14">
        <f t="shared" si="297"/>
        <v>5.9999999999999995E-4</v>
      </c>
      <c r="AB2290">
        <v>0.5735579999999999</v>
      </c>
      <c r="AC2290">
        <v>0.59650031999999997</v>
      </c>
    </row>
    <row r="2291" spans="1:29" x14ac:dyDescent="0.3">
      <c r="A2291">
        <v>143900</v>
      </c>
      <c r="B2291" s="25" t="s">
        <v>5984</v>
      </c>
      <c r="C2291" t="s">
        <v>20</v>
      </c>
      <c r="D2291" t="s">
        <v>21</v>
      </c>
      <c r="E2291">
        <v>2222222</v>
      </c>
      <c r="F2291" s="8" t="s">
        <v>22</v>
      </c>
      <c r="G2291" s="2">
        <v>98</v>
      </c>
      <c r="H2291" t="s">
        <v>4239</v>
      </c>
      <c r="J2291" s="9" t="s">
        <v>4993</v>
      </c>
      <c r="K2291" t="s">
        <v>5025</v>
      </c>
      <c r="L2291" s="2">
        <v>1</v>
      </c>
      <c r="M2291" s="24" t="s">
        <v>5971</v>
      </c>
      <c r="N2291" s="2" t="s">
        <v>23</v>
      </c>
      <c r="O2291" s="18" t="s">
        <v>1826</v>
      </c>
      <c r="P2291" s="18" t="s">
        <v>3781</v>
      </c>
      <c r="Q2291" s="6" t="s">
        <v>4475</v>
      </c>
      <c r="T2291" s="23">
        <v>45624</v>
      </c>
      <c r="U2291" s="23">
        <v>46719</v>
      </c>
      <c r="X2291" s="20">
        <v>4000</v>
      </c>
      <c r="Z2291" s="6" t="s">
        <v>5978</v>
      </c>
      <c r="AA2291" s="14">
        <f t="shared" si="297"/>
        <v>5.9999999999999995E-4</v>
      </c>
      <c r="AB2291">
        <v>1.2180539999999997</v>
      </c>
      <c r="AC2291">
        <v>1.2667761599999998</v>
      </c>
    </row>
    <row r="2292" spans="1:29" x14ac:dyDescent="0.3">
      <c r="A2292">
        <v>144076</v>
      </c>
      <c r="B2292" s="25" t="s">
        <v>5984</v>
      </c>
      <c r="C2292" t="s">
        <v>20</v>
      </c>
      <c r="D2292" t="s">
        <v>21</v>
      </c>
      <c r="E2292">
        <v>2222222</v>
      </c>
      <c r="F2292" s="8" t="s">
        <v>22</v>
      </c>
      <c r="G2292" s="2">
        <v>98</v>
      </c>
      <c r="H2292" t="s">
        <v>4239</v>
      </c>
      <c r="J2292" s="9" t="s">
        <v>5057</v>
      </c>
      <c r="K2292" t="s">
        <v>4863</v>
      </c>
      <c r="L2292" s="2">
        <v>1</v>
      </c>
      <c r="M2292" s="24" t="s">
        <v>5971</v>
      </c>
      <c r="N2292" s="2" t="s">
        <v>23</v>
      </c>
      <c r="O2292" s="18" t="s">
        <v>1827</v>
      </c>
      <c r="P2292" s="18" t="s">
        <v>3781</v>
      </c>
      <c r="Q2292" s="6" t="s">
        <v>4475</v>
      </c>
      <c r="T2292" s="23">
        <v>45636</v>
      </c>
      <c r="U2292" s="23">
        <v>46365</v>
      </c>
      <c r="X2292" s="20">
        <v>1030</v>
      </c>
      <c r="Z2292" s="6" t="s">
        <v>5978</v>
      </c>
      <c r="AA2292" s="14">
        <f t="shared" si="297"/>
        <v>5.9999999999999995E-4</v>
      </c>
      <c r="AB2292">
        <v>0.14624999999999999</v>
      </c>
      <c r="AC2292">
        <v>0.15209999999999999</v>
      </c>
    </row>
    <row r="2293" spans="1:29" x14ac:dyDescent="0.3">
      <c r="A2293">
        <v>144519</v>
      </c>
      <c r="B2293" s="25" t="s">
        <v>5984</v>
      </c>
      <c r="C2293" t="s">
        <v>20</v>
      </c>
      <c r="D2293" t="s">
        <v>21</v>
      </c>
      <c r="E2293">
        <v>2222222</v>
      </c>
      <c r="F2293" s="8" t="s">
        <v>22</v>
      </c>
      <c r="G2293" s="2">
        <v>98</v>
      </c>
      <c r="H2293" t="s">
        <v>4239</v>
      </c>
      <c r="J2293" s="9" t="s">
        <v>5096</v>
      </c>
      <c r="K2293" t="s">
        <v>4942</v>
      </c>
      <c r="L2293" s="2">
        <v>1</v>
      </c>
      <c r="M2293" s="24" t="s">
        <v>5971</v>
      </c>
      <c r="N2293" s="2" t="s">
        <v>23</v>
      </c>
      <c r="O2293" s="18" t="s">
        <v>1828</v>
      </c>
      <c r="P2293" s="18" t="s">
        <v>3781</v>
      </c>
      <c r="Q2293" s="6" t="s">
        <v>4475</v>
      </c>
      <c r="T2293" s="23">
        <v>45670</v>
      </c>
      <c r="U2293" s="23">
        <v>46764</v>
      </c>
      <c r="X2293" s="20">
        <v>5000</v>
      </c>
      <c r="Z2293" s="6" t="s">
        <v>5978</v>
      </c>
      <c r="AA2293" s="14">
        <f t="shared" si="297"/>
        <v>5.9999999999999995E-4</v>
      </c>
      <c r="AB2293">
        <v>1.6983119999999998</v>
      </c>
      <c r="AC2293">
        <v>1.7662444799999999</v>
      </c>
    </row>
    <row r="2294" spans="1:29" x14ac:dyDescent="0.3">
      <c r="A2294">
        <v>144874</v>
      </c>
      <c r="B2294" s="25" t="s">
        <v>5984</v>
      </c>
      <c r="C2294" t="s">
        <v>20</v>
      </c>
      <c r="D2294" t="s">
        <v>21</v>
      </c>
      <c r="E2294">
        <v>2222222</v>
      </c>
      <c r="F2294" s="8" t="s">
        <v>22</v>
      </c>
      <c r="G2294" s="2">
        <v>98</v>
      </c>
      <c r="H2294" t="s">
        <v>4239</v>
      </c>
      <c r="J2294" s="9" t="s">
        <v>4901</v>
      </c>
      <c r="K2294" t="s">
        <v>5108</v>
      </c>
      <c r="L2294" s="2">
        <v>1</v>
      </c>
      <c r="M2294" s="24" t="s">
        <v>5971</v>
      </c>
      <c r="N2294" s="2" t="s">
        <v>23</v>
      </c>
      <c r="O2294" s="18" t="s">
        <v>1829</v>
      </c>
      <c r="P2294" s="18" t="s">
        <v>0</v>
      </c>
      <c r="Q2294" s="6" t="s">
        <v>4475</v>
      </c>
      <c r="T2294" s="23">
        <v>45694</v>
      </c>
      <c r="U2294" s="23">
        <v>46426</v>
      </c>
      <c r="X2294" s="20">
        <v>5000</v>
      </c>
      <c r="Z2294" s="6" t="s">
        <v>5978</v>
      </c>
      <c r="AA2294" s="14">
        <f t="shared" si="297"/>
        <v>5.9999999999999995E-4</v>
      </c>
      <c r="AB2294">
        <v>0.99043199999999998</v>
      </c>
      <c r="AC2294">
        <v>1.0300492800000001</v>
      </c>
    </row>
    <row r="2295" spans="1:29" x14ac:dyDescent="0.3">
      <c r="A2295">
        <v>145037</v>
      </c>
      <c r="B2295" s="25" t="s">
        <v>5984</v>
      </c>
      <c r="C2295" t="s">
        <v>20</v>
      </c>
      <c r="D2295" t="s">
        <v>21</v>
      </c>
      <c r="E2295">
        <v>2222222</v>
      </c>
      <c r="F2295" s="8" t="s">
        <v>22</v>
      </c>
      <c r="G2295" s="2">
        <v>98</v>
      </c>
      <c r="H2295" t="s">
        <v>4239</v>
      </c>
      <c r="J2295" s="9" t="s">
        <v>5000</v>
      </c>
      <c r="K2295" t="s">
        <v>5190</v>
      </c>
      <c r="L2295" s="2">
        <v>1</v>
      </c>
      <c r="M2295" s="24" t="s">
        <v>5971</v>
      </c>
      <c r="N2295" s="2" t="s">
        <v>23</v>
      </c>
      <c r="O2295" s="18" t="s">
        <v>1830</v>
      </c>
      <c r="P2295" s="18" t="s">
        <v>0</v>
      </c>
      <c r="Q2295" s="6" t="s">
        <v>4475</v>
      </c>
      <c r="T2295" s="23">
        <v>45708</v>
      </c>
      <c r="U2295" s="23">
        <v>46440</v>
      </c>
      <c r="X2295" s="20">
        <v>2000</v>
      </c>
      <c r="Z2295" s="6" t="s">
        <v>5978</v>
      </c>
      <c r="AA2295" s="14">
        <f t="shared" si="297"/>
        <v>5.9999999999999995E-4</v>
      </c>
      <c r="AB2295">
        <v>0.385764</v>
      </c>
      <c r="AC2295">
        <v>0.40119456000000003</v>
      </c>
    </row>
    <row r="2296" spans="1:29" x14ac:dyDescent="0.3">
      <c r="A2296">
        <v>145067</v>
      </c>
      <c r="B2296" s="25" t="s">
        <v>5984</v>
      </c>
      <c r="C2296" t="s">
        <v>20</v>
      </c>
      <c r="D2296" t="s">
        <v>21</v>
      </c>
      <c r="E2296">
        <v>2222222</v>
      </c>
      <c r="F2296" s="8" t="s">
        <v>22</v>
      </c>
      <c r="G2296" s="2">
        <v>98</v>
      </c>
      <c r="H2296" t="s">
        <v>4239</v>
      </c>
      <c r="J2296" s="9" t="s">
        <v>5020</v>
      </c>
      <c r="K2296" t="s">
        <v>5191</v>
      </c>
      <c r="L2296" s="2">
        <v>1</v>
      </c>
      <c r="M2296" s="24" t="s">
        <v>5971</v>
      </c>
      <c r="N2296" s="2" t="s">
        <v>23</v>
      </c>
      <c r="O2296" s="18" t="s">
        <v>1831</v>
      </c>
      <c r="P2296" s="18" t="s">
        <v>0</v>
      </c>
      <c r="Q2296" s="6" t="s">
        <v>4475</v>
      </c>
      <c r="T2296" s="23">
        <v>45709</v>
      </c>
      <c r="U2296" s="23">
        <v>46806</v>
      </c>
      <c r="X2296" s="20">
        <v>3500</v>
      </c>
      <c r="Z2296" s="6" t="s">
        <v>5978</v>
      </c>
      <c r="AA2296" s="14">
        <f t="shared" si="297"/>
        <v>5.9999999999999995E-4</v>
      </c>
      <c r="AB2296">
        <v>1.2415019999999999</v>
      </c>
      <c r="AC2296">
        <v>1.2911620799999999</v>
      </c>
    </row>
    <row r="2297" spans="1:29" x14ac:dyDescent="0.3">
      <c r="A2297">
        <v>145125</v>
      </c>
      <c r="B2297" s="25" t="s">
        <v>5984</v>
      </c>
      <c r="C2297" t="s">
        <v>20</v>
      </c>
      <c r="D2297" t="s">
        <v>21</v>
      </c>
      <c r="E2297">
        <v>2222222</v>
      </c>
      <c r="F2297" s="8" t="s">
        <v>22</v>
      </c>
      <c r="G2297" s="2">
        <v>98</v>
      </c>
      <c r="H2297" t="s">
        <v>4239</v>
      </c>
      <c r="J2297" s="9" t="s">
        <v>4870</v>
      </c>
      <c r="K2297" t="s">
        <v>4857</v>
      </c>
      <c r="L2297" s="2">
        <v>1</v>
      </c>
      <c r="M2297" s="24" t="s">
        <v>5971</v>
      </c>
      <c r="N2297" s="2" t="s">
        <v>23</v>
      </c>
      <c r="O2297" s="18" t="s">
        <v>1832</v>
      </c>
      <c r="P2297" s="18" t="s">
        <v>0</v>
      </c>
      <c r="Q2297" s="6" t="s">
        <v>4475</v>
      </c>
      <c r="T2297" s="23">
        <v>45714</v>
      </c>
      <c r="U2297" s="23">
        <v>46814</v>
      </c>
      <c r="X2297" s="20">
        <v>2500</v>
      </c>
      <c r="Z2297" s="6" t="s">
        <v>5978</v>
      </c>
      <c r="AA2297" s="14">
        <f t="shared" si="297"/>
        <v>5.9999999999999995E-4</v>
      </c>
      <c r="AB2297">
        <v>0.92660999999999982</v>
      </c>
      <c r="AC2297">
        <v>0.96367439999999982</v>
      </c>
    </row>
    <row r="2298" spans="1:29" x14ac:dyDescent="0.3">
      <c r="A2298">
        <v>145157</v>
      </c>
      <c r="B2298" s="25" t="s">
        <v>5984</v>
      </c>
      <c r="C2298" t="s">
        <v>20</v>
      </c>
      <c r="D2298" t="s">
        <v>21</v>
      </c>
      <c r="E2298">
        <v>2222222</v>
      </c>
      <c r="F2298" s="8" t="s">
        <v>22</v>
      </c>
      <c r="G2298" s="2">
        <v>98</v>
      </c>
      <c r="H2298" t="s">
        <v>4239</v>
      </c>
      <c r="J2298" s="9" t="s">
        <v>4815</v>
      </c>
      <c r="K2298" t="s">
        <v>4852</v>
      </c>
      <c r="L2298" s="2">
        <v>1</v>
      </c>
      <c r="M2298" s="24" t="s">
        <v>5971</v>
      </c>
      <c r="N2298" s="2" t="s">
        <v>23</v>
      </c>
      <c r="O2298" s="18" t="s">
        <v>1833</v>
      </c>
      <c r="P2298" s="18" t="s">
        <v>0</v>
      </c>
      <c r="Q2298" s="6" t="s">
        <v>4475</v>
      </c>
      <c r="T2298" s="23">
        <v>45716</v>
      </c>
      <c r="U2298" s="23">
        <v>46812</v>
      </c>
      <c r="X2298" s="20">
        <v>4190</v>
      </c>
      <c r="Z2298" s="6" t="s">
        <v>5978</v>
      </c>
      <c r="AA2298" s="14">
        <f t="shared" si="297"/>
        <v>5.9999999999999995E-4</v>
      </c>
      <c r="AB2298">
        <v>1.4954399999999999</v>
      </c>
      <c r="AC2298">
        <v>1.5552576</v>
      </c>
    </row>
    <row r="2299" spans="1:29" x14ac:dyDescent="0.3">
      <c r="A2299">
        <v>145335</v>
      </c>
      <c r="B2299" s="25" t="s">
        <v>5984</v>
      </c>
      <c r="C2299" t="s">
        <v>20</v>
      </c>
      <c r="D2299" t="s">
        <v>21</v>
      </c>
      <c r="E2299">
        <v>2222222</v>
      </c>
      <c r="F2299" s="8" t="s">
        <v>22</v>
      </c>
      <c r="G2299" s="2">
        <v>98</v>
      </c>
      <c r="H2299" t="s">
        <v>4239</v>
      </c>
      <c r="J2299" s="9" t="s">
        <v>5032</v>
      </c>
      <c r="K2299" t="s">
        <v>4867</v>
      </c>
      <c r="L2299" s="2">
        <v>1</v>
      </c>
      <c r="M2299" s="24" t="s">
        <v>5971</v>
      </c>
      <c r="N2299" s="2" t="s">
        <v>23</v>
      </c>
      <c r="O2299" s="18" t="s">
        <v>1393</v>
      </c>
      <c r="P2299" s="18" t="s">
        <v>3781</v>
      </c>
      <c r="Q2299" s="6" t="s">
        <v>4475</v>
      </c>
      <c r="T2299" s="23">
        <v>45733</v>
      </c>
      <c r="U2299" s="23">
        <v>46462</v>
      </c>
      <c r="X2299" s="20">
        <v>5000</v>
      </c>
      <c r="Z2299" s="6" t="s">
        <v>5978</v>
      </c>
      <c r="AA2299" s="14">
        <f t="shared" si="297"/>
        <v>5.9999999999999995E-4</v>
      </c>
      <c r="AB2299">
        <v>1.1224319999999999</v>
      </c>
      <c r="AC2299">
        <v>1.1673292799999999</v>
      </c>
    </row>
    <row r="2300" spans="1:29" x14ac:dyDescent="0.3">
      <c r="A2300">
        <v>145908</v>
      </c>
      <c r="B2300" s="25" t="s">
        <v>5984</v>
      </c>
      <c r="C2300" t="s">
        <v>20</v>
      </c>
      <c r="D2300" t="s">
        <v>21</v>
      </c>
      <c r="E2300">
        <v>2222222</v>
      </c>
      <c r="F2300" s="8" t="s">
        <v>22</v>
      </c>
      <c r="G2300" s="2">
        <v>98</v>
      </c>
      <c r="H2300" t="s">
        <v>4239</v>
      </c>
      <c r="J2300" s="9" t="s">
        <v>5602</v>
      </c>
      <c r="K2300" t="s">
        <v>5095</v>
      </c>
      <c r="L2300" s="2">
        <v>1</v>
      </c>
      <c r="M2300" s="24" t="s">
        <v>5971</v>
      </c>
      <c r="N2300" s="2" t="s">
        <v>23</v>
      </c>
      <c r="O2300" s="18" t="s">
        <v>1834</v>
      </c>
      <c r="P2300" s="18" t="s">
        <v>3781</v>
      </c>
      <c r="Q2300" s="6" t="s">
        <v>4475</v>
      </c>
      <c r="T2300" s="23">
        <v>45792</v>
      </c>
      <c r="U2300" s="23">
        <v>51270</v>
      </c>
      <c r="X2300" s="20">
        <v>100000</v>
      </c>
      <c r="Z2300" s="6" t="s">
        <v>5978</v>
      </c>
      <c r="AA2300" s="14">
        <f t="shared" si="297"/>
        <v>5.9999999999999995E-4</v>
      </c>
      <c r="AB2300">
        <v>57.944123999999988</v>
      </c>
      <c r="AC2300">
        <v>60.261888959999986</v>
      </c>
    </row>
    <row r="2301" spans="1:29" x14ac:dyDescent="0.3">
      <c r="A2301">
        <v>146783</v>
      </c>
      <c r="B2301" s="25" t="s">
        <v>5984</v>
      </c>
      <c r="C2301" t="s">
        <v>20</v>
      </c>
      <c r="D2301" t="s">
        <v>21</v>
      </c>
      <c r="E2301">
        <v>2222222</v>
      </c>
      <c r="F2301" s="8" t="s">
        <v>22</v>
      </c>
      <c r="G2301" s="2">
        <v>98</v>
      </c>
      <c r="H2301" t="s">
        <v>4239</v>
      </c>
      <c r="J2301" s="9" t="s">
        <v>5372</v>
      </c>
      <c r="K2301" t="s">
        <v>5603</v>
      </c>
      <c r="L2301" s="2">
        <v>1</v>
      </c>
      <c r="M2301" s="24" t="s">
        <v>5971</v>
      </c>
      <c r="N2301" s="2" t="s">
        <v>23</v>
      </c>
      <c r="O2301" s="18" t="s">
        <v>1835</v>
      </c>
      <c r="P2301" s="18" t="s">
        <v>3781</v>
      </c>
      <c r="Q2301" s="6" t="s">
        <v>4475</v>
      </c>
      <c r="T2301" s="23">
        <v>45842</v>
      </c>
      <c r="U2301" s="23">
        <v>47667</v>
      </c>
      <c r="X2301" s="20">
        <v>5000</v>
      </c>
      <c r="Z2301" s="6" t="s">
        <v>5978</v>
      </c>
      <c r="AA2301" s="14">
        <f t="shared" si="297"/>
        <v>5.9999999999999995E-4</v>
      </c>
      <c r="AB2301">
        <v>2.5349699999999995</v>
      </c>
      <c r="AC2301">
        <v>2.6363687999999996</v>
      </c>
    </row>
    <row r="2302" spans="1:29" x14ac:dyDescent="0.3">
      <c r="A2302">
        <v>146967</v>
      </c>
      <c r="B2302" s="25" t="s">
        <v>5984</v>
      </c>
      <c r="C2302" t="s">
        <v>20</v>
      </c>
      <c r="D2302" t="s">
        <v>21</v>
      </c>
      <c r="E2302">
        <v>2222222</v>
      </c>
      <c r="F2302" s="8" t="s">
        <v>22</v>
      </c>
      <c r="G2302" s="2">
        <v>98</v>
      </c>
      <c r="H2302" t="s">
        <v>4239</v>
      </c>
      <c r="J2302" s="9" t="s">
        <v>5001</v>
      </c>
      <c r="K2302" t="s">
        <v>5006</v>
      </c>
      <c r="L2302" s="2">
        <v>1</v>
      </c>
      <c r="M2302" s="24" t="s">
        <v>5971</v>
      </c>
      <c r="N2302" s="2" t="s">
        <v>23</v>
      </c>
      <c r="O2302" s="18" t="s">
        <v>1827</v>
      </c>
      <c r="P2302" s="18" t="s">
        <v>0</v>
      </c>
      <c r="Q2302" s="6" t="s">
        <v>4475</v>
      </c>
      <c r="T2302" s="23">
        <v>45961</v>
      </c>
      <c r="U2302" s="23">
        <v>49614</v>
      </c>
      <c r="X2302" s="20">
        <v>90000</v>
      </c>
      <c r="Z2302" s="6" t="s">
        <v>5978</v>
      </c>
      <c r="AA2302" s="14">
        <f t="shared" si="297"/>
        <v>5.9999999999999995E-4</v>
      </c>
      <c r="AB2302">
        <v>51.812903999999996</v>
      </c>
      <c r="AC2302">
        <v>53.885420159999995</v>
      </c>
    </row>
    <row r="2303" spans="1:29" x14ac:dyDescent="0.3">
      <c r="A2303">
        <v>147729</v>
      </c>
      <c r="B2303" s="25" t="s">
        <v>5984</v>
      </c>
      <c r="C2303" t="s">
        <v>20</v>
      </c>
      <c r="D2303" t="s">
        <v>21</v>
      </c>
      <c r="E2303">
        <v>2222222</v>
      </c>
      <c r="F2303" s="8" t="s">
        <v>22</v>
      </c>
      <c r="G2303" s="2">
        <v>98</v>
      </c>
      <c r="H2303" t="s">
        <v>4239</v>
      </c>
      <c r="J2303" s="9" t="s">
        <v>5323</v>
      </c>
      <c r="K2303" t="s">
        <v>4875</v>
      </c>
      <c r="L2303" s="2">
        <v>1</v>
      </c>
      <c r="M2303" s="24" t="s">
        <v>5971</v>
      </c>
      <c r="N2303" s="2" t="s">
        <v>23</v>
      </c>
      <c r="O2303" s="18" t="s">
        <v>1836</v>
      </c>
      <c r="P2303" s="18" t="s">
        <v>0</v>
      </c>
      <c r="Q2303" s="6" t="s">
        <v>4475</v>
      </c>
      <c r="T2303" s="23">
        <v>45916</v>
      </c>
      <c r="U2303" s="23">
        <v>51395</v>
      </c>
      <c r="X2303" s="20">
        <v>27900</v>
      </c>
      <c r="Z2303" s="6" t="s">
        <v>5978</v>
      </c>
      <c r="AA2303" s="14">
        <f t="shared" si="297"/>
        <v>5.9999999999999995E-4</v>
      </c>
      <c r="AB2303">
        <v>16.388088</v>
      </c>
      <c r="AC2303">
        <v>17.043611519999999</v>
      </c>
    </row>
    <row r="2304" spans="1:29" x14ac:dyDescent="0.3">
      <c r="A2304">
        <v>147908</v>
      </c>
      <c r="B2304" s="25" t="s">
        <v>5984</v>
      </c>
      <c r="C2304" t="s">
        <v>20</v>
      </c>
      <c r="D2304" t="s">
        <v>21</v>
      </c>
      <c r="E2304">
        <v>2222222</v>
      </c>
      <c r="F2304" s="8" t="s">
        <v>22</v>
      </c>
      <c r="G2304" s="2">
        <v>98</v>
      </c>
      <c r="H2304" t="s">
        <v>4239</v>
      </c>
      <c r="J2304" s="9" t="s">
        <v>4889</v>
      </c>
      <c r="K2304" t="s">
        <v>4942</v>
      </c>
      <c r="L2304" s="2">
        <v>1</v>
      </c>
      <c r="M2304" s="24" t="s">
        <v>5971</v>
      </c>
      <c r="N2304" s="2" t="s">
        <v>23</v>
      </c>
      <c r="O2304" s="18" t="s">
        <v>1837</v>
      </c>
      <c r="P2304" s="18" t="s">
        <v>3781</v>
      </c>
      <c r="Q2304" s="6" t="s">
        <v>4475</v>
      </c>
      <c r="T2304" s="23">
        <v>45923</v>
      </c>
      <c r="U2304" s="23">
        <v>46288</v>
      </c>
      <c r="X2304" s="20">
        <v>1500</v>
      </c>
      <c r="Z2304" s="6" t="s">
        <v>5978</v>
      </c>
      <c r="AA2304" s="14">
        <f t="shared" si="297"/>
        <v>5.9999999999999995E-4</v>
      </c>
      <c r="AB2304">
        <v>0.16057799999999997</v>
      </c>
      <c r="AC2304">
        <v>0.16700111999999998</v>
      </c>
    </row>
    <row r="2305" spans="1:29" x14ac:dyDescent="0.3">
      <c r="A2305">
        <v>148000</v>
      </c>
      <c r="B2305" s="25" t="s">
        <v>5984</v>
      </c>
      <c r="C2305" t="s">
        <v>20</v>
      </c>
      <c r="D2305" t="s">
        <v>21</v>
      </c>
      <c r="E2305">
        <v>2222222</v>
      </c>
      <c r="F2305" s="8" t="s">
        <v>22</v>
      </c>
      <c r="G2305" s="2">
        <v>98</v>
      </c>
      <c r="H2305" t="s">
        <v>4239</v>
      </c>
      <c r="J2305" s="9" t="s">
        <v>4929</v>
      </c>
      <c r="K2305" t="s">
        <v>4875</v>
      </c>
      <c r="L2305" s="2">
        <v>1</v>
      </c>
      <c r="M2305" s="24" t="s">
        <v>5971</v>
      </c>
      <c r="N2305" s="2" t="s">
        <v>23</v>
      </c>
      <c r="O2305" s="18" t="s">
        <v>1809</v>
      </c>
      <c r="P2305" s="18" t="s">
        <v>0</v>
      </c>
      <c r="Q2305" s="6" t="s">
        <v>4475</v>
      </c>
      <c r="T2305" s="23">
        <v>45931</v>
      </c>
      <c r="U2305" s="23">
        <v>49217</v>
      </c>
      <c r="X2305" s="20">
        <v>58400</v>
      </c>
      <c r="Z2305" s="6" t="s">
        <v>5978</v>
      </c>
      <c r="AA2305" s="14">
        <f t="shared" si="297"/>
        <v>5.9999999999999995E-4</v>
      </c>
      <c r="AB2305">
        <v>32.118851999999997</v>
      </c>
      <c r="AC2305">
        <v>33.403606079999996</v>
      </c>
    </row>
    <row r="2306" spans="1:29" x14ac:dyDescent="0.3">
      <c r="A2306">
        <v>148109</v>
      </c>
      <c r="B2306" s="25" t="s">
        <v>5984</v>
      </c>
      <c r="C2306" t="s">
        <v>20</v>
      </c>
      <c r="D2306" t="s">
        <v>21</v>
      </c>
      <c r="E2306">
        <v>2222222</v>
      </c>
      <c r="F2306" s="8" t="s">
        <v>22</v>
      </c>
      <c r="G2306" s="2">
        <v>98</v>
      </c>
      <c r="H2306" t="s">
        <v>4239</v>
      </c>
      <c r="J2306" s="9" t="s">
        <v>5440</v>
      </c>
      <c r="K2306" t="s">
        <v>5604</v>
      </c>
      <c r="L2306" s="2">
        <v>1</v>
      </c>
      <c r="M2306" s="24" t="s">
        <v>5971</v>
      </c>
      <c r="N2306" s="2" t="s">
        <v>23</v>
      </c>
      <c r="O2306" s="18" t="s">
        <v>1838</v>
      </c>
      <c r="P2306" s="18" t="s">
        <v>0</v>
      </c>
      <c r="Q2306" s="6" t="s">
        <v>4475</v>
      </c>
      <c r="T2306" s="23">
        <v>45938</v>
      </c>
      <c r="U2306" s="23">
        <v>47033</v>
      </c>
      <c r="X2306" s="20">
        <v>20000</v>
      </c>
      <c r="Z2306" s="6" t="s">
        <v>5978</v>
      </c>
      <c r="AA2306" s="14">
        <f t="shared" si="297"/>
        <v>5.9999999999999995E-4</v>
      </c>
      <c r="AB2306">
        <v>9.3886439999999993</v>
      </c>
      <c r="AC2306">
        <v>9.7641897599999989</v>
      </c>
    </row>
    <row r="2307" spans="1:29" x14ac:dyDescent="0.3">
      <c r="A2307">
        <v>148219</v>
      </c>
      <c r="B2307" s="25" t="s">
        <v>5984</v>
      </c>
      <c r="C2307" t="s">
        <v>20</v>
      </c>
      <c r="D2307" t="s">
        <v>21</v>
      </c>
      <c r="E2307">
        <v>2222222</v>
      </c>
      <c r="F2307" s="8" t="s">
        <v>22</v>
      </c>
      <c r="G2307" s="2">
        <v>98</v>
      </c>
      <c r="H2307" t="s">
        <v>4239</v>
      </c>
      <c r="J2307" s="9" t="s">
        <v>4836</v>
      </c>
      <c r="K2307" t="s">
        <v>5565</v>
      </c>
      <c r="L2307" s="2">
        <v>1</v>
      </c>
      <c r="M2307" s="24" t="s">
        <v>5971</v>
      </c>
      <c r="N2307" s="2" t="s">
        <v>23</v>
      </c>
      <c r="O2307" s="18" t="s">
        <v>1839</v>
      </c>
      <c r="P2307" s="18" t="s">
        <v>3781</v>
      </c>
      <c r="Q2307" s="6" t="s">
        <v>4475</v>
      </c>
      <c r="T2307" s="23">
        <v>45946</v>
      </c>
      <c r="U2307" s="23">
        <v>47285</v>
      </c>
      <c r="X2307" s="20">
        <v>3650</v>
      </c>
      <c r="Z2307" s="6" t="s">
        <v>5978</v>
      </c>
      <c r="AA2307" s="14">
        <f t="shared" si="297"/>
        <v>5.9999999999999995E-4</v>
      </c>
      <c r="AB2307">
        <v>1.594692</v>
      </c>
      <c r="AC2307">
        <v>1.6584796800000001</v>
      </c>
    </row>
    <row r="2308" spans="1:29" x14ac:dyDescent="0.3">
      <c r="A2308">
        <v>148316</v>
      </c>
      <c r="B2308" s="25" t="s">
        <v>5984</v>
      </c>
      <c r="C2308" t="s">
        <v>20</v>
      </c>
      <c r="D2308" t="s">
        <v>21</v>
      </c>
      <c r="E2308">
        <v>2222222</v>
      </c>
      <c r="F2308" s="8" t="s">
        <v>22</v>
      </c>
      <c r="G2308" s="2">
        <v>98</v>
      </c>
      <c r="H2308" t="s">
        <v>4239</v>
      </c>
      <c r="J2308" s="9" t="s">
        <v>4969</v>
      </c>
      <c r="K2308" t="s">
        <v>5169</v>
      </c>
      <c r="L2308" s="2">
        <v>1</v>
      </c>
      <c r="M2308" s="24" t="s">
        <v>5971</v>
      </c>
      <c r="N2308" s="2" t="s">
        <v>23</v>
      </c>
      <c r="O2308" s="18" t="s">
        <v>1840</v>
      </c>
      <c r="P2308" s="18" t="s">
        <v>3781</v>
      </c>
      <c r="Q2308" s="6" t="s">
        <v>4475</v>
      </c>
      <c r="T2308" s="23">
        <v>45952</v>
      </c>
      <c r="U2308" s="23">
        <v>46317</v>
      </c>
      <c r="X2308" s="20">
        <v>3000</v>
      </c>
      <c r="Z2308" s="6" t="s">
        <v>5978</v>
      </c>
      <c r="AA2308" s="14">
        <f t="shared" si="297"/>
        <v>5.9999999999999995E-4</v>
      </c>
      <c r="AB2308">
        <v>0.47810399999999997</v>
      </c>
      <c r="AC2308">
        <v>0.49722815999999997</v>
      </c>
    </row>
    <row r="2309" spans="1:29" x14ac:dyDescent="0.3">
      <c r="A2309">
        <v>148357</v>
      </c>
      <c r="B2309" s="25" t="s">
        <v>5984</v>
      </c>
      <c r="C2309" t="s">
        <v>20</v>
      </c>
      <c r="D2309" t="s">
        <v>21</v>
      </c>
      <c r="E2309">
        <v>2222222</v>
      </c>
      <c r="F2309" s="8" t="s">
        <v>22</v>
      </c>
      <c r="G2309" s="2">
        <v>98</v>
      </c>
      <c r="H2309" t="s">
        <v>4239</v>
      </c>
      <c r="J2309" s="9" t="s">
        <v>5440</v>
      </c>
      <c r="K2309" t="s">
        <v>5604</v>
      </c>
      <c r="L2309" s="2">
        <v>1</v>
      </c>
      <c r="M2309" s="24" t="s">
        <v>5971</v>
      </c>
      <c r="N2309" s="2" t="s">
        <v>23</v>
      </c>
      <c r="O2309" s="18" t="s">
        <v>1838</v>
      </c>
      <c r="P2309" s="18" t="s">
        <v>0</v>
      </c>
      <c r="Q2309" s="6" t="s">
        <v>4475</v>
      </c>
      <c r="T2309" s="23">
        <v>45954</v>
      </c>
      <c r="U2309" s="23">
        <v>46319</v>
      </c>
      <c r="X2309" s="20">
        <v>4900</v>
      </c>
      <c r="Z2309" s="6" t="s">
        <v>5978</v>
      </c>
      <c r="AA2309" s="14">
        <f t="shared" si="297"/>
        <v>5.9999999999999995E-4</v>
      </c>
      <c r="AB2309">
        <v>0.78359999999999996</v>
      </c>
      <c r="AC2309">
        <v>0.814944</v>
      </c>
    </row>
    <row r="2310" spans="1:29" x14ac:dyDescent="0.3">
      <c r="A2310">
        <v>148460</v>
      </c>
      <c r="B2310" s="25" t="s">
        <v>5984</v>
      </c>
      <c r="C2310" t="s">
        <v>20</v>
      </c>
      <c r="D2310" t="s">
        <v>21</v>
      </c>
      <c r="E2310">
        <v>2222222</v>
      </c>
      <c r="F2310" s="8" t="s">
        <v>22</v>
      </c>
      <c r="G2310" s="2">
        <v>98</v>
      </c>
      <c r="H2310" t="s">
        <v>4239</v>
      </c>
      <c r="J2310" s="9" t="s">
        <v>4836</v>
      </c>
      <c r="K2310" t="s">
        <v>5118</v>
      </c>
      <c r="L2310" s="2">
        <v>1</v>
      </c>
      <c r="M2310" s="24" t="s">
        <v>5971</v>
      </c>
      <c r="N2310" s="2" t="s">
        <v>23</v>
      </c>
      <c r="O2310" s="18" t="s">
        <v>1841</v>
      </c>
      <c r="P2310" s="18" t="s">
        <v>3781</v>
      </c>
      <c r="Q2310" s="6" t="s">
        <v>4475</v>
      </c>
      <c r="T2310" s="23">
        <v>45966</v>
      </c>
      <c r="U2310" s="23">
        <v>46331</v>
      </c>
      <c r="X2310" s="20">
        <v>500</v>
      </c>
      <c r="Z2310" s="6" t="s">
        <v>5978</v>
      </c>
      <c r="AA2310" s="14">
        <f t="shared" si="297"/>
        <v>5.9999999999999995E-4</v>
      </c>
      <c r="AB2310">
        <v>0.10559999999999999</v>
      </c>
      <c r="AC2310">
        <v>0.10982399999999999</v>
      </c>
    </row>
    <row r="2311" spans="1:29" x14ac:dyDescent="0.3">
      <c r="A2311">
        <v>148629</v>
      </c>
      <c r="B2311" s="25" t="s">
        <v>5984</v>
      </c>
      <c r="C2311" t="s">
        <v>20</v>
      </c>
      <c r="D2311" t="s">
        <v>21</v>
      </c>
      <c r="E2311">
        <v>2222222</v>
      </c>
      <c r="F2311" s="8" t="s">
        <v>22</v>
      </c>
      <c r="G2311" s="2">
        <v>98</v>
      </c>
      <c r="H2311" t="s">
        <v>4239</v>
      </c>
      <c r="J2311" s="9" t="s">
        <v>4900</v>
      </c>
      <c r="K2311" t="s">
        <v>4901</v>
      </c>
      <c r="L2311" s="2">
        <v>1</v>
      </c>
      <c r="M2311" s="24" t="s">
        <v>5971</v>
      </c>
      <c r="N2311" s="2" t="s">
        <v>23</v>
      </c>
      <c r="O2311" s="18" t="s">
        <v>1842</v>
      </c>
      <c r="P2311" s="18" t="s">
        <v>0</v>
      </c>
      <c r="Q2311" s="6" t="s">
        <v>4475</v>
      </c>
      <c r="T2311" s="23">
        <v>45968</v>
      </c>
      <c r="U2311" s="23">
        <v>46698</v>
      </c>
      <c r="X2311" s="20">
        <v>1000</v>
      </c>
      <c r="Z2311" s="6" t="s">
        <v>5978</v>
      </c>
      <c r="AA2311" s="14">
        <f t="shared" si="297"/>
        <v>5.9999999999999995E-4</v>
      </c>
      <c r="AB2311">
        <v>0.42196199999999995</v>
      </c>
      <c r="AC2311">
        <v>0.43884047999999998</v>
      </c>
    </row>
    <row r="2312" spans="1:29" x14ac:dyDescent="0.3">
      <c r="A2312">
        <v>148691</v>
      </c>
      <c r="B2312" s="25" t="s">
        <v>5984</v>
      </c>
      <c r="C2312" t="s">
        <v>20</v>
      </c>
      <c r="D2312" t="s">
        <v>21</v>
      </c>
      <c r="E2312">
        <v>2222222</v>
      </c>
      <c r="F2312" s="8" t="s">
        <v>22</v>
      </c>
      <c r="G2312" s="2">
        <v>98</v>
      </c>
      <c r="H2312" t="s">
        <v>4239</v>
      </c>
      <c r="J2312" s="9" t="s">
        <v>4838</v>
      </c>
      <c r="K2312" t="s">
        <v>4826</v>
      </c>
      <c r="L2312" s="2">
        <v>1</v>
      </c>
      <c r="M2312" s="24" t="s">
        <v>5971</v>
      </c>
      <c r="N2312" s="2" t="s">
        <v>23</v>
      </c>
      <c r="O2312" s="18" t="s">
        <v>1843</v>
      </c>
      <c r="P2312" s="18" t="s">
        <v>0</v>
      </c>
      <c r="Q2312" s="6" t="s">
        <v>4475</v>
      </c>
      <c r="T2312" s="23">
        <v>45972</v>
      </c>
      <c r="U2312" s="23">
        <v>47439</v>
      </c>
      <c r="X2312" s="20">
        <v>3640</v>
      </c>
      <c r="Z2312" s="6" t="s">
        <v>5978</v>
      </c>
      <c r="AA2312" s="14">
        <f t="shared" si="297"/>
        <v>5.9999999999999995E-4</v>
      </c>
      <c r="AB2312">
        <v>1.919028</v>
      </c>
      <c r="AC2312">
        <v>1.99578912</v>
      </c>
    </row>
    <row r="2313" spans="1:29" x14ac:dyDescent="0.3">
      <c r="A2313">
        <v>148756</v>
      </c>
      <c r="B2313" s="25" t="s">
        <v>5984</v>
      </c>
      <c r="C2313" t="s">
        <v>20</v>
      </c>
      <c r="D2313" t="s">
        <v>21</v>
      </c>
      <c r="E2313">
        <v>2222222</v>
      </c>
      <c r="F2313" s="8" t="s">
        <v>22</v>
      </c>
      <c r="G2313" s="2">
        <v>98</v>
      </c>
      <c r="H2313" t="s">
        <v>4239</v>
      </c>
      <c r="J2313" s="9" t="s">
        <v>5141</v>
      </c>
      <c r="K2313" t="s">
        <v>5101</v>
      </c>
      <c r="L2313" s="2">
        <v>1</v>
      </c>
      <c r="M2313" s="24" t="s">
        <v>5971</v>
      </c>
      <c r="N2313" s="2" t="s">
        <v>23</v>
      </c>
      <c r="O2313" s="18" t="s">
        <v>1844</v>
      </c>
      <c r="P2313" s="18" t="s">
        <v>3781</v>
      </c>
      <c r="Q2313" s="6" t="s">
        <v>4475</v>
      </c>
      <c r="T2313" s="23">
        <v>45980</v>
      </c>
      <c r="U2313" s="23">
        <v>49632</v>
      </c>
      <c r="X2313" s="20">
        <v>48000</v>
      </c>
      <c r="Z2313" s="6" t="s">
        <v>5978</v>
      </c>
      <c r="AA2313" s="14">
        <f t="shared" si="297"/>
        <v>5.9999999999999995E-4</v>
      </c>
      <c r="AB2313">
        <v>27.341081999999997</v>
      </c>
      <c r="AC2313">
        <v>28.434725279999999</v>
      </c>
    </row>
    <row r="2314" spans="1:29" x14ac:dyDescent="0.3">
      <c r="A2314">
        <v>148998</v>
      </c>
      <c r="B2314" s="25" t="s">
        <v>5984</v>
      </c>
      <c r="C2314" t="s">
        <v>20</v>
      </c>
      <c r="D2314" t="s">
        <v>21</v>
      </c>
      <c r="E2314">
        <v>2222222</v>
      </c>
      <c r="F2314" s="8" t="s">
        <v>22</v>
      </c>
      <c r="G2314" s="2">
        <v>98</v>
      </c>
      <c r="H2314" t="s">
        <v>4239</v>
      </c>
      <c r="J2314" s="9" t="s">
        <v>5372</v>
      </c>
      <c r="K2314" t="s">
        <v>5603</v>
      </c>
      <c r="L2314" s="2">
        <v>1</v>
      </c>
      <c r="M2314" s="24" t="s">
        <v>5971</v>
      </c>
      <c r="N2314" s="2" t="s">
        <v>23</v>
      </c>
      <c r="O2314" s="18" t="s">
        <v>1835</v>
      </c>
      <c r="P2314" s="18" t="s">
        <v>3781</v>
      </c>
      <c r="Q2314" s="6" t="s">
        <v>4475</v>
      </c>
      <c r="T2314" s="23">
        <v>45992</v>
      </c>
      <c r="U2314" s="23">
        <v>47453</v>
      </c>
      <c r="X2314" s="20">
        <v>3700</v>
      </c>
      <c r="Z2314" s="6" t="s">
        <v>5978</v>
      </c>
      <c r="AA2314" s="14">
        <f t="shared" si="297"/>
        <v>5.9999999999999995E-4</v>
      </c>
      <c r="AB2314">
        <v>1.9671959999999997</v>
      </c>
      <c r="AC2314">
        <v>2.0458838399999997</v>
      </c>
    </row>
    <row r="2315" spans="1:29" x14ac:dyDescent="0.3">
      <c r="A2315">
        <v>149027</v>
      </c>
      <c r="B2315" s="25" t="s">
        <v>5984</v>
      </c>
      <c r="C2315" t="s">
        <v>20</v>
      </c>
      <c r="D2315" t="s">
        <v>21</v>
      </c>
      <c r="E2315">
        <v>2222222</v>
      </c>
      <c r="F2315" s="8" t="s">
        <v>22</v>
      </c>
      <c r="G2315" s="2">
        <v>98</v>
      </c>
      <c r="H2315" t="s">
        <v>4239</v>
      </c>
      <c r="J2315" s="9" t="s">
        <v>5057</v>
      </c>
      <c r="K2315" t="s">
        <v>4863</v>
      </c>
      <c r="L2315" s="2">
        <v>1</v>
      </c>
      <c r="M2315" s="24" t="s">
        <v>5971</v>
      </c>
      <c r="N2315" s="2" t="s">
        <v>23</v>
      </c>
      <c r="O2315" s="18" t="s">
        <v>1827</v>
      </c>
      <c r="P2315" s="18" t="s">
        <v>3781</v>
      </c>
      <c r="Q2315" s="6" t="s">
        <v>4475</v>
      </c>
      <c r="T2315" s="23">
        <v>45993</v>
      </c>
      <c r="U2315" s="23">
        <v>46357</v>
      </c>
      <c r="X2315" s="20">
        <v>5000</v>
      </c>
      <c r="Z2315" s="6" t="s">
        <v>5978</v>
      </c>
      <c r="AA2315" s="14">
        <f t="shared" si="297"/>
        <v>5.9999999999999995E-4</v>
      </c>
      <c r="AB2315">
        <v>1.313706</v>
      </c>
      <c r="AC2315">
        <v>1.3662542400000002</v>
      </c>
    </row>
    <row r="2316" spans="1:29" x14ac:dyDescent="0.3">
      <c r="A2316">
        <v>149388</v>
      </c>
      <c r="B2316" s="25" t="s">
        <v>5984</v>
      </c>
      <c r="C2316" t="s">
        <v>20</v>
      </c>
      <c r="D2316" t="s">
        <v>21</v>
      </c>
      <c r="E2316">
        <v>2222222</v>
      </c>
      <c r="F2316" s="8" t="s">
        <v>22</v>
      </c>
      <c r="G2316" s="2">
        <v>98</v>
      </c>
      <c r="H2316" t="s">
        <v>4239</v>
      </c>
      <c r="J2316" s="9" t="s">
        <v>4836</v>
      </c>
      <c r="K2316" t="s">
        <v>5605</v>
      </c>
      <c r="L2316" s="2">
        <v>1</v>
      </c>
      <c r="M2316" s="24" t="s">
        <v>5971</v>
      </c>
      <c r="N2316" s="2" t="s">
        <v>23</v>
      </c>
      <c r="O2316" s="18" t="s">
        <v>1845</v>
      </c>
      <c r="P2316" s="18" t="s">
        <v>3781</v>
      </c>
      <c r="Q2316" s="6" t="s">
        <v>4475</v>
      </c>
      <c r="T2316" s="23">
        <v>46020</v>
      </c>
      <c r="U2316" s="23">
        <v>47115</v>
      </c>
      <c r="X2316" s="20">
        <v>5000</v>
      </c>
      <c r="Z2316" s="6" t="s">
        <v>5978</v>
      </c>
      <c r="AA2316" s="14">
        <f t="shared" si="297"/>
        <v>5.9999999999999995E-4</v>
      </c>
      <c r="AB2316">
        <v>2.5338899999999995</v>
      </c>
      <c r="AC2316">
        <v>2.6352455999999997</v>
      </c>
    </row>
    <row r="2317" spans="1:29" x14ac:dyDescent="0.3">
      <c r="A2317">
        <v>149509</v>
      </c>
      <c r="B2317" s="25" t="s">
        <v>5984</v>
      </c>
      <c r="C2317" t="s">
        <v>20</v>
      </c>
      <c r="D2317" t="s">
        <v>21</v>
      </c>
      <c r="E2317">
        <v>2222222</v>
      </c>
      <c r="F2317" s="8" t="s">
        <v>22</v>
      </c>
      <c r="G2317" s="2">
        <v>98</v>
      </c>
      <c r="H2317" t="s">
        <v>4239</v>
      </c>
      <c r="J2317" s="9" t="s">
        <v>5020</v>
      </c>
      <c r="K2317" t="s">
        <v>5191</v>
      </c>
      <c r="L2317" s="2">
        <v>1</v>
      </c>
      <c r="M2317" s="24" t="s">
        <v>5971</v>
      </c>
      <c r="N2317" s="2" t="s">
        <v>23</v>
      </c>
      <c r="O2317" s="18" t="s">
        <v>1831</v>
      </c>
      <c r="P2317" s="18" t="s">
        <v>0</v>
      </c>
      <c r="Q2317" s="6" t="s">
        <v>4475</v>
      </c>
      <c r="T2317" s="23">
        <v>46035</v>
      </c>
      <c r="U2317" s="23">
        <v>48592</v>
      </c>
      <c r="X2317" s="20">
        <v>10000</v>
      </c>
      <c r="Z2317" s="6" t="s">
        <v>5978</v>
      </c>
      <c r="AA2317" s="14">
        <f t="shared" si="297"/>
        <v>5.9999999999999995E-4</v>
      </c>
      <c r="AB2317">
        <v>5.7520379999999989</v>
      </c>
      <c r="AC2317">
        <v>5.9821195199999995</v>
      </c>
    </row>
    <row r="2318" spans="1:29" x14ac:dyDescent="0.3">
      <c r="A2318">
        <v>149601</v>
      </c>
      <c r="B2318" s="25" t="s">
        <v>5984</v>
      </c>
      <c r="C2318" t="s">
        <v>20</v>
      </c>
      <c r="D2318" t="s">
        <v>21</v>
      </c>
      <c r="E2318">
        <v>2222222</v>
      </c>
      <c r="F2318" s="8" t="s">
        <v>22</v>
      </c>
      <c r="G2318" s="2">
        <v>98</v>
      </c>
      <c r="H2318" t="s">
        <v>4239</v>
      </c>
      <c r="J2318" s="9" t="s">
        <v>5316</v>
      </c>
      <c r="K2318" t="s">
        <v>5189</v>
      </c>
      <c r="L2318" s="2">
        <v>1</v>
      </c>
      <c r="M2318" s="24" t="s">
        <v>5971</v>
      </c>
      <c r="N2318" s="2" t="s">
        <v>23</v>
      </c>
      <c r="O2318" s="18" t="s">
        <v>1846</v>
      </c>
      <c r="P2318" s="18" t="s">
        <v>0</v>
      </c>
      <c r="Q2318" s="6" t="s">
        <v>4475</v>
      </c>
      <c r="T2318" s="23">
        <v>46036</v>
      </c>
      <c r="U2318" s="23">
        <v>46948</v>
      </c>
      <c r="X2318" s="20">
        <v>5000</v>
      </c>
      <c r="Z2318" s="6" t="s">
        <v>5978</v>
      </c>
      <c r="AA2318" s="14">
        <f t="shared" si="297"/>
        <v>5.9999999999999995E-4</v>
      </c>
      <c r="AB2318">
        <v>2.4995939999999996</v>
      </c>
      <c r="AC2318">
        <v>2.5995777599999998</v>
      </c>
    </row>
    <row r="2319" spans="1:29" x14ac:dyDescent="0.3">
      <c r="A2319">
        <v>149823</v>
      </c>
      <c r="B2319" s="25" t="s">
        <v>5984</v>
      </c>
      <c r="C2319" t="s">
        <v>20</v>
      </c>
      <c r="D2319" t="s">
        <v>21</v>
      </c>
      <c r="E2319">
        <v>2222222</v>
      </c>
      <c r="F2319" s="8" t="s">
        <v>22</v>
      </c>
      <c r="G2319" s="2">
        <v>98</v>
      </c>
      <c r="H2319" t="s">
        <v>4239</v>
      </c>
      <c r="J2319" s="9" t="s">
        <v>4826</v>
      </c>
      <c r="K2319" t="s">
        <v>5089</v>
      </c>
      <c r="L2319" s="2">
        <v>1</v>
      </c>
      <c r="M2319" s="24" t="s">
        <v>5971</v>
      </c>
      <c r="N2319" s="2" t="s">
        <v>23</v>
      </c>
      <c r="O2319" s="18" t="s">
        <v>1847</v>
      </c>
      <c r="P2319" s="18" t="s">
        <v>0</v>
      </c>
      <c r="Q2319" s="6" t="s">
        <v>4475</v>
      </c>
      <c r="T2319" s="23">
        <v>46063</v>
      </c>
      <c r="U2319" s="23">
        <v>53375</v>
      </c>
      <c r="X2319" s="20">
        <v>54500</v>
      </c>
      <c r="Z2319" s="6" t="s">
        <v>5978</v>
      </c>
      <c r="AA2319" s="14">
        <f t="shared" si="297"/>
        <v>5.9999999999999995E-4</v>
      </c>
      <c r="AB2319">
        <v>32.699999999999996</v>
      </c>
      <c r="AC2319">
        <v>34.007999999999996</v>
      </c>
    </row>
    <row r="2320" spans="1:29" x14ac:dyDescent="0.3">
      <c r="A2320">
        <v>149834</v>
      </c>
      <c r="B2320" s="25" t="s">
        <v>5984</v>
      </c>
      <c r="C2320" t="s">
        <v>20</v>
      </c>
      <c r="D2320" t="s">
        <v>21</v>
      </c>
      <c r="E2320">
        <v>2222222</v>
      </c>
      <c r="F2320" s="8" t="s">
        <v>22</v>
      </c>
      <c r="G2320" s="2">
        <v>98</v>
      </c>
      <c r="H2320" t="s">
        <v>4239</v>
      </c>
      <c r="J2320" s="9" t="s">
        <v>5316</v>
      </c>
      <c r="K2320" t="s">
        <v>5189</v>
      </c>
      <c r="L2320" s="2">
        <v>1</v>
      </c>
      <c r="M2320" s="24" t="s">
        <v>5971</v>
      </c>
      <c r="N2320" s="2" t="s">
        <v>23</v>
      </c>
      <c r="O2320" s="18" t="s">
        <v>1846</v>
      </c>
      <c r="P2320" s="18" t="s">
        <v>0</v>
      </c>
      <c r="Q2320" s="6" t="s">
        <v>4475</v>
      </c>
      <c r="T2320" s="23">
        <v>46053</v>
      </c>
      <c r="U2320" s="23">
        <v>51534</v>
      </c>
      <c r="X2320" s="20">
        <v>130000</v>
      </c>
      <c r="Z2320" s="6" t="s">
        <v>5978</v>
      </c>
      <c r="AA2320" s="14">
        <f t="shared" si="297"/>
        <v>5.9999999999999995E-4</v>
      </c>
      <c r="AB2320">
        <v>77.213675999999992</v>
      </c>
      <c r="AC2320">
        <v>80.302223040000001</v>
      </c>
    </row>
    <row r="2321" spans="1:29" x14ac:dyDescent="0.3">
      <c r="A2321">
        <v>149923</v>
      </c>
      <c r="B2321" s="25" t="s">
        <v>5984</v>
      </c>
      <c r="C2321" t="s">
        <v>20</v>
      </c>
      <c r="D2321" t="s">
        <v>21</v>
      </c>
      <c r="E2321">
        <v>2222222</v>
      </c>
      <c r="F2321" s="8" t="s">
        <v>22</v>
      </c>
      <c r="G2321" s="2">
        <v>98</v>
      </c>
      <c r="H2321" t="s">
        <v>4239</v>
      </c>
      <c r="J2321" s="9" t="s">
        <v>5096</v>
      </c>
      <c r="K2321" t="s">
        <v>4942</v>
      </c>
      <c r="L2321" s="2">
        <v>1</v>
      </c>
      <c r="M2321" s="24" t="s">
        <v>5971</v>
      </c>
      <c r="N2321" s="2" t="s">
        <v>23</v>
      </c>
      <c r="O2321" s="18" t="s">
        <v>1828</v>
      </c>
      <c r="P2321" s="18" t="s">
        <v>3781</v>
      </c>
      <c r="Q2321" s="6" t="s">
        <v>4475</v>
      </c>
      <c r="T2321" s="23">
        <v>46058</v>
      </c>
      <c r="U2321" s="23">
        <v>47156</v>
      </c>
      <c r="X2321" s="20">
        <v>4000</v>
      </c>
      <c r="Z2321" s="6" t="s">
        <v>5978</v>
      </c>
      <c r="AA2321" s="14">
        <f t="shared" si="297"/>
        <v>5.9999999999999995E-4</v>
      </c>
      <c r="AB2321">
        <v>2.1355439999999999</v>
      </c>
      <c r="AC2321">
        <v>2.2209657599999999</v>
      </c>
    </row>
    <row r="2322" spans="1:29" x14ac:dyDescent="0.3">
      <c r="A2322">
        <v>150115</v>
      </c>
      <c r="B2322" s="25" t="s">
        <v>5984</v>
      </c>
      <c r="C2322" t="s">
        <v>20</v>
      </c>
      <c r="D2322" t="s">
        <v>21</v>
      </c>
      <c r="E2322">
        <v>2222222</v>
      </c>
      <c r="F2322" s="8" t="s">
        <v>22</v>
      </c>
      <c r="G2322" s="2">
        <v>98</v>
      </c>
      <c r="H2322" t="s">
        <v>4239</v>
      </c>
      <c r="J2322" s="9" t="s">
        <v>4988</v>
      </c>
      <c r="K2322" t="s">
        <v>4950</v>
      </c>
      <c r="L2322" s="2">
        <v>1</v>
      </c>
      <c r="M2322" s="24" t="s">
        <v>5971</v>
      </c>
      <c r="N2322" s="2" t="s">
        <v>23</v>
      </c>
      <c r="O2322" s="18" t="s">
        <v>1848</v>
      </c>
      <c r="P2322" s="18" t="s">
        <v>0</v>
      </c>
      <c r="Q2322" s="6" t="s">
        <v>4475</v>
      </c>
      <c r="T2322" s="23">
        <v>46073</v>
      </c>
      <c r="U2322" s="23">
        <v>46805</v>
      </c>
      <c r="X2322" s="20">
        <v>5000</v>
      </c>
      <c r="Z2322" s="6" t="s">
        <v>5978</v>
      </c>
      <c r="AA2322" s="14">
        <f t="shared" si="297"/>
        <v>5.9999999999999995E-4</v>
      </c>
      <c r="AB2322">
        <v>2.4520079999999997</v>
      </c>
      <c r="AC2322">
        <v>2.55008832</v>
      </c>
    </row>
    <row r="2323" spans="1:29" x14ac:dyDescent="0.3">
      <c r="A2323">
        <v>150120</v>
      </c>
      <c r="B2323" s="25" t="s">
        <v>5984</v>
      </c>
      <c r="C2323" t="s">
        <v>20</v>
      </c>
      <c r="D2323" t="s">
        <v>21</v>
      </c>
      <c r="E2323">
        <v>2222222</v>
      </c>
      <c r="F2323" s="8" t="s">
        <v>22</v>
      </c>
      <c r="G2323" s="2">
        <v>98</v>
      </c>
      <c r="H2323" t="s">
        <v>4239</v>
      </c>
      <c r="J2323" s="9" t="s">
        <v>4900</v>
      </c>
      <c r="K2323" t="s">
        <v>5291</v>
      </c>
      <c r="L2323" s="2">
        <v>1</v>
      </c>
      <c r="M2323" s="24" t="s">
        <v>5971</v>
      </c>
      <c r="N2323" s="2" t="s">
        <v>23</v>
      </c>
      <c r="O2323" s="18" t="s">
        <v>1820</v>
      </c>
      <c r="P2323" s="18" t="s">
        <v>0</v>
      </c>
      <c r="Q2323" s="6" t="s">
        <v>4475</v>
      </c>
      <c r="T2323" s="23">
        <v>46073</v>
      </c>
      <c r="U2323" s="23">
        <v>47536</v>
      </c>
      <c r="X2323" s="20">
        <v>3500</v>
      </c>
      <c r="Z2323" s="6" t="s">
        <v>5978</v>
      </c>
      <c r="AA2323" s="14">
        <f t="shared" si="297"/>
        <v>5.9999999999999995E-4</v>
      </c>
      <c r="AB2323">
        <v>1.9451519999999998</v>
      </c>
      <c r="AC2323">
        <v>2.02295808</v>
      </c>
    </row>
    <row r="2324" spans="1:29" x14ac:dyDescent="0.3">
      <c r="A2324">
        <v>150137</v>
      </c>
      <c r="B2324" s="25" t="s">
        <v>5984</v>
      </c>
      <c r="C2324" t="s">
        <v>20</v>
      </c>
      <c r="D2324" t="s">
        <v>21</v>
      </c>
      <c r="E2324">
        <v>2222222</v>
      </c>
      <c r="F2324" s="8" t="s">
        <v>22</v>
      </c>
      <c r="G2324" s="2">
        <v>98</v>
      </c>
      <c r="H2324" t="s">
        <v>4239</v>
      </c>
      <c r="J2324" s="9" t="s">
        <v>4997</v>
      </c>
      <c r="K2324" t="s">
        <v>5071</v>
      </c>
      <c r="L2324" s="2">
        <v>1</v>
      </c>
      <c r="M2324" s="24" t="s">
        <v>5971</v>
      </c>
      <c r="N2324" s="2" t="s">
        <v>23</v>
      </c>
      <c r="O2324" s="18" t="s">
        <v>1849</v>
      </c>
      <c r="P2324" s="18" t="s">
        <v>3781</v>
      </c>
      <c r="Q2324" s="6" t="s">
        <v>4475</v>
      </c>
      <c r="T2324" s="23">
        <v>46079</v>
      </c>
      <c r="U2324" s="23">
        <v>48272</v>
      </c>
      <c r="X2324" s="20">
        <v>11200</v>
      </c>
      <c r="Z2324" s="6" t="s">
        <v>5978</v>
      </c>
      <c r="AA2324" s="14">
        <f t="shared" si="297"/>
        <v>5.9999999999999995E-4</v>
      </c>
      <c r="AB2324">
        <v>6.4333679999999998</v>
      </c>
      <c r="AC2324">
        <v>6.69070272</v>
      </c>
    </row>
    <row r="2325" spans="1:29" x14ac:dyDescent="0.3">
      <c r="A2325">
        <v>150344</v>
      </c>
      <c r="B2325" s="25" t="s">
        <v>5984</v>
      </c>
      <c r="C2325" t="s">
        <v>20</v>
      </c>
      <c r="D2325" t="s">
        <v>21</v>
      </c>
      <c r="E2325">
        <v>2222222</v>
      </c>
      <c r="F2325" s="8" t="s">
        <v>22</v>
      </c>
      <c r="G2325" s="2">
        <v>98</v>
      </c>
      <c r="H2325" t="s">
        <v>4239</v>
      </c>
      <c r="J2325" s="9" t="s">
        <v>5240</v>
      </c>
      <c r="K2325" t="s">
        <v>5315</v>
      </c>
      <c r="L2325" s="2">
        <v>1</v>
      </c>
      <c r="M2325" s="24" t="s">
        <v>5971</v>
      </c>
      <c r="N2325" s="2" t="s">
        <v>23</v>
      </c>
      <c r="O2325" s="18" t="s">
        <v>1850</v>
      </c>
      <c r="P2325" s="18" t="s">
        <v>0</v>
      </c>
      <c r="Q2325" s="6" t="s">
        <v>4475</v>
      </c>
      <c r="T2325" s="23">
        <v>46087</v>
      </c>
      <c r="U2325" s="23">
        <v>47182</v>
      </c>
      <c r="X2325" s="20">
        <v>3000</v>
      </c>
      <c r="Z2325" s="6" t="s">
        <v>5978</v>
      </c>
      <c r="AA2325" s="14">
        <f t="shared" si="297"/>
        <v>5.9999999999999995E-4</v>
      </c>
      <c r="AB2325">
        <v>1.6419479999999997</v>
      </c>
      <c r="AC2325">
        <v>1.7076259199999997</v>
      </c>
    </row>
    <row r="2326" spans="1:29" x14ac:dyDescent="0.3">
      <c r="A2326">
        <v>150358</v>
      </c>
      <c r="B2326" s="25" t="s">
        <v>5984</v>
      </c>
      <c r="C2326" t="s">
        <v>20</v>
      </c>
      <c r="D2326" t="s">
        <v>21</v>
      </c>
      <c r="E2326">
        <v>2222222</v>
      </c>
      <c r="F2326" s="8" t="s">
        <v>22</v>
      </c>
      <c r="G2326" s="2">
        <v>98</v>
      </c>
      <c r="H2326" t="s">
        <v>4239</v>
      </c>
      <c r="J2326" s="9" t="s">
        <v>4852</v>
      </c>
      <c r="K2326" t="s">
        <v>4966</v>
      </c>
      <c r="L2326" s="2">
        <v>1</v>
      </c>
      <c r="M2326" s="24" t="s">
        <v>5971</v>
      </c>
      <c r="N2326" s="2" t="s">
        <v>23</v>
      </c>
      <c r="O2326" s="18" t="s">
        <v>1851</v>
      </c>
      <c r="P2326" s="18" t="s">
        <v>0</v>
      </c>
      <c r="Q2326" s="6" t="s">
        <v>4475</v>
      </c>
      <c r="T2326" s="23">
        <v>46087</v>
      </c>
      <c r="U2326" s="23">
        <v>47182</v>
      </c>
      <c r="X2326" s="20">
        <v>5000</v>
      </c>
      <c r="Z2326" s="6" t="s">
        <v>5978</v>
      </c>
      <c r="AA2326" s="14">
        <f t="shared" si="297"/>
        <v>5.9999999999999995E-4</v>
      </c>
      <c r="AB2326">
        <v>2.7403199999999996</v>
      </c>
      <c r="AC2326">
        <v>2.8499327999999999</v>
      </c>
    </row>
    <row r="2327" spans="1:29" x14ac:dyDescent="0.3">
      <c r="A2327">
        <v>150367</v>
      </c>
      <c r="B2327" s="25" t="s">
        <v>5984</v>
      </c>
      <c r="C2327" t="s">
        <v>20</v>
      </c>
      <c r="D2327" t="s">
        <v>21</v>
      </c>
      <c r="E2327">
        <v>2222222</v>
      </c>
      <c r="F2327" s="8" t="s">
        <v>22</v>
      </c>
      <c r="G2327" s="2">
        <v>98</v>
      </c>
      <c r="H2327" t="s">
        <v>4239</v>
      </c>
      <c r="J2327" s="9" t="s">
        <v>5338</v>
      </c>
      <c r="K2327" t="s">
        <v>5252</v>
      </c>
      <c r="L2327" s="2">
        <v>1</v>
      </c>
      <c r="M2327" s="24" t="s">
        <v>5971</v>
      </c>
      <c r="N2327" s="2" t="s">
        <v>23</v>
      </c>
      <c r="O2327" s="18" t="s">
        <v>1852</v>
      </c>
      <c r="P2327" s="18" t="s">
        <v>3781</v>
      </c>
      <c r="Q2327" s="6" t="s">
        <v>4475</v>
      </c>
      <c r="T2327" s="23">
        <v>46093</v>
      </c>
      <c r="U2327" s="23">
        <v>46457</v>
      </c>
      <c r="X2327" s="20">
        <v>15000</v>
      </c>
      <c r="Z2327" s="6" t="s">
        <v>5978</v>
      </c>
      <c r="AA2327" s="14">
        <f t="shared" si="297"/>
        <v>5.9999999999999995E-4</v>
      </c>
      <c r="AB2327">
        <v>1.590042</v>
      </c>
      <c r="AC2327">
        <v>1.6536436800000001</v>
      </c>
    </row>
    <row r="2328" spans="1:29" x14ac:dyDescent="0.3">
      <c r="A2328">
        <v>150388</v>
      </c>
      <c r="B2328" s="25" t="s">
        <v>5984</v>
      </c>
      <c r="C2328" t="s">
        <v>20</v>
      </c>
      <c r="D2328" t="s">
        <v>21</v>
      </c>
      <c r="E2328">
        <v>2222222</v>
      </c>
      <c r="F2328" s="8" t="s">
        <v>22</v>
      </c>
      <c r="G2328" s="2">
        <v>98</v>
      </c>
      <c r="H2328" t="s">
        <v>4239</v>
      </c>
      <c r="J2328" s="9" t="s">
        <v>5323</v>
      </c>
      <c r="K2328" t="s">
        <v>4875</v>
      </c>
      <c r="L2328" s="2">
        <v>1</v>
      </c>
      <c r="M2328" s="24" t="s">
        <v>5971</v>
      </c>
      <c r="N2328" s="2" t="s">
        <v>23</v>
      </c>
      <c r="O2328" s="18" t="s">
        <v>1836</v>
      </c>
      <c r="P2328" s="18" t="s">
        <v>0</v>
      </c>
      <c r="Q2328" s="6" t="s">
        <v>4475</v>
      </c>
      <c r="T2328" s="23">
        <v>46093</v>
      </c>
      <c r="U2328" s="23">
        <v>47918</v>
      </c>
      <c r="X2328" s="20">
        <v>5000</v>
      </c>
      <c r="Z2328" s="6" t="s">
        <v>5978</v>
      </c>
      <c r="AA2328" s="14">
        <f t="shared" si="297"/>
        <v>5.9999999999999995E-4</v>
      </c>
      <c r="AB2328">
        <v>2.8430699999999995</v>
      </c>
      <c r="AC2328">
        <v>2.9567927999999997</v>
      </c>
    </row>
    <row r="2329" spans="1:29" x14ac:dyDescent="0.3">
      <c r="A2329">
        <v>150646</v>
      </c>
      <c r="B2329" s="25" t="s">
        <v>5984</v>
      </c>
      <c r="C2329" t="s">
        <v>20</v>
      </c>
      <c r="D2329" t="s">
        <v>21</v>
      </c>
      <c r="E2329">
        <v>2222222</v>
      </c>
      <c r="F2329" s="8" t="s">
        <v>22</v>
      </c>
      <c r="G2329" s="2">
        <v>98</v>
      </c>
      <c r="H2329" t="s">
        <v>4239</v>
      </c>
      <c r="J2329" s="9" t="s">
        <v>5055</v>
      </c>
      <c r="K2329" t="s">
        <v>4947</v>
      </c>
      <c r="L2329" s="2">
        <v>1</v>
      </c>
      <c r="M2329" s="24" t="s">
        <v>5971</v>
      </c>
      <c r="N2329" s="2" t="s">
        <v>23</v>
      </c>
      <c r="O2329" s="18" t="s">
        <v>1853</v>
      </c>
      <c r="P2329" s="18" t="s">
        <v>3781</v>
      </c>
      <c r="Q2329" s="6" t="s">
        <v>4475</v>
      </c>
      <c r="T2329" s="23">
        <v>46106</v>
      </c>
      <c r="U2329" s="23">
        <v>46471</v>
      </c>
      <c r="X2329" s="20">
        <v>1120</v>
      </c>
      <c r="Z2329" s="6" t="s">
        <v>5978</v>
      </c>
      <c r="AA2329" s="14">
        <f t="shared" si="297"/>
        <v>5.9999999999999995E-4</v>
      </c>
      <c r="AB2329">
        <v>0.512706</v>
      </c>
      <c r="AC2329">
        <v>0.53321424000000006</v>
      </c>
    </row>
    <row r="2330" spans="1:29" x14ac:dyDescent="0.3">
      <c r="A2330">
        <v>150834</v>
      </c>
      <c r="B2330" s="25" t="s">
        <v>5984</v>
      </c>
      <c r="C2330" t="s">
        <v>20</v>
      </c>
      <c r="D2330" t="s">
        <v>21</v>
      </c>
      <c r="E2330">
        <v>2222222</v>
      </c>
      <c r="F2330" s="8" t="s">
        <v>22</v>
      </c>
      <c r="G2330" s="2">
        <v>98</v>
      </c>
      <c r="H2330" t="s">
        <v>4239</v>
      </c>
      <c r="J2330" s="9" t="s">
        <v>4852</v>
      </c>
      <c r="K2330" t="s">
        <v>5144</v>
      </c>
      <c r="L2330" s="2">
        <v>1</v>
      </c>
      <c r="M2330" s="24" t="s">
        <v>5971</v>
      </c>
      <c r="N2330" s="2" t="s">
        <v>23</v>
      </c>
      <c r="O2330" s="18" t="s">
        <v>1854</v>
      </c>
      <c r="P2330" s="18" t="s">
        <v>0</v>
      </c>
      <c r="Q2330" s="6" t="s">
        <v>4475</v>
      </c>
      <c r="T2330" s="23">
        <v>46120</v>
      </c>
      <c r="U2330" s="23">
        <v>47581</v>
      </c>
      <c r="X2330" s="20">
        <v>5000</v>
      </c>
      <c r="Z2330" s="6" t="s">
        <v>5978</v>
      </c>
      <c r="AA2330" s="14">
        <f t="shared" si="297"/>
        <v>5.9999999999999995E-4</v>
      </c>
      <c r="AB2330">
        <v>2.8689779999999998</v>
      </c>
      <c r="AC2330">
        <v>2.9837371199999998</v>
      </c>
    </row>
    <row r="2331" spans="1:29" x14ac:dyDescent="0.3">
      <c r="A2331">
        <v>150891</v>
      </c>
      <c r="B2331" s="25" t="s">
        <v>5984</v>
      </c>
      <c r="C2331" t="s">
        <v>20</v>
      </c>
      <c r="D2331" t="s">
        <v>21</v>
      </c>
      <c r="E2331">
        <v>2222222</v>
      </c>
      <c r="F2331" s="8" t="s">
        <v>22</v>
      </c>
      <c r="G2331" s="2">
        <v>98</v>
      </c>
      <c r="H2331" t="s">
        <v>4239</v>
      </c>
      <c r="J2331" s="9" t="s">
        <v>5120</v>
      </c>
      <c r="K2331" t="s">
        <v>5064</v>
      </c>
      <c r="L2331" s="2">
        <v>1</v>
      </c>
      <c r="M2331" s="24" t="s">
        <v>5971</v>
      </c>
      <c r="N2331" s="2" t="s">
        <v>23</v>
      </c>
      <c r="O2331" s="18" t="s">
        <v>1855</v>
      </c>
      <c r="P2331" s="18" t="s">
        <v>0</v>
      </c>
      <c r="Q2331" s="6" t="s">
        <v>4475</v>
      </c>
      <c r="T2331" s="23">
        <v>46125</v>
      </c>
      <c r="U2331" s="23">
        <v>47221</v>
      </c>
      <c r="X2331" s="20">
        <v>3500</v>
      </c>
      <c r="Z2331" s="6" t="s">
        <v>5978</v>
      </c>
      <c r="AA2331" s="14">
        <f t="shared" si="297"/>
        <v>5.9999999999999995E-4</v>
      </c>
      <c r="AB2331">
        <v>1.9629359999999998</v>
      </c>
      <c r="AC2331">
        <v>2.0414534399999997</v>
      </c>
    </row>
    <row r="2332" spans="1:29" x14ac:dyDescent="0.3">
      <c r="A2332">
        <v>151170</v>
      </c>
      <c r="B2332" s="25" t="s">
        <v>5984</v>
      </c>
      <c r="C2332" t="s">
        <v>20</v>
      </c>
      <c r="D2332" t="s">
        <v>21</v>
      </c>
      <c r="E2332">
        <v>2222222</v>
      </c>
      <c r="F2332" s="8" t="s">
        <v>22</v>
      </c>
      <c r="G2332" s="2">
        <v>98</v>
      </c>
      <c r="H2332" t="s">
        <v>4239</v>
      </c>
      <c r="J2332" s="9" t="s">
        <v>5020</v>
      </c>
      <c r="K2332" t="s">
        <v>4839</v>
      </c>
      <c r="L2332" s="2">
        <v>1</v>
      </c>
      <c r="M2332" s="24" t="s">
        <v>5971</v>
      </c>
      <c r="N2332" s="2" t="s">
        <v>23</v>
      </c>
      <c r="O2332" s="18" t="s">
        <v>402</v>
      </c>
      <c r="P2332" s="18" t="s">
        <v>0</v>
      </c>
      <c r="Q2332" s="6" t="s">
        <v>4475</v>
      </c>
      <c r="T2332" s="23">
        <v>46151</v>
      </c>
      <c r="U2332" s="23">
        <v>48160</v>
      </c>
      <c r="X2332" s="20">
        <v>29500</v>
      </c>
      <c r="Z2332" s="6" t="s">
        <v>5978</v>
      </c>
      <c r="AA2332" s="14">
        <f t="shared" si="297"/>
        <v>5.9999999999999995E-4</v>
      </c>
      <c r="AB2332">
        <v>17.313779999999998</v>
      </c>
      <c r="AC2332">
        <v>18.006331199999998</v>
      </c>
    </row>
    <row r="2333" spans="1:29" x14ac:dyDescent="0.3">
      <c r="A2333">
        <v>151240</v>
      </c>
      <c r="B2333" s="25" t="s">
        <v>5984</v>
      </c>
      <c r="C2333" t="s">
        <v>20</v>
      </c>
      <c r="D2333" t="s">
        <v>21</v>
      </c>
      <c r="E2333">
        <v>2222222</v>
      </c>
      <c r="F2333" s="8" t="s">
        <v>22</v>
      </c>
      <c r="G2333" s="2">
        <v>98</v>
      </c>
      <c r="H2333" t="s">
        <v>4239</v>
      </c>
      <c r="J2333" s="9" t="s">
        <v>4875</v>
      </c>
      <c r="K2333" t="s">
        <v>5174</v>
      </c>
      <c r="L2333" s="2">
        <v>1</v>
      </c>
      <c r="M2333" s="24" t="s">
        <v>5971</v>
      </c>
      <c r="N2333" s="2" t="s">
        <v>23</v>
      </c>
      <c r="O2333" s="18" t="s">
        <v>1856</v>
      </c>
      <c r="P2333" s="18" t="s">
        <v>0</v>
      </c>
      <c r="Q2333" s="6" t="s">
        <v>4475</v>
      </c>
      <c r="T2333" s="23">
        <v>46149</v>
      </c>
      <c r="U2333" s="23">
        <v>47244</v>
      </c>
      <c r="X2333" s="20">
        <v>3100</v>
      </c>
      <c r="Z2333" s="6" t="s">
        <v>5978</v>
      </c>
      <c r="AA2333" s="14">
        <f t="shared" si="297"/>
        <v>5.9999999999999995E-4</v>
      </c>
      <c r="AB2333">
        <v>1.7242919999999999</v>
      </c>
      <c r="AC2333">
        <v>1.7932636799999999</v>
      </c>
    </row>
    <row r="2334" spans="1:29" x14ac:dyDescent="0.3">
      <c r="A2334">
        <v>151263</v>
      </c>
      <c r="B2334" s="25" t="s">
        <v>5984</v>
      </c>
      <c r="C2334" t="s">
        <v>20</v>
      </c>
      <c r="D2334" t="s">
        <v>21</v>
      </c>
      <c r="E2334">
        <v>2222222</v>
      </c>
      <c r="F2334" s="8" t="s">
        <v>22</v>
      </c>
      <c r="G2334" s="2">
        <v>98</v>
      </c>
      <c r="H2334" t="s">
        <v>4239</v>
      </c>
      <c r="J2334" s="9" t="s">
        <v>4969</v>
      </c>
      <c r="K2334" t="s">
        <v>5169</v>
      </c>
      <c r="L2334" s="2">
        <v>1</v>
      </c>
      <c r="M2334" s="24" t="s">
        <v>5971</v>
      </c>
      <c r="N2334" s="2" t="s">
        <v>23</v>
      </c>
      <c r="O2334" s="18" t="s">
        <v>1840</v>
      </c>
      <c r="P2334" s="18" t="s">
        <v>3781</v>
      </c>
      <c r="Q2334" s="6" t="s">
        <v>4475</v>
      </c>
      <c r="T2334" s="23">
        <v>46150</v>
      </c>
      <c r="U2334" s="23">
        <v>46240</v>
      </c>
      <c r="X2334" s="20">
        <v>350</v>
      </c>
      <c r="Z2334" s="6" t="s">
        <v>5978</v>
      </c>
      <c r="AA2334" s="14">
        <f t="shared" si="297"/>
        <v>5.9999999999999995E-4</v>
      </c>
      <c r="AB2334">
        <v>0.21</v>
      </c>
      <c r="AC2334">
        <v>0.21840000000000001</v>
      </c>
    </row>
    <row r="2335" spans="1:29" x14ac:dyDescent="0.3">
      <c r="A2335">
        <v>151287</v>
      </c>
      <c r="B2335" s="25" t="s">
        <v>5984</v>
      </c>
      <c r="C2335" t="s">
        <v>20</v>
      </c>
      <c r="D2335" t="s">
        <v>21</v>
      </c>
      <c r="E2335">
        <v>2222222</v>
      </c>
      <c r="F2335" s="8" t="s">
        <v>22</v>
      </c>
      <c r="G2335" s="2">
        <v>98</v>
      </c>
      <c r="H2335" t="s">
        <v>4239</v>
      </c>
      <c r="J2335" s="9" t="s">
        <v>5323</v>
      </c>
      <c r="K2335" t="s">
        <v>4875</v>
      </c>
      <c r="L2335" s="2">
        <v>1</v>
      </c>
      <c r="M2335" s="24" t="s">
        <v>5971</v>
      </c>
      <c r="N2335" s="2" t="s">
        <v>23</v>
      </c>
      <c r="O2335" s="18" t="s">
        <v>1836</v>
      </c>
      <c r="P2335" s="18" t="s">
        <v>0</v>
      </c>
      <c r="Q2335" s="6" t="s">
        <v>4475</v>
      </c>
      <c r="T2335" s="23">
        <v>46154</v>
      </c>
      <c r="U2335" s="23">
        <v>46244</v>
      </c>
      <c r="X2335" s="20">
        <v>5000</v>
      </c>
      <c r="Z2335" s="6" t="s">
        <v>5978</v>
      </c>
      <c r="AA2335" s="14">
        <f t="shared" si="297"/>
        <v>5.9999999999999995E-4</v>
      </c>
      <c r="AB2335">
        <v>2.9999999999999996</v>
      </c>
      <c r="AC2335">
        <v>3.1199999999999997</v>
      </c>
    </row>
    <row r="2336" spans="1:29" x14ac:dyDescent="0.3">
      <c r="A2336">
        <v>151300</v>
      </c>
      <c r="B2336" s="25" t="s">
        <v>5984</v>
      </c>
      <c r="C2336" t="s">
        <v>20</v>
      </c>
      <c r="D2336" t="s">
        <v>21</v>
      </c>
      <c r="E2336">
        <v>2222222</v>
      </c>
      <c r="F2336" s="8" t="s">
        <v>22</v>
      </c>
      <c r="G2336" s="2">
        <v>98</v>
      </c>
      <c r="H2336" t="s">
        <v>4239</v>
      </c>
      <c r="J2336" s="9" t="s">
        <v>5606</v>
      </c>
      <c r="K2336" t="s">
        <v>4924</v>
      </c>
      <c r="L2336" s="2">
        <v>1</v>
      </c>
      <c r="M2336" s="24" t="s">
        <v>5971</v>
      </c>
      <c r="N2336" s="2" t="s">
        <v>23</v>
      </c>
      <c r="O2336" s="18" t="s">
        <v>1857</v>
      </c>
      <c r="P2336" s="18" t="s">
        <v>3781</v>
      </c>
      <c r="Q2336" s="6" t="s">
        <v>4475</v>
      </c>
      <c r="T2336" s="23">
        <v>46154</v>
      </c>
      <c r="U2336" s="23">
        <v>46244</v>
      </c>
      <c r="X2336" s="20">
        <v>3980</v>
      </c>
      <c r="Z2336" s="6" t="s">
        <v>5978</v>
      </c>
      <c r="AA2336" s="14">
        <f t="shared" si="297"/>
        <v>5.9999999999999995E-4</v>
      </c>
      <c r="AB2336">
        <v>2.3879999999999999</v>
      </c>
      <c r="AC2336">
        <v>2.4835199999999999</v>
      </c>
    </row>
    <row r="2337" spans="1:29" x14ac:dyDescent="0.3">
      <c r="A2337">
        <v>151308</v>
      </c>
      <c r="B2337" s="25" t="s">
        <v>5984</v>
      </c>
      <c r="C2337" t="s">
        <v>20</v>
      </c>
      <c r="D2337" t="s">
        <v>21</v>
      </c>
      <c r="E2337">
        <v>2222222</v>
      </c>
      <c r="F2337" s="8" t="s">
        <v>22</v>
      </c>
      <c r="G2337" s="2">
        <v>98</v>
      </c>
      <c r="H2337" t="s">
        <v>4239</v>
      </c>
      <c r="J2337" s="9" t="s">
        <v>5606</v>
      </c>
      <c r="K2337" t="s">
        <v>4924</v>
      </c>
      <c r="L2337" s="2">
        <v>1</v>
      </c>
      <c r="M2337" s="24" t="s">
        <v>5971</v>
      </c>
      <c r="N2337" s="2" t="s">
        <v>23</v>
      </c>
      <c r="O2337" s="18" t="s">
        <v>1857</v>
      </c>
      <c r="P2337" s="18" t="s">
        <v>3781</v>
      </c>
      <c r="Q2337" s="6" t="s">
        <v>4475</v>
      </c>
      <c r="T2337" s="23">
        <v>46155</v>
      </c>
      <c r="U2337" s="23">
        <v>46612</v>
      </c>
      <c r="X2337" s="20">
        <v>5000</v>
      </c>
      <c r="Z2337" s="6" t="s">
        <v>5978</v>
      </c>
      <c r="AA2337" s="14">
        <f t="shared" si="297"/>
        <v>5.9999999999999995E-4</v>
      </c>
      <c r="AB2337">
        <v>2.6369159999999994</v>
      </c>
      <c r="AC2337">
        <v>2.7423926399999994</v>
      </c>
    </row>
    <row r="2338" spans="1:29" x14ac:dyDescent="0.3">
      <c r="A2338">
        <v>151338</v>
      </c>
      <c r="B2338" s="25" t="s">
        <v>5984</v>
      </c>
      <c r="C2338" t="s">
        <v>20</v>
      </c>
      <c r="D2338" t="s">
        <v>21</v>
      </c>
      <c r="E2338">
        <v>2222222</v>
      </c>
      <c r="F2338" s="8" t="s">
        <v>22</v>
      </c>
      <c r="G2338" s="2">
        <v>98</v>
      </c>
      <c r="H2338" t="s">
        <v>4239</v>
      </c>
      <c r="J2338" s="9" t="s">
        <v>5093</v>
      </c>
      <c r="K2338" t="s">
        <v>5266</v>
      </c>
      <c r="L2338" s="2">
        <v>1</v>
      </c>
      <c r="M2338" s="24" t="s">
        <v>5971</v>
      </c>
      <c r="N2338" s="2" t="s">
        <v>23</v>
      </c>
      <c r="O2338" s="18" t="s">
        <v>1819</v>
      </c>
      <c r="P2338" s="18" t="s">
        <v>3781</v>
      </c>
      <c r="Q2338" s="6" t="s">
        <v>4475</v>
      </c>
      <c r="T2338" s="23">
        <v>46157</v>
      </c>
      <c r="U2338" s="23">
        <v>46247</v>
      </c>
      <c r="X2338" s="20">
        <v>510</v>
      </c>
      <c r="Z2338" s="6" t="s">
        <v>5978</v>
      </c>
      <c r="AA2338" s="14">
        <f t="shared" si="297"/>
        <v>5.9999999999999995E-4</v>
      </c>
      <c r="AB2338">
        <v>0.30599999999999999</v>
      </c>
      <c r="AC2338">
        <v>0.31824000000000002</v>
      </c>
    </row>
    <row r="2339" spans="1:29" x14ac:dyDescent="0.3">
      <c r="A2339">
        <v>151399</v>
      </c>
      <c r="B2339" s="25" t="s">
        <v>5984</v>
      </c>
      <c r="C2339" t="s">
        <v>20</v>
      </c>
      <c r="D2339" t="s">
        <v>21</v>
      </c>
      <c r="E2339">
        <v>2222222</v>
      </c>
      <c r="F2339" s="8" t="s">
        <v>22</v>
      </c>
      <c r="G2339" s="2">
        <v>98</v>
      </c>
      <c r="H2339" t="s">
        <v>4239</v>
      </c>
      <c r="J2339" s="9" t="s">
        <v>5038</v>
      </c>
      <c r="K2339" t="s">
        <v>5607</v>
      </c>
      <c r="L2339" s="2">
        <v>1</v>
      </c>
      <c r="M2339" s="24" t="s">
        <v>5971</v>
      </c>
      <c r="N2339" s="2" t="s">
        <v>23</v>
      </c>
      <c r="O2339" s="18" t="s">
        <v>175</v>
      </c>
      <c r="P2339" s="18" t="s">
        <v>3781</v>
      </c>
      <c r="Q2339" s="6" t="s">
        <v>4475</v>
      </c>
      <c r="T2339" s="23">
        <v>46161</v>
      </c>
      <c r="U2339" s="23">
        <v>46251</v>
      </c>
      <c r="X2339" s="20">
        <v>300</v>
      </c>
      <c r="Z2339" s="6" t="s">
        <v>5978</v>
      </c>
      <c r="AA2339" s="14">
        <f t="shared" si="297"/>
        <v>5.9999999999999995E-4</v>
      </c>
      <c r="AB2339">
        <v>0.18</v>
      </c>
      <c r="AC2339">
        <v>0.18720000000000001</v>
      </c>
    </row>
    <row r="2340" spans="1:29" x14ac:dyDescent="0.3">
      <c r="A2340">
        <v>151461</v>
      </c>
      <c r="B2340" s="25" t="s">
        <v>5984</v>
      </c>
      <c r="C2340" t="s">
        <v>20</v>
      </c>
      <c r="D2340" t="s">
        <v>21</v>
      </c>
      <c r="E2340">
        <v>2222222</v>
      </c>
      <c r="F2340" s="8" t="s">
        <v>22</v>
      </c>
      <c r="G2340" s="2">
        <v>98</v>
      </c>
      <c r="H2340" t="s">
        <v>4239</v>
      </c>
      <c r="J2340" s="9" t="s">
        <v>4864</v>
      </c>
      <c r="K2340" t="s">
        <v>5193</v>
      </c>
      <c r="L2340" s="2">
        <v>1</v>
      </c>
      <c r="M2340" s="24" t="s">
        <v>5971</v>
      </c>
      <c r="N2340" s="2" t="s">
        <v>23</v>
      </c>
      <c r="O2340" s="18" t="s">
        <v>1812</v>
      </c>
      <c r="P2340" s="18" t="s">
        <v>0</v>
      </c>
      <c r="Q2340" s="6" t="s">
        <v>4475</v>
      </c>
      <c r="T2340" s="23">
        <v>46166</v>
      </c>
      <c r="U2340" s="23">
        <v>46256</v>
      </c>
      <c r="X2340" s="20">
        <v>2590</v>
      </c>
      <c r="Z2340" s="6" t="s">
        <v>5978</v>
      </c>
      <c r="AA2340" s="14">
        <f t="shared" si="297"/>
        <v>5.9999999999999995E-4</v>
      </c>
      <c r="AB2340">
        <v>1.5539999999999998</v>
      </c>
      <c r="AC2340">
        <v>1.6161599999999998</v>
      </c>
    </row>
    <row r="2341" spans="1:29" x14ac:dyDescent="0.3">
      <c r="A2341">
        <v>151484</v>
      </c>
      <c r="B2341" s="25" t="s">
        <v>5984</v>
      </c>
      <c r="C2341" t="s">
        <v>20</v>
      </c>
      <c r="D2341" t="s">
        <v>21</v>
      </c>
      <c r="E2341">
        <v>2222222</v>
      </c>
      <c r="F2341" s="8" t="s">
        <v>22</v>
      </c>
      <c r="G2341" s="2">
        <v>98</v>
      </c>
      <c r="H2341" t="s">
        <v>4239</v>
      </c>
      <c r="J2341" s="9" t="s">
        <v>4981</v>
      </c>
      <c r="K2341" t="s">
        <v>4924</v>
      </c>
      <c r="L2341" s="2">
        <v>1</v>
      </c>
      <c r="M2341" s="24" t="s">
        <v>5971</v>
      </c>
      <c r="N2341" s="2" t="s">
        <v>23</v>
      </c>
      <c r="O2341" s="18" t="s">
        <v>1858</v>
      </c>
      <c r="P2341" s="18" t="s">
        <v>3781</v>
      </c>
      <c r="Q2341" s="6" t="s">
        <v>4475</v>
      </c>
      <c r="T2341" s="23">
        <v>46168</v>
      </c>
      <c r="U2341" s="23">
        <v>46716</v>
      </c>
      <c r="X2341" s="20">
        <v>4000</v>
      </c>
      <c r="Z2341" s="6" t="s">
        <v>5978</v>
      </c>
      <c r="AA2341" s="14">
        <f t="shared" si="297"/>
        <v>5.9999999999999995E-4</v>
      </c>
      <c r="AB2341">
        <v>2.1617999999999999</v>
      </c>
      <c r="AC2341">
        <v>2.248272</v>
      </c>
    </row>
    <row r="2342" spans="1:29" x14ac:dyDescent="0.3">
      <c r="A2342">
        <v>151486</v>
      </c>
      <c r="B2342" s="25" t="s">
        <v>5984</v>
      </c>
      <c r="C2342" t="s">
        <v>20</v>
      </c>
      <c r="D2342" t="s">
        <v>21</v>
      </c>
      <c r="E2342">
        <v>2222222</v>
      </c>
      <c r="F2342" s="8" t="s">
        <v>22</v>
      </c>
      <c r="G2342" s="2">
        <v>98</v>
      </c>
      <c r="H2342" t="s">
        <v>4239</v>
      </c>
      <c r="J2342" s="9" t="s">
        <v>4981</v>
      </c>
      <c r="K2342" t="s">
        <v>4924</v>
      </c>
      <c r="L2342" s="2">
        <v>1</v>
      </c>
      <c r="M2342" s="24" t="s">
        <v>5971</v>
      </c>
      <c r="N2342" s="2" t="s">
        <v>23</v>
      </c>
      <c r="O2342" s="18" t="s">
        <v>1858</v>
      </c>
      <c r="P2342" s="18" t="s">
        <v>3781</v>
      </c>
      <c r="Q2342" s="6" t="s">
        <v>4475</v>
      </c>
      <c r="T2342" s="23">
        <v>46168</v>
      </c>
      <c r="U2342" s="23">
        <v>46258</v>
      </c>
      <c r="X2342" s="20">
        <v>4860</v>
      </c>
      <c r="Z2342" s="6" t="s">
        <v>5978</v>
      </c>
      <c r="AA2342" s="14">
        <f t="shared" si="297"/>
        <v>5.9999999999999995E-4</v>
      </c>
      <c r="AB2342">
        <v>2.9159999999999999</v>
      </c>
      <c r="AC2342">
        <v>3.0326400000000002</v>
      </c>
    </row>
    <row r="2343" spans="1:29" x14ac:dyDescent="0.3">
      <c r="A2343">
        <v>151489</v>
      </c>
      <c r="B2343" s="25" t="s">
        <v>5984</v>
      </c>
      <c r="C2343" t="s">
        <v>20</v>
      </c>
      <c r="D2343" t="s">
        <v>21</v>
      </c>
      <c r="E2343">
        <v>2222222</v>
      </c>
      <c r="F2343" s="8" t="s">
        <v>22</v>
      </c>
      <c r="G2343" s="2">
        <v>98</v>
      </c>
      <c r="H2343" t="s">
        <v>4239</v>
      </c>
      <c r="J2343" s="9" t="s">
        <v>4836</v>
      </c>
      <c r="K2343" t="s">
        <v>5030</v>
      </c>
      <c r="L2343" s="2">
        <v>1</v>
      </c>
      <c r="M2343" s="24" t="s">
        <v>5971</v>
      </c>
      <c r="N2343" s="2" t="s">
        <v>23</v>
      </c>
      <c r="O2343" s="18" t="s">
        <v>1859</v>
      </c>
      <c r="P2343" s="18" t="s">
        <v>3781</v>
      </c>
      <c r="Q2343" s="6" t="s">
        <v>4475</v>
      </c>
      <c r="T2343" s="23">
        <v>46168</v>
      </c>
      <c r="U2343" s="23">
        <v>47263</v>
      </c>
      <c r="X2343" s="20">
        <v>3000</v>
      </c>
      <c r="Z2343" s="6" t="s">
        <v>5978</v>
      </c>
      <c r="AA2343" s="14">
        <f t="shared" si="297"/>
        <v>5.9999999999999995E-4</v>
      </c>
      <c r="AB2343">
        <v>1.7216759999999998</v>
      </c>
      <c r="AC2343">
        <v>1.7905430399999998</v>
      </c>
    </row>
    <row r="2344" spans="1:29" x14ac:dyDescent="0.3">
      <c r="A2344">
        <v>151507</v>
      </c>
      <c r="B2344" s="25" t="s">
        <v>5984</v>
      </c>
      <c r="C2344" t="s">
        <v>20</v>
      </c>
      <c r="D2344" t="s">
        <v>21</v>
      </c>
      <c r="E2344">
        <v>2222222</v>
      </c>
      <c r="F2344" s="8" t="s">
        <v>22</v>
      </c>
      <c r="G2344" s="2">
        <v>98</v>
      </c>
      <c r="H2344" t="s">
        <v>4239</v>
      </c>
      <c r="J2344" s="9" t="s">
        <v>5606</v>
      </c>
      <c r="K2344" t="s">
        <v>4924</v>
      </c>
      <c r="L2344" s="2">
        <v>1</v>
      </c>
      <c r="M2344" s="24" t="s">
        <v>5971</v>
      </c>
      <c r="N2344" s="2" t="s">
        <v>23</v>
      </c>
      <c r="O2344" s="18" t="s">
        <v>1857</v>
      </c>
      <c r="P2344" s="18" t="s">
        <v>3781</v>
      </c>
      <c r="Q2344" s="6" t="s">
        <v>4475</v>
      </c>
      <c r="T2344" s="23">
        <v>46169</v>
      </c>
      <c r="U2344" s="23">
        <v>46236</v>
      </c>
      <c r="X2344" s="20">
        <v>2500</v>
      </c>
      <c r="Z2344" s="6" t="s">
        <v>5978</v>
      </c>
      <c r="AA2344" s="14">
        <f t="shared" si="297"/>
        <v>5.9999999999999995E-4</v>
      </c>
      <c r="AB2344">
        <v>1.4999999999999998</v>
      </c>
      <c r="AC2344">
        <v>1.5599999999999998</v>
      </c>
    </row>
    <row r="2345" spans="1:29" x14ac:dyDescent="0.3">
      <c r="A2345">
        <v>151508</v>
      </c>
      <c r="B2345" s="25" t="s">
        <v>5984</v>
      </c>
      <c r="C2345" t="s">
        <v>20</v>
      </c>
      <c r="D2345" t="s">
        <v>21</v>
      </c>
      <c r="E2345">
        <v>2222222</v>
      </c>
      <c r="F2345" s="8" t="s">
        <v>22</v>
      </c>
      <c r="G2345" s="2">
        <v>98</v>
      </c>
      <c r="H2345" t="s">
        <v>4239</v>
      </c>
      <c r="J2345" s="9" t="s">
        <v>5606</v>
      </c>
      <c r="K2345" t="s">
        <v>4924</v>
      </c>
      <c r="L2345" s="2">
        <v>1</v>
      </c>
      <c r="M2345" s="24" t="s">
        <v>5971</v>
      </c>
      <c r="N2345" s="2" t="s">
        <v>23</v>
      </c>
      <c r="O2345" s="18" t="s">
        <v>1857</v>
      </c>
      <c r="P2345" s="18" t="s">
        <v>3781</v>
      </c>
      <c r="Q2345" s="6" t="s">
        <v>4475</v>
      </c>
      <c r="T2345" s="23">
        <v>46169</v>
      </c>
      <c r="U2345" s="23">
        <v>46259</v>
      </c>
      <c r="X2345" s="20">
        <v>1200</v>
      </c>
      <c r="Z2345" s="6" t="s">
        <v>5978</v>
      </c>
      <c r="AA2345" s="14">
        <f t="shared" si="297"/>
        <v>5.9999999999999995E-4</v>
      </c>
      <c r="AB2345">
        <v>0.72</v>
      </c>
      <c r="AC2345">
        <v>0.74880000000000002</v>
      </c>
    </row>
    <row r="2346" spans="1:29" x14ac:dyDescent="0.3">
      <c r="A2346">
        <v>151582</v>
      </c>
      <c r="B2346" s="25" t="s">
        <v>5984</v>
      </c>
      <c r="C2346" t="s">
        <v>20</v>
      </c>
      <c r="D2346" t="s">
        <v>21</v>
      </c>
      <c r="E2346">
        <v>2222222</v>
      </c>
      <c r="F2346" s="8" t="s">
        <v>22</v>
      </c>
      <c r="G2346" s="2">
        <v>98</v>
      </c>
      <c r="H2346" t="s">
        <v>4239</v>
      </c>
      <c r="J2346" s="9" t="s">
        <v>5606</v>
      </c>
      <c r="K2346" t="s">
        <v>4924</v>
      </c>
      <c r="L2346" s="2">
        <v>1</v>
      </c>
      <c r="M2346" s="24" t="s">
        <v>5971</v>
      </c>
      <c r="N2346" s="2" t="s">
        <v>23</v>
      </c>
      <c r="O2346" s="18" t="s">
        <v>1857</v>
      </c>
      <c r="P2346" s="18" t="s">
        <v>3781</v>
      </c>
      <c r="Q2346" s="6" t="s">
        <v>4475</v>
      </c>
      <c r="T2346" s="23">
        <v>46174</v>
      </c>
      <c r="U2346" s="23">
        <v>46264</v>
      </c>
      <c r="X2346" s="20">
        <v>1800</v>
      </c>
      <c r="Z2346" s="6" t="s">
        <v>5978</v>
      </c>
      <c r="AA2346" s="14">
        <f t="shared" ref="AA2346:AA2368" si="298">+(0.6/1000)</f>
        <v>5.9999999999999995E-4</v>
      </c>
      <c r="AB2346">
        <v>1.0799999999999998</v>
      </c>
      <c r="AC2346">
        <v>1.1232</v>
      </c>
    </row>
    <row r="2347" spans="1:29" x14ac:dyDescent="0.3">
      <c r="A2347">
        <v>151611</v>
      </c>
      <c r="B2347" s="25" t="s">
        <v>5984</v>
      </c>
      <c r="C2347" t="s">
        <v>20</v>
      </c>
      <c r="D2347" t="s">
        <v>21</v>
      </c>
      <c r="E2347">
        <v>2222222</v>
      </c>
      <c r="F2347" s="8" t="s">
        <v>22</v>
      </c>
      <c r="G2347" s="2">
        <v>98</v>
      </c>
      <c r="H2347" t="s">
        <v>4239</v>
      </c>
      <c r="J2347" s="9" t="s">
        <v>5191</v>
      </c>
      <c r="K2347" t="s">
        <v>4949</v>
      </c>
      <c r="L2347" s="2">
        <v>1</v>
      </c>
      <c r="M2347" s="24" t="s">
        <v>5971</v>
      </c>
      <c r="N2347" s="2" t="s">
        <v>23</v>
      </c>
      <c r="O2347" s="18" t="s">
        <v>1860</v>
      </c>
      <c r="P2347" s="18" t="s">
        <v>0</v>
      </c>
      <c r="Q2347" s="6" t="s">
        <v>4475</v>
      </c>
      <c r="T2347" s="23">
        <v>46175</v>
      </c>
      <c r="U2347" s="23">
        <v>47636</v>
      </c>
      <c r="X2347" s="20">
        <v>5000</v>
      </c>
      <c r="Z2347" s="6" t="s">
        <v>5978</v>
      </c>
      <c r="AA2347" s="14">
        <f t="shared" si="298"/>
        <v>5.9999999999999995E-4</v>
      </c>
      <c r="AB2347">
        <v>2.9564819999999998</v>
      </c>
      <c r="AC2347">
        <v>3.07474128</v>
      </c>
    </row>
    <row r="2348" spans="1:29" x14ac:dyDescent="0.3">
      <c r="A2348">
        <v>151665</v>
      </c>
      <c r="B2348" s="25" t="s">
        <v>5984</v>
      </c>
      <c r="C2348" t="s">
        <v>20</v>
      </c>
      <c r="D2348" t="s">
        <v>21</v>
      </c>
      <c r="E2348">
        <v>2222222</v>
      </c>
      <c r="F2348" s="8" t="s">
        <v>22</v>
      </c>
      <c r="G2348" s="2">
        <v>98</v>
      </c>
      <c r="H2348" t="s">
        <v>4239</v>
      </c>
      <c r="J2348" s="9" t="s">
        <v>4909</v>
      </c>
      <c r="K2348" t="s">
        <v>4932</v>
      </c>
      <c r="L2348" s="2">
        <v>1</v>
      </c>
      <c r="M2348" s="24" t="s">
        <v>5971</v>
      </c>
      <c r="N2348" s="2" t="s">
        <v>23</v>
      </c>
      <c r="O2348" s="18" t="s">
        <v>1861</v>
      </c>
      <c r="P2348" s="18" t="s">
        <v>3781</v>
      </c>
      <c r="Q2348" s="6" t="s">
        <v>4475</v>
      </c>
      <c r="T2348" s="23">
        <v>46178</v>
      </c>
      <c r="U2348" s="23">
        <v>46268</v>
      </c>
      <c r="X2348" s="20">
        <v>2470</v>
      </c>
      <c r="Z2348" s="6" t="s">
        <v>5978</v>
      </c>
      <c r="AA2348" s="14">
        <f t="shared" si="298"/>
        <v>5.9999999999999995E-4</v>
      </c>
      <c r="AB2348">
        <v>1.4819999999999998</v>
      </c>
      <c r="AC2348">
        <v>1.5412799999999998</v>
      </c>
    </row>
    <row r="2349" spans="1:29" x14ac:dyDescent="0.3">
      <c r="A2349">
        <v>151673</v>
      </c>
      <c r="B2349" s="25" t="s">
        <v>5984</v>
      </c>
      <c r="C2349" t="s">
        <v>20</v>
      </c>
      <c r="D2349" t="s">
        <v>21</v>
      </c>
      <c r="E2349">
        <v>2222222</v>
      </c>
      <c r="F2349" s="8" t="s">
        <v>22</v>
      </c>
      <c r="G2349" s="2">
        <v>98</v>
      </c>
      <c r="H2349" t="s">
        <v>4239</v>
      </c>
      <c r="J2349" s="9" t="s">
        <v>5021</v>
      </c>
      <c r="K2349" t="s">
        <v>5056</v>
      </c>
      <c r="L2349" s="2">
        <v>1</v>
      </c>
      <c r="M2349" s="24" t="s">
        <v>5971</v>
      </c>
      <c r="N2349" s="2" t="s">
        <v>23</v>
      </c>
      <c r="O2349" s="18" t="s">
        <v>1862</v>
      </c>
      <c r="P2349" s="18" t="s">
        <v>3781</v>
      </c>
      <c r="Q2349" s="6" t="s">
        <v>4475</v>
      </c>
      <c r="T2349" s="23">
        <v>46178</v>
      </c>
      <c r="U2349" s="23">
        <v>46268</v>
      </c>
      <c r="X2349" s="20">
        <v>5000</v>
      </c>
      <c r="Z2349" s="6" t="s">
        <v>5978</v>
      </c>
      <c r="AA2349" s="14">
        <f t="shared" si="298"/>
        <v>5.9999999999999995E-4</v>
      </c>
      <c r="AB2349">
        <v>2.9999999999999996</v>
      </c>
      <c r="AC2349">
        <v>3.1199999999999997</v>
      </c>
    </row>
    <row r="2350" spans="1:29" x14ac:dyDescent="0.3">
      <c r="A2350">
        <v>151675</v>
      </c>
      <c r="B2350" s="25" t="s">
        <v>5984</v>
      </c>
      <c r="C2350" t="s">
        <v>20</v>
      </c>
      <c r="D2350" t="s">
        <v>21</v>
      </c>
      <c r="E2350">
        <v>2222222</v>
      </c>
      <c r="F2350" s="8" t="s">
        <v>22</v>
      </c>
      <c r="G2350" s="2">
        <v>98</v>
      </c>
      <c r="H2350" t="s">
        <v>4239</v>
      </c>
      <c r="J2350" s="9" t="s">
        <v>5608</v>
      </c>
      <c r="K2350" t="s">
        <v>5092</v>
      </c>
      <c r="L2350" s="2">
        <v>1</v>
      </c>
      <c r="M2350" s="24" t="s">
        <v>5971</v>
      </c>
      <c r="N2350" s="2" t="s">
        <v>23</v>
      </c>
      <c r="O2350" s="18" t="s">
        <v>1863</v>
      </c>
      <c r="P2350" s="18" t="s">
        <v>3781</v>
      </c>
      <c r="Q2350" s="6" t="s">
        <v>4475</v>
      </c>
      <c r="T2350" s="23">
        <v>46181</v>
      </c>
      <c r="U2350" s="23">
        <v>47277</v>
      </c>
      <c r="X2350" s="20">
        <v>5000</v>
      </c>
      <c r="Z2350" s="6" t="s">
        <v>5978</v>
      </c>
      <c r="AA2350" s="14">
        <f t="shared" si="298"/>
        <v>5.9999999999999995E-4</v>
      </c>
      <c r="AB2350">
        <v>2.9361659999999996</v>
      </c>
      <c r="AC2350">
        <v>3.0536126399999999</v>
      </c>
    </row>
    <row r="2351" spans="1:29" x14ac:dyDescent="0.3">
      <c r="A2351">
        <v>151704</v>
      </c>
      <c r="B2351" s="25" t="s">
        <v>5984</v>
      </c>
      <c r="C2351" t="s">
        <v>20</v>
      </c>
      <c r="D2351" t="s">
        <v>21</v>
      </c>
      <c r="E2351">
        <v>2222222</v>
      </c>
      <c r="F2351" s="8" t="s">
        <v>22</v>
      </c>
      <c r="G2351" s="2">
        <v>98</v>
      </c>
      <c r="H2351" t="s">
        <v>4239</v>
      </c>
      <c r="J2351" s="9" t="s">
        <v>4852</v>
      </c>
      <c r="K2351" t="s">
        <v>5199</v>
      </c>
      <c r="L2351" s="2">
        <v>1</v>
      </c>
      <c r="M2351" s="24" t="s">
        <v>5971</v>
      </c>
      <c r="N2351" s="2" t="s">
        <v>23</v>
      </c>
      <c r="O2351" s="18" t="s">
        <v>1864</v>
      </c>
      <c r="P2351" s="18" t="s">
        <v>0</v>
      </c>
      <c r="Q2351" s="6" t="s">
        <v>4475</v>
      </c>
      <c r="T2351" s="23">
        <v>46182</v>
      </c>
      <c r="U2351" s="23">
        <v>46547</v>
      </c>
      <c r="X2351" s="20">
        <v>800</v>
      </c>
      <c r="Z2351" s="6" t="s">
        <v>5978</v>
      </c>
      <c r="AA2351" s="14">
        <f t="shared" si="298"/>
        <v>5.9999999999999995E-4</v>
      </c>
      <c r="AB2351">
        <v>0.44296799999999992</v>
      </c>
      <c r="AC2351">
        <v>0.46068671999999994</v>
      </c>
    </row>
    <row r="2352" spans="1:29" x14ac:dyDescent="0.3">
      <c r="A2352">
        <v>151707</v>
      </c>
      <c r="B2352" s="25" t="s">
        <v>5984</v>
      </c>
      <c r="C2352" t="s">
        <v>20</v>
      </c>
      <c r="D2352" t="s">
        <v>21</v>
      </c>
      <c r="E2352">
        <v>2222222</v>
      </c>
      <c r="F2352" s="8" t="s">
        <v>22</v>
      </c>
      <c r="G2352" s="2">
        <v>98</v>
      </c>
      <c r="H2352" t="s">
        <v>4239</v>
      </c>
      <c r="J2352" s="9" t="s">
        <v>5606</v>
      </c>
      <c r="K2352" t="s">
        <v>4924</v>
      </c>
      <c r="L2352" s="2">
        <v>1</v>
      </c>
      <c r="M2352" s="24" t="s">
        <v>5971</v>
      </c>
      <c r="N2352" s="2" t="s">
        <v>23</v>
      </c>
      <c r="O2352" s="18" t="s">
        <v>1857</v>
      </c>
      <c r="P2352" s="18" t="s">
        <v>3781</v>
      </c>
      <c r="Q2352" s="6" t="s">
        <v>4475</v>
      </c>
      <c r="T2352" s="23">
        <v>46182</v>
      </c>
      <c r="U2352" s="23">
        <v>46236</v>
      </c>
      <c r="X2352" s="20">
        <v>2500</v>
      </c>
      <c r="Z2352" s="6" t="s">
        <v>5978</v>
      </c>
      <c r="AA2352" s="14">
        <f t="shared" si="298"/>
        <v>5.9999999999999995E-4</v>
      </c>
      <c r="AB2352">
        <v>1.4999999999999998</v>
      </c>
      <c r="AC2352">
        <v>1.5599999999999998</v>
      </c>
    </row>
    <row r="2353" spans="1:29" x14ac:dyDescent="0.3">
      <c r="A2353">
        <v>151828</v>
      </c>
      <c r="B2353" s="25" t="s">
        <v>5984</v>
      </c>
      <c r="C2353" t="s">
        <v>20</v>
      </c>
      <c r="D2353" t="s">
        <v>21</v>
      </c>
      <c r="E2353">
        <v>2222222</v>
      </c>
      <c r="F2353" s="8" t="s">
        <v>22</v>
      </c>
      <c r="G2353" s="2">
        <v>98</v>
      </c>
      <c r="H2353" t="s">
        <v>4239</v>
      </c>
      <c r="J2353" s="9" t="s">
        <v>5097</v>
      </c>
      <c r="K2353" t="s">
        <v>4884</v>
      </c>
      <c r="L2353" s="2">
        <v>1</v>
      </c>
      <c r="M2353" s="24" t="s">
        <v>5971</v>
      </c>
      <c r="N2353" s="2" t="s">
        <v>23</v>
      </c>
      <c r="O2353" s="18" t="s">
        <v>1865</v>
      </c>
      <c r="P2353" s="18" t="s">
        <v>3781</v>
      </c>
      <c r="Q2353" s="6" t="s">
        <v>4475</v>
      </c>
      <c r="T2353" s="23">
        <v>46190</v>
      </c>
      <c r="U2353" s="23">
        <v>48016</v>
      </c>
      <c r="X2353" s="20">
        <v>4400</v>
      </c>
      <c r="Z2353" s="6" t="s">
        <v>5978</v>
      </c>
      <c r="AA2353" s="14">
        <f t="shared" si="298"/>
        <v>5.9999999999999995E-4</v>
      </c>
      <c r="AB2353">
        <v>2.6399999999999997</v>
      </c>
      <c r="AC2353">
        <v>2.7455999999999996</v>
      </c>
    </row>
    <row r="2354" spans="1:29" x14ac:dyDescent="0.3">
      <c r="A2354">
        <v>151889</v>
      </c>
      <c r="B2354" s="25" t="s">
        <v>5984</v>
      </c>
      <c r="C2354" t="s">
        <v>20</v>
      </c>
      <c r="D2354" t="s">
        <v>21</v>
      </c>
      <c r="E2354">
        <v>2222222</v>
      </c>
      <c r="F2354" s="8" t="s">
        <v>22</v>
      </c>
      <c r="G2354" s="2">
        <v>98</v>
      </c>
      <c r="H2354" t="s">
        <v>4239</v>
      </c>
      <c r="J2354" s="9" t="s">
        <v>5063</v>
      </c>
      <c r="K2354" t="s">
        <v>5160</v>
      </c>
      <c r="L2354" s="2">
        <v>1</v>
      </c>
      <c r="M2354" s="24" t="s">
        <v>5971</v>
      </c>
      <c r="N2354" s="2" t="s">
        <v>23</v>
      </c>
      <c r="O2354" s="18" t="s">
        <v>1866</v>
      </c>
      <c r="P2354" s="18" t="s">
        <v>0</v>
      </c>
      <c r="Q2354" s="6" t="s">
        <v>4475</v>
      </c>
      <c r="T2354" s="23">
        <v>46195</v>
      </c>
      <c r="U2354" s="23">
        <v>46926</v>
      </c>
      <c r="X2354" s="20">
        <v>1250</v>
      </c>
      <c r="Z2354" s="6" t="s">
        <v>5978</v>
      </c>
      <c r="AA2354" s="14">
        <f t="shared" si="298"/>
        <v>5.9999999999999995E-4</v>
      </c>
      <c r="AB2354">
        <v>0.72346199999999994</v>
      </c>
      <c r="AC2354">
        <v>0.75240047999999993</v>
      </c>
    </row>
    <row r="2355" spans="1:29" x14ac:dyDescent="0.3">
      <c r="A2355">
        <v>151914</v>
      </c>
      <c r="B2355" s="25" t="s">
        <v>5984</v>
      </c>
      <c r="C2355" t="s">
        <v>20</v>
      </c>
      <c r="D2355" t="s">
        <v>21</v>
      </c>
      <c r="E2355">
        <v>2222222</v>
      </c>
      <c r="F2355" s="8" t="s">
        <v>22</v>
      </c>
      <c r="G2355" s="2">
        <v>98</v>
      </c>
      <c r="H2355" t="s">
        <v>4239</v>
      </c>
      <c r="J2355" s="9" t="s">
        <v>4988</v>
      </c>
      <c r="K2355" t="s">
        <v>4950</v>
      </c>
      <c r="L2355" s="2">
        <v>1</v>
      </c>
      <c r="M2355" s="24" t="s">
        <v>5971</v>
      </c>
      <c r="N2355" s="2" t="s">
        <v>23</v>
      </c>
      <c r="O2355" s="18" t="s">
        <v>1848</v>
      </c>
      <c r="P2355" s="18" t="s">
        <v>0</v>
      </c>
      <c r="Q2355" s="6" t="s">
        <v>4475</v>
      </c>
      <c r="T2355" s="23">
        <v>46196</v>
      </c>
      <c r="U2355" s="23">
        <v>46931</v>
      </c>
      <c r="X2355" s="20">
        <v>3000</v>
      </c>
      <c r="Z2355" s="6" t="s">
        <v>5978</v>
      </c>
      <c r="AA2355" s="14">
        <f t="shared" si="298"/>
        <v>5.9999999999999995E-4</v>
      </c>
      <c r="AB2355">
        <v>1.7362979999999999</v>
      </c>
      <c r="AC2355">
        <v>1.80574992</v>
      </c>
    </row>
    <row r="2356" spans="1:29" x14ac:dyDescent="0.3">
      <c r="A2356">
        <v>151974</v>
      </c>
      <c r="B2356" s="25" t="s">
        <v>5984</v>
      </c>
      <c r="C2356" t="s">
        <v>20</v>
      </c>
      <c r="D2356" t="s">
        <v>21</v>
      </c>
      <c r="E2356">
        <v>2222222</v>
      </c>
      <c r="F2356" s="8" t="s">
        <v>22</v>
      </c>
      <c r="G2356" s="2">
        <v>98</v>
      </c>
      <c r="H2356" t="s">
        <v>4239</v>
      </c>
      <c r="J2356" s="9" t="s">
        <v>5606</v>
      </c>
      <c r="K2356" t="s">
        <v>4924</v>
      </c>
      <c r="L2356" s="2">
        <v>1</v>
      </c>
      <c r="M2356" s="24" t="s">
        <v>5971</v>
      </c>
      <c r="N2356" s="2" t="s">
        <v>23</v>
      </c>
      <c r="O2356" s="18" t="s">
        <v>1857</v>
      </c>
      <c r="P2356" s="18" t="s">
        <v>3781</v>
      </c>
      <c r="Q2356" s="6" t="s">
        <v>4475</v>
      </c>
      <c r="T2356" s="23">
        <v>46203</v>
      </c>
      <c r="U2356" s="23">
        <v>46272</v>
      </c>
      <c r="X2356" s="20">
        <v>3500</v>
      </c>
      <c r="Z2356" s="6" t="s">
        <v>5978</v>
      </c>
      <c r="AA2356" s="14">
        <f t="shared" si="298"/>
        <v>5.9999999999999995E-4</v>
      </c>
      <c r="AB2356">
        <v>2.0999999999999996</v>
      </c>
      <c r="AC2356">
        <v>2.1839999999999997</v>
      </c>
    </row>
    <row r="2357" spans="1:29" x14ac:dyDescent="0.3">
      <c r="A2357">
        <v>152015</v>
      </c>
      <c r="B2357" s="25" t="s">
        <v>5984</v>
      </c>
      <c r="C2357" t="s">
        <v>20</v>
      </c>
      <c r="D2357" t="s">
        <v>21</v>
      </c>
      <c r="E2357">
        <v>2222222</v>
      </c>
      <c r="F2357" s="8" t="s">
        <v>22</v>
      </c>
      <c r="G2357" s="2">
        <v>98</v>
      </c>
      <c r="H2357" t="s">
        <v>4239</v>
      </c>
      <c r="J2357" s="9" t="s">
        <v>4815</v>
      </c>
      <c r="K2357" t="s">
        <v>4852</v>
      </c>
      <c r="L2357" s="2">
        <v>1</v>
      </c>
      <c r="M2357" s="24" t="s">
        <v>5971</v>
      </c>
      <c r="N2357" s="2" t="s">
        <v>23</v>
      </c>
      <c r="O2357" s="18" t="s">
        <v>1833</v>
      </c>
      <c r="P2357" s="18" t="s">
        <v>0</v>
      </c>
      <c r="Q2357" s="6" t="s">
        <v>4475</v>
      </c>
      <c r="T2357" s="23">
        <v>46205</v>
      </c>
      <c r="U2357" s="23">
        <v>46935</v>
      </c>
      <c r="X2357" s="20">
        <v>1700</v>
      </c>
      <c r="Z2357" s="6" t="s">
        <v>5978</v>
      </c>
      <c r="AA2357" s="14">
        <f t="shared" si="298"/>
        <v>5.9999999999999995E-4</v>
      </c>
      <c r="AB2357">
        <v>1.02</v>
      </c>
      <c r="AC2357">
        <v>1.0608</v>
      </c>
    </row>
    <row r="2358" spans="1:29" x14ac:dyDescent="0.3">
      <c r="A2358">
        <v>152018</v>
      </c>
      <c r="B2358" s="25" t="s">
        <v>5984</v>
      </c>
      <c r="C2358" t="s">
        <v>20</v>
      </c>
      <c r="D2358" t="s">
        <v>21</v>
      </c>
      <c r="E2358">
        <v>2222222</v>
      </c>
      <c r="F2358" s="8" t="s">
        <v>22</v>
      </c>
      <c r="G2358" s="2">
        <v>98</v>
      </c>
      <c r="H2358" t="s">
        <v>4239</v>
      </c>
      <c r="J2358" s="9" t="s">
        <v>5141</v>
      </c>
      <c r="K2358" t="s">
        <v>5101</v>
      </c>
      <c r="L2358" s="2">
        <v>1</v>
      </c>
      <c r="M2358" s="24" t="s">
        <v>5971</v>
      </c>
      <c r="N2358" s="2" t="s">
        <v>23</v>
      </c>
      <c r="O2358" s="18" t="s">
        <v>1844</v>
      </c>
      <c r="P2358" s="18" t="s">
        <v>3781</v>
      </c>
      <c r="Q2358" s="6" t="s">
        <v>4475</v>
      </c>
      <c r="T2358" s="23">
        <v>46219</v>
      </c>
      <c r="U2358" s="23">
        <v>46767</v>
      </c>
      <c r="X2358" s="20">
        <v>700</v>
      </c>
      <c r="Z2358" s="6" t="s">
        <v>5978</v>
      </c>
      <c r="AA2358" s="14">
        <f t="shared" si="298"/>
        <v>5.9999999999999995E-4</v>
      </c>
      <c r="AB2358">
        <v>0.42</v>
      </c>
      <c r="AC2358">
        <v>0.43680000000000002</v>
      </c>
    </row>
    <row r="2359" spans="1:29" x14ac:dyDescent="0.3">
      <c r="A2359">
        <v>152031</v>
      </c>
      <c r="B2359" s="25" t="s">
        <v>5984</v>
      </c>
      <c r="C2359" t="s">
        <v>20</v>
      </c>
      <c r="D2359" t="s">
        <v>21</v>
      </c>
      <c r="E2359">
        <v>2222222</v>
      </c>
      <c r="F2359" s="8" t="s">
        <v>22</v>
      </c>
      <c r="G2359" s="2">
        <v>98</v>
      </c>
      <c r="H2359" t="s">
        <v>4239</v>
      </c>
      <c r="J2359" s="9" t="s">
        <v>5609</v>
      </c>
      <c r="K2359" t="s">
        <v>4847</v>
      </c>
      <c r="L2359" s="2">
        <v>1</v>
      </c>
      <c r="M2359" s="24" t="s">
        <v>5971</v>
      </c>
      <c r="N2359" s="2" t="s">
        <v>23</v>
      </c>
      <c r="O2359" s="18" t="s">
        <v>1867</v>
      </c>
      <c r="P2359" s="18" t="s">
        <v>0</v>
      </c>
      <c r="Q2359" s="6" t="s">
        <v>4475</v>
      </c>
      <c r="T2359" s="23">
        <v>46206</v>
      </c>
      <c r="U2359" s="23">
        <v>46296</v>
      </c>
      <c r="X2359" s="20">
        <v>3500</v>
      </c>
      <c r="Z2359" s="6" t="s">
        <v>5978</v>
      </c>
      <c r="AA2359" s="14">
        <f t="shared" si="298"/>
        <v>5.9999999999999995E-4</v>
      </c>
      <c r="AB2359">
        <v>2.0999999999999996</v>
      </c>
      <c r="AC2359">
        <v>2.1839999999999997</v>
      </c>
    </row>
    <row r="2360" spans="1:29" x14ac:dyDescent="0.3">
      <c r="A2360">
        <v>152057</v>
      </c>
      <c r="B2360" s="25" t="s">
        <v>5984</v>
      </c>
      <c r="C2360" t="s">
        <v>20</v>
      </c>
      <c r="D2360" t="s">
        <v>21</v>
      </c>
      <c r="E2360">
        <v>2222222</v>
      </c>
      <c r="F2360" s="8" t="s">
        <v>22</v>
      </c>
      <c r="G2360" s="2">
        <v>98</v>
      </c>
      <c r="H2360" t="s">
        <v>4239</v>
      </c>
      <c r="J2360" s="9" t="s">
        <v>5058</v>
      </c>
      <c r="K2360" t="s">
        <v>5064</v>
      </c>
      <c r="L2360" s="2">
        <v>1</v>
      </c>
      <c r="M2360" s="24" t="s">
        <v>5971</v>
      </c>
      <c r="N2360" s="2" t="s">
        <v>23</v>
      </c>
      <c r="O2360" s="18" t="s">
        <v>1868</v>
      </c>
      <c r="P2360" s="18" t="s">
        <v>0</v>
      </c>
      <c r="Q2360" s="6" t="s">
        <v>4475</v>
      </c>
      <c r="T2360" s="23">
        <v>46209</v>
      </c>
      <c r="U2360" s="23">
        <v>46939</v>
      </c>
      <c r="X2360" s="20">
        <v>4000</v>
      </c>
      <c r="Z2360" s="6" t="s">
        <v>5978</v>
      </c>
      <c r="AA2360" s="14">
        <f t="shared" si="298"/>
        <v>5.9999999999999995E-4</v>
      </c>
      <c r="AB2360">
        <v>2.4</v>
      </c>
      <c r="AC2360">
        <v>2.496</v>
      </c>
    </row>
    <row r="2361" spans="1:29" x14ac:dyDescent="0.3">
      <c r="A2361">
        <v>152060</v>
      </c>
      <c r="B2361" s="25" t="s">
        <v>5984</v>
      </c>
      <c r="C2361" t="s">
        <v>20</v>
      </c>
      <c r="D2361" t="s">
        <v>21</v>
      </c>
      <c r="E2361">
        <v>2222222</v>
      </c>
      <c r="F2361" s="8" t="s">
        <v>22</v>
      </c>
      <c r="G2361" s="2">
        <v>98</v>
      </c>
      <c r="H2361" t="s">
        <v>4239</v>
      </c>
      <c r="J2361" s="9" t="s">
        <v>4929</v>
      </c>
      <c r="K2361" t="s">
        <v>4875</v>
      </c>
      <c r="L2361" s="2">
        <v>1</v>
      </c>
      <c r="M2361" s="24" t="s">
        <v>5971</v>
      </c>
      <c r="N2361" s="2" t="s">
        <v>23</v>
      </c>
      <c r="O2361" s="18" t="s">
        <v>1809</v>
      </c>
      <c r="P2361" s="18" t="s">
        <v>0</v>
      </c>
      <c r="Q2361" s="6" t="s">
        <v>4475</v>
      </c>
      <c r="T2361" s="23">
        <v>46210</v>
      </c>
      <c r="U2361" s="23">
        <v>46574</v>
      </c>
      <c r="X2361" s="20">
        <v>3000</v>
      </c>
      <c r="Z2361" s="6" t="s">
        <v>5978</v>
      </c>
      <c r="AA2361" s="14">
        <f t="shared" si="298"/>
        <v>5.9999999999999995E-4</v>
      </c>
      <c r="AB2361">
        <v>1.7999999999999998</v>
      </c>
      <c r="AC2361">
        <v>1.8719999999999999</v>
      </c>
    </row>
    <row r="2362" spans="1:29" x14ac:dyDescent="0.3">
      <c r="A2362">
        <v>152072</v>
      </c>
      <c r="B2362" s="25" t="s">
        <v>5984</v>
      </c>
      <c r="C2362" t="s">
        <v>20</v>
      </c>
      <c r="D2362" t="s">
        <v>21</v>
      </c>
      <c r="E2362">
        <v>2222222</v>
      </c>
      <c r="F2362" s="8" t="s">
        <v>22</v>
      </c>
      <c r="G2362" s="2">
        <v>98</v>
      </c>
      <c r="H2362" t="s">
        <v>4239</v>
      </c>
      <c r="J2362" s="9" t="s">
        <v>4968</v>
      </c>
      <c r="K2362" t="s">
        <v>4875</v>
      </c>
      <c r="L2362" s="2">
        <v>1</v>
      </c>
      <c r="M2362" s="24" t="s">
        <v>5971</v>
      </c>
      <c r="N2362" s="2" t="s">
        <v>23</v>
      </c>
      <c r="O2362" s="18" t="s">
        <v>1825</v>
      </c>
      <c r="P2362" s="18" t="s">
        <v>0</v>
      </c>
      <c r="Q2362" s="6" t="s">
        <v>4475</v>
      </c>
      <c r="T2362" s="23">
        <v>46213</v>
      </c>
      <c r="U2362" s="23">
        <v>46303</v>
      </c>
      <c r="X2362" s="20">
        <v>520</v>
      </c>
      <c r="Z2362" s="6" t="s">
        <v>5978</v>
      </c>
      <c r="AA2362" s="14">
        <f t="shared" si="298"/>
        <v>5.9999999999999995E-4</v>
      </c>
      <c r="AB2362">
        <v>0.312</v>
      </c>
      <c r="AC2362">
        <v>0.32447999999999999</v>
      </c>
    </row>
    <row r="2363" spans="1:29" x14ac:dyDescent="0.3">
      <c r="A2363">
        <v>152217</v>
      </c>
      <c r="B2363" s="25" t="s">
        <v>5984</v>
      </c>
      <c r="C2363" t="s">
        <v>20</v>
      </c>
      <c r="D2363" t="s">
        <v>21</v>
      </c>
      <c r="E2363">
        <v>2222222</v>
      </c>
      <c r="F2363" s="8" t="s">
        <v>22</v>
      </c>
      <c r="G2363" s="2">
        <v>98</v>
      </c>
      <c r="H2363" t="s">
        <v>4239</v>
      </c>
      <c r="J2363" s="9" t="s">
        <v>5606</v>
      </c>
      <c r="K2363" t="s">
        <v>4924</v>
      </c>
      <c r="L2363" s="2">
        <v>1</v>
      </c>
      <c r="M2363" s="24" t="s">
        <v>5971</v>
      </c>
      <c r="N2363" s="2" t="s">
        <v>23</v>
      </c>
      <c r="O2363" s="18" t="s">
        <v>1857</v>
      </c>
      <c r="P2363" s="18" t="s">
        <v>3781</v>
      </c>
      <c r="Q2363" s="6" t="s">
        <v>4475</v>
      </c>
      <c r="T2363" s="23">
        <v>46220</v>
      </c>
      <c r="U2363" s="23">
        <v>46261</v>
      </c>
      <c r="X2363" s="20">
        <v>2300</v>
      </c>
      <c r="Z2363" s="6" t="s">
        <v>5978</v>
      </c>
      <c r="AA2363" s="14">
        <f t="shared" si="298"/>
        <v>5.9999999999999995E-4</v>
      </c>
      <c r="AB2363">
        <v>1.38</v>
      </c>
      <c r="AC2363">
        <v>1.4352</v>
      </c>
    </row>
    <row r="2364" spans="1:29" x14ac:dyDescent="0.3">
      <c r="A2364">
        <v>152218</v>
      </c>
      <c r="B2364" s="25" t="s">
        <v>5984</v>
      </c>
      <c r="C2364" t="s">
        <v>20</v>
      </c>
      <c r="D2364" t="s">
        <v>21</v>
      </c>
      <c r="E2364">
        <v>2222222</v>
      </c>
      <c r="F2364" s="8" t="s">
        <v>22</v>
      </c>
      <c r="G2364" s="2">
        <v>98</v>
      </c>
      <c r="H2364" t="s">
        <v>4239</v>
      </c>
      <c r="J2364" s="9" t="s">
        <v>5606</v>
      </c>
      <c r="K2364" t="s">
        <v>4924</v>
      </c>
      <c r="L2364" s="2">
        <v>1</v>
      </c>
      <c r="M2364" s="24" t="s">
        <v>5971</v>
      </c>
      <c r="N2364" s="2" t="s">
        <v>23</v>
      </c>
      <c r="O2364" s="18" t="s">
        <v>1857</v>
      </c>
      <c r="P2364" s="18" t="s">
        <v>3781</v>
      </c>
      <c r="Q2364" s="6" t="s">
        <v>4475</v>
      </c>
      <c r="T2364" s="23">
        <v>46220</v>
      </c>
      <c r="U2364" s="23">
        <v>46292</v>
      </c>
      <c r="X2364" s="20">
        <v>2300</v>
      </c>
      <c r="Z2364" s="6" t="s">
        <v>5978</v>
      </c>
      <c r="AA2364" s="14">
        <f t="shared" si="298"/>
        <v>5.9999999999999995E-4</v>
      </c>
      <c r="AB2364">
        <v>1.38</v>
      </c>
      <c r="AC2364">
        <v>1.4352</v>
      </c>
    </row>
    <row r="2365" spans="1:29" x14ac:dyDescent="0.3">
      <c r="A2365">
        <v>152221</v>
      </c>
      <c r="B2365" s="25" t="s">
        <v>5984</v>
      </c>
      <c r="C2365" t="s">
        <v>20</v>
      </c>
      <c r="D2365" t="s">
        <v>21</v>
      </c>
      <c r="E2365">
        <v>2222222</v>
      </c>
      <c r="F2365" s="8" t="s">
        <v>22</v>
      </c>
      <c r="G2365" s="2">
        <v>98</v>
      </c>
      <c r="H2365" t="s">
        <v>4239</v>
      </c>
      <c r="J2365" s="9" t="s">
        <v>5606</v>
      </c>
      <c r="K2365" t="s">
        <v>4924</v>
      </c>
      <c r="L2365" s="2">
        <v>1</v>
      </c>
      <c r="M2365" s="24" t="s">
        <v>5971</v>
      </c>
      <c r="N2365" s="2" t="s">
        <v>23</v>
      </c>
      <c r="O2365" s="18" t="s">
        <v>1857</v>
      </c>
      <c r="P2365" s="18" t="s">
        <v>3781</v>
      </c>
      <c r="Q2365" s="6" t="s">
        <v>4475</v>
      </c>
      <c r="T2365" s="23">
        <v>46220</v>
      </c>
      <c r="U2365" s="23">
        <v>46310</v>
      </c>
      <c r="X2365" s="20">
        <v>2300</v>
      </c>
      <c r="Z2365" s="6" t="s">
        <v>5978</v>
      </c>
      <c r="AA2365" s="14">
        <f t="shared" si="298"/>
        <v>5.9999999999999995E-4</v>
      </c>
      <c r="AB2365">
        <v>1.38</v>
      </c>
      <c r="AC2365">
        <v>1.4352</v>
      </c>
    </row>
    <row r="2366" spans="1:29" x14ac:dyDescent="0.3">
      <c r="A2366">
        <v>152226</v>
      </c>
      <c r="B2366" s="25" t="s">
        <v>5984</v>
      </c>
      <c r="C2366" t="s">
        <v>20</v>
      </c>
      <c r="D2366" t="s">
        <v>21</v>
      </c>
      <c r="E2366">
        <v>2222222</v>
      </c>
      <c r="F2366" s="8" t="s">
        <v>22</v>
      </c>
      <c r="G2366" s="2">
        <v>98</v>
      </c>
      <c r="H2366" t="s">
        <v>4239</v>
      </c>
      <c r="J2366" s="9" t="s">
        <v>5204</v>
      </c>
      <c r="K2366" t="s">
        <v>4946</v>
      </c>
      <c r="L2366" s="2">
        <v>1</v>
      </c>
      <c r="M2366" s="24" t="s">
        <v>5971</v>
      </c>
      <c r="N2366" s="2" t="s">
        <v>23</v>
      </c>
      <c r="O2366" s="18" t="s">
        <v>1869</v>
      </c>
      <c r="P2366" s="18" t="s">
        <v>0</v>
      </c>
      <c r="Q2366" s="6" t="s">
        <v>4475</v>
      </c>
      <c r="T2366" s="23">
        <v>46220</v>
      </c>
      <c r="U2366" s="23">
        <v>46310</v>
      </c>
      <c r="X2366" s="20">
        <v>5000</v>
      </c>
      <c r="Z2366" s="6" t="s">
        <v>5978</v>
      </c>
      <c r="AA2366" s="14">
        <f t="shared" si="298"/>
        <v>5.9999999999999995E-4</v>
      </c>
      <c r="AB2366">
        <v>2.9999999999999996</v>
      </c>
      <c r="AC2366">
        <v>3.1199999999999997</v>
      </c>
    </row>
    <row r="2367" spans="1:29" x14ac:dyDescent="0.3">
      <c r="A2367">
        <v>152260</v>
      </c>
      <c r="B2367" s="25" t="s">
        <v>5984</v>
      </c>
      <c r="C2367" t="s">
        <v>20</v>
      </c>
      <c r="D2367" t="s">
        <v>21</v>
      </c>
      <c r="E2367">
        <v>2222222</v>
      </c>
      <c r="F2367" s="8" t="s">
        <v>22</v>
      </c>
      <c r="G2367" s="2">
        <v>98</v>
      </c>
      <c r="H2367" t="s">
        <v>4239</v>
      </c>
      <c r="J2367" s="9" t="s">
        <v>4997</v>
      </c>
      <c r="K2367" t="s">
        <v>4991</v>
      </c>
      <c r="L2367" s="2">
        <v>1</v>
      </c>
      <c r="M2367" s="24" t="s">
        <v>5971</v>
      </c>
      <c r="N2367" s="2" t="s">
        <v>23</v>
      </c>
      <c r="O2367" s="18" t="s">
        <v>1870</v>
      </c>
      <c r="P2367" s="18" t="s">
        <v>3781</v>
      </c>
      <c r="Q2367" s="6" t="s">
        <v>4475</v>
      </c>
      <c r="T2367" s="23">
        <v>46224</v>
      </c>
      <c r="U2367" s="23">
        <v>46314</v>
      </c>
      <c r="X2367" s="20">
        <v>460</v>
      </c>
      <c r="Z2367" s="6" t="s">
        <v>5978</v>
      </c>
      <c r="AA2367" s="14">
        <f t="shared" si="298"/>
        <v>5.9999999999999995E-4</v>
      </c>
      <c r="AB2367">
        <v>0.27599999999999997</v>
      </c>
      <c r="AC2367">
        <v>0.28703999999999996</v>
      </c>
    </row>
    <row r="2368" spans="1:29" x14ac:dyDescent="0.3">
      <c r="A2368">
        <v>152387</v>
      </c>
      <c r="B2368" s="25" t="s">
        <v>5984</v>
      </c>
      <c r="C2368" t="s">
        <v>20</v>
      </c>
      <c r="D2368" t="s">
        <v>21</v>
      </c>
      <c r="E2368">
        <v>2222222</v>
      </c>
      <c r="F2368" s="8" t="s">
        <v>22</v>
      </c>
      <c r="G2368" s="2">
        <v>98</v>
      </c>
      <c r="H2368" t="s">
        <v>4239</v>
      </c>
      <c r="J2368" s="9" t="s">
        <v>4876</v>
      </c>
      <c r="K2368" t="s">
        <v>5134</v>
      </c>
      <c r="L2368" s="2">
        <v>1</v>
      </c>
      <c r="M2368" s="24" t="s">
        <v>5971</v>
      </c>
      <c r="N2368" s="2" t="s">
        <v>23</v>
      </c>
      <c r="O2368" s="18" t="s">
        <v>1823</v>
      </c>
      <c r="P2368" s="18" t="s">
        <v>0</v>
      </c>
      <c r="Q2368" s="6" t="s">
        <v>4475</v>
      </c>
      <c r="T2368" s="23">
        <v>46234</v>
      </c>
      <c r="U2368" s="23">
        <v>46324</v>
      </c>
      <c r="X2368" s="20">
        <v>1540</v>
      </c>
      <c r="Z2368" s="6" t="s">
        <v>5978</v>
      </c>
      <c r="AA2368" s="14">
        <f t="shared" si="298"/>
        <v>5.9999999999999995E-4</v>
      </c>
      <c r="AB2368">
        <v>0.92399999999999993</v>
      </c>
      <c r="AC2368">
        <v>0.96095999999999993</v>
      </c>
    </row>
    <row r="2369" spans="1:29" x14ac:dyDescent="0.3">
      <c r="A2369">
        <v>107221</v>
      </c>
      <c r="B2369" s="25" t="s">
        <v>5984</v>
      </c>
      <c r="C2369" t="s">
        <v>20</v>
      </c>
      <c r="D2369" t="s">
        <v>21</v>
      </c>
      <c r="E2369">
        <v>2222222</v>
      </c>
      <c r="F2369" s="8" t="s">
        <v>22</v>
      </c>
      <c r="G2369" s="2">
        <v>98</v>
      </c>
      <c r="H2369" t="s">
        <v>4240</v>
      </c>
      <c r="J2369" s="9" t="s">
        <v>5610</v>
      </c>
      <c r="K2369" t="s">
        <v>5025</v>
      </c>
      <c r="L2369" s="2">
        <v>1</v>
      </c>
      <c r="M2369" s="24" t="s">
        <v>5971</v>
      </c>
      <c r="N2369" s="2" t="s">
        <v>23</v>
      </c>
      <c r="O2369" s="18" t="s">
        <v>1871</v>
      </c>
      <c r="P2369" s="18" t="s">
        <v>0</v>
      </c>
      <c r="Q2369" s="6" t="s">
        <v>4475</v>
      </c>
      <c r="T2369" s="23">
        <v>43727</v>
      </c>
      <c r="U2369" s="23">
        <v>46375</v>
      </c>
      <c r="X2369" s="20">
        <v>11300</v>
      </c>
      <c r="Z2369" s="6" t="s">
        <v>5978</v>
      </c>
      <c r="AA2369" s="15">
        <f t="shared" ref="AA2369:AA2370" si="299">+(0.42/1000)</f>
        <v>4.1999999999999996E-4</v>
      </c>
      <c r="AB2369">
        <v>0.46010999999999996</v>
      </c>
      <c r="AC2369">
        <v>0.47851439999999995</v>
      </c>
    </row>
    <row r="2370" spans="1:29" x14ac:dyDescent="0.3">
      <c r="A2370">
        <v>123717</v>
      </c>
      <c r="B2370" s="25" t="s">
        <v>5984</v>
      </c>
      <c r="C2370" t="s">
        <v>20</v>
      </c>
      <c r="D2370" t="s">
        <v>21</v>
      </c>
      <c r="E2370">
        <v>2222222</v>
      </c>
      <c r="F2370" s="8" t="s">
        <v>22</v>
      </c>
      <c r="G2370" s="2">
        <v>98</v>
      </c>
      <c r="H2370" t="s">
        <v>4240</v>
      </c>
      <c r="J2370" s="9" t="s">
        <v>5611</v>
      </c>
      <c r="K2370" t="s">
        <v>5011</v>
      </c>
      <c r="L2370" s="2">
        <v>1</v>
      </c>
      <c r="M2370" s="24" t="s">
        <v>5971</v>
      </c>
      <c r="N2370" s="2" t="s">
        <v>23</v>
      </c>
      <c r="O2370" s="18" t="s">
        <v>1872</v>
      </c>
      <c r="P2370" s="18" t="s">
        <v>3781</v>
      </c>
      <c r="Q2370" s="6" t="s">
        <v>4475</v>
      </c>
      <c r="T2370" s="23">
        <v>44481</v>
      </c>
      <c r="U2370" s="23">
        <v>47037</v>
      </c>
      <c r="X2370" s="20">
        <v>11550</v>
      </c>
      <c r="Z2370" s="6" t="s">
        <v>5978</v>
      </c>
      <c r="AA2370" s="15">
        <f t="shared" si="299"/>
        <v>4.1999999999999996E-4</v>
      </c>
      <c r="AB2370">
        <v>1.6005737999999998</v>
      </c>
      <c r="AC2370">
        <v>1.6645967519999998</v>
      </c>
    </row>
    <row r="2371" spans="1:29" x14ac:dyDescent="0.3">
      <c r="A2371">
        <v>130125</v>
      </c>
      <c r="B2371" s="25" t="s">
        <v>5984</v>
      </c>
      <c r="C2371" t="s">
        <v>20</v>
      </c>
      <c r="D2371" t="s">
        <v>21</v>
      </c>
      <c r="E2371">
        <v>2222222</v>
      </c>
      <c r="F2371" s="8" t="s">
        <v>22</v>
      </c>
      <c r="G2371" s="2">
        <v>98</v>
      </c>
      <c r="H2371" t="s">
        <v>4240</v>
      </c>
      <c r="J2371" s="9" t="s">
        <v>4838</v>
      </c>
      <c r="K2371" t="s">
        <v>4815</v>
      </c>
      <c r="L2371" s="2">
        <v>1</v>
      </c>
      <c r="M2371" s="24" t="s">
        <v>5971</v>
      </c>
      <c r="N2371" s="2" t="s">
        <v>23</v>
      </c>
      <c r="O2371" s="18" t="s">
        <v>1873</v>
      </c>
      <c r="P2371" s="18" t="s">
        <v>0</v>
      </c>
      <c r="Q2371" s="6" t="s">
        <v>4475</v>
      </c>
      <c r="T2371" s="23">
        <v>44824</v>
      </c>
      <c r="U2371" s="23">
        <v>45189</v>
      </c>
      <c r="X2371" s="20">
        <v>500</v>
      </c>
      <c r="Z2371" s="6" t="s">
        <v>5978</v>
      </c>
      <c r="AA2371" s="13">
        <f t="shared" ref="AA2371:AA2375" si="300">+(0.56/1000)</f>
        <v>5.6000000000000006E-4</v>
      </c>
      <c r="AB2371">
        <v>5.0159200000000001E-2</v>
      </c>
      <c r="AC2371">
        <v>5.2165568000000002E-2</v>
      </c>
    </row>
    <row r="2372" spans="1:29" x14ac:dyDescent="0.3">
      <c r="A2372">
        <v>132049</v>
      </c>
      <c r="B2372" s="25" t="s">
        <v>5984</v>
      </c>
      <c r="C2372" t="s">
        <v>20</v>
      </c>
      <c r="D2372" t="s">
        <v>21</v>
      </c>
      <c r="E2372">
        <v>2222222</v>
      </c>
      <c r="F2372" s="8" t="s">
        <v>22</v>
      </c>
      <c r="G2372" s="2">
        <v>98</v>
      </c>
      <c r="H2372" t="s">
        <v>4240</v>
      </c>
      <c r="J2372" s="9" t="s">
        <v>5295</v>
      </c>
      <c r="K2372" t="s">
        <v>4999</v>
      </c>
      <c r="L2372" s="2">
        <v>1</v>
      </c>
      <c r="M2372" s="24" t="s">
        <v>5971</v>
      </c>
      <c r="N2372" s="2" t="s">
        <v>23</v>
      </c>
      <c r="O2372" s="18" t="s">
        <v>1874</v>
      </c>
      <c r="P2372" s="18" t="s">
        <v>3781</v>
      </c>
      <c r="Q2372" s="6" t="s">
        <v>4475</v>
      </c>
      <c r="T2372" s="23">
        <v>44923</v>
      </c>
      <c r="U2372" s="23">
        <v>46754</v>
      </c>
      <c r="X2372" s="20">
        <v>15000</v>
      </c>
      <c r="Z2372" s="6" t="s">
        <v>5978</v>
      </c>
      <c r="AA2372" s="13">
        <f t="shared" si="300"/>
        <v>5.6000000000000006E-4</v>
      </c>
      <c r="AB2372">
        <v>3.2520208000000004</v>
      </c>
      <c r="AC2372">
        <v>3.3821016320000004</v>
      </c>
    </row>
    <row r="2373" spans="1:29" x14ac:dyDescent="0.3">
      <c r="A2373">
        <v>138088</v>
      </c>
      <c r="B2373" s="25" t="s">
        <v>5984</v>
      </c>
      <c r="C2373" t="s">
        <v>20</v>
      </c>
      <c r="D2373" t="s">
        <v>21</v>
      </c>
      <c r="E2373">
        <v>2222222</v>
      </c>
      <c r="F2373" s="8" t="s">
        <v>22</v>
      </c>
      <c r="G2373" s="2">
        <v>98</v>
      </c>
      <c r="H2373" t="s">
        <v>4240</v>
      </c>
      <c r="J2373" s="9" t="s">
        <v>4864</v>
      </c>
      <c r="K2373" t="s">
        <v>4919</v>
      </c>
      <c r="L2373" s="2">
        <v>1</v>
      </c>
      <c r="M2373" s="24" t="s">
        <v>5971</v>
      </c>
      <c r="N2373" s="2" t="s">
        <v>23</v>
      </c>
      <c r="O2373" s="18" t="s">
        <v>1875</v>
      </c>
      <c r="P2373" s="18" t="s">
        <v>0</v>
      </c>
      <c r="Q2373" s="6" t="s">
        <v>4475</v>
      </c>
      <c r="T2373" s="23">
        <v>45259</v>
      </c>
      <c r="U2373" s="23">
        <v>46720</v>
      </c>
      <c r="X2373" s="20">
        <v>4590</v>
      </c>
      <c r="Z2373" s="6" t="s">
        <v>5978</v>
      </c>
      <c r="AA2373" s="13">
        <f t="shared" si="300"/>
        <v>5.6000000000000006E-4</v>
      </c>
      <c r="AB2373">
        <v>1.0820488000000001</v>
      </c>
      <c r="AC2373">
        <v>1.1253307520000002</v>
      </c>
    </row>
    <row r="2374" spans="1:29" x14ac:dyDescent="0.3">
      <c r="A2374">
        <v>138864</v>
      </c>
      <c r="B2374" s="25" t="s">
        <v>5984</v>
      </c>
      <c r="C2374" t="s">
        <v>20</v>
      </c>
      <c r="D2374" t="s">
        <v>21</v>
      </c>
      <c r="E2374">
        <v>2222222</v>
      </c>
      <c r="F2374" s="8" t="s">
        <v>22</v>
      </c>
      <c r="G2374" s="2">
        <v>98</v>
      </c>
      <c r="H2374" t="s">
        <v>4240</v>
      </c>
      <c r="J2374" s="9" t="s">
        <v>5270</v>
      </c>
      <c r="K2374" t="s">
        <v>5159</v>
      </c>
      <c r="L2374" s="2">
        <v>1</v>
      </c>
      <c r="M2374" s="24" t="s">
        <v>5971</v>
      </c>
      <c r="N2374" s="2" t="s">
        <v>23</v>
      </c>
      <c r="O2374" s="18" t="s">
        <v>1876</v>
      </c>
      <c r="P2374" s="18" t="s">
        <v>0</v>
      </c>
      <c r="Q2374" s="6" t="s">
        <v>4475</v>
      </c>
      <c r="T2374" s="23">
        <v>45317</v>
      </c>
      <c r="U2374" s="23">
        <v>46412</v>
      </c>
      <c r="X2374" s="20">
        <v>30000</v>
      </c>
      <c r="Z2374" s="6" t="s">
        <v>5978</v>
      </c>
      <c r="AA2374" s="13">
        <f t="shared" si="300"/>
        <v>5.6000000000000006E-4</v>
      </c>
      <c r="AB2374">
        <v>3.5165984000000003</v>
      </c>
      <c r="AC2374">
        <v>3.6572623360000005</v>
      </c>
    </row>
    <row r="2375" spans="1:29" x14ac:dyDescent="0.3">
      <c r="A2375">
        <v>140420</v>
      </c>
      <c r="B2375" s="25" t="s">
        <v>5984</v>
      </c>
      <c r="C2375" t="s">
        <v>20</v>
      </c>
      <c r="D2375" t="s">
        <v>21</v>
      </c>
      <c r="E2375">
        <v>2222222</v>
      </c>
      <c r="F2375" s="8" t="s">
        <v>22</v>
      </c>
      <c r="G2375" s="2">
        <v>98</v>
      </c>
      <c r="H2375" t="s">
        <v>4240</v>
      </c>
      <c r="J2375" s="9" t="s">
        <v>5612</v>
      </c>
      <c r="K2375" t="s">
        <v>5197</v>
      </c>
      <c r="L2375" s="2">
        <v>1</v>
      </c>
      <c r="M2375" s="24" t="s">
        <v>5971</v>
      </c>
      <c r="N2375" s="2" t="s">
        <v>23</v>
      </c>
      <c r="O2375" s="18" t="s">
        <v>1877</v>
      </c>
      <c r="P2375" s="18" t="s">
        <v>0</v>
      </c>
      <c r="Q2375" s="6" t="s">
        <v>4475</v>
      </c>
      <c r="T2375" s="23">
        <v>45385</v>
      </c>
      <c r="U2375" s="23">
        <v>46480</v>
      </c>
      <c r="X2375" s="20">
        <v>1970</v>
      </c>
      <c r="Z2375" s="6" t="s">
        <v>5978</v>
      </c>
      <c r="AA2375" s="13">
        <f t="shared" si="300"/>
        <v>5.6000000000000006E-4</v>
      </c>
      <c r="AB2375">
        <v>0.33444880000000005</v>
      </c>
      <c r="AC2375">
        <v>0.34782675200000007</v>
      </c>
    </row>
    <row r="2376" spans="1:29" x14ac:dyDescent="0.3">
      <c r="A2376">
        <v>142863</v>
      </c>
      <c r="B2376" s="25" t="s">
        <v>5984</v>
      </c>
      <c r="C2376" t="s">
        <v>20</v>
      </c>
      <c r="D2376" t="s">
        <v>21</v>
      </c>
      <c r="E2376">
        <v>2222222</v>
      </c>
      <c r="F2376" s="8" t="s">
        <v>22</v>
      </c>
      <c r="G2376" s="2">
        <v>98</v>
      </c>
      <c r="H2376" t="s">
        <v>4240</v>
      </c>
      <c r="J2376" s="9" t="s">
        <v>5280</v>
      </c>
      <c r="K2376" t="s">
        <v>4858</v>
      </c>
      <c r="L2376" s="2">
        <v>1</v>
      </c>
      <c r="M2376" s="24" t="s">
        <v>5971</v>
      </c>
      <c r="N2376" s="2" t="s">
        <v>23</v>
      </c>
      <c r="O2376" s="18" t="s">
        <v>1878</v>
      </c>
      <c r="P2376" s="18" t="s">
        <v>3781</v>
      </c>
      <c r="Q2376" s="6" t="s">
        <v>4475</v>
      </c>
      <c r="T2376" s="23">
        <v>45551</v>
      </c>
      <c r="U2376" s="23">
        <v>46281</v>
      </c>
      <c r="X2376" s="20">
        <v>5000</v>
      </c>
      <c r="Z2376" s="6" t="s">
        <v>5978</v>
      </c>
      <c r="AA2376" s="14">
        <f t="shared" ref="AA2376:AA2387" si="301">+(0.6/1000)</f>
        <v>5.9999999999999995E-4</v>
      </c>
      <c r="AB2376">
        <v>0.295014</v>
      </c>
      <c r="AC2376">
        <v>0.30681456000000001</v>
      </c>
    </row>
    <row r="2377" spans="1:29" x14ac:dyDescent="0.3">
      <c r="A2377">
        <v>143719</v>
      </c>
      <c r="B2377" s="25" t="s">
        <v>5984</v>
      </c>
      <c r="C2377" t="s">
        <v>20</v>
      </c>
      <c r="D2377" t="s">
        <v>21</v>
      </c>
      <c r="E2377">
        <v>2222222</v>
      </c>
      <c r="F2377" s="8" t="s">
        <v>22</v>
      </c>
      <c r="G2377" s="2">
        <v>98</v>
      </c>
      <c r="H2377" t="s">
        <v>4240</v>
      </c>
      <c r="J2377" s="9" t="s">
        <v>5073</v>
      </c>
      <c r="K2377" t="s">
        <v>4836</v>
      </c>
      <c r="L2377" s="2">
        <v>1</v>
      </c>
      <c r="M2377" s="24" t="s">
        <v>5971</v>
      </c>
      <c r="N2377" s="2" t="s">
        <v>23</v>
      </c>
      <c r="O2377" s="18" t="s">
        <v>1879</v>
      </c>
      <c r="P2377" s="18" t="s">
        <v>3781</v>
      </c>
      <c r="Q2377" s="6" t="s">
        <v>4475</v>
      </c>
      <c r="T2377" s="23">
        <v>45611</v>
      </c>
      <c r="U2377" s="23">
        <v>47529</v>
      </c>
      <c r="X2377" s="20">
        <v>2930</v>
      </c>
      <c r="Z2377" s="6" t="s">
        <v>5978</v>
      </c>
      <c r="AA2377" s="14">
        <f t="shared" si="301"/>
        <v>5.9999999999999995E-4</v>
      </c>
      <c r="AB2377">
        <v>1.3853759999999999</v>
      </c>
      <c r="AC2377">
        <v>1.4407910399999999</v>
      </c>
    </row>
    <row r="2378" spans="1:29" x14ac:dyDescent="0.3">
      <c r="A2378">
        <v>146096</v>
      </c>
      <c r="B2378" s="25" t="s">
        <v>5984</v>
      </c>
      <c r="C2378" t="s">
        <v>20</v>
      </c>
      <c r="D2378" t="s">
        <v>21</v>
      </c>
      <c r="E2378">
        <v>2222222</v>
      </c>
      <c r="F2378" s="8" t="s">
        <v>22</v>
      </c>
      <c r="G2378" s="2">
        <v>98</v>
      </c>
      <c r="H2378" t="s">
        <v>4240</v>
      </c>
      <c r="J2378" s="9" t="s">
        <v>4941</v>
      </c>
      <c r="K2378" t="s">
        <v>4836</v>
      </c>
      <c r="L2378" s="2">
        <v>1</v>
      </c>
      <c r="M2378" s="24" t="s">
        <v>5971</v>
      </c>
      <c r="N2378" s="2" t="s">
        <v>23</v>
      </c>
      <c r="O2378" s="18" t="s">
        <v>1880</v>
      </c>
      <c r="P2378" s="18" t="s">
        <v>3781</v>
      </c>
      <c r="Q2378" s="6" t="s">
        <v>4475</v>
      </c>
      <c r="T2378" s="23">
        <v>45790</v>
      </c>
      <c r="U2378" s="23">
        <v>46338</v>
      </c>
      <c r="X2378" s="20">
        <v>1000</v>
      </c>
      <c r="Z2378" s="6" t="s">
        <v>5978</v>
      </c>
      <c r="AA2378" s="14">
        <f t="shared" si="301"/>
        <v>5.9999999999999995E-4</v>
      </c>
      <c r="AB2378">
        <v>0.146868</v>
      </c>
      <c r="AC2378">
        <v>0.15274272</v>
      </c>
    </row>
    <row r="2379" spans="1:29" x14ac:dyDescent="0.3">
      <c r="A2379">
        <v>149128</v>
      </c>
      <c r="B2379" s="25" t="s">
        <v>5984</v>
      </c>
      <c r="C2379" t="s">
        <v>20</v>
      </c>
      <c r="D2379" t="s">
        <v>21</v>
      </c>
      <c r="E2379">
        <v>2222222</v>
      </c>
      <c r="F2379" s="8" t="s">
        <v>22</v>
      </c>
      <c r="G2379" s="2">
        <v>98</v>
      </c>
      <c r="H2379" t="s">
        <v>4240</v>
      </c>
      <c r="J2379" s="9" t="s">
        <v>5280</v>
      </c>
      <c r="K2379" t="s">
        <v>4858</v>
      </c>
      <c r="L2379" s="2">
        <v>1</v>
      </c>
      <c r="M2379" s="24" t="s">
        <v>5971</v>
      </c>
      <c r="N2379" s="2" t="s">
        <v>23</v>
      </c>
      <c r="O2379" s="18" t="s">
        <v>1878</v>
      </c>
      <c r="P2379" s="18" t="s">
        <v>3781</v>
      </c>
      <c r="Q2379" s="6" t="s">
        <v>4475</v>
      </c>
      <c r="T2379" s="23">
        <v>46022</v>
      </c>
      <c r="U2379" s="23">
        <v>48945</v>
      </c>
      <c r="X2379" s="20">
        <v>75000</v>
      </c>
      <c r="Z2379" s="6" t="s">
        <v>5978</v>
      </c>
      <c r="AA2379" s="14">
        <f t="shared" si="301"/>
        <v>5.9999999999999995E-4</v>
      </c>
      <c r="AB2379">
        <v>43.242557999999995</v>
      </c>
      <c r="AC2379">
        <v>44.972260319999997</v>
      </c>
    </row>
    <row r="2380" spans="1:29" x14ac:dyDescent="0.3">
      <c r="A2380">
        <v>150372</v>
      </c>
      <c r="B2380" s="25" t="s">
        <v>5984</v>
      </c>
      <c r="C2380" t="s">
        <v>20</v>
      </c>
      <c r="D2380" t="s">
        <v>21</v>
      </c>
      <c r="E2380">
        <v>2222222</v>
      </c>
      <c r="F2380" s="8" t="s">
        <v>22</v>
      </c>
      <c r="G2380" s="2">
        <v>98</v>
      </c>
      <c r="H2380" t="s">
        <v>4240</v>
      </c>
      <c r="J2380" s="9" t="s">
        <v>4865</v>
      </c>
      <c r="K2380" t="s">
        <v>5189</v>
      </c>
      <c r="L2380" s="2">
        <v>1</v>
      </c>
      <c r="M2380" s="24" t="s">
        <v>5971</v>
      </c>
      <c r="N2380" s="2" t="s">
        <v>23</v>
      </c>
      <c r="O2380" s="18" t="s">
        <v>1881</v>
      </c>
      <c r="P2380" s="18" t="s">
        <v>0</v>
      </c>
      <c r="Q2380" s="6" t="s">
        <v>4475</v>
      </c>
      <c r="T2380" s="23">
        <v>46093</v>
      </c>
      <c r="U2380" s="23">
        <v>53397</v>
      </c>
      <c r="X2380" s="20">
        <v>82000</v>
      </c>
      <c r="Z2380" s="6" t="s">
        <v>5978</v>
      </c>
      <c r="AA2380" s="14">
        <f t="shared" si="301"/>
        <v>5.9999999999999995E-4</v>
      </c>
      <c r="AB2380">
        <v>48.939413999999999</v>
      </c>
      <c r="AC2380">
        <v>50.896990559999999</v>
      </c>
    </row>
    <row r="2381" spans="1:29" x14ac:dyDescent="0.3">
      <c r="A2381">
        <v>151335</v>
      </c>
      <c r="B2381" s="25" t="s">
        <v>5984</v>
      </c>
      <c r="C2381" t="s">
        <v>20</v>
      </c>
      <c r="D2381" t="s">
        <v>21</v>
      </c>
      <c r="E2381">
        <v>2222222</v>
      </c>
      <c r="F2381" s="8" t="s">
        <v>22</v>
      </c>
      <c r="G2381" s="2">
        <v>98</v>
      </c>
      <c r="H2381" t="s">
        <v>4240</v>
      </c>
      <c r="J2381" s="9" t="s">
        <v>5612</v>
      </c>
      <c r="K2381" t="s">
        <v>5197</v>
      </c>
      <c r="L2381" s="2">
        <v>1</v>
      </c>
      <c r="M2381" s="24" t="s">
        <v>5971</v>
      </c>
      <c r="N2381" s="2" t="s">
        <v>23</v>
      </c>
      <c r="O2381" s="18" t="s">
        <v>1877</v>
      </c>
      <c r="P2381" s="18" t="s">
        <v>0</v>
      </c>
      <c r="Q2381" s="6" t="s">
        <v>4475</v>
      </c>
      <c r="T2381" s="23">
        <v>46156</v>
      </c>
      <c r="U2381" s="23">
        <v>46480</v>
      </c>
      <c r="X2381" s="20">
        <v>500</v>
      </c>
      <c r="Z2381" s="6" t="s">
        <v>5978</v>
      </c>
      <c r="AA2381" s="14">
        <f t="shared" si="301"/>
        <v>5.9999999999999995E-4</v>
      </c>
      <c r="AB2381">
        <v>0.247446</v>
      </c>
      <c r="AC2381">
        <v>0.25734383999999999</v>
      </c>
    </row>
    <row r="2382" spans="1:29" x14ac:dyDescent="0.3">
      <c r="A2382">
        <v>151378</v>
      </c>
      <c r="B2382" s="25" t="s">
        <v>5984</v>
      </c>
      <c r="C2382" t="s">
        <v>20</v>
      </c>
      <c r="D2382" t="s">
        <v>21</v>
      </c>
      <c r="E2382">
        <v>2222222</v>
      </c>
      <c r="F2382" s="8" t="s">
        <v>22</v>
      </c>
      <c r="G2382" s="2">
        <v>98</v>
      </c>
      <c r="H2382" t="s">
        <v>4240</v>
      </c>
      <c r="J2382" s="9" t="s">
        <v>5542</v>
      </c>
      <c r="K2382" t="s">
        <v>5019</v>
      </c>
      <c r="L2382" s="2">
        <v>1</v>
      </c>
      <c r="M2382" s="24" t="s">
        <v>5971</v>
      </c>
      <c r="N2382" s="2" t="s">
        <v>23</v>
      </c>
      <c r="O2382" s="18" t="s">
        <v>1882</v>
      </c>
      <c r="P2382" s="18" t="s">
        <v>3781</v>
      </c>
      <c r="Q2382" s="6" t="s">
        <v>4475</v>
      </c>
      <c r="T2382" s="23">
        <v>46160</v>
      </c>
      <c r="U2382" s="23">
        <v>46494</v>
      </c>
      <c r="X2382" s="20">
        <v>720</v>
      </c>
      <c r="Z2382" s="6" t="s">
        <v>5978</v>
      </c>
      <c r="AA2382" s="14">
        <f t="shared" si="301"/>
        <v>5.9999999999999995E-4</v>
      </c>
      <c r="AB2382">
        <v>0.35824800000000001</v>
      </c>
      <c r="AC2382">
        <v>0.37257792000000001</v>
      </c>
    </row>
    <row r="2383" spans="1:29" x14ac:dyDescent="0.3">
      <c r="A2383">
        <v>151950</v>
      </c>
      <c r="B2383" s="25" t="s">
        <v>5984</v>
      </c>
      <c r="C2383" t="s">
        <v>20</v>
      </c>
      <c r="D2383" t="s">
        <v>21</v>
      </c>
      <c r="E2383">
        <v>2222222</v>
      </c>
      <c r="F2383" s="8" t="s">
        <v>22</v>
      </c>
      <c r="G2383" s="2">
        <v>98</v>
      </c>
      <c r="H2383" t="s">
        <v>4240</v>
      </c>
      <c r="J2383" s="9" t="s">
        <v>4911</v>
      </c>
      <c r="K2383" t="s">
        <v>5169</v>
      </c>
      <c r="L2383" s="2">
        <v>1</v>
      </c>
      <c r="M2383" s="24" t="s">
        <v>5971</v>
      </c>
      <c r="N2383" s="2" t="s">
        <v>23</v>
      </c>
      <c r="O2383" s="18" t="s">
        <v>1883</v>
      </c>
      <c r="P2383" s="18" t="s">
        <v>3781</v>
      </c>
      <c r="Q2383" s="6" t="s">
        <v>4475</v>
      </c>
      <c r="T2383" s="23">
        <v>46201</v>
      </c>
      <c r="U2383" s="23">
        <v>47301</v>
      </c>
      <c r="X2383" s="20">
        <v>3000</v>
      </c>
      <c r="Z2383" s="6" t="s">
        <v>5978</v>
      </c>
      <c r="AA2383" s="14">
        <f t="shared" si="301"/>
        <v>5.9999999999999995E-4</v>
      </c>
      <c r="AB2383">
        <v>1.7999999999999998</v>
      </c>
      <c r="AC2383">
        <v>1.8719999999999999</v>
      </c>
    </row>
    <row r="2384" spans="1:29" x14ac:dyDescent="0.3">
      <c r="A2384">
        <v>151114</v>
      </c>
      <c r="B2384" s="25" t="s">
        <v>5984</v>
      </c>
      <c r="C2384" t="s">
        <v>20</v>
      </c>
      <c r="D2384" t="s">
        <v>21</v>
      </c>
      <c r="E2384">
        <v>2222222</v>
      </c>
      <c r="F2384" s="8" t="s">
        <v>22</v>
      </c>
      <c r="G2384" s="2">
        <v>98</v>
      </c>
      <c r="H2384" t="s">
        <v>4241</v>
      </c>
      <c r="J2384" s="9" t="s">
        <v>4903</v>
      </c>
      <c r="K2384" t="s">
        <v>4942</v>
      </c>
      <c r="L2384" s="2">
        <v>1</v>
      </c>
      <c r="M2384" s="24" t="s">
        <v>5971</v>
      </c>
      <c r="N2384" s="2" t="s">
        <v>23</v>
      </c>
      <c r="O2384" s="18" t="s">
        <v>1884</v>
      </c>
      <c r="P2384" s="18" t="s">
        <v>3781</v>
      </c>
      <c r="Q2384" s="6" t="s">
        <v>4475</v>
      </c>
      <c r="T2384" s="23">
        <v>46149</v>
      </c>
      <c r="U2384" s="23">
        <v>49801</v>
      </c>
      <c r="X2384" s="20">
        <v>34600</v>
      </c>
      <c r="Z2384" s="6" t="s">
        <v>5978</v>
      </c>
      <c r="AA2384" s="14">
        <f t="shared" si="301"/>
        <v>5.9999999999999995E-4</v>
      </c>
      <c r="AB2384">
        <v>20.574575999999997</v>
      </c>
      <c r="AC2384">
        <v>21.397559039999997</v>
      </c>
    </row>
    <row r="2385" spans="1:29" x14ac:dyDescent="0.3">
      <c r="A2385">
        <v>141274</v>
      </c>
      <c r="B2385" s="25" t="s">
        <v>5984</v>
      </c>
      <c r="C2385" t="s">
        <v>20</v>
      </c>
      <c r="D2385" t="s">
        <v>21</v>
      </c>
      <c r="E2385">
        <v>2222222</v>
      </c>
      <c r="F2385" s="8" t="s">
        <v>22</v>
      </c>
      <c r="G2385" s="2">
        <v>98</v>
      </c>
      <c r="H2385" t="s">
        <v>4242</v>
      </c>
      <c r="J2385" s="9" t="s">
        <v>5141</v>
      </c>
      <c r="K2385" t="s">
        <v>5083</v>
      </c>
      <c r="L2385" s="2">
        <v>1</v>
      </c>
      <c r="M2385" s="24" t="s">
        <v>5971</v>
      </c>
      <c r="N2385" s="2" t="s">
        <v>23</v>
      </c>
      <c r="O2385" s="18" t="s">
        <v>1885</v>
      </c>
      <c r="P2385" s="18" t="s">
        <v>3781</v>
      </c>
      <c r="Q2385" s="6" t="s">
        <v>4475</v>
      </c>
      <c r="T2385" s="23">
        <v>45443</v>
      </c>
      <c r="U2385" s="23">
        <v>46903</v>
      </c>
      <c r="X2385" s="20">
        <v>3480</v>
      </c>
      <c r="Z2385" s="6" t="s">
        <v>5978</v>
      </c>
      <c r="AA2385" s="14">
        <f t="shared" si="301"/>
        <v>5.9999999999999995E-4</v>
      </c>
      <c r="AB2385">
        <v>1.0652099999999998</v>
      </c>
      <c r="AC2385">
        <v>1.1078183999999998</v>
      </c>
    </row>
    <row r="2386" spans="1:29" x14ac:dyDescent="0.3">
      <c r="A2386">
        <v>150630</v>
      </c>
      <c r="B2386" s="25" t="s">
        <v>5984</v>
      </c>
      <c r="C2386" t="s">
        <v>20</v>
      </c>
      <c r="D2386" t="s">
        <v>21</v>
      </c>
      <c r="E2386">
        <v>2222222</v>
      </c>
      <c r="F2386" s="8" t="s">
        <v>22</v>
      </c>
      <c r="G2386" s="2">
        <v>98</v>
      </c>
      <c r="H2386" t="s">
        <v>4243</v>
      </c>
      <c r="J2386" s="9" t="s">
        <v>4995</v>
      </c>
      <c r="K2386" t="s">
        <v>5135</v>
      </c>
      <c r="L2386" s="2">
        <v>1</v>
      </c>
      <c r="M2386" s="24" t="s">
        <v>5971</v>
      </c>
      <c r="N2386" s="2" t="s">
        <v>23</v>
      </c>
      <c r="O2386" s="18" t="s">
        <v>1886</v>
      </c>
      <c r="P2386" s="18" t="s">
        <v>0</v>
      </c>
      <c r="Q2386" s="6" t="s">
        <v>4475</v>
      </c>
      <c r="T2386" s="23">
        <v>46112</v>
      </c>
      <c r="U2386" s="23">
        <v>48305</v>
      </c>
      <c r="X2386" s="20">
        <v>16000</v>
      </c>
      <c r="Z2386" s="6" t="s">
        <v>5978</v>
      </c>
      <c r="AA2386" s="14">
        <f t="shared" si="301"/>
        <v>5.9999999999999995E-4</v>
      </c>
      <c r="AB2386">
        <v>8.4906299999999995</v>
      </c>
      <c r="AC2386">
        <v>8.8302551999999999</v>
      </c>
    </row>
    <row r="2387" spans="1:29" x14ac:dyDescent="0.3">
      <c r="A2387">
        <v>151057</v>
      </c>
      <c r="B2387" s="25" t="s">
        <v>5984</v>
      </c>
      <c r="C2387" t="s">
        <v>20</v>
      </c>
      <c r="D2387" t="s">
        <v>21</v>
      </c>
      <c r="E2387">
        <v>2222222</v>
      </c>
      <c r="F2387" s="8" t="s">
        <v>22</v>
      </c>
      <c r="G2387" s="2">
        <v>98</v>
      </c>
      <c r="H2387" t="s">
        <v>4244</v>
      </c>
      <c r="J2387" s="9" t="s">
        <v>4852</v>
      </c>
      <c r="K2387" t="s">
        <v>5272</v>
      </c>
      <c r="L2387" s="2">
        <v>1</v>
      </c>
      <c r="M2387" s="24" t="s">
        <v>5971</v>
      </c>
      <c r="N2387" s="2" t="s">
        <v>23</v>
      </c>
      <c r="O2387" s="18" t="s">
        <v>1887</v>
      </c>
      <c r="P2387" s="18" t="s">
        <v>0</v>
      </c>
      <c r="Q2387" s="6" t="s">
        <v>4475</v>
      </c>
      <c r="T2387" s="23">
        <v>46135</v>
      </c>
      <c r="U2387" s="23">
        <v>47231</v>
      </c>
      <c r="X2387" s="20">
        <v>3910</v>
      </c>
      <c r="Z2387" s="6" t="s">
        <v>5978</v>
      </c>
      <c r="AA2387" s="14">
        <f t="shared" si="301"/>
        <v>5.9999999999999995E-4</v>
      </c>
      <c r="AB2387">
        <v>2.1928920000000001</v>
      </c>
      <c r="AC2387">
        <v>2.2806076800000001</v>
      </c>
    </row>
    <row r="2388" spans="1:29" x14ac:dyDescent="0.3">
      <c r="A2388">
        <v>109714</v>
      </c>
      <c r="B2388" s="25" t="s">
        <v>5984</v>
      </c>
      <c r="C2388" t="s">
        <v>20</v>
      </c>
      <c r="D2388" t="s">
        <v>21</v>
      </c>
      <c r="E2388">
        <v>2222222</v>
      </c>
      <c r="F2388" s="8" t="s">
        <v>22</v>
      </c>
      <c r="G2388" s="2">
        <v>98</v>
      </c>
      <c r="H2388" t="s">
        <v>4245</v>
      </c>
      <c r="J2388" s="9" t="s">
        <v>4901</v>
      </c>
      <c r="K2388" t="s">
        <v>4516</v>
      </c>
      <c r="L2388" s="2">
        <v>1</v>
      </c>
      <c r="M2388" s="24" t="s">
        <v>5971</v>
      </c>
      <c r="N2388" s="2" t="s">
        <v>23</v>
      </c>
      <c r="O2388" s="18" t="s">
        <v>1888</v>
      </c>
      <c r="P2388" s="18" t="s">
        <v>0</v>
      </c>
      <c r="Q2388" s="6" t="s">
        <v>4475</v>
      </c>
      <c r="T2388" s="23">
        <v>43826</v>
      </c>
      <c r="U2388" s="23">
        <v>46472</v>
      </c>
      <c r="X2388" s="20">
        <v>8988</v>
      </c>
      <c r="Z2388" s="6" t="s">
        <v>5978</v>
      </c>
      <c r="AA2388" s="15">
        <f t="shared" ref="AA2388:AA2389" si="302">+(0.42/1000)</f>
        <v>4.1999999999999996E-4</v>
      </c>
      <c r="AB2388">
        <v>9.1673400000000002E-2</v>
      </c>
      <c r="AC2388">
        <v>9.5340336000000012E-2</v>
      </c>
    </row>
    <row r="2389" spans="1:29" x14ac:dyDescent="0.3">
      <c r="A2389">
        <v>118338</v>
      </c>
      <c r="B2389" s="25" t="s">
        <v>5984</v>
      </c>
      <c r="C2389" t="s">
        <v>20</v>
      </c>
      <c r="D2389" t="s">
        <v>21</v>
      </c>
      <c r="E2389">
        <v>2222222</v>
      </c>
      <c r="F2389" s="8" t="s">
        <v>22</v>
      </c>
      <c r="G2389" s="2">
        <v>98</v>
      </c>
      <c r="H2389" t="s">
        <v>4246</v>
      </c>
      <c r="J2389" s="9" t="s">
        <v>4836</v>
      </c>
      <c r="K2389" t="s">
        <v>4911</v>
      </c>
      <c r="L2389" s="2">
        <v>1</v>
      </c>
      <c r="M2389" s="24" t="s">
        <v>5971</v>
      </c>
      <c r="N2389" s="2" t="s">
        <v>23</v>
      </c>
      <c r="O2389" s="18" t="s">
        <v>1889</v>
      </c>
      <c r="P2389" s="18" t="s">
        <v>3781</v>
      </c>
      <c r="Q2389" s="6" t="s">
        <v>4475</v>
      </c>
      <c r="T2389" s="23">
        <v>44236</v>
      </c>
      <c r="U2389" s="23">
        <v>46794</v>
      </c>
      <c r="X2389" s="20">
        <v>15000</v>
      </c>
      <c r="Z2389" s="6" t="s">
        <v>5978</v>
      </c>
      <c r="AA2389" s="15">
        <f t="shared" si="302"/>
        <v>4.1999999999999996E-4</v>
      </c>
      <c r="AB2389">
        <v>2.2946784</v>
      </c>
      <c r="AC2389">
        <v>2.3864655360000002</v>
      </c>
    </row>
    <row r="2390" spans="1:29" x14ac:dyDescent="0.3">
      <c r="A2390">
        <v>134269</v>
      </c>
      <c r="B2390" s="25" t="s">
        <v>5984</v>
      </c>
      <c r="C2390" t="s">
        <v>20</v>
      </c>
      <c r="D2390" t="s">
        <v>21</v>
      </c>
      <c r="E2390">
        <v>2222222</v>
      </c>
      <c r="F2390" s="8" t="s">
        <v>22</v>
      </c>
      <c r="G2390" s="2">
        <v>98</v>
      </c>
      <c r="H2390" t="s">
        <v>4246</v>
      </c>
      <c r="J2390" s="9" t="s">
        <v>4894</v>
      </c>
      <c r="K2390" t="s">
        <v>4857</v>
      </c>
      <c r="L2390" s="2">
        <v>1</v>
      </c>
      <c r="M2390" s="24" t="s">
        <v>5971</v>
      </c>
      <c r="N2390" s="2" t="s">
        <v>23</v>
      </c>
      <c r="O2390" s="18" t="s">
        <v>1890</v>
      </c>
      <c r="P2390" s="18" t="s">
        <v>0</v>
      </c>
      <c r="Q2390" s="6" t="s">
        <v>4475</v>
      </c>
      <c r="T2390" s="23">
        <v>45055</v>
      </c>
      <c r="U2390" s="23">
        <v>47246</v>
      </c>
      <c r="X2390" s="20">
        <v>20000</v>
      </c>
      <c r="Z2390" s="6" t="s">
        <v>5978</v>
      </c>
      <c r="AA2390" s="13">
        <f t="shared" ref="AA2390:AA2396" si="303">+(0.56/1000)</f>
        <v>5.6000000000000006E-4</v>
      </c>
      <c r="AB2390">
        <v>6.6278128000000001</v>
      </c>
      <c r="AC2390">
        <v>6.892925312</v>
      </c>
    </row>
    <row r="2391" spans="1:29" x14ac:dyDescent="0.3">
      <c r="A2391">
        <v>134316</v>
      </c>
      <c r="B2391" s="25" t="s">
        <v>5984</v>
      </c>
      <c r="C2391" t="s">
        <v>20</v>
      </c>
      <c r="D2391" t="s">
        <v>21</v>
      </c>
      <c r="E2391">
        <v>2222222</v>
      </c>
      <c r="F2391" s="8" t="s">
        <v>22</v>
      </c>
      <c r="G2391" s="2">
        <v>98</v>
      </c>
      <c r="H2391" t="s">
        <v>4246</v>
      </c>
      <c r="J2391" s="9" t="s">
        <v>4892</v>
      </c>
      <c r="K2391" t="s">
        <v>4985</v>
      </c>
      <c r="L2391" s="2">
        <v>1</v>
      </c>
      <c r="M2391" s="24" t="s">
        <v>5971</v>
      </c>
      <c r="N2391" s="2" t="s">
        <v>23</v>
      </c>
      <c r="O2391" s="18" t="s">
        <v>1891</v>
      </c>
      <c r="P2391" s="18" t="s">
        <v>3781</v>
      </c>
      <c r="Q2391" s="6" t="s">
        <v>4475</v>
      </c>
      <c r="T2391" s="23">
        <v>45055</v>
      </c>
      <c r="U2391" s="23">
        <v>46893</v>
      </c>
      <c r="X2391" s="20">
        <v>7000</v>
      </c>
      <c r="Z2391" s="6" t="s">
        <v>5978</v>
      </c>
      <c r="AA2391" s="13">
        <f t="shared" si="303"/>
        <v>5.6000000000000006E-4</v>
      </c>
      <c r="AB2391">
        <v>1.8138176000000001</v>
      </c>
      <c r="AC2391">
        <v>1.8863703040000002</v>
      </c>
    </row>
    <row r="2392" spans="1:29" x14ac:dyDescent="0.3">
      <c r="A2392">
        <v>134901</v>
      </c>
      <c r="B2392" s="25" t="s">
        <v>5984</v>
      </c>
      <c r="C2392" t="s">
        <v>20</v>
      </c>
      <c r="D2392" t="s">
        <v>21</v>
      </c>
      <c r="E2392">
        <v>2222222</v>
      </c>
      <c r="F2392" s="8" t="s">
        <v>22</v>
      </c>
      <c r="G2392" s="2">
        <v>98</v>
      </c>
      <c r="H2392" t="s">
        <v>4246</v>
      </c>
      <c r="J2392" s="9" t="s">
        <v>5495</v>
      </c>
      <c r="K2392" t="s">
        <v>4980</v>
      </c>
      <c r="L2392" s="2">
        <v>1</v>
      </c>
      <c r="M2392" s="24" t="s">
        <v>5971</v>
      </c>
      <c r="N2392" s="2" t="s">
        <v>23</v>
      </c>
      <c r="O2392" s="18" t="s">
        <v>1892</v>
      </c>
      <c r="P2392" s="18" t="s">
        <v>3781</v>
      </c>
      <c r="Q2392" s="6" t="s">
        <v>4475</v>
      </c>
      <c r="T2392" s="23">
        <v>45089</v>
      </c>
      <c r="U2392" s="23">
        <v>48834</v>
      </c>
      <c r="X2392" s="20">
        <v>65000</v>
      </c>
      <c r="Z2392" s="6" t="s">
        <v>5978</v>
      </c>
      <c r="AA2392" s="13">
        <f t="shared" si="303"/>
        <v>5.6000000000000006E-4</v>
      </c>
      <c r="AB2392">
        <v>31.170641600000003</v>
      </c>
      <c r="AC2392">
        <v>32.417467264000003</v>
      </c>
    </row>
    <row r="2393" spans="1:29" x14ac:dyDescent="0.3">
      <c r="A2393">
        <v>136290</v>
      </c>
      <c r="B2393" s="25" t="s">
        <v>5984</v>
      </c>
      <c r="C2393" t="s">
        <v>20</v>
      </c>
      <c r="D2393" t="s">
        <v>21</v>
      </c>
      <c r="E2393">
        <v>2222222</v>
      </c>
      <c r="F2393" s="8" t="s">
        <v>22</v>
      </c>
      <c r="G2393" s="2">
        <v>98</v>
      </c>
      <c r="H2393" t="s">
        <v>4246</v>
      </c>
      <c r="J2393" s="9" t="s">
        <v>5613</v>
      </c>
      <c r="K2393" t="s">
        <v>4884</v>
      </c>
      <c r="L2393" s="2">
        <v>1</v>
      </c>
      <c r="M2393" s="24" t="s">
        <v>5971</v>
      </c>
      <c r="N2393" s="2" t="s">
        <v>23</v>
      </c>
      <c r="O2393" s="18" t="s">
        <v>1893</v>
      </c>
      <c r="P2393" s="18" t="s">
        <v>3781</v>
      </c>
      <c r="Q2393" s="6" t="s">
        <v>4475</v>
      </c>
      <c r="T2393" s="23">
        <v>45163</v>
      </c>
      <c r="U2393" s="23">
        <v>46350</v>
      </c>
      <c r="X2393" s="20">
        <v>1225</v>
      </c>
      <c r="Z2393" s="6" t="s">
        <v>5978</v>
      </c>
      <c r="AA2393" s="13">
        <f t="shared" si="303"/>
        <v>5.6000000000000006E-4</v>
      </c>
      <c r="AB2393">
        <v>0.11885440000000001</v>
      </c>
      <c r="AC2393">
        <v>0.12360857600000001</v>
      </c>
    </row>
    <row r="2394" spans="1:29" x14ac:dyDescent="0.3">
      <c r="A2394">
        <v>138328</v>
      </c>
      <c r="B2394" s="25" t="s">
        <v>5984</v>
      </c>
      <c r="C2394" t="s">
        <v>20</v>
      </c>
      <c r="D2394" t="s">
        <v>21</v>
      </c>
      <c r="E2394">
        <v>2222222</v>
      </c>
      <c r="F2394" s="8" t="s">
        <v>22</v>
      </c>
      <c r="G2394" s="2">
        <v>98</v>
      </c>
      <c r="H2394" t="s">
        <v>4246</v>
      </c>
      <c r="J2394" s="9" t="s">
        <v>4852</v>
      </c>
      <c r="K2394" t="s">
        <v>5144</v>
      </c>
      <c r="L2394" s="2">
        <v>1</v>
      </c>
      <c r="M2394" s="24" t="s">
        <v>5971</v>
      </c>
      <c r="N2394" s="2" t="s">
        <v>23</v>
      </c>
      <c r="O2394" s="18" t="s">
        <v>1894</v>
      </c>
      <c r="P2394" s="18" t="s">
        <v>0</v>
      </c>
      <c r="Q2394" s="6" t="s">
        <v>4475</v>
      </c>
      <c r="T2394" s="23">
        <v>45322</v>
      </c>
      <c r="U2394" s="23">
        <v>50802</v>
      </c>
      <c r="X2394" s="20">
        <v>100000</v>
      </c>
      <c r="Z2394" s="6" t="s">
        <v>5978</v>
      </c>
      <c r="AA2394" s="13">
        <f t="shared" si="303"/>
        <v>5.6000000000000006E-4</v>
      </c>
      <c r="AB2394">
        <v>51.9310008</v>
      </c>
      <c r="AC2394">
        <v>54.008240831999998</v>
      </c>
    </row>
    <row r="2395" spans="1:29" x14ac:dyDescent="0.3">
      <c r="A2395">
        <v>138433</v>
      </c>
      <c r="B2395" s="25" t="s">
        <v>5984</v>
      </c>
      <c r="C2395" t="s">
        <v>20</v>
      </c>
      <c r="D2395" t="s">
        <v>21</v>
      </c>
      <c r="E2395">
        <v>2222222</v>
      </c>
      <c r="F2395" s="8" t="s">
        <v>22</v>
      </c>
      <c r="G2395" s="2">
        <v>98</v>
      </c>
      <c r="H2395" t="s">
        <v>4246</v>
      </c>
      <c r="J2395" s="9" t="s">
        <v>4836</v>
      </c>
      <c r="K2395" t="s">
        <v>4873</v>
      </c>
      <c r="L2395" s="2">
        <v>1</v>
      </c>
      <c r="M2395" s="24" t="s">
        <v>5971</v>
      </c>
      <c r="N2395" s="2" t="s">
        <v>23</v>
      </c>
      <c r="O2395" s="18" t="s">
        <v>1895</v>
      </c>
      <c r="P2395" s="18" t="s">
        <v>3781</v>
      </c>
      <c r="Q2395" s="6" t="s">
        <v>4475</v>
      </c>
      <c r="T2395" s="23">
        <v>45275</v>
      </c>
      <c r="U2395" s="23">
        <v>46370</v>
      </c>
      <c r="X2395" s="20">
        <v>2300</v>
      </c>
      <c r="Z2395" s="6" t="s">
        <v>5978</v>
      </c>
      <c r="AA2395" s="13">
        <f t="shared" si="303"/>
        <v>5.6000000000000006E-4</v>
      </c>
      <c r="AB2395">
        <v>0.21413840000000001</v>
      </c>
      <c r="AC2395">
        <v>0.22270393600000002</v>
      </c>
    </row>
    <row r="2396" spans="1:29" x14ac:dyDescent="0.3">
      <c r="A2396">
        <v>140242</v>
      </c>
      <c r="B2396" s="25" t="s">
        <v>5984</v>
      </c>
      <c r="C2396" t="s">
        <v>20</v>
      </c>
      <c r="D2396" t="s">
        <v>21</v>
      </c>
      <c r="E2396">
        <v>2222222</v>
      </c>
      <c r="F2396" s="8" t="s">
        <v>22</v>
      </c>
      <c r="G2396" s="2">
        <v>98</v>
      </c>
      <c r="H2396" t="s">
        <v>4246</v>
      </c>
      <c r="J2396" s="9" t="s">
        <v>5213</v>
      </c>
      <c r="K2396" t="s">
        <v>4926</v>
      </c>
      <c r="L2396" s="2">
        <v>1</v>
      </c>
      <c r="M2396" s="24" t="s">
        <v>5971</v>
      </c>
      <c r="N2396" s="2" t="s">
        <v>23</v>
      </c>
      <c r="O2396" s="18" t="s">
        <v>1896</v>
      </c>
      <c r="P2396" s="18" t="s">
        <v>3781</v>
      </c>
      <c r="Q2396" s="6" t="s">
        <v>4475</v>
      </c>
      <c r="T2396" s="23">
        <v>45376</v>
      </c>
      <c r="U2396" s="23">
        <v>46470</v>
      </c>
      <c r="X2396" s="20">
        <v>4000</v>
      </c>
      <c r="Z2396" s="6" t="s">
        <v>5978</v>
      </c>
      <c r="AA2396" s="13">
        <f t="shared" si="303"/>
        <v>5.6000000000000006E-4</v>
      </c>
      <c r="AB2396">
        <v>0.60753840000000014</v>
      </c>
      <c r="AC2396">
        <v>0.63183993600000021</v>
      </c>
    </row>
    <row r="2397" spans="1:29" x14ac:dyDescent="0.3">
      <c r="A2397">
        <v>141479</v>
      </c>
      <c r="B2397" s="25" t="s">
        <v>5984</v>
      </c>
      <c r="C2397" t="s">
        <v>20</v>
      </c>
      <c r="D2397" t="s">
        <v>21</v>
      </c>
      <c r="E2397">
        <v>2222222</v>
      </c>
      <c r="F2397" s="8" t="s">
        <v>22</v>
      </c>
      <c r="G2397" s="2">
        <v>98</v>
      </c>
      <c r="H2397" t="s">
        <v>4246</v>
      </c>
      <c r="J2397" s="9" t="s">
        <v>4852</v>
      </c>
      <c r="K2397" t="s">
        <v>4966</v>
      </c>
      <c r="L2397" s="2">
        <v>1</v>
      </c>
      <c r="M2397" s="24" t="s">
        <v>5971</v>
      </c>
      <c r="N2397" s="2" t="s">
        <v>23</v>
      </c>
      <c r="O2397" s="18" t="s">
        <v>1897</v>
      </c>
      <c r="P2397" s="18" t="s">
        <v>0</v>
      </c>
      <c r="Q2397" s="6" t="s">
        <v>4475</v>
      </c>
      <c r="T2397" s="23">
        <v>45454</v>
      </c>
      <c r="U2397" s="23">
        <v>47372</v>
      </c>
      <c r="X2397" s="20">
        <v>3570</v>
      </c>
      <c r="Z2397" s="6" t="s">
        <v>5978</v>
      </c>
      <c r="AA2397" s="14">
        <f t="shared" ref="AA2397:AA2432" si="304">+(0.6/1000)</f>
        <v>5.9999999999999995E-4</v>
      </c>
      <c r="AB2397">
        <v>1.8325619999999998</v>
      </c>
      <c r="AC2397">
        <v>1.9058644799999997</v>
      </c>
    </row>
    <row r="2398" spans="1:29" x14ac:dyDescent="0.3">
      <c r="A2398">
        <v>142228</v>
      </c>
      <c r="B2398" s="25" t="s">
        <v>5984</v>
      </c>
      <c r="C2398" t="s">
        <v>20</v>
      </c>
      <c r="D2398" t="s">
        <v>21</v>
      </c>
      <c r="E2398">
        <v>2222222</v>
      </c>
      <c r="F2398" s="8" t="s">
        <v>22</v>
      </c>
      <c r="G2398" s="2">
        <v>98</v>
      </c>
      <c r="H2398" t="s">
        <v>4246</v>
      </c>
      <c r="J2398" s="9" t="s">
        <v>5614</v>
      </c>
      <c r="K2398" t="s">
        <v>5197</v>
      </c>
      <c r="L2398" s="2">
        <v>1</v>
      </c>
      <c r="M2398" s="24" t="s">
        <v>5971</v>
      </c>
      <c r="N2398" s="2" t="s">
        <v>23</v>
      </c>
      <c r="O2398" s="18" t="s">
        <v>1898</v>
      </c>
      <c r="P2398" s="18" t="s">
        <v>0</v>
      </c>
      <c r="Q2398" s="6" t="s">
        <v>4475</v>
      </c>
      <c r="T2398" s="23">
        <v>45504</v>
      </c>
      <c r="U2398" s="23">
        <v>46598</v>
      </c>
      <c r="X2398" s="20">
        <v>2000</v>
      </c>
      <c r="Z2398" s="6" t="s">
        <v>5978</v>
      </c>
      <c r="AA2398" s="14">
        <f t="shared" si="304"/>
        <v>5.9999999999999995E-4</v>
      </c>
      <c r="AB2398">
        <v>0.47783999999999993</v>
      </c>
      <c r="AC2398">
        <v>0.49695359999999994</v>
      </c>
    </row>
    <row r="2399" spans="1:29" x14ac:dyDescent="0.3">
      <c r="A2399">
        <v>143269</v>
      </c>
      <c r="B2399" s="25" t="s">
        <v>5984</v>
      </c>
      <c r="C2399" t="s">
        <v>20</v>
      </c>
      <c r="D2399" t="s">
        <v>21</v>
      </c>
      <c r="E2399">
        <v>2222222</v>
      </c>
      <c r="F2399" s="8" t="s">
        <v>22</v>
      </c>
      <c r="G2399" s="2">
        <v>98</v>
      </c>
      <c r="H2399" t="s">
        <v>4246</v>
      </c>
      <c r="J2399" s="9" t="s">
        <v>4951</v>
      </c>
      <c r="K2399" t="s">
        <v>4875</v>
      </c>
      <c r="L2399" s="2">
        <v>1</v>
      </c>
      <c r="M2399" s="24" t="s">
        <v>5971</v>
      </c>
      <c r="N2399" s="2" t="s">
        <v>23</v>
      </c>
      <c r="O2399" s="18" t="s">
        <v>1899</v>
      </c>
      <c r="P2399" s="18" t="s">
        <v>0</v>
      </c>
      <c r="Q2399" s="6" t="s">
        <v>4475</v>
      </c>
      <c r="T2399" s="23">
        <v>45580</v>
      </c>
      <c r="U2399" s="23">
        <v>46401</v>
      </c>
      <c r="X2399" s="20">
        <v>2650</v>
      </c>
      <c r="Z2399" s="6" t="s">
        <v>5978</v>
      </c>
      <c r="AA2399" s="14">
        <f t="shared" si="304"/>
        <v>5.9999999999999995E-4</v>
      </c>
      <c r="AB2399">
        <v>1.290924</v>
      </c>
      <c r="AC2399">
        <v>1.3425609599999999</v>
      </c>
    </row>
    <row r="2400" spans="1:29" x14ac:dyDescent="0.3">
      <c r="A2400">
        <v>143552</v>
      </c>
      <c r="B2400" s="25" t="s">
        <v>5984</v>
      </c>
      <c r="C2400" t="s">
        <v>20</v>
      </c>
      <c r="D2400" t="s">
        <v>21</v>
      </c>
      <c r="E2400">
        <v>2222222</v>
      </c>
      <c r="F2400" s="8" t="s">
        <v>22</v>
      </c>
      <c r="G2400" s="2">
        <v>98</v>
      </c>
      <c r="H2400" t="s">
        <v>4246</v>
      </c>
      <c r="J2400" s="9" t="s">
        <v>4836</v>
      </c>
      <c r="K2400" t="s">
        <v>5075</v>
      </c>
      <c r="L2400" s="2">
        <v>1</v>
      </c>
      <c r="M2400" s="24" t="s">
        <v>5971</v>
      </c>
      <c r="N2400" s="2" t="s">
        <v>23</v>
      </c>
      <c r="O2400" s="18" t="s">
        <v>1900</v>
      </c>
      <c r="P2400" s="18" t="s">
        <v>3781</v>
      </c>
      <c r="Q2400" s="6" t="s">
        <v>4475</v>
      </c>
      <c r="T2400" s="23">
        <v>45601</v>
      </c>
      <c r="U2400" s="23">
        <v>47427</v>
      </c>
      <c r="X2400" s="20">
        <v>4420</v>
      </c>
      <c r="Z2400" s="6" t="s">
        <v>5978</v>
      </c>
      <c r="AA2400" s="14">
        <f t="shared" si="304"/>
        <v>5.9999999999999995E-4</v>
      </c>
      <c r="AB2400">
        <v>1.9775939999999996</v>
      </c>
      <c r="AC2400">
        <v>2.0566977599999996</v>
      </c>
    </row>
    <row r="2401" spans="1:29" x14ac:dyDescent="0.3">
      <c r="A2401">
        <v>145130</v>
      </c>
      <c r="B2401" s="25" t="s">
        <v>5984</v>
      </c>
      <c r="C2401" t="s">
        <v>20</v>
      </c>
      <c r="D2401" t="s">
        <v>21</v>
      </c>
      <c r="E2401">
        <v>2222222</v>
      </c>
      <c r="F2401" s="8" t="s">
        <v>22</v>
      </c>
      <c r="G2401" s="2">
        <v>98</v>
      </c>
      <c r="H2401" t="s">
        <v>4246</v>
      </c>
      <c r="J2401" s="9" t="s">
        <v>5453</v>
      </c>
      <c r="K2401" t="s">
        <v>4884</v>
      </c>
      <c r="L2401" s="2">
        <v>1</v>
      </c>
      <c r="M2401" s="24" t="s">
        <v>5971</v>
      </c>
      <c r="N2401" s="2" t="s">
        <v>23</v>
      </c>
      <c r="O2401" s="18" t="s">
        <v>1901</v>
      </c>
      <c r="P2401" s="18" t="s">
        <v>3781</v>
      </c>
      <c r="Q2401" s="6" t="s">
        <v>4475</v>
      </c>
      <c r="T2401" s="23">
        <v>45714</v>
      </c>
      <c r="U2401" s="23">
        <v>46446</v>
      </c>
      <c r="X2401" s="20">
        <v>5000</v>
      </c>
      <c r="Z2401" s="6" t="s">
        <v>5978</v>
      </c>
      <c r="AA2401" s="14">
        <f t="shared" si="304"/>
        <v>5.9999999999999995E-4</v>
      </c>
      <c r="AB2401">
        <v>0.99043199999999998</v>
      </c>
      <c r="AC2401">
        <v>1.0300492800000001</v>
      </c>
    </row>
    <row r="2402" spans="1:29" x14ac:dyDescent="0.3">
      <c r="A2402">
        <v>145249</v>
      </c>
      <c r="B2402" s="25" t="s">
        <v>5984</v>
      </c>
      <c r="C2402" t="s">
        <v>20</v>
      </c>
      <c r="D2402" t="s">
        <v>21</v>
      </c>
      <c r="E2402">
        <v>2222222</v>
      </c>
      <c r="F2402" s="8" t="s">
        <v>22</v>
      </c>
      <c r="G2402" s="2">
        <v>98</v>
      </c>
      <c r="H2402" t="s">
        <v>4246</v>
      </c>
      <c r="J2402" s="9" t="s">
        <v>4900</v>
      </c>
      <c r="K2402" t="s">
        <v>4901</v>
      </c>
      <c r="L2402" s="2">
        <v>1</v>
      </c>
      <c r="M2402" s="24" t="s">
        <v>5971</v>
      </c>
      <c r="N2402" s="2" t="s">
        <v>23</v>
      </c>
      <c r="O2402" s="18" t="s">
        <v>1902</v>
      </c>
      <c r="P2402" s="18" t="s">
        <v>0</v>
      </c>
      <c r="Q2402" s="6" t="s">
        <v>4475</v>
      </c>
      <c r="T2402" s="23">
        <v>45735</v>
      </c>
      <c r="U2402" s="23">
        <v>46464</v>
      </c>
      <c r="X2402" s="20">
        <v>10000</v>
      </c>
      <c r="Z2402" s="6" t="s">
        <v>5978</v>
      </c>
      <c r="AA2402" s="14">
        <f t="shared" si="304"/>
        <v>5.9999999999999995E-4</v>
      </c>
      <c r="AB2402">
        <v>2.2174139999999998</v>
      </c>
      <c r="AC2402">
        <v>2.30611056</v>
      </c>
    </row>
    <row r="2403" spans="1:29" x14ac:dyDescent="0.3">
      <c r="A2403">
        <v>145289</v>
      </c>
      <c r="B2403" s="25" t="s">
        <v>5984</v>
      </c>
      <c r="C2403" t="s">
        <v>20</v>
      </c>
      <c r="D2403" t="s">
        <v>21</v>
      </c>
      <c r="E2403">
        <v>2222222</v>
      </c>
      <c r="F2403" s="8" t="s">
        <v>22</v>
      </c>
      <c r="G2403" s="2">
        <v>98</v>
      </c>
      <c r="H2403" t="s">
        <v>4246</v>
      </c>
      <c r="J2403" s="9" t="s">
        <v>5615</v>
      </c>
      <c r="K2403" t="s">
        <v>5616</v>
      </c>
      <c r="L2403" s="2">
        <v>1</v>
      </c>
      <c r="M2403" s="24" t="s">
        <v>5971</v>
      </c>
      <c r="N2403" s="2" t="s">
        <v>23</v>
      </c>
      <c r="O2403" s="18" t="s">
        <v>1903</v>
      </c>
      <c r="P2403" s="18" t="s">
        <v>0</v>
      </c>
      <c r="Q2403" s="6" t="s">
        <v>4475</v>
      </c>
      <c r="T2403" s="23">
        <v>45754</v>
      </c>
      <c r="U2403" s="23">
        <v>51233</v>
      </c>
      <c r="X2403" s="20">
        <v>30000</v>
      </c>
      <c r="Z2403" s="6" t="s">
        <v>5978</v>
      </c>
      <c r="AA2403" s="14">
        <f t="shared" si="304"/>
        <v>5.9999999999999995E-4</v>
      </c>
      <c r="AB2403">
        <v>17.401211999999997</v>
      </c>
      <c r="AC2403">
        <v>18.097260479999999</v>
      </c>
    </row>
    <row r="2404" spans="1:29" x14ac:dyDescent="0.3">
      <c r="A2404">
        <v>145650</v>
      </c>
      <c r="B2404" s="25" t="s">
        <v>5984</v>
      </c>
      <c r="C2404" t="s">
        <v>20</v>
      </c>
      <c r="D2404" t="s">
        <v>21</v>
      </c>
      <c r="E2404">
        <v>2222222</v>
      </c>
      <c r="F2404" s="8" t="s">
        <v>22</v>
      </c>
      <c r="G2404" s="2">
        <v>98</v>
      </c>
      <c r="H2404" t="s">
        <v>4246</v>
      </c>
      <c r="J2404" s="9" t="s">
        <v>4929</v>
      </c>
      <c r="K2404" t="s">
        <v>4953</v>
      </c>
      <c r="L2404" s="2">
        <v>1</v>
      </c>
      <c r="M2404" s="24" t="s">
        <v>5971</v>
      </c>
      <c r="N2404" s="2" t="s">
        <v>23</v>
      </c>
      <c r="O2404" s="18" t="s">
        <v>1904</v>
      </c>
      <c r="P2404" s="18" t="s">
        <v>0</v>
      </c>
      <c r="Q2404" s="6" t="s">
        <v>4475</v>
      </c>
      <c r="T2404" s="23">
        <v>45758</v>
      </c>
      <c r="U2404" s="23">
        <v>46488</v>
      </c>
      <c r="X2404" s="20">
        <v>6000</v>
      </c>
      <c r="Z2404" s="6" t="s">
        <v>5978</v>
      </c>
      <c r="AA2404" s="14">
        <f t="shared" si="304"/>
        <v>5.9999999999999995E-4</v>
      </c>
      <c r="AB2404">
        <v>1.4877180000000001</v>
      </c>
      <c r="AC2404">
        <v>1.5472267200000001</v>
      </c>
    </row>
    <row r="2405" spans="1:29" x14ac:dyDescent="0.3">
      <c r="A2405">
        <v>146493</v>
      </c>
      <c r="B2405" s="25" t="s">
        <v>5984</v>
      </c>
      <c r="C2405" t="s">
        <v>20</v>
      </c>
      <c r="D2405" t="s">
        <v>21</v>
      </c>
      <c r="E2405">
        <v>2222222</v>
      </c>
      <c r="F2405" s="8" t="s">
        <v>22</v>
      </c>
      <c r="G2405" s="2">
        <v>98</v>
      </c>
      <c r="H2405" t="s">
        <v>4246</v>
      </c>
      <c r="J2405" s="9" t="s">
        <v>5083</v>
      </c>
      <c r="K2405" t="s">
        <v>4924</v>
      </c>
      <c r="L2405" s="2">
        <v>1</v>
      </c>
      <c r="M2405" s="24" t="s">
        <v>5971</v>
      </c>
      <c r="N2405" s="2" t="s">
        <v>23</v>
      </c>
      <c r="O2405" s="18" t="s">
        <v>1905</v>
      </c>
      <c r="P2405" s="18" t="s">
        <v>3781</v>
      </c>
      <c r="Q2405" s="6" t="s">
        <v>4475</v>
      </c>
      <c r="T2405" s="23">
        <v>45820</v>
      </c>
      <c r="U2405" s="23">
        <v>47646</v>
      </c>
      <c r="X2405" s="20">
        <v>11000</v>
      </c>
      <c r="Z2405" s="6" t="s">
        <v>5978</v>
      </c>
      <c r="AA2405" s="14">
        <f t="shared" si="304"/>
        <v>5.9999999999999995E-4</v>
      </c>
      <c r="AB2405">
        <v>5.5790220000000001</v>
      </c>
      <c r="AC2405">
        <v>5.8021828800000002</v>
      </c>
    </row>
    <row r="2406" spans="1:29" x14ac:dyDescent="0.3">
      <c r="A2406">
        <v>147321</v>
      </c>
      <c r="B2406" s="25" t="s">
        <v>5984</v>
      </c>
      <c r="C2406" t="s">
        <v>20</v>
      </c>
      <c r="D2406" t="s">
        <v>21</v>
      </c>
      <c r="E2406">
        <v>2222222</v>
      </c>
      <c r="F2406" s="8" t="s">
        <v>22</v>
      </c>
      <c r="G2406" s="2">
        <v>98</v>
      </c>
      <c r="H2406" t="s">
        <v>4246</v>
      </c>
      <c r="J2406" s="9" t="s">
        <v>4911</v>
      </c>
      <c r="K2406" t="s">
        <v>5310</v>
      </c>
      <c r="L2406" s="2">
        <v>1</v>
      </c>
      <c r="M2406" s="24" t="s">
        <v>5971</v>
      </c>
      <c r="N2406" s="2" t="s">
        <v>23</v>
      </c>
      <c r="O2406" s="18" t="s">
        <v>1906</v>
      </c>
      <c r="P2406" s="18" t="s">
        <v>3781</v>
      </c>
      <c r="Q2406" s="6" t="s">
        <v>4475</v>
      </c>
      <c r="T2406" s="23">
        <v>45881</v>
      </c>
      <c r="U2406" s="23">
        <v>46794</v>
      </c>
      <c r="X2406" s="20">
        <v>3050</v>
      </c>
      <c r="Z2406" s="6" t="s">
        <v>5978</v>
      </c>
      <c r="AA2406" s="14">
        <f t="shared" si="304"/>
        <v>5.9999999999999995E-4</v>
      </c>
      <c r="AB2406">
        <v>1.2316019999999999</v>
      </c>
      <c r="AC2406">
        <v>1.2808660799999998</v>
      </c>
    </row>
    <row r="2407" spans="1:29" x14ac:dyDescent="0.3">
      <c r="A2407">
        <v>147637</v>
      </c>
      <c r="B2407" s="25" t="s">
        <v>5984</v>
      </c>
      <c r="C2407" t="s">
        <v>20</v>
      </c>
      <c r="D2407" t="s">
        <v>21</v>
      </c>
      <c r="E2407">
        <v>2222222</v>
      </c>
      <c r="F2407" s="8" t="s">
        <v>22</v>
      </c>
      <c r="G2407" s="2">
        <v>98</v>
      </c>
      <c r="H2407" t="s">
        <v>4246</v>
      </c>
      <c r="J2407" s="9" t="s">
        <v>5096</v>
      </c>
      <c r="K2407" t="s">
        <v>4941</v>
      </c>
      <c r="L2407" s="2">
        <v>1</v>
      </c>
      <c r="M2407" s="24" t="s">
        <v>5971</v>
      </c>
      <c r="N2407" s="2" t="s">
        <v>23</v>
      </c>
      <c r="O2407" s="18" t="s">
        <v>1907</v>
      </c>
      <c r="P2407" s="18" t="s">
        <v>3781</v>
      </c>
      <c r="Q2407" s="6" t="s">
        <v>4475</v>
      </c>
      <c r="T2407" s="23">
        <v>45902</v>
      </c>
      <c r="U2407" s="23">
        <v>46875</v>
      </c>
      <c r="X2407" s="20">
        <v>5000</v>
      </c>
      <c r="Z2407" s="6" t="s">
        <v>5978</v>
      </c>
      <c r="AA2407" s="14">
        <f t="shared" si="304"/>
        <v>5.9999999999999995E-4</v>
      </c>
      <c r="AB2407">
        <v>2.2112999999999996</v>
      </c>
      <c r="AC2407">
        <v>2.2997519999999998</v>
      </c>
    </row>
    <row r="2408" spans="1:29" x14ac:dyDescent="0.3">
      <c r="A2408">
        <v>147652</v>
      </c>
      <c r="B2408" s="25" t="s">
        <v>5984</v>
      </c>
      <c r="C2408" t="s">
        <v>20</v>
      </c>
      <c r="D2408" t="s">
        <v>21</v>
      </c>
      <c r="E2408">
        <v>2222222</v>
      </c>
      <c r="F2408" s="8" t="s">
        <v>22</v>
      </c>
      <c r="G2408" s="2">
        <v>98</v>
      </c>
      <c r="H2408" t="s">
        <v>4246</v>
      </c>
      <c r="J2408" s="9" t="s">
        <v>5032</v>
      </c>
      <c r="K2408" t="s">
        <v>4855</v>
      </c>
      <c r="L2408" s="2">
        <v>1</v>
      </c>
      <c r="M2408" s="24" t="s">
        <v>5971</v>
      </c>
      <c r="N2408" s="2" t="s">
        <v>23</v>
      </c>
      <c r="O2408" s="18" t="s">
        <v>1908</v>
      </c>
      <c r="P2408" s="18" t="s">
        <v>3781</v>
      </c>
      <c r="Q2408" s="6" t="s">
        <v>4475</v>
      </c>
      <c r="T2408" s="23">
        <v>45903</v>
      </c>
      <c r="U2408" s="23">
        <v>46449</v>
      </c>
      <c r="X2408" s="20">
        <v>1030</v>
      </c>
      <c r="Z2408" s="6" t="s">
        <v>5978</v>
      </c>
      <c r="AA2408" s="14">
        <f t="shared" si="304"/>
        <v>5.9999999999999995E-4</v>
      </c>
      <c r="AB2408">
        <v>0.29402400000000001</v>
      </c>
      <c r="AC2408">
        <v>0.30578495999999999</v>
      </c>
    </row>
    <row r="2409" spans="1:29" x14ac:dyDescent="0.3">
      <c r="A2409">
        <v>147657</v>
      </c>
      <c r="B2409" s="25" t="s">
        <v>5984</v>
      </c>
      <c r="C2409" t="s">
        <v>20</v>
      </c>
      <c r="D2409" t="s">
        <v>21</v>
      </c>
      <c r="E2409">
        <v>2222222</v>
      </c>
      <c r="F2409" s="8" t="s">
        <v>22</v>
      </c>
      <c r="G2409" s="2">
        <v>98</v>
      </c>
      <c r="H2409" t="s">
        <v>4246</v>
      </c>
      <c r="J2409" s="9" t="s">
        <v>5408</v>
      </c>
      <c r="K2409" t="s">
        <v>4836</v>
      </c>
      <c r="L2409" s="2">
        <v>1</v>
      </c>
      <c r="M2409" s="24" t="s">
        <v>5971</v>
      </c>
      <c r="N2409" s="2" t="s">
        <v>23</v>
      </c>
      <c r="O2409" s="18" t="s">
        <v>1909</v>
      </c>
      <c r="P2409" s="18" t="s">
        <v>3781</v>
      </c>
      <c r="Q2409" s="6" t="s">
        <v>4475</v>
      </c>
      <c r="T2409" s="23">
        <v>45903</v>
      </c>
      <c r="U2409" s="23">
        <v>46390</v>
      </c>
      <c r="X2409" s="20">
        <v>885</v>
      </c>
      <c r="Z2409" s="6" t="s">
        <v>5978</v>
      </c>
      <c r="AA2409" s="14">
        <f t="shared" si="304"/>
        <v>5.9999999999999995E-4</v>
      </c>
      <c r="AB2409">
        <v>0.21320999999999998</v>
      </c>
      <c r="AC2409">
        <v>0.2217384</v>
      </c>
    </row>
    <row r="2410" spans="1:29" x14ac:dyDescent="0.3">
      <c r="A2410">
        <v>147870</v>
      </c>
      <c r="B2410" s="25" t="s">
        <v>5984</v>
      </c>
      <c r="C2410" t="s">
        <v>20</v>
      </c>
      <c r="D2410" t="s">
        <v>21</v>
      </c>
      <c r="E2410">
        <v>2222222</v>
      </c>
      <c r="F2410" s="8" t="s">
        <v>22</v>
      </c>
      <c r="G2410" s="2">
        <v>98</v>
      </c>
      <c r="H2410" t="s">
        <v>4246</v>
      </c>
      <c r="J2410" s="9" t="s">
        <v>5617</v>
      </c>
      <c r="K2410" t="s">
        <v>4836</v>
      </c>
      <c r="L2410" s="2">
        <v>1</v>
      </c>
      <c r="M2410" s="24" t="s">
        <v>5971</v>
      </c>
      <c r="N2410" s="2" t="s">
        <v>23</v>
      </c>
      <c r="O2410" s="18" t="s">
        <v>1910</v>
      </c>
      <c r="P2410" s="18" t="s">
        <v>3781</v>
      </c>
      <c r="Q2410" s="6" t="s">
        <v>4475</v>
      </c>
      <c r="T2410" s="23">
        <v>45922</v>
      </c>
      <c r="U2410" s="23">
        <v>47748</v>
      </c>
      <c r="X2410" s="20">
        <v>5000</v>
      </c>
      <c r="Z2410" s="6" t="s">
        <v>5978</v>
      </c>
      <c r="AA2410" s="14">
        <f t="shared" si="304"/>
        <v>5.9999999999999995E-4</v>
      </c>
      <c r="AB2410">
        <v>2.4941159999999996</v>
      </c>
      <c r="AC2410">
        <v>2.5938806399999996</v>
      </c>
    </row>
    <row r="2411" spans="1:29" x14ac:dyDescent="0.3">
      <c r="A2411">
        <v>148097</v>
      </c>
      <c r="B2411" s="25" t="s">
        <v>5984</v>
      </c>
      <c r="C2411" t="s">
        <v>20</v>
      </c>
      <c r="D2411" t="s">
        <v>21</v>
      </c>
      <c r="E2411">
        <v>2222222</v>
      </c>
      <c r="F2411" s="8" t="s">
        <v>22</v>
      </c>
      <c r="G2411" s="2">
        <v>98</v>
      </c>
      <c r="H2411" t="s">
        <v>4246</v>
      </c>
      <c r="J2411" s="9" t="s">
        <v>4826</v>
      </c>
      <c r="K2411" t="s">
        <v>4946</v>
      </c>
      <c r="L2411" s="2">
        <v>1</v>
      </c>
      <c r="M2411" s="24" t="s">
        <v>5971</v>
      </c>
      <c r="N2411" s="2" t="s">
        <v>23</v>
      </c>
      <c r="O2411" s="18" t="s">
        <v>1911</v>
      </c>
      <c r="P2411" s="18" t="s">
        <v>0</v>
      </c>
      <c r="Q2411" s="6" t="s">
        <v>4475</v>
      </c>
      <c r="T2411" s="23">
        <v>45944</v>
      </c>
      <c r="U2411" s="23">
        <v>49595</v>
      </c>
      <c r="X2411" s="20">
        <v>14000</v>
      </c>
      <c r="Z2411" s="6" t="s">
        <v>5978</v>
      </c>
      <c r="AA2411" s="14">
        <f t="shared" si="304"/>
        <v>5.9999999999999995E-4</v>
      </c>
      <c r="AB2411">
        <v>8.1240179999999995</v>
      </c>
      <c r="AC2411">
        <v>8.4489787199999995</v>
      </c>
    </row>
    <row r="2412" spans="1:29" x14ac:dyDescent="0.3">
      <c r="A2412">
        <v>148314</v>
      </c>
      <c r="B2412" s="25" t="s">
        <v>5984</v>
      </c>
      <c r="C2412" t="s">
        <v>20</v>
      </c>
      <c r="D2412" t="s">
        <v>21</v>
      </c>
      <c r="E2412">
        <v>2222222</v>
      </c>
      <c r="F2412" s="8" t="s">
        <v>22</v>
      </c>
      <c r="G2412" s="2">
        <v>98</v>
      </c>
      <c r="H2412" t="s">
        <v>4246</v>
      </c>
      <c r="J2412" s="9" t="s">
        <v>4962</v>
      </c>
      <c r="K2412" t="s">
        <v>4836</v>
      </c>
      <c r="L2412" s="2">
        <v>1</v>
      </c>
      <c r="M2412" s="24" t="s">
        <v>5971</v>
      </c>
      <c r="N2412" s="2" t="s">
        <v>23</v>
      </c>
      <c r="O2412" s="18" t="s">
        <v>1912</v>
      </c>
      <c r="P2412" s="18" t="s">
        <v>3781</v>
      </c>
      <c r="Q2412" s="6" t="s">
        <v>4475</v>
      </c>
      <c r="T2412" s="23">
        <v>45952</v>
      </c>
      <c r="U2412" s="23">
        <v>46498</v>
      </c>
      <c r="X2412" s="20">
        <v>3000</v>
      </c>
      <c r="Z2412" s="6" t="s">
        <v>5978</v>
      </c>
      <c r="AA2412" s="14">
        <f t="shared" si="304"/>
        <v>5.9999999999999995E-4</v>
      </c>
      <c r="AB2412">
        <v>0.95633999999999997</v>
      </c>
      <c r="AC2412">
        <v>0.99459359999999997</v>
      </c>
    </row>
    <row r="2413" spans="1:29" x14ac:dyDescent="0.3">
      <c r="A2413">
        <v>148499</v>
      </c>
      <c r="B2413" s="25" t="s">
        <v>5984</v>
      </c>
      <c r="C2413" t="s">
        <v>20</v>
      </c>
      <c r="D2413" t="s">
        <v>21</v>
      </c>
      <c r="E2413">
        <v>2222222</v>
      </c>
      <c r="F2413" s="8" t="s">
        <v>22</v>
      </c>
      <c r="G2413" s="2">
        <v>98</v>
      </c>
      <c r="H2413" t="s">
        <v>4246</v>
      </c>
      <c r="J2413" s="9" t="s">
        <v>4936</v>
      </c>
      <c r="K2413" t="s">
        <v>4965</v>
      </c>
      <c r="L2413" s="2">
        <v>1</v>
      </c>
      <c r="M2413" s="24" t="s">
        <v>5971</v>
      </c>
      <c r="N2413" s="2" t="s">
        <v>23</v>
      </c>
      <c r="O2413" s="18" t="s">
        <v>1913</v>
      </c>
      <c r="P2413" s="18" t="s">
        <v>0</v>
      </c>
      <c r="Q2413" s="6" t="s">
        <v>4475</v>
      </c>
      <c r="T2413" s="23">
        <v>45831</v>
      </c>
      <c r="U2413" s="23">
        <v>47647</v>
      </c>
      <c r="X2413" s="20">
        <v>12800</v>
      </c>
      <c r="Z2413" s="6" t="s">
        <v>5978</v>
      </c>
      <c r="AA2413" s="14">
        <f t="shared" si="304"/>
        <v>5.9999999999999995E-4</v>
      </c>
      <c r="AB2413">
        <v>6.4537139999999997</v>
      </c>
      <c r="AC2413">
        <v>6.7118625600000001</v>
      </c>
    </row>
    <row r="2414" spans="1:29" x14ac:dyDescent="0.3">
      <c r="A2414">
        <v>148565</v>
      </c>
      <c r="B2414" s="25" t="s">
        <v>5984</v>
      </c>
      <c r="C2414" t="s">
        <v>20</v>
      </c>
      <c r="D2414" t="s">
        <v>21</v>
      </c>
      <c r="E2414">
        <v>2222222</v>
      </c>
      <c r="F2414" s="8" t="s">
        <v>22</v>
      </c>
      <c r="G2414" s="2">
        <v>98</v>
      </c>
      <c r="H2414" t="s">
        <v>4246</v>
      </c>
      <c r="J2414" s="9" t="s">
        <v>5160</v>
      </c>
      <c r="K2414" t="s">
        <v>5010</v>
      </c>
      <c r="L2414" s="2">
        <v>1</v>
      </c>
      <c r="M2414" s="24" t="s">
        <v>5971</v>
      </c>
      <c r="N2414" s="2" t="s">
        <v>23</v>
      </c>
      <c r="O2414" s="18" t="s">
        <v>1914</v>
      </c>
      <c r="P2414" s="18" t="s">
        <v>0</v>
      </c>
      <c r="Q2414" s="6" t="s">
        <v>4475</v>
      </c>
      <c r="T2414" s="23">
        <v>45692</v>
      </c>
      <c r="U2414" s="23">
        <v>46788</v>
      </c>
      <c r="X2414" s="20">
        <v>5000</v>
      </c>
      <c r="Z2414" s="6" t="s">
        <v>5978</v>
      </c>
      <c r="AA2414" s="14">
        <f t="shared" si="304"/>
        <v>5.9999999999999995E-4</v>
      </c>
      <c r="AB2414">
        <v>1.760454</v>
      </c>
      <c r="AC2414">
        <v>1.83087216</v>
      </c>
    </row>
    <row r="2415" spans="1:29" x14ac:dyDescent="0.3">
      <c r="A2415">
        <v>148892</v>
      </c>
      <c r="B2415" s="25" t="s">
        <v>5984</v>
      </c>
      <c r="C2415" t="s">
        <v>20</v>
      </c>
      <c r="D2415" t="s">
        <v>21</v>
      </c>
      <c r="E2415">
        <v>2222222</v>
      </c>
      <c r="F2415" s="8" t="s">
        <v>22</v>
      </c>
      <c r="G2415" s="2">
        <v>98</v>
      </c>
      <c r="H2415" t="s">
        <v>4246</v>
      </c>
      <c r="J2415" s="9" t="s">
        <v>5288</v>
      </c>
      <c r="K2415" t="s">
        <v>4875</v>
      </c>
      <c r="L2415" s="2">
        <v>1</v>
      </c>
      <c r="M2415" s="24" t="s">
        <v>5971</v>
      </c>
      <c r="N2415" s="2" t="s">
        <v>23</v>
      </c>
      <c r="O2415" s="18" t="s">
        <v>1915</v>
      </c>
      <c r="P2415" s="18" t="s">
        <v>0</v>
      </c>
      <c r="Q2415" s="6" t="s">
        <v>4475</v>
      </c>
      <c r="T2415" s="23">
        <v>45989</v>
      </c>
      <c r="U2415" s="23">
        <v>47450</v>
      </c>
      <c r="X2415" s="20">
        <v>7300</v>
      </c>
      <c r="Z2415" s="6" t="s">
        <v>5978</v>
      </c>
      <c r="AA2415" s="14">
        <f t="shared" si="304"/>
        <v>5.9999999999999995E-4</v>
      </c>
      <c r="AB2415">
        <v>3.8286120000000001</v>
      </c>
      <c r="AC2415">
        <v>3.9817564800000005</v>
      </c>
    </row>
    <row r="2416" spans="1:29" x14ac:dyDescent="0.3">
      <c r="A2416">
        <v>149315</v>
      </c>
      <c r="B2416" s="25" t="s">
        <v>5984</v>
      </c>
      <c r="C2416" t="s">
        <v>20</v>
      </c>
      <c r="D2416" t="s">
        <v>21</v>
      </c>
      <c r="E2416">
        <v>2222222</v>
      </c>
      <c r="F2416" s="8" t="s">
        <v>22</v>
      </c>
      <c r="G2416" s="2">
        <v>98</v>
      </c>
      <c r="H2416" t="s">
        <v>4246</v>
      </c>
      <c r="J2416" s="9" t="s">
        <v>5277</v>
      </c>
      <c r="K2416" t="s">
        <v>5019</v>
      </c>
      <c r="L2416" s="2">
        <v>1</v>
      </c>
      <c r="M2416" s="24" t="s">
        <v>5971</v>
      </c>
      <c r="N2416" s="2" t="s">
        <v>23</v>
      </c>
      <c r="O2416" s="18" t="s">
        <v>1916</v>
      </c>
      <c r="P2416" s="18" t="s">
        <v>3781</v>
      </c>
      <c r="Q2416" s="6" t="s">
        <v>4475</v>
      </c>
      <c r="T2416" s="23">
        <v>46013</v>
      </c>
      <c r="U2416" s="23">
        <v>47108</v>
      </c>
      <c r="X2416" s="20">
        <v>1600</v>
      </c>
      <c r="Z2416" s="6" t="s">
        <v>5978</v>
      </c>
      <c r="AA2416" s="14">
        <f t="shared" si="304"/>
        <v>5.9999999999999995E-4</v>
      </c>
      <c r="AB2416">
        <v>0.80892599999999992</v>
      </c>
      <c r="AC2416">
        <v>0.84128303999999998</v>
      </c>
    </row>
    <row r="2417" spans="1:29" x14ac:dyDescent="0.3">
      <c r="A2417">
        <v>149358</v>
      </c>
      <c r="B2417" s="25" t="s">
        <v>5984</v>
      </c>
      <c r="C2417" t="s">
        <v>20</v>
      </c>
      <c r="D2417" t="s">
        <v>21</v>
      </c>
      <c r="E2417">
        <v>2222222</v>
      </c>
      <c r="F2417" s="8" t="s">
        <v>22</v>
      </c>
      <c r="G2417" s="2">
        <v>98</v>
      </c>
      <c r="H2417" t="s">
        <v>4246</v>
      </c>
      <c r="J2417" s="9" t="s">
        <v>5080</v>
      </c>
      <c r="K2417" t="s">
        <v>4913</v>
      </c>
      <c r="L2417" s="2">
        <v>1</v>
      </c>
      <c r="M2417" s="24" t="s">
        <v>5971</v>
      </c>
      <c r="N2417" s="2" t="s">
        <v>23</v>
      </c>
      <c r="O2417" s="18" t="s">
        <v>1917</v>
      </c>
      <c r="P2417" s="18" t="s">
        <v>0</v>
      </c>
      <c r="Q2417" s="6" t="s">
        <v>4475</v>
      </c>
      <c r="T2417" s="23">
        <v>46017</v>
      </c>
      <c r="U2417" s="23">
        <v>46929</v>
      </c>
      <c r="X2417" s="20">
        <v>1110</v>
      </c>
      <c r="Z2417" s="6" t="s">
        <v>5978</v>
      </c>
      <c r="AA2417" s="14">
        <f t="shared" si="304"/>
        <v>5.9999999999999995E-4</v>
      </c>
      <c r="AB2417">
        <v>0.54545399999999999</v>
      </c>
      <c r="AC2417">
        <v>0.56727216000000003</v>
      </c>
    </row>
    <row r="2418" spans="1:29" x14ac:dyDescent="0.3">
      <c r="A2418">
        <v>149776</v>
      </c>
      <c r="B2418" s="25" t="s">
        <v>5984</v>
      </c>
      <c r="C2418" t="s">
        <v>20</v>
      </c>
      <c r="D2418" t="s">
        <v>21</v>
      </c>
      <c r="E2418">
        <v>2222222</v>
      </c>
      <c r="F2418" s="8" t="s">
        <v>22</v>
      </c>
      <c r="G2418" s="2">
        <v>98</v>
      </c>
      <c r="H2418" t="s">
        <v>4246</v>
      </c>
      <c r="J2418" s="9" t="s">
        <v>5120</v>
      </c>
      <c r="K2418" t="s">
        <v>5035</v>
      </c>
      <c r="L2418" s="2">
        <v>1</v>
      </c>
      <c r="M2418" s="24" t="s">
        <v>5971</v>
      </c>
      <c r="N2418" s="2" t="s">
        <v>23</v>
      </c>
      <c r="O2418" s="18" t="s">
        <v>1918</v>
      </c>
      <c r="P2418" s="18" t="s">
        <v>0</v>
      </c>
      <c r="Q2418" s="6" t="s">
        <v>4475</v>
      </c>
      <c r="T2418" s="23">
        <v>46049</v>
      </c>
      <c r="U2418" s="23">
        <v>46778</v>
      </c>
      <c r="X2418" s="20">
        <v>3800</v>
      </c>
      <c r="Z2418" s="6" t="s">
        <v>5978</v>
      </c>
      <c r="AA2418" s="14">
        <f t="shared" si="304"/>
        <v>5.9999999999999995E-4</v>
      </c>
      <c r="AB2418">
        <v>1.8647579999999997</v>
      </c>
      <c r="AC2418">
        <v>1.9393483199999997</v>
      </c>
    </row>
    <row r="2419" spans="1:29" x14ac:dyDescent="0.3">
      <c r="A2419">
        <v>149788</v>
      </c>
      <c r="B2419" s="25" t="s">
        <v>5984</v>
      </c>
      <c r="C2419" t="s">
        <v>20</v>
      </c>
      <c r="D2419" t="s">
        <v>21</v>
      </c>
      <c r="E2419">
        <v>2222222</v>
      </c>
      <c r="F2419" s="8" t="s">
        <v>22</v>
      </c>
      <c r="G2419" s="2">
        <v>98</v>
      </c>
      <c r="H2419" t="s">
        <v>4246</v>
      </c>
      <c r="J2419" s="9" t="s">
        <v>4911</v>
      </c>
      <c r="K2419" t="s">
        <v>4836</v>
      </c>
      <c r="L2419" s="2">
        <v>1</v>
      </c>
      <c r="M2419" s="24" t="s">
        <v>5971</v>
      </c>
      <c r="N2419" s="2" t="s">
        <v>23</v>
      </c>
      <c r="O2419" s="18" t="s">
        <v>1854</v>
      </c>
      <c r="P2419" s="18" t="s">
        <v>3781</v>
      </c>
      <c r="Q2419" s="6" t="s">
        <v>4475</v>
      </c>
      <c r="T2419" s="23">
        <v>46049</v>
      </c>
      <c r="U2419" s="23">
        <v>46778</v>
      </c>
      <c r="X2419" s="20">
        <v>5000</v>
      </c>
      <c r="Z2419" s="6" t="s">
        <v>5978</v>
      </c>
      <c r="AA2419" s="14">
        <f t="shared" si="304"/>
        <v>5.9999999999999995E-4</v>
      </c>
      <c r="AB2419">
        <v>2.3447639999999996</v>
      </c>
      <c r="AC2419">
        <v>2.4385545599999996</v>
      </c>
    </row>
    <row r="2420" spans="1:29" x14ac:dyDescent="0.3">
      <c r="A2420">
        <v>150023</v>
      </c>
      <c r="B2420" s="25" t="s">
        <v>5984</v>
      </c>
      <c r="C2420" t="s">
        <v>20</v>
      </c>
      <c r="D2420" t="s">
        <v>21</v>
      </c>
      <c r="E2420">
        <v>2222222</v>
      </c>
      <c r="F2420" s="8" t="s">
        <v>22</v>
      </c>
      <c r="G2420" s="2">
        <v>98</v>
      </c>
      <c r="H2420" t="s">
        <v>4246</v>
      </c>
      <c r="J2420" s="9" t="s">
        <v>4852</v>
      </c>
      <c r="K2420" t="s">
        <v>5130</v>
      </c>
      <c r="L2420" s="2">
        <v>1</v>
      </c>
      <c r="M2420" s="24" t="s">
        <v>5971</v>
      </c>
      <c r="N2420" s="2" t="s">
        <v>23</v>
      </c>
      <c r="O2420" s="18" t="s">
        <v>1919</v>
      </c>
      <c r="P2420" s="18" t="s">
        <v>0</v>
      </c>
      <c r="Q2420" s="6" t="s">
        <v>4475</v>
      </c>
      <c r="T2420" s="23">
        <v>46065</v>
      </c>
      <c r="U2420" s="23">
        <v>47164</v>
      </c>
      <c r="X2420" s="20">
        <v>2100</v>
      </c>
      <c r="Z2420" s="6" t="s">
        <v>5978</v>
      </c>
      <c r="AA2420" s="14">
        <f t="shared" si="304"/>
        <v>5.9999999999999995E-4</v>
      </c>
      <c r="AB2420">
        <v>1.1211539999999998</v>
      </c>
      <c r="AC2420">
        <v>1.1660001599999998</v>
      </c>
    </row>
    <row r="2421" spans="1:29" x14ac:dyDescent="0.3">
      <c r="A2421">
        <v>150078</v>
      </c>
      <c r="B2421" s="25" t="s">
        <v>5984</v>
      </c>
      <c r="C2421" t="s">
        <v>20</v>
      </c>
      <c r="D2421" t="s">
        <v>21</v>
      </c>
      <c r="E2421">
        <v>2222222</v>
      </c>
      <c r="F2421" s="8" t="s">
        <v>22</v>
      </c>
      <c r="G2421" s="2">
        <v>98</v>
      </c>
      <c r="H2421" t="s">
        <v>4246</v>
      </c>
      <c r="J2421" s="9" t="s">
        <v>4911</v>
      </c>
      <c r="K2421" t="s">
        <v>5075</v>
      </c>
      <c r="L2421" s="2">
        <v>1</v>
      </c>
      <c r="M2421" s="24" t="s">
        <v>5971</v>
      </c>
      <c r="N2421" s="2" t="s">
        <v>23</v>
      </c>
      <c r="O2421" s="18" t="s">
        <v>1920</v>
      </c>
      <c r="P2421" s="18" t="s">
        <v>3781</v>
      </c>
      <c r="Q2421" s="6" t="s">
        <v>4475</v>
      </c>
      <c r="T2421" s="23">
        <v>46071</v>
      </c>
      <c r="U2421" s="23">
        <v>46985</v>
      </c>
      <c r="X2421" s="20">
        <v>5000</v>
      </c>
      <c r="Z2421" s="6" t="s">
        <v>5978</v>
      </c>
      <c r="AA2421" s="14">
        <f t="shared" si="304"/>
        <v>5.9999999999999995E-4</v>
      </c>
      <c r="AB2421">
        <v>2.5892699999999995</v>
      </c>
      <c r="AC2421">
        <v>2.6928407999999995</v>
      </c>
    </row>
    <row r="2422" spans="1:29" x14ac:dyDescent="0.3">
      <c r="A2422">
        <v>150346</v>
      </c>
      <c r="B2422" s="25" t="s">
        <v>5984</v>
      </c>
      <c r="C2422" t="s">
        <v>20</v>
      </c>
      <c r="D2422" t="s">
        <v>21</v>
      </c>
      <c r="E2422">
        <v>2222222</v>
      </c>
      <c r="F2422" s="8" t="s">
        <v>22</v>
      </c>
      <c r="G2422" s="2">
        <v>98</v>
      </c>
      <c r="H2422" t="s">
        <v>4246</v>
      </c>
      <c r="J2422" s="9" t="s">
        <v>5055</v>
      </c>
      <c r="K2422" t="s">
        <v>4926</v>
      </c>
      <c r="L2422" s="2">
        <v>1</v>
      </c>
      <c r="M2422" s="24" t="s">
        <v>5971</v>
      </c>
      <c r="N2422" s="2" t="s">
        <v>23</v>
      </c>
      <c r="O2422" s="18" t="s">
        <v>1921</v>
      </c>
      <c r="P2422" s="18" t="s">
        <v>3781</v>
      </c>
      <c r="Q2422" s="6" t="s">
        <v>4475</v>
      </c>
      <c r="T2422" s="23">
        <v>46087</v>
      </c>
      <c r="U2422" s="23">
        <v>47182</v>
      </c>
      <c r="X2422" s="20">
        <v>5000</v>
      </c>
      <c r="Z2422" s="6" t="s">
        <v>5978</v>
      </c>
      <c r="AA2422" s="14">
        <f t="shared" si="304"/>
        <v>5.9999999999999995E-4</v>
      </c>
      <c r="AB2422">
        <v>2.7403199999999996</v>
      </c>
      <c r="AC2422">
        <v>2.8499327999999999</v>
      </c>
    </row>
    <row r="2423" spans="1:29" x14ac:dyDescent="0.3">
      <c r="A2423">
        <v>150912</v>
      </c>
      <c r="B2423" s="25" t="s">
        <v>5984</v>
      </c>
      <c r="C2423" t="s">
        <v>20</v>
      </c>
      <c r="D2423" t="s">
        <v>21</v>
      </c>
      <c r="E2423">
        <v>2222222</v>
      </c>
      <c r="F2423" s="8" t="s">
        <v>22</v>
      </c>
      <c r="G2423" s="2">
        <v>98</v>
      </c>
      <c r="H2423" t="s">
        <v>4246</v>
      </c>
      <c r="J2423" s="9" t="s">
        <v>5618</v>
      </c>
      <c r="K2423" t="s">
        <v>5064</v>
      </c>
      <c r="L2423" s="2">
        <v>1</v>
      </c>
      <c r="M2423" s="24" t="s">
        <v>5971</v>
      </c>
      <c r="N2423" s="2" t="s">
        <v>23</v>
      </c>
      <c r="O2423" s="18" t="s">
        <v>1922</v>
      </c>
      <c r="P2423" s="18" t="s">
        <v>0</v>
      </c>
      <c r="Q2423" s="6" t="s">
        <v>4475</v>
      </c>
      <c r="T2423" s="23">
        <v>46126</v>
      </c>
      <c r="U2423" s="23">
        <v>46674</v>
      </c>
      <c r="X2423" s="20">
        <v>2500</v>
      </c>
      <c r="Z2423" s="6" t="s">
        <v>5978</v>
      </c>
      <c r="AA2423" s="14">
        <f t="shared" si="304"/>
        <v>5.9999999999999995E-4</v>
      </c>
      <c r="AB2423">
        <v>1.2757799999999999</v>
      </c>
      <c r="AC2423">
        <v>1.3268111999999999</v>
      </c>
    </row>
    <row r="2424" spans="1:29" x14ac:dyDescent="0.3">
      <c r="A2424">
        <v>150957</v>
      </c>
      <c r="B2424" s="25" t="s">
        <v>5984</v>
      </c>
      <c r="C2424" t="s">
        <v>20</v>
      </c>
      <c r="D2424" t="s">
        <v>21</v>
      </c>
      <c r="E2424">
        <v>2222222</v>
      </c>
      <c r="F2424" s="8" t="s">
        <v>22</v>
      </c>
      <c r="G2424" s="2">
        <v>98</v>
      </c>
      <c r="H2424" t="s">
        <v>4246</v>
      </c>
      <c r="J2424" s="9" t="s">
        <v>5164</v>
      </c>
      <c r="K2424" t="s">
        <v>4942</v>
      </c>
      <c r="L2424" s="2">
        <v>1</v>
      </c>
      <c r="M2424" s="24" t="s">
        <v>5971</v>
      </c>
      <c r="N2424" s="2" t="s">
        <v>23</v>
      </c>
      <c r="O2424" s="18" t="s">
        <v>1923</v>
      </c>
      <c r="P2424" s="18" t="s">
        <v>3781</v>
      </c>
      <c r="Q2424" s="6" t="s">
        <v>4475</v>
      </c>
      <c r="T2424" s="23">
        <v>46131</v>
      </c>
      <c r="U2424" s="23">
        <v>47957</v>
      </c>
      <c r="X2424" s="20">
        <v>5000</v>
      </c>
      <c r="Z2424" s="6" t="s">
        <v>5978</v>
      </c>
      <c r="AA2424" s="14">
        <f t="shared" si="304"/>
        <v>5.9999999999999995E-4</v>
      </c>
      <c r="AB2424">
        <v>2.9053079999999998</v>
      </c>
      <c r="AC2424">
        <v>3.02152032</v>
      </c>
    </row>
    <row r="2425" spans="1:29" x14ac:dyDescent="0.3">
      <c r="A2425">
        <v>151095</v>
      </c>
      <c r="B2425" s="25" t="s">
        <v>5984</v>
      </c>
      <c r="C2425" t="s">
        <v>20</v>
      </c>
      <c r="D2425" t="s">
        <v>21</v>
      </c>
      <c r="E2425">
        <v>2222222</v>
      </c>
      <c r="F2425" s="8" t="s">
        <v>22</v>
      </c>
      <c r="G2425" s="2">
        <v>98</v>
      </c>
      <c r="H2425" t="s">
        <v>4246</v>
      </c>
      <c r="J2425" s="9" t="s">
        <v>5152</v>
      </c>
      <c r="K2425" t="s">
        <v>4999</v>
      </c>
      <c r="L2425" s="2">
        <v>1</v>
      </c>
      <c r="M2425" s="24" t="s">
        <v>5971</v>
      </c>
      <c r="N2425" s="2" t="s">
        <v>23</v>
      </c>
      <c r="O2425" s="18" t="s">
        <v>1924</v>
      </c>
      <c r="P2425" s="18" t="s">
        <v>3781</v>
      </c>
      <c r="Q2425" s="6" t="s">
        <v>4475</v>
      </c>
      <c r="T2425" s="23">
        <v>46137</v>
      </c>
      <c r="U2425" s="23">
        <v>46320</v>
      </c>
      <c r="X2425" s="20">
        <v>660</v>
      </c>
      <c r="Z2425" s="6" t="s">
        <v>5978</v>
      </c>
      <c r="AA2425" s="14">
        <f t="shared" si="304"/>
        <v>5.9999999999999995E-4</v>
      </c>
      <c r="AB2425">
        <v>0.20218800000000001</v>
      </c>
      <c r="AC2425">
        <v>0.21027552000000002</v>
      </c>
    </row>
    <row r="2426" spans="1:29" x14ac:dyDescent="0.3">
      <c r="A2426">
        <v>151323</v>
      </c>
      <c r="B2426" s="25" t="s">
        <v>5984</v>
      </c>
      <c r="C2426" t="s">
        <v>20</v>
      </c>
      <c r="D2426" t="s">
        <v>21</v>
      </c>
      <c r="E2426">
        <v>2222222</v>
      </c>
      <c r="F2426" s="8" t="s">
        <v>22</v>
      </c>
      <c r="G2426" s="2">
        <v>98</v>
      </c>
      <c r="H2426" t="s">
        <v>4246</v>
      </c>
      <c r="J2426" s="9" t="s">
        <v>5007</v>
      </c>
      <c r="K2426" t="s">
        <v>5064</v>
      </c>
      <c r="L2426" s="2">
        <v>1</v>
      </c>
      <c r="M2426" s="24" t="s">
        <v>5971</v>
      </c>
      <c r="N2426" s="2" t="s">
        <v>23</v>
      </c>
      <c r="O2426" s="18" t="s">
        <v>1925</v>
      </c>
      <c r="P2426" s="18" t="s">
        <v>0</v>
      </c>
      <c r="Q2426" s="6" t="s">
        <v>4475</v>
      </c>
      <c r="T2426" s="23">
        <v>46156</v>
      </c>
      <c r="U2426" s="23">
        <v>46886</v>
      </c>
      <c r="X2426" s="20">
        <v>5000</v>
      </c>
      <c r="Z2426" s="6" t="s">
        <v>5978</v>
      </c>
      <c r="AA2426" s="14">
        <f t="shared" si="304"/>
        <v>5.9999999999999995E-4</v>
      </c>
      <c r="AB2426">
        <v>2.7881580000000001</v>
      </c>
      <c r="AC2426">
        <v>2.8996843200000004</v>
      </c>
    </row>
    <row r="2427" spans="1:29" x14ac:dyDescent="0.3">
      <c r="A2427">
        <v>151368</v>
      </c>
      <c r="B2427" s="25" t="s">
        <v>5984</v>
      </c>
      <c r="C2427" t="s">
        <v>20</v>
      </c>
      <c r="D2427" t="s">
        <v>21</v>
      </c>
      <c r="E2427">
        <v>2222222</v>
      </c>
      <c r="F2427" s="8" t="s">
        <v>22</v>
      </c>
      <c r="G2427" s="2">
        <v>98</v>
      </c>
      <c r="H2427" t="s">
        <v>4246</v>
      </c>
      <c r="J2427" s="9" t="s">
        <v>5453</v>
      </c>
      <c r="K2427" t="s">
        <v>4884</v>
      </c>
      <c r="L2427" s="2">
        <v>1</v>
      </c>
      <c r="M2427" s="24" t="s">
        <v>5971</v>
      </c>
      <c r="N2427" s="2" t="s">
        <v>23</v>
      </c>
      <c r="O2427" s="18" t="s">
        <v>1901</v>
      </c>
      <c r="P2427" s="18" t="s">
        <v>3781</v>
      </c>
      <c r="Q2427" s="6" t="s">
        <v>4475</v>
      </c>
      <c r="T2427" s="23">
        <v>46160</v>
      </c>
      <c r="U2427" s="23">
        <v>47258</v>
      </c>
      <c r="X2427" s="20">
        <v>3150</v>
      </c>
      <c r="Z2427" s="6" t="s">
        <v>5978</v>
      </c>
      <c r="AA2427" s="14">
        <f t="shared" si="304"/>
        <v>5.9999999999999995E-4</v>
      </c>
      <c r="AB2427">
        <v>1.8077579999999998</v>
      </c>
      <c r="AC2427">
        <v>1.8800683199999999</v>
      </c>
    </row>
    <row r="2428" spans="1:29" x14ac:dyDescent="0.3">
      <c r="A2428">
        <v>151754</v>
      </c>
      <c r="B2428" s="25" t="s">
        <v>5984</v>
      </c>
      <c r="C2428" t="s">
        <v>20</v>
      </c>
      <c r="D2428" t="s">
        <v>21</v>
      </c>
      <c r="E2428">
        <v>2222222</v>
      </c>
      <c r="F2428" s="8" t="s">
        <v>22</v>
      </c>
      <c r="G2428" s="2">
        <v>98</v>
      </c>
      <c r="H2428" t="s">
        <v>4246</v>
      </c>
      <c r="J2428" s="9" t="s">
        <v>5399</v>
      </c>
      <c r="K2428" t="s">
        <v>4913</v>
      </c>
      <c r="L2428" s="2">
        <v>1</v>
      </c>
      <c r="M2428" s="24" t="s">
        <v>5971</v>
      </c>
      <c r="N2428" s="2" t="s">
        <v>23</v>
      </c>
      <c r="O2428" s="18" t="s">
        <v>1926</v>
      </c>
      <c r="P2428" s="18" t="s">
        <v>0</v>
      </c>
      <c r="Q2428" s="6" t="s">
        <v>4475</v>
      </c>
      <c r="T2428" s="23">
        <v>46185</v>
      </c>
      <c r="U2428" s="23">
        <v>46275</v>
      </c>
      <c r="X2428" s="20">
        <v>2000</v>
      </c>
      <c r="Z2428" s="6" t="s">
        <v>5978</v>
      </c>
      <c r="AA2428" s="14">
        <f t="shared" si="304"/>
        <v>5.9999999999999995E-4</v>
      </c>
      <c r="AB2428">
        <v>1.2</v>
      </c>
      <c r="AC2428">
        <v>1.248</v>
      </c>
    </row>
    <row r="2429" spans="1:29" x14ac:dyDescent="0.3">
      <c r="A2429">
        <v>151969</v>
      </c>
      <c r="B2429" s="25" t="s">
        <v>5984</v>
      </c>
      <c r="C2429" t="s">
        <v>20</v>
      </c>
      <c r="D2429" t="s">
        <v>21</v>
      </c>
      <c r="E2429">
        <v>2222222</v>
      </c>
      <c r="F2429" s="8" t="s">
        <v>22</v>
      </c>
      <c r="G2429" s="2">
        <v>98</v>
      </c>
      <c r="H2429" t="s">
        <v>4246</v>
      </c>
      <c r="J2429" s="9" t="s">
        <v>5164</v>
      </c>
      <c r="K2429" t="s">
        <v>4924</v>
      </c>
      <c r="L2429" s="2">
        <v>1</v>
      </c>
      <c r="M2429" s="24" t="s">
        <v>5971</v>
      </c>
      <c r="N2429" s="2" t="s">
        <v>23</v>
      </c>
      <c r="O2429" s="18" t="s">
        <v>1927</v>
      </c>
      <c r="P2429" s="18" t="s">
        <v>3781</v>
      </c>
      <c r="Q2429" s="6" t="s">
        <v>4475</v>
      </c>
      <c r="T2429" s="23">
        <v>46202</v>
      </c>
      <c r="U2429" s="23">
        <v>46292</v>
      </c>
      <c r="X2429" s="20">
        <v>1050</v>
      </c>
      <c r="Z2429" s="6" t="s">
        <v>5978</v>
      </c>
      <c r="AA2429" s="14">
        <f t="shared" si="304"/>
        <v>5.9999999999999995E-4</v>
      </c>
      <c r="AB2429">
        <v>0.62999999999999989</v>
      </c>
      <c r="AC2429">
        <v>0.65519999999999989</v>
      </c>
    </row>
    <row r="2430" spans="1:29" x14ac:dyDescent="0.3">
      <c r="A2430">
        <v>151980</v>
      </c>
      <c r="B2430" s="25" t="s">
        <v>5984</v>
      </c>
      <c r="C2430" t="s">
        <v>20</v>
      </c>
      <c r="D2430" t="s">
        <v>21</v>
      </c>
      <c r="E2430">
        <v>2222222</v>
      </c>
      <c r="F2430" s="8" t="s">
        <v>22</v>
      </c>
      <c r="G2430" s="2">
        <v>98</v>
      </c>
      <c r="H2430" t="s">
        <v>4246</v>
      </c>
      <c r="J2430" s="9" t="s">
        <v>5083</v>
      </c>
      <c r="K2430" t="s">
        <v>4924</v>
      </c>
      <c r="L2430" s="2">
        <v>1</v>
      </c>
      <c r="M2430" s="24" t="s">
        <v>5971</v>
      </c>
      <c r="N2430" s="2" t="s">
        <v>23</v>
      </c>
      <c r="O2430" s="18" t="s">
        <v>1905</v>
      </c>
      <c r="P2430" s="18" t="s">
        <v>3781</v>
      </c>
      <c r="Q2430" s="6" t="s">
        <v>4475</v>
      </c>
      <c r="T2430" s="23">
        <v>46203</v>
      </c>
      <c r="U2430" s="23">
        <v>46293</v>
      </c>
      <c r="X2430" s="20">
        <v>1600</v>
      </c>
      <c r="Z2430" s="6" t="s">
        <v>5978</v>
      </c>
      <c r="AA2430" s="14">
        <f t="shared" si="304"/>
        <v>5.9999999999999995E-4</v>
      </c>
      <c r="AB2430">
        <v>0.96</v>
      </c>
      <c r="AC2430">
        <v>0.99839999999999995</v>
      </c>
    </row>
    <row r="2431" spans="1:29" x14ac:dyDescent="0.3">
      <c r="A2431">
        <v>152090</v>
      </c>
      <c r="B2431" s="25" t="s">
        <v>5984</v>
      </c>
      <c r="C2431" t="s">
        <v>20</v>
      </c>
      <c r="D2431" t="s">
        <v>21</v>
      </c>
      <c r="E2431">
        <v>2222222</v>
      </c>
      <c r="F2431" s="8" t="s">
        <v>22</v>
      </c>
      <c r="G2431" s="2">
        <v>98</v>
      </c>
      <c r="H2431" t="s">
        <v>4246</v>
      </c>
      <c r="J2431" s="9"/>
      <c r="K2431" t="s">
        <v>5160</v>
      </c>
      <c r="L2431" s="2">
        <v>1</v>
      </c>
      <c r="M2431" s="24" t="s">
        <v>5971</v>
      </c>
      <c r="N2431" s="2" t="s">
        <v>23</v>
      </c>
      <c r="O2431" s="18" t="s">
        <v>1928</v>
      </c>
      <c r="P2431" s="18" t="s">
        <v>0</v>
      </c>
      <c r="Q2431" s="6" t="s">
        <v>4475</v>
      </c>
      <c r="T2431" s="23">
        <v>46210</v>
      </c>
      <c r="U2431" s="23">
        <v>46393</v>
      </c>
      <c r="X2431" s="20">
        <v>1000</v>
      </c>
      <c r="Z2431" s="6" t="s">
        <v>5978</v>
      </c>
      <c r="AA2431" s="14">
        <f t="shared" si="304"/>
        <v>5.9999999999999995E-4</v>
      </c>
      <c r="AB2431">
        <v>0.6</v>
      </c>
      <c r="AC2431">
        <v>0.624</v>
      </c>
    </row>
    <row r="2432" spans="1:29" x14ac:dyDescent="0.3">
      <c r="A2432">
        <v>152363</v>
      </c>
      <c r="B2432" s="25" t="s">
        <v>5984</v>
      </c>
      <c r="C2432" t="s">
        <v>20</v>
      </c>
      <c r="D2432" t="s">
        <v>21</v>
      </c>
      <c r="E2432">
        <v>2222222</v>
      </c>
      <c r="F2432" s="8" t="s">
        <v>22</v>
      </c>
      <c r="G2432" s="2">
        <v>98</v>
      </c>
      <c r="H2432" t="s">
        <v>4246</v>
      </c>
      <c r="J2432" s="9" t="s">
        <v>4864</v>
      </c>
      <c r="K2432" t="s">
        <v>4857</v>
      </c>
      <c r="L2432" s="2">
        <v>1</v>
      </c>
      <c r="M2432" s="24" t="s">
        <v>5971</v>
      </c>
      <c r="N2432" s="2" t="s">
        <v>23</v>
      </c>
      <c r="O2432" s="18" t="s">
        <v>256</v>
      </c>
      <c r="P2432" s="18" t="s">
        <v>0</v>
      </c>
      <c r="Q2432" s="6" t="s">
        <v>4475</v>
      </c>
      <c r="T2432" s="23">
        <v>46233</v>
      </c>
      <c r="U2432" s="23">
        <v>46933</v>
      </c>
      <c r="X2432" s="20">
        <v>2850</v>
      </c>
      <c r="Z2432" s="6" t="s">
        <v>5978</v>
      </c>
      <c r="AA2432" s="14">
        <f t="shared" si="304"/>
        <v>5.9999999999999995E-4</v>
      </c>
      <c r="AB2432">
        <v>1.7099999999999997</v>
      </c>
      <c r="AC2432">
        <v>1.7783999999999998</v>
      </c>
    </row>
    <row r="2433" spans="1:29" x14ac:dyDescent="0.3">
      <c r="A2433">
        <v>130160</v>
      </c>
      <c r="B2433" s="25" t="s">
        <v>5984</v>
      </c>
      <c r="C2433" t="s">
        <v>20</v>
      </c>
      <c r="D2433" t="s">
        <v>21</v>
      </c>
      <c r="E2433">
        <v>2222222</v>
      </c>
      <c r="F2433" s="8" t="s">
        <v>22</v>
      </c>
      <c r="G2433" s="2">
        <v>98</v>
      </c>
      <c r="H2433" t="s">
        <v>4247</v>
      </c>
      <c r="J2433" s="9" t="s">
        <v>4852</v>
      </c>
      <c r="K2433" t="s">
        <v>4966</v>
      </c>
      <c r="L2433" s="2">
        <v>1</v>
      </c>
      <c r="M2433" s="24" t="s">
        <v>5971</v>
      </c>
      <c r="N2433" s="2" t="s">
        <v>23</v>
      </c>
      <c r="O2433" s="18" t="s">
        <v>1929</v>
      </c>
      <c r="P2433" s="18" t="s">
        <v>0</v>
      </c>
      <c r="Q2433" s="6" t="s">
        <v>4475</v>
      </c>
      <c r="T2433" s="23">
        <v>44830</v>
      </c>
      <c r="U2433" s="23">
        <v>46661</v>
      </c>
      <c r="X2433" s="20">
        <v>10000</v>
      </c>
      <c r="Z2433" s="6" t="s">
        <v>5978</v>
      </c>
      <c r="AA2433" s="13">
        <f>+(0.56/1000)</f>
        <v>5.6000000000000006E-4</v>
      </c>
      <c r="AB2433">
        <v>1.8444440000000002</v>
      </c>
      <c r="AC2433">
        <v>1.9182217600000002</v>
      </c>
    </row>
    <row r="2434" spans="1:29" x14ac:dyDescent="0.3">
      <c r="A2434">
        <v>146591</v>
      </c>
      <c r="B2434" s="25" t="s">
        <v>5984</v>
      </c>
      <c r="C2434" t="s">
        <v>20</v>
      </c>
      <c r="D2434" t="s">
        <v>21</v>
      </c>
      <c r="E2434">
        <v>2222222</v>
      </c>
      <c r="F2434" s="8" t="s">
        <v>22</v>
      </c>
      <c r="G2434" s="2">
        <v>98</v>
      </c>
      <c r="H2434" t="s">
        <v>4247</v>
      </c>
      <c r="J2434" s="9" t="s">
        <v>4848</v>
      </c>
      <c r="K2434" t="s">
        <v>5006</v>
      </c>
      <c r="L2434" s="2">
        <v>1</v>
      </c>
      <c r="M2434" s="24" t="s">
        <v>5971</v>
      </c>
      <c r="N2434" s="2" t="s">
        <v>23</v>
      </c>
      <c r="O2434" s="18" t="s">
        <v>1930</v>
      </c>
      <c r="P2434" s="18" t="s">
        <v>0</v>
      </c>
      <c r="Q2434" s="6" t="s">
        <v>4475</v>
      </c>
      <c r="T2434" s="23">
        <v>45828</v>
      </c>
      <c r="U2434" s="23">
        <v>47381</v>
      </c>
      <c r="X2434" s="20">
        <v>5000</v>
      </c>
      <c r="Z2434" s="6" t="s">
        <v>5978</v>
      </c>
      <c r="AA2434" s="14">
        <f t="shared" ref="AA2434:AA2445" si="305">+(0.6/1000)</f>
        <v>5.9999999999999995E-4</v>
      </c>
      <c r="AB2434">
        <v>2.5064099999999998</v>
      </c>
      <c r="AC2434">
        <v>2.6066663999999999</v>
      </c>
    </row>
    <row r="2435" spans="1:29" x14ac:dyDescent="0.3">
      <c r="A2435">
        <v>146762</v>
      </c>
      <c r="B2435" s="25" t="s">
        <v>5984</v>
      </c>
      <c r="C2435" t="s">
        <v>20</v>
      </c>
      <c r="D2435" t="s">
        <v>21</v>
      </c>
      <c r="E2435">
        <v>2222222</v>
      </c>
      <c r="F2435" s="8" t="s">
        <v>22</v>
      </c>
      <c r="G2435" s="2">
        <v>98</v>
      </c>
      <c r="H2435" t="s">
        <v>4247</v>
      </c>
      <c r="J2435" s="9" t="s">
        <v>4848</v>
      </c>
      <c r="K2435" t="s">
        <v>5006</v>
      </c>
      <c r="L2435" s="2">
        <v>1</v>
      </c>
      <c r="M2435" s="24" t="s">
        <v>5971</v>
      </c>
      <c r="N2435" s="2" t="s">
        <v>23</v>
      </c>
      <c r="O2435" s="18" t="s">
        <v>1930</v>
      </c>
      <c r="P2435" s="18" t="s">
        <v>0</v>
      </c>
      <c r="Q2435" s="6" t="s">
        <v>4475</v>
      </c>
      <c r="T2435" s="23">
        <v>45842</v>
      </c>
      <c r="U2435" s="23">
        <v>47394</v>
      </c>
      <c r="X2435" s="20">
        <v>5000</v>
      </c>
      <c r="Z2435" s="6" t="s">
        <v>5978</v>
      </c>
      <c r="AA2435" s="14">
        <f t="shared" si="305"/>
        <v>5.9999999999999995E-4</v>
      </c>
      <c r="AB2435">
        <v>2.5334459999999996</v>
      </c>
      <c r="AC2435">
        <v>2.6347838399999999</v>
      </c>
    </row>
    <row r="2436" spans="1:29" x14ac:dyDescent="0.3">
      <c r="A2436">
        <v>149291</v>
      </c>
      <c r="B2436" s="25" t="s">
        <v>5984</v>
      </c>
      <c r="C2436" t="s">
        <v>20</v>
      </c>
      <c r="D2436" t="s">
        <v>21</v>
      </c>
      <c r="E2436">
        <v>2222222</v>
      </c>
      <c r="F2436" s="8" t="s">
        <v>22</v>
      </c>
      <c r="G2436" s="2">
        <v>98</v>
      </c>
      <c r="H2436" t="s">
        <v>4247</v>
      </c>
      <c r="J2436" s="9" t="s">
        <v>5619</v>
      </c>
      <c r="K2436" t="s">
        <v>5078</v>
      </c>
      <c r="L2436" s="2">
        <v>1</v>
      </c>
      <c r="M2436" s="24" t="s">
        <v>5971</v>
      </c>
      <c r="N2436" s="2" t="s">
        <v>23</v>
      </c>
      <c r="O2436" s="18" t="s">
        <v>1931</v>
      </c>
      <c r="P2436" s="18" t="s">
        <v>0</v>
      </c>
      <c r="Q2436" s="6" t="s">
        <v>4475</v>
      </c>
      <c r="T2436" s="23">
        <v>46010</v>
      </c>
      <c r="U2436" s="23">
        <v>47105</v>
      </c>
      <c r="X2436" s="20">
        <v>5000</v>
      </c>
      <c r="Z2436" s="6" t="s">
        <v>5978</v>
      </c>
      <c r="AA2436" s="14">
        <f t="shared" si="305"/>
        <v>5.9999999999999995E-4</v>
      </c>
      <c r="AB2436">
        <v>2.5338899999999995</v>
      </c>
      <c r="AC2436">
        <v>2.6352455999999997</v>
      </c>
    </row>
    <row r="2437" spans="1:29" x14ac:dyDescent="0.3">
      <c r="A2437">
        <v>150499</v>
      </c>
      <c r="B2437" s="25" t="s">
        <v>5984</v>
      </c>
      <c r="C2437" t="s">
        <v>20</v>
      </c>
      <c r="D2437" t="s">
        <v>21</v>
      </c>
      <c r="E2437">
        <v>2222222</v>
      </c>
      <c r="F2437" s="8" t="s">
        <v>22</v>
      </c>
      <c r="G2437" s="2">
        <v>98</v>
      </c>
      <c r="H2437" t="s">
        <v>4247</v>
      </c>
      <c r="J2437" s="9" t="s">
        <v>5490</v>
      </c>
      <c r="K2437" t="s">
        <v>5025</v>
      </c>
      <c r="L2437" s="2">
        <v>1</v>
      </c>
      <c r="M2437" s="24" t="s">
        <v>5971</v>
      </c>
      <c r="N2437" s="2" t="s">
        <v>23</v>
      </c>
      <c r="O2437" s="18" t="s">
        <v>1932</v>
      </c>
      <c r="P2437" s="18" t="s">
        <v>3781</v>
      </c>
      <c r="Q2437" s="6" t="s">
        <v>4475</v>
      </c>
      <c r="T2437" s="23">
        <v>46118</v>
      </c>
      <c r="U2437" s="23">
        <v>53423</v>
      </c>
      <c r="X2437" s="20">
        <v>68000</v>
      </c>
      <c r="Z2437" s="6" t="s">
        <v>5978</v>
      </c>
      <c r="AA2437" s="14">
        <f t="shared" si="305"/>
        <v>5.9999999999999995E-4</v>
      </c>
      <c r="AB2437">
        <v>40.641576000000001</v>
      </c>
      <c r="AC2437">
        <v>42.26723904</v>
      </c>
    </row>
    <row r="2438" spans="1:29" x14ac:dyDescent="0.3">
      <c r="A2438">
        <v>150654</v>
      </c>
      <c r="B2438" s="25" t="s">
        <v>5984</v>
      </c>
      <c r="C2438" t="s">
        <v>20</v>
      </c>
      <c r="D2438" t="s">
        <v>21</v>
      </c>
      <c r="E2438">
        <v>2222222</v>
      </c>
      <c r="F2438" s="8" t="s">
        <v>22</v>
      </c>
      <c r="G2438" s="2">
        <v>98</v>
      </c>
      <c r="H2438" t="s">
        <v>4247</v>
      </c>
      <c r="J2438" s="9" t="s">
        <v>5055</v>
      </c>
      <c r="K2438" t="s">
        <v>4884</v>
      </c>
      <c r="L2438" s="2">
        <v>1</v>
      </c>
      <c r="M2438" s="24" t="s">
        <v>5971</v>
      </c>
      <c r="N2438" s="2" t="s">
        <v>23</v>
      </c>
      <c r="O2438" s="18" t="s">
        <v>1933</v>
      </c>
      <c r="P2438" s="18" t="s">
        <v>3781</v>
      </c>
      <c r="Q2438" s="6" t="s">
        <v>4475</v>
      </c>
      <c r="T2438" s="23">
        <v>46114</v>
      </c>
      <c r="U2438" s="23">
        <v>53419</v>
      </c>
      <c r="X2438" s="20">
        <v>88000</v>
      </c>
      <c r="Z2438" s="6" t="s">
        <v>5978</v>
      </c>
      <c r="AA2438" s="14">
        <f t="shared" si="305"/>
        <v>5.9999999999999995E-4</v>
      </c>
      <c r="AB2438">
        <v>52.587011999999994</v>
      </c>
      <c r="AC2438">
        <v>54.690492479999996</v>
      </c>
    </row>
    <row r="2439" spans="1:29" x14ac:dyDescent="0.3">
      <c r="A2439">
        <v>151262</v>
      </c>
      <c r="B2439" s="25" t="s">
        <v>5984</v>
      </c>
      <c r="C2439" t="s">
        <v>20</v>
      </c>
      <c r="D2439" t="s">
        <v>21</v>
      </c>
      <c r="E2439">
        <v>2222222</v>
      </c>
      <c r="F2439" s="8" t="s">
        <v>22</v>
      </c>
      <c r="G2439" s="2">
        <v>98</v>
      </c>
      <c r="H2439" t="s">
        <v>4247</v>
      </c>
      <c r="J2439" s="9" t="s">
        <v>4929</v>
      </c>
      <c r="K2439" t="s">
        <v>5529</v>
      </c>
      <c r="L2439" s="2">
        <v>1</v>
      </c>
      <c r="M2439" s="24" t="s">
        <v>5971</v>
      </c>
      <c r="N2439" s="2" t="s">
        <v>23</v>
      </c>
      <c r="O2439" s="18" t="s">
        <v>1934</v>
      </c>
      <c r="P2439" s="18" t="s">
        <v>0</v>
      </c>
      <c r="Q2439" s="6" t="s">
        <v>4475</v>
      </c>
      <c r="T2439" s="23">
        <v>46150</v>
      </c>
      <c r="U2439" s="23">
        <v>47033</v>
      </c>
      <c r="X2439" s="20">
        <v>3760</v>
      </c>
      <c r="Z2439" s="6" t="s">
        <v>5978</v>
      </c>
      <c r="AA2439" s="14">
        <f t="shared" si="305"/>
        <v>5.9999999999999995E-4</v>
      </c>
      <c r="AB2439">
        <v>2.1231659999999999</v>
      </c>
      <c r="AC2439">
        <v>2.2080926399999998</v>
      </c>
    </row>
    <row r="2440" spans="1:29" x14ac:dyDescent="0.3">
      <c r="A2440">
        <v>151404</v>
      </c>
      <c r="B2440" s="25" t="s">
        <v>5984</v>
      </c>
      <c r="C2440" t="s">
        <v>20</v>
      </c>
      <c r="D2440" t="s">
        <v>21</v>
      </c>
      <c r="E2440">
        <v>2222222</v>
      </c>
      <c r="F2440" s="8" t="s">
        <v>22</v>
      </c>
      <c r="G2440" s="2">
        <v>98</v>
      </c>
      <c r="H2440" t="s">
        <v>4247</v>
      </c>
      <c r="J2440" s="9" t="s">
        <v>4871</v>
      </c>
      <c r="K2440" t="s">
        <v>5035</v>
      </c>
      <c r="L2440" s="2">
        <v>1</v>
      </c>
      <c r="M2440" s="24" t="s">
        <v>5971</v>
      </c>
      <c r="N2440" s="2" t="s">
        <v>23</v>
      </c>
      <c r="O2440" s="18" t="s">
        <v>1935</v>
      </c>
      <c r="P2440" s="18" t="s">
        <v>0</v>
      </c>
      <c r="Q2440" s="6" t="s">
        <v>4475</v>
      </c>
      <c r="T2440" s="23">
        <v>46169</v>
      </c>
      <c r="U2440" s="23">
        <v>47994</v>
      </c>
      <c r="X2440" s="20">
        <v>3360</v>
      </c>
      <c r="Z2440" s="6" t="s">
        <v>5978</v>
      </c>
      <c r="AA2440" s="14">
        <f t="shared" si="305"/>
        <v>5.9999999999999995E-4</v>
      </c>
      <c r="AB2440">
        <v>2.016</v>
      </c>
      <c r="AC2440">
        <v>2.0966400000000003</v>
      </c>
    </row>
    <row r="2441" spans="1:29" x14ac:dyDescent="0.3">
      <c r="A2441">
        <v>151676</v>
      </c>
      <c r="B2441" s="25" t="s">
        <v>5984</v>
      </c>
      <c r="C2441" t="s">
        <v>20</v>
      </c>
      <c r="D2441" t="s">
        <v>21</v>
      </c>
      <c r="E2441">
        <v>2222222</v>
      </c>
      <c r="F2441" s="8" t="s">
        <v>22</v>
      </c>
      <c r="G2441" s="2">
        <v>98</v>
      </c>
      <c r="H2441" t="s">
        <v>4247</v>
      </c>
      <c r="J2441" s="9" t="s">
        <v>4848</v>
      </c>
      <c r="K2441" t="s">
        <v>5006</v>
      </c>
      <c r="L2441" s="2">
        <v>1</v>
      </c>
      <c r="M2441" s="24" t="s">
        <v>5971</v>
      </c>
      <c r="N2441" s="2" t="s">
        <v>23</v>
      </c>
      <c r="O2441" s="18" t="s">
        <v>1930</v>
      </c>
      <c r="P2441" s="18" t="s">
        <v>0</v>
      </c>
      <c r="Q2441" s="6" t="s">
        <v>4475</v>
      </c>
      <c r="T2441" s="23">
        <v>46185</v>
      </c>
      <c r="U2441" s="23">
        <v>46275</v>
      </c>
      <c r="X2441" s="20">
        <v>1010</v>
      </c>
      <c r="Z2441" s="6" t="s">
        <v>5978</v>
      </c>
      <c r="AA2441" s="14">
        <f t="shared" si="305"/>
        <v>5.9999999999999995E-4</v>
      </c>
      <c r="AB2441">
        <v>0.60599999999999998</v>
      </c>
      <c r="AC2441">
        <v>0.63024000000000002</v>
      </c>
    </row>
    <row r="2442" spans="1:29" x14ac:dyDescent="0.3">
      <c r="A2442">
        <v>151129</v>
      </c>
      <c r="B2442" s="25" t="s">
        <v>5984</v>
      </c>
      <c r="C2442" t="s">
        <v>20</v>
      </c>
      <c r="D2442" t="s">
        <v>21</v>
      </c>
      <c r="E2442">
        <v>2222222</v>
      </c>
      <c r="F2442" s="8" t="s">
        <v>22</v>
      </c>
      <c r="G2442" s="2">
        <v>98</v>
      </c>
      <c r="H2442" t="s">
        <v>4248</v>
      </c>
      <c r="J2442" s="9" t="s">
        <v>5042</v>
      </c>
      <c r="K2442" t="s">
        <v>5031</v>
      </c>
      <c r="L2442" s="2">
        <v>1</v>
      </c>
      <c r="M2442" s="24" t="s">
        <v>5971</v>
      </c>
      <c r="N2442" s="2" t="s">
        <v>23</v>
      </c>
      <c r="O2442" s="18" t="s">
        <v>1936</v>
      </c>
      <c r="P2442" s="18" t="s">
        <v>3781</v>
      </c>
      <c r="Q2442" s="6" t="s">
        <v>4475</v>
      </c>
      <c r="T2442" s="23">
        <v>46149</v>
      </c>
      <c r="U2442" s="23">
        <v>48705</v>
      </c>
      <c r="X2442" s="20">
        <v>20000</v>
      </c>
      <c r="Z2442" s="6" t="s">
        <v>5978</v>
      </c>
      <c r="AA2442" s="14">
        <f t="shared" si="305"/>
        <v>5.9999999999999995E-4</v>
      </c>
      <c r="AB2442">
        <v>11.839199999999998</v>
      </c>
      <c r="AC2442">
        <v>12.312767999999998</v>
      </c>
    </row>
    <row r="2443" spans="1:29" x14ac:dyDescent="0.3">
      <c r="A2443">
        <v>147986</v>
      </c>
      <c r="B2443" s="25" t="s">
        <v>5984</v>
      </c>
      <c r="C2443" t="s">
        <v>20</v>
      </c>
      <c r="D2443" t="s">
        <v>21</v>
      </c>
      <c r="E2443">
        <v>2222222</v>
      </c>
      <c r="F2443" s="8" t="s">
        <v>22</v>
      </c>
      <c r="G2443" s="2">
        <v>98</v>
      </c>
      <c r="H2443" t="s">
        <v>4249</v>
      </c>
      <c r="J2443" s="9" t="s">
        <v>4836</v>
      </c>
      <c r="K2443" t="s">
        <v>4761</v>
      </c>
      <c r="L2443" s="2">
        <v>1</v>
      </c>
      <c r="M2443" s="24" t="s">
        <v>5971</v>
      </c>
      <c r="N2443" s="2" t="s">
        <v>23</v>
      </c>
      <c r="O2443" s="18" t="s">
        <v>1937</v>
      </c>
      <c r="P2443" s="18" t="s">
        <v>3781</v>
      </c>
      <c r="Q2443" s="6" t="s">
        <v>4475</v>
      </c>
      <c r="T2443" s="23">
        <v>45926</v>
      </c>
      <c r="U2443" s="23">
        <v>46291</v>
      </c>
      <c r="X2443" s="20">
        <v>1550</v>
      </c>
      <c r="Z2443" s="6" t="s">
        <v>5978</v>
      </c>
      <c r="AA2443" s="14">
        <f t="shared" si="305"/>
        <v>5.9999999999999995E-4</v>
      </c>
      <c r="AB2443">
        <v>0.16597799999999999</v>
      </c>
      <c r="AC2443">
        <v>0.17261711999999999</v>
      </c>
    </row>
    <row r="2444" spans="1:29" x14ac:dyDescent="0.3">
      <c r="A2444">
        <v>151766</v>
      </c>
      <c r="B2444" s="25" t="s">
        <v>5984</v>
      </c>
      <c r="C2444" t="s">
        <v>20</v>
      </c>
      <c r="D2444" t="s">
        <v>21</v>
      </c>
      <c r="E2444">
        <v>2222222</v>
      </c>
      <c r="F2444" s="8" t="s">
        <v>22</v>
      </c>
      <c r="G2444" s="2">
        <v>98</v>
      </c>
      <c r="H2444" t="s">
        <v>4249</v>
      </c>
      <c r="J2444" s="9" t="s">
        <v>5031</v>
      </c>
      <c r="K2444" t="s">
        <v>4992</v>
      </c>
      <c r="L2444" s="2">
        <v>1</v>
      </c>
      <c r="M2444" s="24" t="s">
        <v>5971</v>
      </c>
      <c r="N2444" s="2" t="s">
        <v>23</v>
      </c>
      <c r="O2444" s="18" t="s">
        <v>1938</v>
      </c>
      <c r="P2444" s="18" t="s">
        <v>3781</v>
      </c>
      <c r="Q2444" s="6" t="s">
        <v>4475</v>
      </c>
      <c r="T2444" s="23">
        <v>46185</v>
      </c>
      <c r="U2444" s="23">
        <v>46275</v>
      </c>
      <c r="X2444" s="20">
        <v>2000</v>
      </c>
      <c r="Z2444" s="6" t="s">
        <v>5978</v>
      </c>
      <c r="AA2444" s="14">
        <f t="shared" si="305"/>
        <v>5.9999999999999995E-4</v>
      </c>
      <c r="AB2444">
        <v>1.2</v>
      </c>
      <c r="AC2444">
        <v>1.248</v>
      </c>
    </row>
    <row r="2445" spans="1:29" x14ac:dyDescent="0.3">
      <c r="A2445">
        <v>145168</v>
      </c>
      <c r="B2445" s="25" t="s">
        <v>5984</v>
      </c>
      <c r="C2445" t="s">
        <v>20</v>
      </c>
      <c r="D2445" t="s">
        <v>21</v>
      </c>
      <c r="E2445">
        <v>2222222</v>
      </c>
      <c r="F2445" s="8" t="s">
        <v>22</v>
      </c>
      <c r="G2445" s="2">
        <v>98</v>
      </c>
      <c r="H2445" t="s">
        <v>4250</v>
      </c>
      <c r="J2445" s="9" t="s">
        <v>5204</v>
      </c>
      <c r="K2445" t="s">
        <v>4968</v>
      </c>
      <c r="L2445" s="2">
        <v>1</v>
      </c>
      <c r="M2445" s="24" t="s">
        <v>5971</v>
      </c>
      <c r="N2445" s="2" t="s">
        <v>23</v>
      </c>
      <c r="O2445" s="18" t="s">
        <v>1939</v>
      </c>
      <c r="P2445" s="18" t="s">
        <v>0</v>
      </c>
      <c r="Q2445" s="6" t="s">
        <v>4475</v>
      </c>
      <c r="T2445" s="23">
        <v>45716</v>
      </c>
      <c r="U2445" s="23">
        <v>49399</v>
      </c>
      <c r="X2445" s="20">
        <v>30000</v>
      </c>
      <c r="Z2445" s="6" t="s">
        <v>5978</v>
      </c>
      <c r="AA2445" s="14">
        <f t="shared" si="305"/>
        <v>5.9999999999999995E-4</v>
      </c>
      <c r="AB2445">
        <v>16.716798000000001</v>
      </c>
      <c r="AC2445">
        <v>17.385469920000002</v>
      </c>
    </row>
    <row r="2446" spans="1:29" x14ac:dyDescent="0.3">
      <c r="A2446">
        <v>136086</v>
      </c>
      <c r="B2446" s="25" t="s">
        <v>5984</v>
      </c>
      <c r="C2446" t="s">
        <v>20</v>
      </c>
      <c r="D2446" t="s">
        <v>21</v>
      </c>
      <c r="E2446">
        <v>2222222</v>
      </c>
      <c r="F2446" s="8" t="s">
        <v>22</v>
      </c>
      <c r="G2446" s="2">
        <v>98</v>
      </c>
      <c r="H2446" t="s">
        <v>4251</v>
      </c>
      <c r="J2446" s="9" t="s">
        <v>5101</v>
      </c>
      <c r="K2446" t="s">
        <v>5591</v>
      </c>
      <c r="L2446" s="2">
        <v>1</v>
      </c>
      <c r="M2446" s="24" t="s">
        <v>5971</v>
      </c>
      <c r="N2446" s="2" t="s">
        <v>23</v>
      </c>
      <c r="O2446" s="18" t="s">
        <v>282</v>
      </c>
      <c r="P2446" s="18" t="s">
        <v>3781</v>
      </c>
      <c r="Q2446" s="6" t="s">
        <v>4475</v>
      </c>
      <c r="T2446" s="23">
        <v>45163</v>
      </c>
      <c r="U2446" s="23">
        <v>47354</v>
      </c>
      <c r="X2446" s="20">
        <v>20000</v>
      </c>
      <c r="Z2446" s="6" t="s">
        <v>5978</v>
      </c>
      <c r="AA2446" s="13">
        <f>+(0.56/1000)</f>
        <v>5.6000000000000006E-4</v>
      </c>
      <c r="AB2446">
        <v>7.0742616000000007</v>
      </c>
      <c r="AC2446">
        <v>7.3572320640000006</v>
      </c>
    </row>
    <row r="2447" spans="1:29" x14ac:dyDescent="0.3">
      <c r="A2447">
        <v>146869</v>
      </c>
      <c r="B2447" s="25" t="s">
        <v>5984</v>
      </c>
      <c r="C2447" t="s">
        <v>20</v>
      </c>
      <c r="D2447" t="s">
        <v>21</v>
      </c>
      <c r="E2447">
        <v>2222222</v>
      </c>
      <c r="F2447" s="8" t="s">
        <v>22</v>
      </c>
      <c r="G2447" s="2">
        <v>98</v>
      </c>
      <c r="H2447" t="s">
        <v>4251</v>
      </c>
      <c r="J2447" s="9" t="s">
        <v>5199</v>
      </c>
      <c r="K2447" t="s">
        <v>5078</v>
      </c>
      <c r="L2447" s="2">
        <v>1</v>
      </c>
      <c r="M2447" s="24" t="s">
        <v>5971</v>
      </c>
      <c r="N2447" s="2" t="s">
        <v>23</v>
      </c>
      <c r="O2447" s="18" t="s">
        <v>1940</v>
      </c>
      <c r="P2447" s="18" t="s">
        <v>0</v>
      </c>
      <c r="Q2447" s="6" t="s">
        <v>4475</v>
      </c>
      <c r="T2447" s="23">
        <v>45862</v>
      </c>
      <c r="U2447" s="23">
        <v>46957</v>
      </c>
      <c r="X2447" s="20">
        <v>35000</v>
      </c>
      <c r="Z2447" s="6" t="s">
        <v>5978</v>
      </c>
      <c r="AA2447" s="14">
        <f t="shared" ref="AA2447:AA2452" si="306">+(0.6/1000)</f>
        <v>5.9999999999999995E-4</v>
      </c>
      <c r="AB2447">
        <v>14.954621999999999</v>
      </c>
      <c r="AC2447">
        <v>15.552806879999999</v>
      </c>
    </row>
    <row r="2448" spans="1:29" x14ac:dyDescent="0.3">
      <c r="A2448">
        <v>147563</v>
      </c>
      <c r="B2448" s="25" t="s">
        <v>5984</v>
      </c>
      <c r="C2448" t="s">
        <v>20</v>
      </c>
      <c r="D2448" t="s">
        <v>21</v>
      </c>
      <c r="E2448">
        <v>2222222</v>
      </c>
      <c r="F2448" s="8" t="s">
        <v>22</v>
      </c>
      <c r="G2448" s="2">
        <v>98</v>
      </c>
      <c r="H2448" t="s">
        <v>4251</v>
      </c>
      <c r="J2448" s="9" t="s">
        <v>4969</v>
      </c>
      <c r="K2448" t="s">
        <v>4836</v>
      </c>
      <c r="L2448" s="2">
        <v>1</v>
      </c>
      <c r="M2448" s="24" t="s">
        <v>5971</v>
      </c>
      <c r="N2448" s="2" t="s">
        <v>23</v>
      </c>
      <c r="O2448" s="18" t="s">
        <v>1941</v>
      </c>
      <c r="P2448" s="18" t="s">
        <v>3781</v>
      </c>
      <c r="Q2448" s="6" t="s">
        <v>4475</v>
      </c>
      <c r="T2448" s="23">
        <v>45898</v>
      </c>
      <c r="U2448" s="23">
        <v>46993</v>
      </c>
      <c r="X2448" s="20">
        <v>1900</v>
      </c>
      <c r="Z2448" s="6" t="s">
        <v>5978</v>
      </c>
      <c r="AA2448" s="14">
        <f t="shared" si="306"/>
        <v>5.9999999999999995E-4</v>
      </c>
      <c r="AB2448">
        <v>0.87895799999999991</v>
      </c>
      <c r="AC2448">
        <v>0.91411631999999998</v>
      </c>
    </row>
    <row r="2449" spans="1:29" x14ac:dyDescent="0.3">
      <c r="A2449">
        <v>151257</v>
      </c>
      <c r="B2449" s="25" t="s">
        <v>5984</v>
      </c>
      <c r="C2449" t="s">
        <v>20</v>
      </c>
      <c r="D2449" t="s">
        <v>21</v>
      </c>
      <c r="E2449">
        <v>2222222</v>
      </c>
      <c r="F2449" s="8" t="s">
        <v>22</v>
      </c>
      <c r="G2449" s="2">
        <v>98</v>
      </c>
      <c r="H2449" t="s">
        <v>4251</v>
      </c>
      <c r="J2449" s="9" t="s">
        <v>4950</v>
      </c>
      <c r="K2449" t="s">
        <v>5523</v>
      </c>
      <c r="L2449" s="2">
        <v>1</v>
      </c>
      <c r="M2449" s="24" t="s">
        <v>5971</v>
      </c>
      <c r="N2449" s="2" t="s">
        <v>23</v>
      </c>
      <c r="O2449" s="18" t="s">
        <v>1942</v>
      </c>
      <c r="P2449" s="18" t="s">
        <v>0</v>
      </c>
      <c r="Q2449" s="6" t="s">
        <v>4475</v>
      </c>
      <c r="T2449" s="23">
        <v>46160</v>
      </c>
      <c r="U2449" s="23">
        <v>48716</v>
      </c>
      <c r="X2449" s="20">
        <v>14500</v>
      </c>
      <c r="Z2449" s="6" t="s">
        <v>5978</v>
      </c>
      <c r="AA2449" s="14">
        <f t="shared" si="306"/>
        <v>5.9999999999999995E-4</v>
      </c>
      <c r="AB2449">
        <v>8.5834200000000003</v>
      </c>
      <c r="AC2449">
        <v>8.9267567999999997</v>
      </c>
    </row>
    <row r="2450" spans="1:29" x14ac:dyDescent="0.3">
      <c r="A2450">
        <v>151800</v>
      </c>
      <c r="B2450" s="25" t="s">
        <v>5984</v>
      </c>
      <c r="C2450" t="s">
        <v>20</v>
      </c>
      <c r="D2450" t="s">
        <v>21</v>
      </c>
      <c r="E2450">
        <v>2222222</v>
      </c>
      <c r="F2450" s="8" t="s">
        <v>22</v>
      </c>
      <c r="G2450" s="2">
        <v>98</v>
      </c>
      <c r="H2450" t="s">
        <v>4251</v>
      </c>
      <c r="J2450" s="9" t="s">
        <v>4929</v>
      </c>
      <c r="K2450" t="s">
        <v>4983</v>
      </c>
      <c r="L2450" s="2">
        <v>1</v>
      </c>
      <c r="M2450" s="24" t="s">
        <v>5971</v>
      </c>
      <c r="N2450" s="2" t="s">
        <v>23</v>
      </c>
      <c r="O2450" s="18" t="s">
        <v>1943</v>
      </c>
      <c r="P2450" s="18" t="s">
        <v>0</v>
      </c>
      <c r="Q2450" s="6" t="s">
        <v>4475</v>
      </c>
      <c r="T2450" s="23">
        <v>46188</v>
      </c>
      <c r="U2450" s="23">
        <v>46278</v>
      </c>
      <c r="X2450" s="20">
        <v>3000</v>
      </c>
      <c r="Z2450" s="6" t="s">
        <v>5978</v>
      </c>
      <c r="AA2450" s="14">
        <f t="shared" si="306"/>
        <v>5.9999999999999995E-4</v>
      </c>
      <c r="AB2450">
        <v>1.7999999999999998</v>
      </c>
      <c r="AC2450">
        <v>1.8719999999999999</v>
      </c>
    </row>
    <row r="2451" spans="1:29" x14ac:dyDescent="0.3">
      <c r="A2451">
        <v>150986</v>
      </c>
      <c r="B2451" s="25" t="s">
        <v>5984</v>
      </c>
      <c r="C2451" t="s">
        <v>20</v>
      </c>
      <c r="D2451" t="s">
        <v>21</v>
      </c>
      <c r="E2451">
        <v>2222222</v>
      </c>
      <c r="F2451" s="8" t="s">
        <v>22</v>
      </c>
      <c r="G2451" s="2">
        <v>98</v>
      </c>
      <c r="H2451" t="s">
        <v>4252</v>
      </c>
      <c r="J2451" s="9" t="s">
        <v>5234</v>
      </c>
      <c r="K2451" t="s">
        <v>4878</v>
      </c>
      <c r="L2451" s="2">
        <v>1</v>
      </c>
      <c r="M2451" s="24" t="s">
        <v>5971</v>
      </c>
      <c r="N2451" s="2" t="s">
        <v>23</v>
      </c>
      <c r="O2451" s="18" t="s">
        <v>1944</v>
      </c>
      <c r="P2451" s="18" t="s">
        <v>0</v>
      </c>
      <c r="Q2451" s="6" t="s">
        <v>4475</v>
      </c>
      <c r="T2451" s="23">
        <v>46131</v>
      </c>
      <c r="U2451" s="23">
        <v>46862</v>
      </c>
      <c r="X2451" s="20">
        <v>4200</v>
      </c>
      <c r="Z2451" s="6" t="s">
        <v>5978</v>
      </c>
      <c r="AA2451" s="14">
        <f t="shared" si="306"/>
        <v>5.9999999999999995E-4</v>
      </c>
      <c r="AB2451">
        <v>2.2522979999999997</v>
      </c>
      <c r="AC2451">
        <v>2.3423899199999996</v>
      </c>
    </row>
    <row r="2452" spans="1:29" x14ac:dyDescent="0.3">
      <c r="A2452">
        <v>152081</v>
      </c>
      <c r="B2452" s="25" t="s">
        <v>5984</v>
      </c>
      <c r="C2452" t="s">
        <v>20</v>
      </c>
      <c r="D2452" t="s">
        <v>21</v>
      </c>
      <c r="E2452">
        <v>2222222</v>
      </c>
      <c r="F2452" s="8" t="s">
        <v>22</v>
      </c>
      <c r="G2452" s="2">
        <v>98</v>
      </c>
      <c r="H2452" t="s">
        <v>4253</v>
      </c>
      <c r="J2452" s="9" t="s">
        <v>4852</v>
      </c>
      <c r="K2452" t="s">
        <v>5288</v>
      </c>
      <c r="L2452" s="2">
        <v>1</v>
      </c>
      <c r="M2452" s="24" t="s">
        <v>5971</v>
      </c>
      <c r="N2452" s="2" t="s">
        <v>23</v>
      </c>
      <c r="O2452" s="18" t="s">
        <v>161</v>
      </c>
      <c r="P2452" s="18" t="s">
        <v>0</v>
      </c>
      <c r="Q2452" s="6" t="s">
        <v>4475</v>
      </c>
      <c r="T2452" s="23">
        <v>46219</v>
      </c>
      <c r="U2452" s="23">
        <v>47314</v>
      </c>
      <c r="X2452" s="20">
        <v>10300</v>
      </c>
      <c r="Z2452" s="6" t="s">
        <v>5978</v>
      </c>
      <c r="AA2452" s="14">
        <f t="shared" si="306"/>
        <v>5.9999999999999995E-4</v>
      </c>
      <c r="AB2452">
        <v>6.18</v>
      </c>
      <c r="AC2452">
        <v>6.4272</v>
      </c>
    </row>
    <row r="2453" spans="1:29" x14ac:dyDescent="0.3">
      <c r="A2453">
        <v>137839</v>
      </c>
      <c r="B2453" s="25" t="s">
        <v>5984</v>
      </c>
      <c r="C2453" t="s">
        <v>20</v>
      </c>
      <c r="D2453" t="s">
        <v>21</v>
      </c>
      <c r="E2453">
        <v>2222222</v>
      </c>
      <c r="F2453" s="8" t="s">
        <v>22</v>
      </c>
      <c r="G2453" s="2">
        <v>98</v>
      </c>
      <c r="H2453" t="s">
        <v>4254</v>
      </c>
      <c r="J2453" s="9" t="s">
        <v>5333</v>
      </c>
      <c r="K2453" t="s">
        <v>5620</v>
      </c>
      <c r="L2453" s="2">
        <v>1</v>
      </c>
      <c r="M2453" s="24" t="s">
        <v>5971</v>
      </c>
      <c r="N2453" s="2" t="s">
        <v>23</v>
      </c>
      <c r="O2453" s="18" t="s">
        <v>1945</v>
      </c>
      <c r="P2453" s="18" t="s">
        <v>3781</v>
      </c>
      <c r="Q2453" s="6" t="s">
        <v>4475</v>
      </c>
      <c r="T2453" s="23">
        <v>45244</v>
      </c>
      <c r="U2453" s="23">
        <v>47071</v>
      </c>
      <c r="X2453" s="20">
        <v>16200</v>
      </c>
      <c r="Z2453" s="6" t="s">
        <v>5978</v>
      </c>
      <c r="AA2453" s="13">
        <f>+(0.56/1000)</f>
        <v>5.6000000000000006E-4</v>
      </c>
      <c r="AB2453">
        <v>5.2076640000000003</v>
      </c>
      <c r="AC2453">
        <v>5.4159705600000008</v>
      </c>
    </row>
    <row r="2454" spans="1:29" x14ac:dyDescent="0.3">
      <c r="A2454">
        <v>143666</v>
      </c>
      <c r="B2454" s="25" t="s">
        <v>5984</v>
      </c>
      <c r="C2454" t="s">
        <v>20</v>
      </c>
      <c r="D2454" t="s">
        <v>21</v>
      </c>
      <c r="E2454">
        <v>2222222</v>
      </c>
      <c r="F2454" s="8" t="s">
        <v>22</v>
      </c>
      <c r="G2454" s="2">
        <v>98</v>
      </c>
      <c r="H2454" t="s">
        <v>4254</v>
      </c>
      <c r="J2454" s="9" t="s">
        <v>4779</v>
      </c>
      <c r="K2454" t="s">
        <v>5006</v>
      </c>
      <c r="L2454" s="2">
        <v>1</v>
      </c>
      <c r="M2454" s="24" t="s">
        <v>5971</v>
      </c>
      <c r="N2454" s="2" t="s">
        <v>23</v>
      </c>
      <c r="O2454" s="18" t="s">
        <v>1946</v>
      </c>
      <c r="P2454" s="18" t="s">
        <v>0</v>
      </c>
      <c r="Q2454" s="6" t="s">
        <v>4475</v>
      </c>
      <c r="T2454" s="23">
        <v>45609</v>
      </c>
      <c r="U2454" s="23">
        <v>46339</v>
      </c>
      <c r="X2454" s="20">
        <v>5000</v>
      </c>
      <c r="Z2454" s="6" t="s">
        <v>5978</v>
      </c>
      <c r="AA2454" s="14">
        <f t="shared" ref="AA2454:AA2457" si="307">+(0.6/1000)</f>
        <v>5.9999999999999995E-4</v>
      </c>
      <c r="AB2454">
        <v>0.58130399999999993</v>
      </c>
      <c r="AC2454">
        <v>0.6045561599999999</v>
      </c>
    </row>
    <row r="2455" spans="1:29" x14ac:dyDescent="0.3">
      <c r="A2455">
        <v>147218</v>
      </c>
      <c r="B2455" s="25" t="s">
        <v>5984</v>
      </c>
      <c r="C2455" t="s">
        <v>20</v>
      </c>
      <c r="D2455" t="s">
        <v>21</v>
      </c>
      <c r="E2455">
        <v>2222222</v>
      </c>
      <c r="F2455" s="8" t="s">
        <v>22</v>
      </c>
      <c r="G2455" s="2">
        <v>98</v>
      </c>
      <c r="H2455" t="s">
        <v>4254</v>
      </c>
      <c r="J2455" s="9" t="s">
        <v>5165</v>
      </c>
      <c r="K2455" t="s">
        <v>4924</v>
      </c>
      <c r="L2455" s="2">
        <v>1</v>
      </c>
      <c r="M2455" s="24" t="s">
        <v>5971</v>
      </c>
      <c r="N2455" s="2" t="s">
        <v>23</v>
      </c>
      <c r="O2455" s="18" t="s">
        <v>1947</v>
      </c>
      <c r="P2455" s="18" t="s">
        <v>3781</v>
      </c>
      <c r="Q2455" s="6" t="s">
        <v>4475</v>
      </c>
      <c r="T2455" s="23">
        <v>45910</v>
      </c>
      <c r="U2455" s="23">
        <v>48472</v>
      </c>
      <c r="X2455" s="20">
        <v>12500</v>
      </c>
      <c r="Z2455" s="6" t="s">
        <v>5978</v>
      </c>
      <c r="AA2455" s="14">
        <f t="shared" si="307"/>
        <v>5.9999999999999995E-4</v>
      </c>
      <c r="AB2455">
        <v>6.9001859999999988</v>
      </c>
      <c r="AC2455">
        <v>7.1761934399999987</v>
      </c>
    </row>
    <row r="2456" spans="1:29" x14ac:dyDescent="0.3">
      <c r="A2456">
        <v>148436</v>
      </c>
      <c r="B2456" s="25" t="s">
        <v>5984</v>
      </c>
      <c r="C2456" t="s">
        <v>20</v>
      </c>
      <c r="D2456" t="s">
        <v>21</v>
      </c>
      <c r="E2456">
        <v>2222222</v>
      </c>
      <c r="F2456" s="8" t="s">
        <v>22</v>
      </c>
      <c r="G2456" s="2">
        <v>98</v>
      </c>
      <c r="H2456" t="s">
        <v>4254</v>
      </c>
      <c r="J2456" s="9" t="s">
        <v>4852</v>
      </c>
      <c r="K2456" t="s">
        <v>4950</v>
      </c>
      <c r="L2456" s="2">
        <v>1</v>
      </c>
      <c r="M2456" s="24" t="s">
        <v>5971</v>
      </c>
      <c r="N2456" s="2" t="s">
        <v>23</v>
      </c>
      <c r="O2456" s="18" t="s">
        <v>1948</v>
      </c>
      <c r="P2456" s="18" t="s">
        <v>0</v>
      </c>
      <c r="Q2456" s="6" t="s">
        <v>4475</v>
      </c>
      <c r="T2456" s="23">
        <v>45961</v>
      </c>
      <c r="U2456" s="23">
        <v>49612</v>
      </c>
      <c r="X2456" s="20">
        <v>13450</v>
      </c>
      <c r="Z2456" s="6" t="s">
        <v>5978</v>
      </c>
      <c r="AA2456" s="14">
        <f t="shared" si="307"/>
        <v>5.9999999999999995E-4</v>
      </c>
      <c r="AB2456">
        <v>7.8520379999999994</v>
      </c>
      <c r="AC2456">
        <v>8.1661195200000005</v>
      </c>
    </row>
    <row r="2457" spans="1:29" x14ac:dyDescent="0.3">
      <c r="A2457">
        <v>143873</v>
      </c>
      <c r="B2457" s="25" t="s">
        <v>5984</v>
      </c>
      <c r="C2457" t="s">
        <v>20</v>
      </c>
      <c r="D2457" t="s">
        <v>21</v>
      </c>
      <c r="E2457">
        <v>2222222</v>
      </c>
      <c r="F2457" s="8" t="s">
        <v>22</v>
      </c>
      <c r="G2457" s="2">
        <v>98</v>
      </c>
      <c r="H2457" t="s">
        <v>4255</v>
      </c>
      <c r="J2457" s="9" t="s">
        <v>4838</v>
      </c>
      <c r="K2457" t="s">
        <v>5068</v>
      </c>
      <c r="L2457" s="2">
        <v>1</v>
      </c>
      <c r="M2457" s="24" t="s">
        <v>5971</v>
      </c>
      <c r="N2457" s="2" t="s">
        <v>23</v>
      </c>
      <c r="O2457" s="18" t="s">
        <v>1949</v>
      </c>
      <c r="P2457" s="18" t="s">
        <v>0</v>
      </c>
      <c r="Q2457" s="6" t="s">
        <v>4475</v>
      </c>
      <c r="T2457" s="23">
        <v>45622</v>
      </c>
      <c r="U2457" s="23">
        <v>49455</v>
      </c>
      <c r="X2457" s="20">
        <v>11700</v>
      </c>
      <c r="Z2457" s="6" t="s">
        <v>5978</v>
      </c>
      <c r="AA2457" s="14">
        <f t="shared" si="307"/>
        <v>5.9999999999999995E-4</v>
      </c>
      <c r="AB2457">
        <v>6.6589379999999991</v>
      </c>
      <c r="AC2457">
        <v>6.9252955199999997</v>
      </c>
    </row>
    <row r="2458" spans="1:29" x14ac:dyDescent="0.3">
      <c r="A2458">
        <v>113323</v>
      </c>
      <c r="B2458" s="25" t="s">
        <v>5984</v>
      </c>
      <c r="C2458" t="s">
        <v>20</v>
      </c>
      <c r="D2458" t="s">
        <v>21</v>
      </c>
      <c r="E2458">
        <v>2222222</v>
      </c>
      <c r="F2458" s="8" t="s">
        <v>22</v>
      </c>
      <c r="G2458" s="2">
        <v>98</v>
      </c>
      <c r="H2458" t="s">
        <v>4256</v>
      </c>
      <c r="J2458" s="9" t="s">
        <v>4836</v>
      </c>
      <c r="K2458" t="s">
        <v>4991</v>
      </c>
      <c r="L2458" s="2">
        <v>1</v>
      </c>
      <c r="M2458" s="24" t="s">
        <v>5971</v>
      </c>
      <c r="N2458" s="2" t="s">
        <v>23</v>
      </c>
      <c r="O2458" s="18" t="s">
        <v>768</v>
      </c>
      <c r="P2458" s="18" t="s">
        <v>3781</v>
      </c>
      <c r="Q2458" s="6" t="s">
        <v>4475</v>
      </c>
      <c r="T2458" s="23">
        <v>44006</v>
      </c>
      <c r="U2458" s="23">
        <v>47734</v>
      </c>
      <c r="X2458" s="20">
        <v>65496</v>
      </c>
      <c r="Z2458" s="6" t="s">
        <v>5978</v>
      </c>
      <c r="AA2458" s="15">
        <f>+(0.42/1000)</f>
        <v>4.1999999999999996E-4</v>
      </c>
      <c r="AB2458">
        <v>16.805560799999999</v>
      </c>
      <c r="AC2458">
        <v>17.477783232</v>
      </c>
    </row>
    <row r="2459" spans="1:29" x14ac:dyDescent="0.3">
      <c r="A2459">
        <v>137339</v>
      </c>
      <c r="B2459" s="25" t="s">
        <v>5984</v>
      </c>
      <c r="C2459" t="s">
        <v>20</v>
      </c>
      <c r="D2459" t="s">
        <v>21</v>
      </c>
      <c r="E2459">
        <v>2222222</v>
      </c>
      <c r="F2459" s="8" t="s">
        <v>22</v>
      </c>
      <c r="G2459" s="2">
        <v>98</v>
      </c>
      <c r="H2459" t="s">
        <v>4256</v>
      </c>
      <c r="J2459" s="9" t="s">
        <v>4967</v>
      </c>
      <c r="K2459" t="s">
        <v>5517</v>
      </c>
      <c r="L2459" s="2">
        <v>1</v>
      </c>
      <c r="M2459" s="24" t="s">
        <v>5971</v>
      </c>
      <c r="N2459" s="2" t="s">
        <v>23</v>
      </c>
      <c r="O2459" s="18" t="s">
        <v>1950</v>
      </c>
      <c r="P2459" s="18" t="s">
        <v>3781</v>
      </c>
      <c r="Q2459" s="6" t="s">
        <v>4475</v>
      </c>
      <c r="T2459" s="23">
        <v>45217</v>
      </c>
      <c r="U2459" s="23">
        <v>50755</v>
      </c>
      <c r="X2459" s="20">
        <v>24500</v>
      </c>
      <c r="Z2459" s="6" t="s">
        <v>5978</v>
      </c>
      <c r="AA2459" s="13">
        <f t="shared" ref="AA2459:AA2460" si="308">+(0.56/1000)</f>
        <v>5.6000000000000006E-4</v>
      </c>
      <c r="AB2459">
        <v>13.628608000000002</v>
      </c>
      <c r="AC2459">
        <v>14.173752320000002</v>
      </c>
    </row>
    <row r="2460" spans="1:29" x14ac:dyDescent="0.3">
      <c r="A2460">
        <v>139665</v>
      </c>
      <c r="B2460" s="25" t="s">
        <v>5984</v>
      </c>
      <c r="C2460" t="s">
        <v>20</v>
      </c>
      <c r="D2460" t="s">
        <v>21</v>
      </c>
      <c r="E2460">
        <v>2222222</v>
      </c>
      <c r="F2460" s="8" t="s">
        <v>22</v>
      </c>
      <c r="G2460" s="2">
        <v>98</v>
      </c>
      <c r="H2460" t="s">
        <v>4256</v>
      </c>
      <c r="J2460" s="9" t="s">
        <v>5220</v>
      </c>
      <c r="K2460" t="s">
        <v>5212</v>
      </c>
      <c r="L2460" s="2">
        <v>1</v>
      </c>
      <c r="M2460" s="24" t="s">
        <v>5971</v>
      </c>
      <c r="N2460" s="2" t="s">
        <v>23</v>
      </c>
      <c r="O2460" s="18" t="s">
        <v>1951</v>
      </c>
      <c r="P2460" s="18" t="s">
        <v>0</v>
      </c>
      <c r="Q2460" s="6" t="s">
        <v>4475</v>
      </c>
      <c r="T2460" s="23">
        <v>45357</v>
      </c>
      <c r="U2460" s="23">
        <v>47552</v>
      </c>
      <c r="X2460" s="20">
        <v>10000</v>
      </c>
      <c r="Z2460" s="6" t="s">
        <v>5978</v>
      </c>
      <c r="AA2460" s="13">
        <f t="shared" si="308"/>
        <v>5.6000000000000006E-4</v>
      </c>
      <c r="AB2460">
        <v>4.0302976000000008</v>
      </c>
      <c r="AC2460">
        <v>4.1915095040000008</v>
      </c>
    </row>
    <row r="2461" spans="1:29" x14ac:dyDescent="0.3">
      <c r="A2461">
        <v>145359</v>
      </c>
      <c r="B2461" s="25" t="s">
        <v>5984</v>
      </c>
      <c r="C2461" t="s">
        <v>20</v>
      </c>
      <c r="D2461" t="s">
        <v>21</v>
      </c>
      <c r="E2461">
        <v>2222222</v>
      </c>
      <c r="F2461" s="8" t="s">
        <v>22</v>
      </c>
      <c r="G2461" s="2">
        <v>98</v>
      </c>
      <c r="H2461" t="s">
        <v>4256</v>
      </c>
      <c r="J2461" s="9" t="s">
        <v>4815</v>
      </c>
      <c r="K2461" t="s">
        <v>5270</v>
      </c>
      <c r="L2461" s="2">
        <v>1</v>
      </c>
      <c r="M2461" s="24" t="s">
        <v>5971</v>
      </c>
      <c r="N2461" s="2" t="s">
        <v>23</v>
      </c>
      <c r="O2461" s="18" t="s">
        <v>1952</v>
      </c>
      <c r="P2461" s="18" t="s">
        <v>0</v>
      </c>
      <c r="Q2461" s="6" t="s">
        <v>4475</v>
      </c>
      <c r="T2461" s="23">
        <v>45735</v>
      </c>
      <c r="U2461" s="23">
        <v>46285</v>
      </c>
      <c r="X2461" s="20">
        <v>1200</v>
      </c>
      <c r="Z2461" s="6" t="s">
        <v>5978</v>
      </c>
      <c r="AA2461" s="14">
        <f t="shared" ref="AA2461:AA2464" si="309">+(0.6/1000)</f>
        <v>5.9999999999999995E-4</v>
      </c>
      <c r="AB2461">
        <v>8.9357999999999993E-2</v>
      </c>
      <c r="AC2461">
        <v>9.2932319999999999E-2</v>
      </c>
    </row>
    <row r="2462" spans="1:29" x14ac:dyDescent="0.3">
      <c r="A2462">
        <v>150518</v>
      </c>
      <c r="B2462" s="25" t="s">
        <v>5984</v>
      </c>
      <c r="C2462" t="s">
        <v>20</v>
      </c>
      <c r="D2462" t="s">
        <v>21</v>
      </c>
      <c r="E2462">
        <v>2222222</v>
      </c>
      <c r="F2462" s="8" t="s">
        <v>22</v>
      </c>
      <c r="G2462" s="2">
        <v>98</v>
      </c>
      <c r="H2462" t="s">
        <v>4256</v>
      </c>
      <c r="J2462" s="9" t="s">
        <v>4967</v>
      </c>
      <c r="K2462" t="s">
        <v>5181</v>
      </c>
      <c r="L2462" s="2">
        <v>1</v>
      </c>
      <c r="M2462" s="24" t="s">
        <v>5971</v>
      </c>
      <c r="N2462" s="2" t="s">
        <v>23</v>
      </c>
      <c r="O2462" s="18" t="s">
        <v>1953</v>
      </c>
      <c r="P2462" s="18" t="s">
        <v>3781</v>
      </c>
      <c r="Q2462" s="6" t="s">
        <v>4475</v>
      </c>
      <c r="T2462" s="23">
        <v>46099</v>
      </c>
      <c r="U2462" s="23">
        <v>46464</v>
      </c>
      <c r="X2462" s="20">
        <v>4000</v>
      </c>
      <c r="Z2462" s="6" t="s">
        <v>5978</v>
      </c>
      <c r="AA2462" s="14">
        <f t="shared" si="309"/>
        <v>5.9999999999999995E-4</v>
      </c>
      <c r="AB2462">
        <v>1.6444379999999998</v>
      </c>
      <c r="AC2462">
        <v>1.71021552</v>
      </c>
    </row>
    <row r="2463" spans="1:29" x14ac:dyDescent="0.3">
      <c r="A2463">
        <v>151058</v>
      </c>
      <c r="B2463" s="25" t="s">
        <v>5984</v>
      </c>
      <c r="C2463" t="s">
        <v>20</v>
      </c>
      <c r="D2463" t="s">
        <v>21</v>
      </c>
      <c r="E2463">
        <v>2222222</v>
      </c>
      <c r="F2463" s="8" t="s">
        <v>22</v>
      </c>
      <c r="G2463" s="2">
        <v>98</v>
      </c>
      <c r="H2463" t="s">
        <v>4256</v>
      </c>
      <c r="J2463" s="9" t="s">
        <v>4900</v>
      </c>
      <c r="K2463" t="s">
        <v>4901</v>
      </c>
      <c r="L2463" s="2">
        <v>1</v>
      </c>
      <c r="M2463" s="24" t="s">
        <v>5971</v>
      </c>
      <c r="N2463" s="2" t="s">
        <v>23</v>
      </c>
      <c r="O2463" s="18" t="s">
        <v>1954</v>
      </c>
      <c r="P2463" s="18" t="s">
        <v>0</v>
      </c>
      <c r="Q2463" s="6" t="s">
        <v>4475</v>
      </c>
      <c r="T2463" s="23">
        <v>46135</v>
      </c>
      <c r="U2463" s="23">
        <v>47231</v>
      </c>
      <c r="X2463" s="20">
        <v>2300</v>
      </c>
      <c r="Z2463" s="6" t="s">
        <v>5978</v>
      </c>
      <c r="AA2463" s="14">
        <f t="shared" si="309"/>
        <v>5.9999999999999995E-4</v>
      </c>
      <c r="AB2463">
        <v>1.2899339999999999</v>
      </c>
      <c r="AC2463">
        <v>1.3415313600000001</v>
      </c>
    </row>
    <row r="2464" spans="1:29" x14ac:dyDescent="0.3">
      <c r="A2464">
        <v>151077</v>
      </c>
      <c r="B2464" s="25" t="s">
        <v>5984</v>
      </c>
      <c r="C2464" t="s">
        <v>20</v>
      </c>
      <c r="D2464" t="s">
        <v>21</v>
      </c>
      <c r="E2464">
        <v>2222222</v>
      </c>
      <c r="F2464" s="8" t="s">
        <v>22</v>
      </c>
      <c r="G2464" s="2">
        <v>98</v>
      </c>
      <c r="H2464" t="s">
        <v>4256</v>
      </c>
      <c r="J2464" s="9" t="s">
        <v>5220</v>
      </c>
      <c r="K2464" t="s">
        <v>5212</v>
      </c>
      <c r="L2464" s="2">
        <v>1</v>
      </c>
      <c r="M2464" s="24" t="s">
        <v>5971</v>
      </c>
      <c r="N2464" s="2" t="s">
        <v>23</v>
      </c>
      <c r="O2464" s="18" t="s">
        <v>1951</v>
      </c>
      <c r="P2464" s="18" t="s">
        <v>0</v>
      </c>
      <c r="Q2464" s="6" t="s">
        <v>4475</v>
      </c>
      <c r="T2464" s="23">
        <v>46136</v>
      </c>
      <c r="U2464" s="23">
        <v>47232</v>
      </c>
      <c r="X2464" s="20">
        <v>2040</v>
      </c>
      <c r="Z2464" s="6" t="s">
        <v>5978</v>
      </c>
      <c r="AA2464" s="14">
        <f t="shared" si="309"/>
        <v>5.9999999999999995E-4</v>
      </c>
      <c r="AB2464">
        <v>1.1441219999999999</v>
      </c>
      <c r="AC2464">
        <v>1.18988688</v>
      </c>
    </row>
    <row r="2465" spans="1:29" x14ac:dyDescent="0.3">
      <c r="A2465">
        <v>106917</v>
      </c>
      <c r="B2465" s="25" t="s">
        <v>5984</v>
      </c>
      <c r="C2465" t="s">
        <v>20</v>
      </c>
      <c r="D2465" t="s">
        <v>21</v>
      </c>
      <c r="E2465">
        <v>2222222</v>
      </c>
      <c r="F2465" s="8" t="s">
        <v>22</v>
      </c>
      <c r="G2465" s="2">
        <v>98</v>
      </c>
      <c r="H2465" t="s">
        <v>4257</v>
      </c>
      <c r="J2465" s="9" t="s">
        <v>4826</v>
      </c>
      <c r="K2465" t="s">
        <v>5621</v>
      </c>
      <c r="L2465" s="2">
        <v>1</v>
      </c>
      <c r="M2465" s="24" t="s">
        <v>5971</v>
      </c>
      <c r="N2465" s="2" t="s">
        <v>23</v>
      </c>
      <c r="O2465" s="18" t="s">
        <v>1955</v>
      </c>
      <c r="P2465" s="18" t="s">
        <v>0</v>
      </c>
      <c r="Q2465" s="6" t="s">
        <v>4475</v>
      </c>
      <c r="T2465" s="23">
        <v>43714</v>
      </c>
      <c r="U2465" s="23">
        <v>44233</v>
      </c>
      <c r="X2465" s="20">
        <v>1362</v>
      </c>
      <c r="Z2465" s="6" t="s">
        <v>5978</v>
      </c>
      <c r="AA2465" s="15">
        <f>+(0.42/1000)</f>
        <v>4.1999999999999996E-4</v>
      </c>
      <c r="AB2465">
        <v>0.35853719999999994</v>
      </c>
      <c r="AC2465">
        <v>0.37287868799999996</v>
      </c>
    </row>
    <row r="2466" spans="1:29" x14ac:dyDescent="0.3">
      <c r="A2466">
        <v>148928</v>
      </c>
      <c r="B2466" s="25" t="s">
        <v>5984</v>
      </c>
      <c r="C2466" t="s">
        <v>20</v>
      </c>
      <c r="D2466" t="s">
        <v>21</v>
      </c>
      <c r="E2466">
        <v>2222222</v>
      </c>
      <c r="F2466" s="8" t="s">
        <v>22</v>
      </c>
      <c r="G2466" s="2">
        <v>98</v>
      </c>
      <c r="H2466" t="s">
        <v>4257</v>
      </c>
      <c r="J2466" s="9" t="s">
        <v>4916</v>
      </c>
      <c r="K2466" t="s">
        <v>5151</v>
      </c>
      <c r="L2466" s="2">
        <v>1</v>
      </c>
      <c r="M2466" s="24" t="s">
        <v>5971</v>
      </c>
      <c r="N2466" s="2" t="s">
        <v>23</v>
      </c>
      <c r="O2466" s="18" t="s">
        <v>1956</v>
      </c>
      <c r="P2466" s="18" t="s">
        <v>3781</v>
      </c>
      <c r="Q2466" s="6" t="s">
        <v>4475</v>
      </c>
      <c r="T2466" s="23">
        <v>45987</v>
      </c>
      <c r="U2466" s="23">
        <v>46077</v>
      </c>
      <c r="X2466" s="20">
        <v>4730</v>
      </c>
      <c r="Z2466" s="6" t="s">
        <v>5978</v>
      </c>
      <c r="AA2466" s="14">
        <f>+(0.6/1000)</f>
        <v>5.9999999999999995E-4</v>
      </c>
      <c r="AB2466">
        <v>2.8379999999999996</v>
      </c>
      <c r="AC2466">
        <v>2.9515199999999999</v>
      </c>
    </row>
    <row r="2467" spans="1:29" x14ac:dyDescent="0.3">
      <c r="A2467">
        <v>125033</v>
      </c>
      <c r="B2467" s="25" t="s">
        <v>5984</v>
      </c>
      <c r="C2467" t="s">
        <v>20</v>
      </c>
      <c r="D2467" t="s">
        <v>21</v>
      </c>
      <c r="E2467">
        <v>2222222</v>
      </c>
      <c r="F2467" s="8" t="s">
        <v>22</v>
      </c>
      <c r="G2467" s="2">
        <v>98</v>
      </c>
      <c r="H2467" t="s">
        <v>4258</v>
      </c>
      <c r="J2467" s="9" t="s">
        <v>5563</v>
      </c>
      <c r="K2467" t="s">
        <v>5066</v>
      </c>
      <c r="L2467" s="2">
        <v>1</v>
      </c>
      <c r="M2467" s="24" t="s">
        <v>5971</v>
      </c>
      <c r="N2467" s="2" t="s">
        <v>23</v>
      </c>
      <c r="O2467" s="18" t="s">
        <v>79</v>
      </c>
      <c r="P2467" s="18" t="s">
        <v>3781</v>
      </c>
      <c r="Q2467" s="6" t="s">
        <v>4475</v>
      </c>
      <c r="T2467" s="23">
        <v>44571</v>
      </c>
      <c r="U2467" s="23">
        <v>46396</v>
      </c>
      <c r="X2467" s="20">
        <v>30000</v>
      </c>
      <c r="Z2467" s="6" t="s">
        <v>5978</v>
      </c>
      <c r="AA2467" s="15">
        <f t="shared" ref="AA2467:AA2468" si="310">+(0.42/1000)</f>
        <v>4.1999999999999996E-4</v>
      </c>
      <c r="AB2467">
        <v>1.6798362</v>
      </c>
      <c r="AC2467">
        <v>1.747029648</v>
      </c>
    </row>
    <row r="2468" spans="1:29" x14ac:dyDescent="0.3">
      <c r="A2468">
        <v>128460</v>
      </c>
      <c r="B2468" s="25" t="s">
        <v>5984</v>
      </c>
      <c r="C2468" t="s">
        <v>20</v>
      </c>
      <c r="D2468" t="s">
        <v>21</v>
      </c>
      <c r="E2468">
        <v>2222222</v>
      </c>
      <c r="F2468" s="8" t="s">
        <v>22</v>
      </c>
      <c r="G2468" s="2">
        <v>98</v>
      </c>
      <c r="H2468" t="s">
        <v>4258</v>
      </c>
      <c r="J2468" s="9" t="s">
        <v>4852</v>
      </c>
      <c r="K2468" t="s">
        <v>5261</v>
      </c>
      <c r="L2468" s="2">
        <v>1</v>
      </c>
      <c r="M2468" s="24" t="s">
        <v>5971</v>
      </c>
      <c r="N2468" s="2" t="s">
        <v>23</v>
      </c>
      <c r="O2468" s="18" t="s">
        <v>1957</v>
      </c>
      <c r="P2468" s="18" t="s">
        <v>0</v>
      </c>
      <c r="Q2468" s="6" t="s">
        <v>4475</v>
      </c>
      <c r="T2468" s="23">
        <v>44724</v>
      </c>
      <c r="U2468" s="23">
        <v>45820</v>
      </c>
      <c r="X2468" s="20">
        <v>2640</v>
      </c>
      <c r="Z2468" s="6" t="s">
        <v>5978</v>
      </c>
      <c r="AA2468" s="15">
        <f t="shared" si="310"/>
        <v>4.1999999999999996E-4</v>
      </c>
      <c r="AB2468">
        <v>0.90327299999999999</v>
      </c>
      <c r="AC2468">
        <v>0.93940392000000006</v>
      </c>
    </row>
    <row r="2469" spans="1:29" x14ac:dyDescent="0.3">
      <c r="A2469">
        <v>130960</v>
      </c>
      <c r="B2469" s="25" t="s">
        <v>5984</v>
      </c>
      <c r="C2469" t="s">
        <v>20</v>
      </c>
      <c r="D2469" t="s">
        <v>21</v>
      </c>
      <c r="E2469">
        <v>2222222</v>
      </c>
      <c r="F2469" s="8" t="s">
        <v>22</v>
      </c>
      <c r="G2469" s="2">
        <v>98</v>
      </c>
      <c r="H2469" t="s">
        <v>4258</v>
      </c>
      <c r="J2469" s="9" t="s">
        <v>4852</v>
      </c>
      <c r="K2469" t="s">
        <v>5261</v>
      </c>
      <c r="L2469" s="2">
        <v>1</v>
      </c>
      <c r="M2469" s="24" t="s">
        <v>5971</v>
      </c>
      <c r="N2469" s="2" t="s">
        <v>23</v>
      </c>
      <c r="O2469" s="18" t="s">
        <v>1957</v>
      </c>
      <c r="P2469" s="18" t="s">
        <v>0</v>
      </c>
      <c r="Q2469" s="6" t="s">
        <v>4475</v>
      </c>
      <c r="T2469" s="23">
        <v>44865</v>
      </c>
      <c r="U2469" s="23">
        <v>45976</v>
      </c>
      <c r="X2469" s="20">
        <v>3380</v>
      </c>
      <c r="Z2469" s="6" t="s">
        <v>5978</v>
      </c>
      <c r="AA2469" s="13">
        <f t="shared" ref="AA2469:AA2470" si="311">+(0.56/1000)</f>
        <v>5.6000000000000006E-4</v>
      </c>
      <c r="AB2469">
        <v>1.8928000000000003</v>
      </c>
      <c r="AC2469">
        <v>1.9685120000000003</v>
      </c>
    </row>
    <row r="2470" spans="1:29" x14ac:dyDescent="0.3">
      <c r="A2470">
        <v>138560</v>
      </c>
      <c r="B2470" s="25" t="s">
        <v>5984</v>
      </c>
      <c r="C2470" t="s">
        <v>20</v>
      </c>
      <c r="D2470" t="s">
        <v>21</v>
      </c>
      <c r="E2470">
        <v>2222222</v>
      </c>
      <c r="F2470" s="8" t="s">
        <v>22</v>
      </c>
      <c r="G2470" s="2">
        <v>98</v>
      </c>
      <c r="H2470" t="s">
        <v>4258</v>
      </c>
      <c r="J2470" s="9" t="s">
        <v>4911</v>
      </c>
      <c r="K2470" t="s">
        <v>4985</v>
      </c>
      <c r="L2470" s="2">
        <v>1</v>
      </c>
      <c r="M2470" s="24" t="s">
        <v>5971</v>
      </c>
      <c r="N2470" s="2" t="s">
        <v>23</v>
      </c>
      <c r="O2470" s="18" t="s">
        <v>1958</v>
      </c>
      <c r="P2470" s="18" t="s">
        <v>3781</v>
      </c>
      <c r="Q2470" s="6" t="s">
        <v>4475</v>
      </c>
      <c r="T2470" s="23">
        <v>45317</v>
      </c>
      <c r="U2470" s="23">
        <v>47143</v>
      </c>
      <c r="X2470" s="20">
        <v>14200</v>
      </c>
      <c r="Z2470" s="6" t="s">
        <v>5978</v>
      </c>
      <c r="AA2470" s="13">
        <f t="shared" si="311"/>
        <v>5.6000000000000006E-4</v>
      </c>
      <c r="AB2470">
        <v>4.7128760000000005</v>
      </c>
      <c r="AC2470">
        <v>4.9013910400000009</v>
      </c>
    </row>
    <row r="2471" spans="1:29" x14ac:dyDescent="0.3">
      <c r="A2471">
        <v>143134</v>
      </c>
      <c r="B2471" s="25" t="s">
        <v>5984</v>
      </c>
      <c r="C2471" t="s">
        <v>20</v>
      </c>
      <c r="D2471" t="s">
        <v>21</v>
      </c>
      <c r="E2471">
        <v>2222222</v>
      </c>
      <c r="F2471" s="8" t="s">
        <v>22</v>
      </c>
      <c r="G2471" s="2">
        <v>98</v>
      </c>
      <c r="H2471" t="s">
        <v>4258</v>
      </c>
      <c r="J2471" s="9" t="s">
        <v>4900</v>
      </c>
      <c r="K2471" t="s">
        <v>4901</v>
      </c>
      <c r="L2471" s="2">
        <v>1</v>
      </c>
      <c r="M2471" s="24" t="s">
        <v>5971</v>
      </c>
      <c r="N2471" s="2" t="s">
        <v>23</v>
      </c>
      <c r="O2471" s="18" t="s">
        <v>1959</v>
      </c>
      <c r="P2471" s="18" t="s">
        <v>0</v>
      </c>
      <c r="Q2471" s="6" t="s">
        <v>4475</v>
      </c>
      <c r="T2471" s="23">
        <v>45592</v>
      </c>
      <c r="U2471" s="23">
        <v>49243</v>
      </c>
      <c r="X2471" s="20">
        <v>57900</v>
      </c>
      <c r="Z2471" s="6" t="s">
        <v>5978</v>
      </c>
      <c r="AA2471" s="14">
        <f t="shared" ref="AA2471:AA2481" si="312">+(0.6/1000)</f>
        <v>5.9999999999999995E-4</v>
      </c>
      <c r="AB2471">
        <v>32.032679999999999</v>
      </c>
      <c r="AC2471">
        <v>33.3139872</v>
      </c>
    </row>
    <row r="2472" spans="1:29" x14ac:dyDescent="0.3">
      <c r="A2472">
        <v>143789</v>
      </c>
      <c r="B2472" s="25" t="s">
        <v>5984</v>
      </c>
      <c r="C2472" t="s">
        <v>20</v>
      </c>
      <c r="D2472" t="s">
        <v>21</v>
      </c>
      <c r="E2472">
        <v>2222222</v>
      </c>
      <c r="F2472" s="8" t="s">
        <v>22</v>
      </c>
      <c r="G2472" s="2">
        <v>98</v>
      </c>
      <c r="H2472" t="s">
        <v>4258</v>
      </c>
      <c r="J2472" s="9" t="s">
        <v>4836</v>
      </c>
      <c r="K2472" t="s">
        <v>4924</v>
      </c>
      <c r="L2472" s="2">
        <v>1</v>
      </c>
      <c r="M2472" s="24" t="s">
        <v>5971</v>
      </c>
      <c r="N2472" s="2" t="s">
        <v>23</v>
      </c>
      <c r="O2472" s="18" t="s">
        <v>1960</v>
      </c>
      <c r="P2472" s="18" t="s">
        <v>3781</v>
      </c>
      <c r="Q2472" s="6" t="s">
        <v>4475</v>
      </c>
      <c r="T2472" s="23">
        <v>45620</v>
      </c>
      <c r="U2472" s="23">
        <v>49364</v>
      </c>
      <c r="X2472" s="20">
        <v>6580</v>
      </c>
      <c r="Z2472" s="6" t="s">
        <v>5978</v>
      </c>
      <c r="AA2472" s="14">
        <f t="shared" si="312"/>
        <v>5.9999999999999995E-4</v>
      </c>
      <c r="AB2472">
        <v>3.706032</v>
      </c>
      <c r="AC2472">
        <v>3.8542732800000001</v>
      </c>
    </row>
    <row r="2473" spans="1:29" x14ac:dyDescent="0.3">
      <c r="A2473">
        <v>144417</v>
      </c>
      <c r="B2473" s="25" t="s">
        <v>5984</v>
      </c>
      <c r="C2473" t="s">
        <v>20</v>
      </c>
      <c r="D2473" t="s">
        <v>21</v>
      </c>
      <c r="E2473">
        <v>2222222</v>
      </c>
      <c r="F2473" s="8" t="s">
        <v>22</v>
      </c>
      <c r="G2473" s="2">
        <v>98</v>
      </c>
      <c r="H2473" t="s">
        <v>4258</v>
      </c>
      <c r="J2473" s="9" t="s">
        <v>4836</v>
      </c>
      <c r="K2473" t="s">
        <v>5601</v>
      </c>
      <c r="L2473" s="2">
        <v>1</v>
      </c>
      <c r="M2473" s="24" t="s">
        <v>5971</v>
      </c>
      <c r="N2473" s="2" t="s">
        <v>23</v>
      </c>
      <c r="O2473" s="18" t="s">
        <v>1961</v>
      </c>
      <c r="P2473" s="18" t="s">
        <v>3781</v>
      </c>
      <c r="Q2473" s="6" t="s">
        <v>4475</v>
      </c>
      <c r="T2473" s="23">
        <v>45663</v>
      </c>
      <c r="U2473" s="23">
        <v>46208</v>
      </c>
      <c r="X2473" s="20">
        <v>4090</v>
      </c>
      <c r="Z2473" s="6" t="s">
        <v>5978</v>
      </c>
      <c r="AA2473" s="14">
        <f t="shared" si="312"/>
        <v>5.9999999999999995E-4</v>
      </c>
      <c r="AB2473">
        <v>0.73300799999999999</v>
      </c>
      <c r="AC2473">
        <v>0.76232832000000006</v>
      </c>
    </row>
    <row r="2474" spans="1:29" x14ac:dyDescent="0.3">
      <c r="A2474">
        <v>146527</v>
      </c>
      <c r="B2474" s="25" t="s">
        <v>5984</v>
      </c>
      <c r="C2474" t="s">
        <v>20</v>
      </c>
      <c r="D2474" t="s">
        <v>21</v>
      </c>
      <c r="E2474">
        <v>2222222</v>
      </c>
      <c r="F2474" s="8" t="s">
        <v>22</v>
      </c>
      <c r="G2474" s="2">
        <v>98</v>
      </c>
      <c r="H2474" t="s">
        <v>4258</v>
      </c>
      <c r="J2474" s="9" t="s">
        <v>5295</v>
      </c>
      <c r="K2474" t="s">
        <v>5622</v>
      </c>
      <c r="L2474" s="2">
        <v>1</v>
      </c>
      <c r="M2474" s="24" t="s">
        <v>5971</v>
      </c>
      <c r="N2474" s="2" t="s">
        <v>23</v>
      </c>
      <c r="O2474" s="18" t="s">
        <v>623</v>
      </c>
      <c r="P2474" s="18" t="s">
        <v>3781</v>
      </c>
      <c r="Q2474" s="6" t="s">
        <v>4475</v>
      </c>
      <c r="T2474" s="23">
        <v>45835</v>
      </c>
      <c r="U2474" s="23">
        <v>47300</v>
      </c>
      <c r="X2474" s="20">
        <v>5000</v>
      </c>
      <c r="Z2474" s="6" t="s">
        <v>5978</v>
      </c>
      <c r="AA2474" s="14">
        <f t="shared" si="312"/>
        <v>5.9999999999999995E-4</v>
      </c>
      <c r="AB2474">
        <v>2.4386099999999997</v>
      </c>
      <c r="AC2474">
        <v>2.5361543999999996</v>
      </c>
    </row>
    <row r="2475" spans="1:29" x14ac:dyDescent="0.3">
      <c r="A2475">
        <v>147858</v>
      </c>
      <c r="B2475" s="25" t="s">
        <v>5984</v>
      </c>
      <c r="C2475" t="s">
        <v>20</v>
      </c>
      <c r="D2475" t="s">
        <v>21</v>
      </c>
      <c r="E2475">
        <v>2222222</v>
      </c>
      <c r="F2475" s="8" t="s">
        <v>22</v>
      </c>
      <c r="G2475" s="2">
        <v>98</v>
      </c>
      <c r="H2475" t="s">
        <v>4258</v>
      </c>
      <c r="J2475" s="9" t="s">
        <v>4911</v>
      </c>
      <c r="K2475" t="s">
        <v>5490</v>
      </c>
      <c r="L2475" s="2">
        <v>1</v>
      </c>
      <c r="M2475" s="24" t="s">
        <v>5971</v>
      </c>
      <c r="N2475" s="2" t="s">
        <v>23</v>
      </c>
      <c r="O2475" s="18" t="s">
        <v>1962</v>
      </c>
      <c r="P2475" s="18" t="s">
        <v>3781</v>
      </c>
      <c r="Q2475" s="6" t="s">
        <v>4475</v>
      </c>
      <c r="T2475" s="23">
        <v>45917</v>
      </c>
      <c r="U2475" s="23">
        <v>46647</v>
      </c>
      <c r="X2475" s="20">
        <v>3610</v>
      </c>
      <c r="Z2475" s="6" t="s">
        <v>5978</v>
      </c>
      <c r="AA2475" s="14">
        <f t="shared" si="312"/>
        <v>5.9999999999999995E-4</v>
      </c>
      <c r="AB2475">
        <v>1.351518</v>
      </c>
      <c r="AC2475">
        <v>1.4055787200000001</v>
      </c>
    </row>
    <row r="2476" spans="1:29" x14ac:dyDescent="0.3">
      <c r="A2476">
        <v>148351</v>
      </c>
      <c r="B2476" s="25" t="s">
        <v>5984</v>
      </c>
      <c r="C2476" t="s">
        <v>20</v>
      </c>
      <c r="D2476" t="s">
        <v>21</v>
      </c>
      <c r="E2476">
        <v>2222222</v>
      </c>
      <c r="F2476" s="8" t="s">
        <v>22</v>
      </c>
      <c r="G2476" s="2">
        <v>98</v>
      </c>
      <c r="H2476" t="s">
        <v>4258</v>
      </c>
      <c r="J2476" s="9" t="s">
        <v>5322</v>
      </c>
      <c r="K2476" t="s">
        <v>5571</v>
      </c>
      <c r="L2476" s="2">
        <v>1</v>
      </c>
      <c r="M2476" s="24" t="s">
        <v>5971</v>
      </c>
      <c r="N2476" s="2" t="s">
        <v>23</v>
      </c>
      <c r="O2476" s="18" t="s">
        <v>1963</v>
      </c>
      <c r="P2476" s="18" t="s">
        <v>0</v>
      </c>
      <c r="Q2476" s="6" t="s">
        <v>4475</v>
      </c>
      <c r="T2476" s="23">
        <v>45954</v>
      </c>
      <c r="U2476" s="23">
        <v>47049</v>
      </c>
      <c r="X2476" s="20">
        <v>2500</v>
      </c>
      <c r="Z2476" s="6" t="s">
        <v>5978</v>
      </c>
      <c r="AA2476" s="14">
        <f t="shared" si="312"/>
        <v>5.9999999999999995E-4</v>
      </c>
      <c r="AB2476">
        <v>1.1925839999999999</v>
      </c>
      <c r="AC2476">
        <v>1.2402873599999999</v>
      </c>
    </row>
    <row r="2477" spans="1:29" x14ac:dyDescent="0.3">
      <c r="A2477">
        <v>149206</v>
      </c>
      <c r="B2477" s="25" t="s">
        <v>5984</v>
      </c>
      <c r="C2477" t="s">
        <v>20</v>
      </c>
      <c r="D2477" t="s">
        <v>21</v>
      </c>
      <c r="E2477">
        <v>2222222</v>
      </c>
      <c r="F2477" s="8" t="s">
        <v>22</v>
      </c>
      <c r="G2477" s="2">
        <v>98</v>
      </c>
      <c r="H2477" t="s">
        <v>4258</v>
      </c>
      <c r="J2477" s="9" t="s">
        <v>4889</v>
      </c>
      <c r="K2477" t="s">
        <v>4924</v>
      </c>
      <c r="L2477" s="2">
        <v>1</v>
      </c>
      <c r="M2477" s="24" t="s">
        <v>5971</v>
      </c>
      <c r="N2477" s="2" t="s">
        <v>23</v>
      </c>
      <c r="O2477" s="18" t="s">
        <v>1964</v>
      </c>
      <c r="P2477" s="18" t="s">
        <v>3781</v>
      </c>
      <c r="Q2477" s="6" t="s">
        <v>4475</v>
      </c>
      <c r="T2477" s="23">
        <v>46043</v>
      </c>
      <c r="U2477" s="23">
        <v>49694</v>
      </c>
      <c r="X2477" s="20">
        <v>66000</v>
      </c>
      <c r="Z2477" s="6" t="s">
        <v>5978</v>
      </c>
      <c r="AA2477" s="14">
        <f t="shared" si="312"/>
        <v>5.9999999999999995E-4</v>
      </c>
      <c r="AB2477">
        <v>38.676773999999995</v>
      </c>
      <c r="AC2477">
        <v>40.223844959999994</v>
      </c>
    </row>
    <row r="2478" spans="1:29" x14ac:dyDescent="0.3">
      <c r="A2478">
        <v>149889</v>
      </c>
      <c r="B2478" s="25" t="s">
        <v>5984</v>
      </c>
      <c r="C2478" t="s">
        <v>20</v>
      </c>
      <c r="D2478" t="s">
        <v>21</v>
      </c>
      <c r="E2478">
        <v>2222222</v>
      </c>
      <c r="F2478" s="8" t="s">
        <v>22</v>
      </c>
      <c r="G2478" s="2">
        <v>98</v>
      </c>
      <c r="H2478" t="s">
        <v>4258</v>
      </c>
      <c r="J2478" s="9" t="s">
        <v>5440</v>
      </c>
      <c r="K2478" t="s">
        <v>5469</v>
      </c>
      <c r="L2478" s="2">
        <v>1</v>
      </c>
      <c r="M2478" s="24" t="s">
        <v>5971</v>
      </c>
      <c r="N2478" s="2" t="s">
        <v>23</v>
      </c>
      <c r="O2478" s="18" t="s">
        <v>288</v>
      </c>
      <c r="P2478" s="18" t="s">
        <v>0</v>
      </c>
      <c r="Q2478" s="6" t="s">
        <v>4475</v>
      </c>
      <c r="T2478" s="23">
        <v>46059</v>
      </c>
      <c r="U2478" s="23">
        <v>46791</v>
      </c>
      <c r="X2478" s="20">
        <v>6700</v>
      </c>
      <c r="Z2478" s="6" t="s">
        <v>5978</v>
      </c>
      <c r="AA2478" s="14">
        <f t="shared" si="312"/>
        <v>5.9999999999999995E-4</v>
      </c>
      <c r="AB2478">
        <v>3.273282</v>
      </c>
      <c r="AC2478">
        <v>3.40421328</v>
      </c>
    </row>
    <row r="2479" spans="1:29" x14ac:dyDescent="0.3">
      <c r="A2479">
        <v>150782</v>
      </c>
      <c r="B2479" s="25" t="s">
        <v>5984</v>
      </c>
      <c r="C2479" t="s">
        <v>20</v>
      </c>
      <c r="D2479" t="s">
        <v>21</v>
      </c>
      <c r="E2479">
        <v>2222222</v>
      </c>
      <c r="F2479" s="8" t="s">
        <v>22</v>
      </c>
      <c r="G2479" s="2">
        <v>98</v>
      </c>
      <c r="H2479" t="s">
        <v>4258</v>
      </c>
      <c r="J2479" s="9" t="s">
        <v>4950</v>
      </c>
      <c r="K2479" t="s">
        <v>5107</v>
      </c>
      <c r="L2479" s="2">
        <v>1</v>
      </c>
      <c r="M2479" s="24" t="s">
        <v>5971</v>
      </c>
      <c r="N2479" s="2" t="s">
        <v>23</v>
      </c>
      <c r="O2479" s="18" t="s">
        <v>1965</v>
      </c>
      <c r="P2479" s="18" t="s">
        <v>0</v>
      </c>
      <c r="Q2479" s="6" t="s">
        <v>4475</v>
      </c>
      <c r="T2479" s="23">
        <v>46114</v>
      </c>
      <c r="U2479" s="23">
        <v>47575</v>
      </c>
      <c r="X2479" s="20">
        <v>5000</v>
      </c>
      <c r="Z2479" s="6" t="s">
        <v>5978</v>
      </c>
      <c r="AA2479" s="14">
        <f t="shared" si="312"/>
        <v>5.9999999999999995E-4</v>
      </c>
      <c r="AB2479">
        <v>2.8689779999999998</v>
      </c>
      <c r="AC2479">
        <v>2.9837371199999998</v>
      </c>
    </row>
    <row r="2480" spans="1:29" x14ac:dyDescent="0.3">
      <c r="A2480">
        <v>151199</v>
      </c>
      <c r="B2480" s="25" t="s">
        <v>5984</v>
      </c>
      <c r="C2480" t="s">
        <v>20</v>
      </c>
      <c r="D2480" t="s">
        <v>21</v>
      </c>
      <c r="E2480">
        <v>2222222</v>
      </c>
      <c r="F2480" s="8" t="s">
        <v>22</v>
      </c>
      <c r="G2480" s="2">
        <v>98</v>
      </c>
      <c r="H2480" t="s">
        <v>4258</v>
      </c>
      <c r="J2480" s="9" t="s">
        <v>4911</v>
      </c>
      <c r="K2480" t="s">
        <v>5490</v>
      </c>
      <c r="L2480" s="2">
        <v>1</v>
      </c>
      <c r="M2480" s="24" t="s">
        <v>5971</v>
      </c>
      <c r="N2480" s="2" t="s">
        <v>23</v>
      </c>
      <c r="O2480" s="18" t="s">
        <v>1962</v>
      </c>
      <c r="P2480" s="18" t="s">
        <v>3781</v>
      </c>
      <c r="Q2480" s="6" t="s">
        <v>4475</v>
      </c>
      <c r="T2480" s="23">
        <v>46146</v>
      </c>
      <c r="U2480" s="23">
        <v>46390</v>
      </c>
      <c r="X2480" s="20">
        <v>500</v>
      </c>
      <c r="Z2480" s="6" t="s">
        <v>5978</v>
      </c>
      <c r="AA2480" s="14">
        <f t="shared" si="312"/>
        <v>5.9999999999999995E-4</v>
      </c>
      <c r="AB2480">
        <v>0.228246</v>
      </c>
      <c r="AC2480">
        <v>0.23737584</v>
      </c>
    </row>
    <row r="2481" spans="1:29" x14ac:dyDescent="0.3">
      <c r="A2481">
        <v>151279</v>
      </c>
      <c r="B2481" s="25" t="s">
        <v>5984</v>
      </c>
      <c r="C2481" t="s">
        <v>20</v>
      </c>
      <c r="D2481" t="s">
        <v>21</v>
      </c>
      <c r="E2481">
        <v>2222222</v>
      </c>
      <c r="F2481" s="8" t="s">
        <v>22</v>
      </c>
      <c r="G2481" s="2">
        <v>98</v>
      </c>
      <c r="H2481" t="s">
        <v>4258</v>
      </c>
      <c r="J2481" s="9" t="s">
        <v>4889</v>
      </c>
      <c r="K2481" t="s">
        <v>4893</v>
      </c>
      <c r="L2481" s="2">
        <v>1</v>
      </c>
      <c r="M2481" s="24" t="s">
        <v>5971</v>
      </c>
      <c r="N2481" s="2" t="s">
        <v>23</v>
      </c>
      <c r="O2481" s="18" t="s">
        <v>1966</v>
      </c>
      <c r="P2481" s="18" t="s">
        <v>3781</v>
      </c>
      <c r="Q2481" s="6" t="s">
        <v>4475</v>
      </c>
      <c r="T2481" s="23">
        <v>46153</v>
      </c>
      <c r="U2481" s="23">
        <v>46243</v>
      </c>
      <c r="X2481" s="20">
        <v>3750</v>
      </c>
      <c r="Z2481" s="6" t="s">
        <v>5978</v>
      </c>
      <c r="AA2481" s="14">
        <f t="shared" si="312"/>
        <v>5.9999999999999995E-4</v>
      </c>
      <c r="AB2481">
        <v>2.25</v>
      </c>
      <c r="AC2481">
        <v>2.34</v>
      </c>
    </row>
    <row r="2482" spans="1:29" x14ac:dyDescent="0.3">
      <c r="A2482">
        <v>130165</v>
      </c>
      <c r="B2482" s="25" t="s">
        <v>5984</v>
      </c>
      <c r="C2482" t="s">
        <v>20</v>
      </c>
      <c r="D2482" t="s">
        <v>21</v>
      </c>
      <c r="E2482">
        <v>2222222</v>
      </c>
      <c r="F2482" s="8" t="s">
        <v>22</v>
      </c>
      <c r="G2482" s="2">
        <v>98</v>
      </c>
      <c r="H2482" t="s">
        <v>4259</v>
      </c>
      <c r="J2482" s="9" t="s">
        <v>4861</v>
      </c>
      <c r="K2482" t="s">
        <v>5448</v>
      </c>
      <c r="L2482" s="2">
        <v>1</v>
      </c>
      <c r="M2482" s="24" t="s">
        <v>5971</v>
      </c>
      <c r="N2482" s="2" t="s">
        <v>23</v>
      </c>
      <c r="O2482" s="18" t="s">
        <v>1967</v>
      </c>
      <c r="P2482" s="18" t="s">
        <v>3781</v>
      </c>
      <c r="Q2482" s="6" t="s">
        <v>4475</v>
      </c>
      <c r="T2482" s="23">
        <v>44819</v>
      </c>
      <c r="U2482" s="23">
        <v>46280</v>
      </c>
      <c r="X2482" s="20">
        <v>5000</v>
      </c>
      <c r="Z2482" s="6" t="s">
        <v>5978</v>
      </c>
      <c r="AA2482" s="13">
        <f>+(0.56/1000)</f>
        <v>5.6000000000000006E-4</v>
      </c>
      <c r="AB2482">
        <v>2.0421968000000001</v>
      </c>
      <c r="AC2482">
        <v>2.1238846720000004</v>
      </c>
    </row>
    <row r="2483" spans="1:29" x14ac:dyDescent="0.3">
      <c r="A2483">
        <v>149935</v>
      </c>
      <c r="B2483" s="25" t="s">
        <v>5984</v>
      </c>
      <c r="C2483" t="s">
        <v>20</v>
      </c>
      <c r="D2483" t="s">
        <v>21</v>
      </c>
      <c r="E2483">
        <v>2222222</v>
      </c>
      <c r="F2483" s="8" t="s">
        <v>22</v>
      </c>
      <c r="G2483" s="2">
        <v>98</v>
      </c>
      <c r="H2483" t="s">
        <v>4259</v>
      </c>
      <c r="J2483" s="9" t="s">
        <v>4891</v>
      </c>
      <c r="K2483" t="s">
        <v>5151</v>
      </c>
      <c r="L2483" s="2">
        <v>1</v>
      </c>
      <c r="M2483" s="24" t="s">
        <v>5971</v>
      </c>
      <c r="N2483" s="2" t="s">
        <v>23</v>
      </c>
      <c r="O2483" s="18" t="s">
        <v>1968</v>
      </c>
      <c r="P2483" s="18" t="s">
        <v>3781</v>
      </c>
      <c r="Q2483" s="6" t="s">
        <v>4475</v>
      </c>
      <c r="T2483" s="23">
        <v>46081</v>
      </c>
      <c r="U2483" s="23">
        <v>49735</v>
      </c>
      <c r="X2483" s="20">
        <v>141000</v>
      </c>
      <c r="Z2483" s="6" t="s">
        <v>5978</v>
      </c>
      <c r="AA2483" s="14">
        <f t="shared" ref="AA2483:AA2485" si="313">+(0.6/1000)</f>
        <v>5.9999999999999995E-4</v>
      </c>
      <c r="AB2483">
        <v>82.942811999999989</v>
      </c>
      <c r="AC2483">
        <v>86.260524479999987</v>
      </c>
    </row>
    <row r="2484" spans="1:29" x14ac:dyDescent="0.3">
      <c r="A2484">
        <v>150931</v>
      </c>
      <c r="B2484" s="25" t="s">
        <v>5984</v>
      </c>
      <c r="C2484" t="s">
        <v>20</v>
      </c>
      <c r="D2484" t="s">
        <v>21</v>
      </c>
      <c r="E2484">
        <v>2222222</v>
      </c>
      <c r="F2484" s="8" t="s">
        <v>22</v>
      </c>
      <c r="G2484" s="2">
        <v>98</v>
      </c>
      <c r="H2484" t="s">
        <v>4259</v>
      </c>
      <c r="J2484" s="9" t="s">
        <v>5270</v>
      </c>
      <c r="K2484" t="s">
        <v>5385</v>
      </c>
      <c r="L2484" s="2">
        <v>1</v>
      </c>
      <c r="M2484" s="24" t="s">
        <v>5971</v>
      </c>
      <c r="N2484" s="2" t="s">
        <v>23</v>
      </c>
      <c r="O2484" s="18" t="s">
        <v>1969</v>
      </c>
      <c r="P2484" s="18" t="s">
        <v>0</v>
      </c>
      <c r="Q2484" s="6" t="s">
        <v>4475</v>
      </c>
      <c r="T2484" s="23">
        <v>46142</v>
      </c>
      <c r="U2484" s="23">
        <v>53447</v>
      </c>
      <c r="X2484" s="20">
        <v>190000</v>
      </c>
      <c r="Z2484" s="6" t="s">
        <v>5978</v>
      </c>
      <c r="AA2484" s="14">
        <f t="shared" si="313"/>
        <v>5.9999999999999995E-4</v>
      </c>
      <c r="AB2484">
        <v>113.55734399999999</v>
      </c>
      <c r="AC2484">
        <v>118.09963775999999</v>
      </c>
    </row>
    <row r="2485" spans="1:29" x14ac:dyDescent="0.3">
      <c r="A2485">
        <v>146642</v>
      </c>
      <c r="B2485" s="25" t="s">
        <v>5984</v>
      </c>
      <c r="C2485" t="s">
        <v>20</v>
      </c>
      <c r="D2485" t="s">
        <v>21</v>
      </c>
      <c r="E2485">
        <v>2222222</v>
      </c>
      <c r="F2485" s="8" t="s">
        <v>22</v>
      </c>
      <c r="G2485" s="2">
        <v>98</v>
      </c>
      <c r="H2485" t="s">
        <v>4260</v>
      </c>
      <c r="J2485" s="9" t="s">
        <v>4838</v>
      </c>
      <c r="K2485" t="s">
        <v>4900</v>
      </c>
      <c r="L2485" s="2">
        <v>1</v>
      </c>
      <c r="M2485" s="24" t="s">
        <v>5971</v>
      </c>
      <c r="N2485" s="2" t="s">
        <v>23</v>
      </c>
      <c r="O2485" s="18" t="s">
        <v>1970</v>
      </c>
      <c r="P2485" s="18" t="s">
        <v>0</v>
      </c>
      <c r="Q2485" s="6" t="s">
        <v>4475</v>
      </c>
      <c r="T2485" s="23">
        <v>45836</v>
      </c>
      <c r="U2485" s="23">
        <v>49488</v>
      </c>
      <c r="X2485" s="20">
        <v>13300</v>
      </c>
      <c r="Z2485" s="6" t="s">
        <v>5978</v>
      </c>
      <c r="AA2485" s="14">
        <f t="shared" si="313"/>
        <v>5.9999999999999995E-4</v>
      </c>
      <c r="AB2485">
        <v>7.6322099999999997</v>
      </c>
      <c r="AC2485">
        <v>7.9374984</v>
      </c>
    </row>
    <row r="2486" spans="1:29" x14ac:dyDescent="0.3">
      <c r="A2486">
        <v>135964</v>
      </c>
      <c r="B2486" s="25" t="s">
        <v>5984</v>
      </c>
      <c r="C2486" t="s">
        <v>20</v>
      </c>
      <c r="D2486" t="s">
        <v>21</v>
      </c>
      <c r="E2486">
        <v>2222222</v>
      </c>
      <c r="F2486" s="8" t="s">
        <v>22</v>
      </c>
      <c r="G2486" s="2">
        <v>98</v>
      </c>
      <c r="H2486" t="s">
        <v>4261</v>
      </c>
      <c r="J2486" s="9" t="s">
        <v>4919</v>
      </c>
      <c r="K2486" t="s">
        <v>5623</v>
      </c>
      <c r="L2486" s="2">
        <v>1</v>
      </c>
      <c r="M2486" s="24" t="s">
        <v>5971</v>
      </c>
      <c r="N2486" s="2" t="s">
        <v>23</v>
      </c>
      <c r="O2486" s="18" t="s">
        <v>1971</v>
      </c>
      <c r="P2486" s="18" t="s">
        <v>0</v>
      </c>
      <c r="Q2486" s="6" t="s">
        <v>4475</v>
      </c>
      <c r="T2486" s="23">
        <v>45154</v>
      </c>
      <c r="U2486" s="23">
        <v>46980</v>
      </c>
      <c r="X2486" s="20">
        <v>22000</v>
      </c>
      <c r="Z2486" s="6" t="s">
        <v>5978</v>
      </c>
      <c r="AA2486" s="13">
        <f t="shared" ref="AA2486:AA2487" si="314">+(0.56/1000)</f>
        <v>5.6000000000000006E-4</v>
      </c>
      <c r="AB2486">
        <v>10.732848000000001</v>
      </c>
      <c r="AC2486">
        <v>11.162161920000001</v>
      </c>
    </row>
    <row r="2487" spans="1:29" x14ac:dyDescent="0.3">
      <c r="A2487">
        <v>140403</v>
      </c>
      <c r="B2487" s="25" t="s">
        <v>5984</v>
      </c>
      <c r="C2487" t="s">
        <v>20</v>
      </c>
      <c r="D2487" t="s">
        <v>21</v>
      </c>
      <c r="E2487">
        <v>2222222</v>
      </c>
      <c r="F2487" s="8" t="s">
        <v>22</v>
      </c>
      <c r="G2487" s="2">
        <v>98</v>
      </c>
      <c r="H2487" t="s">
        <v>4261</v>
      </c>
      <c r="J2487" s="9" t="s">
        <v>4892</v>
      </c>
      <c r="K2487" t="s">
        <v>5624</v>
      </c>
      <c r="L2487" s="2">
        <v>1</v>
      </c>
      <c r="M2487" s="24" t="s">
        <v>5971</v>
      </c>
      <c r="N2487" s="2" t="s">
        <v>23</v>
      </c>
      <c r="O2487" s="18" t="s">
        <v>1972</v>
      </c>
      <c r="P2487" s="18" t="s">
        <v>3781</v>
      </c>
      <c r="Q2487" s="6" t="s">
        <v>4475</v>
      </c>
      <c r="T2487" s="23">
        <v>45392</v>
      </c>
      <c r="U2487" s="23">
        <v>49866</v>
      </c>
      <c r="X2487" s="20">
        <v>29400</v>
      </c>
      <c r="Z2487" s="6" t="s">
        <v>5978</v>
      </c>
      <c r="AA2487" s="13">
        <f t="shared" si="314"/>
        <v>5.6000000000000006E-4</v>
      </c>
      <c r="AB2487">
        <v>15.131093600000002</v>
      </c>
      <c r="AC2487">
        <v>15.736337344000003</v>
      </c>
    </row>
    <row r="2488" spans="1:29" x14ac:dyDescent="0.3">
      <c r="A2488">
        <v>140791</v>
      </c>
      <c r="B2488" s="25" t="s">
        <v>5984</v>
      </c>
      <c r="C2488" t="s">
        <v>20</v>
      </c>
      <c r="D2488" t="s">
        <v>21</v>
      </c>
      <c r="E2488">
        <v>2222222</v>
      </c>
      <c r="F2488" s="8" t="s">
        <v>22</v>
      </c>
      <c r="G2488" s="2">
        <v>98</v>
      </c>
      <c r="H2488" t="s">
        <v>4261</v>
      </c>
      <c r="J2488" s="9" t="s">
        <v>5041</v>
      </c>
      <c r="K2488" t="s">
        <v>5085</v>
      </c>
      <c r="L2488" s="2">
        <v>1</v>
      </c>
      <c r="M2488" s="24" t="s">
        <v>5971</v>
      </c>
      <c r="N2488" s="2" t="s">
        <v>23</v>
      </c>
      <c r="O2488" s="18" t="s">
        <v>1973</v>
      </c>
      <c r="P2488" s="18" t="s">
        <v>0</v>
      </c>
      <c r="Q2488" s="6" t="s">
        <v>4475</v>
      </c>
      <c r="T2488" s="23">
        <v>45414</v>
      </c>
      <c r="U2488" s="23">
        <v>46508</v>
      </c>
      <c r="X2488" s="20">
        <v>5000</v>
      </c>
      <c r="Z2488" s="6" t="s">
        <v>5978</v>
      </c>
      <c r="AA2488" s="14">
        <f t="shared" ref="AA2488:AA2497" si="315">+(0.6/1000)</f>
        <v>5.9999999999999995E-4</v>
      </c>
      <c r="AB2488">
        <v>1.011414</v>
      </c>
      <c r="AC2488">
        <v>1.05187056</v>
      </c>
    </row>
    <row r="2489" spans="1:29" x14ac:dyDescent="0.3">
      <c r="A2489">
        <v>144315</v>
      </c>
      <c r="B2489" s="25" t="s">
        <v>5984</v>
      </c>
      <c r="C2489" t="s">
        <v>20</v>
      </c>
      <c r="D2489" t="s">
        <v>21</v>
      </c>
      <c r="E2489">
        <v>2222222</v>
      </c>
      <c r="F2489" s="8" t="s">
        <v>22</v>
      </c>
      <c r="G2489" s="2">
        <v>98</v>
      </c>
      <c r="H2489" t="s">
        <v>4261</v>
      </c>
      <c r="J2489" s="9" t="s">
        <v>5322</v>
      </c>
      <c r="K2489" t="s">
        <v>5006</v>
      </c>
      <c r="L2489" s="2">
        <v>1</v>
      </c>
      <c r="M2489" s="24" t="s">
        <v>5971</v>
      </c>
      <c r="N2489" s="2" t="s">
        <v>23</v>
      </c>
      <c r="O2489" s="18" t="s">
        <v>1657</v>
      </c>
      <c r="P2489" s="18" t="s">
        <v>0</v>
      </c>
      <c r="Q2489" s="6" t="s">
        <v>4475</v>
      </c>
      <c r="T2489" s="23">
        <v>45655</v>
      </c>
      <c r="U2489" s="23">
        <v>47480</v>
      </c>
      <c r="X2489" s="20">
        <v>4900</v>
      </c>
      <c r="Z2489" s="6" t="s">
        <v>5978</v>
      </c>
      <c r="AA2489" s="14">
        <f t="shared" si="315"/>
        <v>5.9999999999999995E-4</v>
      </c>
      <c r="AB2489">
        <v>2.2618439999999995</v>
      </c>
      <c r="AC2489">
        <v>2.3523177599999996</v>
      </c>
    </row>
    <row r="2490" spans="1:29" x14ac:dyDescent="0.3">
      <c r="A2490">
        <v>146141</v>
      </c>
      <c r="B2490" s="25" t="s">
        <v>5984</v>
      </c>
      <c r="C2490" t="s">
        <v>20</v>
      </c>
      <c r="D2490" t="s">
        <v>21</v>
      </c>
      <c r="E2490">
        <v>2222222</v>
      </c>
      <c r="F2490" s="8" t="s">
        <v>22</v>
      </c>
      <c r="G2490" s="2">
        <v>98</v>
      </c>
      <c r="H2490" t="s">
        <v>4261</v>
      </c>
      <c r="J2490" s="9" t="s">
        <v>5007</v>
      </c>
      <c r="K2490" t="s">
        <v>4964</v>
      </c>
      <c r="L2490" s="2">
        <v>1</v>
      </c>
      <c r="M2490" s="24" t="s">
        <v>5971</v>
      </c>
      <c r="N2490" s="2" t="s">
        <v>23</v>
      </c>
      <c r="O2490" s="18" t="s">
        <v>1974</v>
      </c>
      <c r="P2490" s="18" t="s">
        <v>0</v>
      </c>
      <c r="Q2490" s="6" t="s">
        <v>4475</v>
      </c>
      <c r="T2490" s="23">
        <v>45793</v>
      </c>
      <c r="U2490" s="23">
        <v>47253</v>
      </c>
      <c r="X2490" s="20">
        <v>5000</v>
      </c>
      <c r="Z2490" s="6" t="s">
        <v>5978</v>
      </c>
      <c r="AA2490" s="14">
        <f t="shared" si="315"/>
        <v>5.9999999999999995E-4</v>
      </c>
      <c r="AB2490">
        <v>2.3352659999999998</v>
      </c>
      <c r="AC2490">
        <v>2.4286766399999999</v>
      </c>
    </row>
    <row r="2491" spans="1:29" x14ac:dyDescent="0.3">
      <c r="A2491">
        <v>147077</v>
      </c>
      <c r="B2491" s="25" t="s">
        <v>5984</v>
      </c>
      <c r="C2491" t="s">
        <v>20</v>
      </c>
      <c r="D2491" t="s">
        <v>21</v>
      </c>
      <c r="E2491">
        <v>2222222</v>
      </c>
      <c r="F2491" s="8" t="s">
        <v>22</v>
      </c>
      <c r="G2491" s="2">
        <v>98</v>
      </c>
      <c r="H2491" t="s">
        <v>4261</v>
      </c>
      <c r="J2491" s="9" t="s">
        <v>4920</v>
      </c>
      <c r="K2491" t="s">
        <v>5250</v>
      </c>
      <c r="L2491" s="2">
        <v>1</v>
      </c>
      <c r="M2491" s="24" t="s">
        <v>5971</v>
      </c>
      <c r="N2491" s="2" t="s">
        <v>23</v>
      </c>
      <c r="O2491" s="18" t="s">
        <v>1975</v>
      </c>
      <c r="P2491" s="18" t="s">
        <v>0</v>
      </c>
      <c r="Q2491" s="6" t="s">
        <v>4475</v>
      </c>
      <c r="T2491" s="23">
        <v>45863</v>
      </c>
      <c r="U2491" s="23">
        <v>47323</v>
      </c>
      <c r="X2491" s="20">
        <v>5000</v>
      </c>
      <c r="Z2491" s="6" t="s">
        <v>5978</v>
      </c>
      <c r="AA2491" s="14">
        <f t="shared" si="315"/>
        <v>5.9999999999999995E-4</v>
      </c>
      <c r="AB2491">
        <v>2.4531839999999998</v>
      </c>
      <c r="AC2491">
        <v>2.5513113599999997</v>
      </c>
    </row>
    <row r="2492" spans="1:29" x14ac:dyDescent="0.3">
      <c r="A2492">
        <v>147797</v>
      </c>
      <c r="B2492" s="25" t="s">
        <v>5984</v>
      </c>
      <c r="C2492" t="s">
        <v>20</v>
      </c>
      <c r="D2492" t="s">
        <v>21</v>
      </c>
      <c r="E2492">
        <v>2222222</v>
      </c>
      <c r="F2492" s="8" t="s">
        <v>22</v>
      </c>
      <c r="G2492" s="2">
        <v>98</v>
      </c>
      <c r="H2492" t="s">
        <v>4261</v>
      </c>
      <c r="J2492" s="9" t="s">
        <v>4852</v>
      </c>
      <c r="K2492" t="s">
        <v>4857</v>
      </c>
      <c r="L2492" s="2">
        <v>1</v>
      </c>
      <c r="M2492" s="24" t="s">
        <v>5971</v>
      </c>
      <c r="N2492" s="2" t="s">
        <v>23</v>
      </c>
      <c r="O2492" s="18" t="s">
        <v>1976</v>
      </c>
      <c r="P2492" s="18" t="s">
        <v>0</v>
      </c>
      <c r="Q2492" s="6" t="s">
        <v>4475</v>
      </c>
      <c r="T2492" s="23">
        <v>45914</v>
      </c>
      <c r="U2492" s="23">
        <v>47010</v>
      </c>
      <c r="X2492" s="20">
        <v>1720</v>
      </c>
      <c r="Z2492" s="6" t="s">
        <v>5978</v>
      </c>
      <c r="AA2492" s="14">
        <f t="shared" si="315"/>
        <v>5.9999999999999995E-4</v>
      </c>
      <c r="AB2492">
        <v>0.79576799999999992</v>
      </c>
      <c r="AC2492">
        <v>0.8275987199999999</v>
      </c>
    </row>
    <row r="2493" spans="1:29" x14ac:dyDescent="0.3">
      <c r="A2493">
        <v>149971</v>
      </c>
      <c r="B2493" s="25" t="s">
        <v>5984</v>
      </c>
      <c r="C2493" t="s">
        <v>20</v>
      </c>
      <c r="D2493" t="s">
        <v>21</v>
      </c>
      <c r="E2493">
        <v>2222222</v>
      </c>
      <c r="F2493" s="8" t="s">
        <v>22</v>
      </c>
      <c r="G2493" s="2">
        <v>98</v>
      </c>
      <c r="H2493" t="s">
        <v>4261</v>
      </c>
      <c r="J2493" s="9" t="s">
        <v>5625</v>
      </c>
      <c r="K2493" t="s">
        <v>5626</v>
      </c>
      <c r="L2493" s="2">
        <v>1</v>
      </c>
      <c r="M2493" s="24" t="s">
        <v>5971</v>
      </c>
      <c r="N2493" s="2" t="s">
        <v>23</v>
      </c>
      <c r="O2493" s="18" t="s">
        <v>1977</v>
      </c>
      <c r="P2493" s="18" t="s">
        <v>3781</v>
      </c>
      <c r="Q2493" s="6" t="s">
        <v>4475</v>
      </c>
      <c r="T2493" s="23">
        <v>46062</v>
      </c>
      <c r="U2493" s="23">
        <v>47163</v>
      </c>
      <c r="X2493" s="20">
        <v>2280</v>
      </c>
      <c r="Z2493" s="6" t="s">
        <v>5978</v>
      </c>
      <c r="AA2493" s="14">
        <f t="shared" si="315"/>
        <v>5.9999999999999995E-4</v>
      </c>
      <c r="AB2493">
        <v>1.2107699999999999</v>
      </c>
      <c r="AC2493">
        <v>1.2592007999999999</v>
      </c>
    </row>
    <row r="2494" spans="1:29" x14ac:dyDescent="0.3">
      <c r="A2494">
        <v>151941</v>
      </c>
      <c r="B2494" s="25" t="s">
        <v>5984</v>
      </c>
      <c r="C2494" t="s">
        <v>20</v>
      </c>
      <c r="D2494" t="s">
        <v>21</v>
      </c>
      <c r="E2494">
        <v>2222222</v>
      </c>
      <c r="F2494" s="8" t="s">
        <v>22</v>
      </c>
      <c r="G2494" s="2">
        <v>98</v>
      </c>
      <c r="H2494" t="s">
        <v>4261</v>
      </c>
      <c r="J2494" s="9" t="s">
        <v>5204</v>
      </c>
      <c r="K2494" t="s">
        <v>4966</v>
      </c>
      <c r="L2494" s="2">
        <v>1</v>
      </c>
      <c r="M2494" s="24" t="s">
        <v>5971</v>
      </c>
      <c r="N2494" s="2" t="s">
        <v>23</v>
      </c>
      <c r="O2494" s="18" t="s">
        <v>1978</v>
      </c>
      <c r="P2494" s="18" t="s">
        <v>0</v>
      </c>
      <c r="Q2494" s="6" t="s">
        <v>4475</v>
      </c>
      <c r="T2494" s="23">
        <v>46200</v>
      </c>
      <c r="U2494" s="23">
        <v>47661</v>
      </c>
      <c r="X2494" s="20">
        <v>4500</v>
      </c>
      <c r="Z2494" s="6" t="s">
        <v>5978</v>
      </c>
      <c r="AA2494" s="14">
        <f t="shared" si="315"/>
        <v>5.9999999999999995E-4</v>
      </c>
      <c r="AB2494">
        <v>2.6608320000000001</v>
      </c>
      <c r="AC2494">
        <v>2.7672652800000002</v>
      </c>
    </row>
    <row r="2495" spans="1:29" x14ac:dyDescent="0.3">
      <c r="A2495">
        <v>151968</v>
      </c>
      <c r="B2495" s="25" t="s">
        <v>5984</v>
      </c>
      <c r="C2495" t="s">
        <v>20</v>
      </c>
      <c r="D2495" t="s">
        <v>21</v>
      </c>
      <c r="E2495">
        <v>2222222</v>
      </c>
      <c r="F2495" s="8" t="s">
        <v>22</v>
      </c>
      <c r="G2495" s="2">
        <v>98</v>
      </c>
      <c r="H2495" t="s">
        <v>4261</v>
      </c>
      <c r="J2495" s="9" t="s">
        <v>4845</v>
      </c>
      <c r="K2495" t="s">
        <v>5627</v>
      </c>
      <c r="L2495" s="2">
        <v>1</v>
      </c>
      <c r="M2495" s="24" t="s">
        <v>5971</v>
      </c>
      <c r="N2495" s="2" t="s">
        <v>23</v>
      </c>
      <c r="O2495" s="18" t="s">
        <v>1979</v>
      </c>
      <c r="P2495" s="18" t="s">
        <v>3781</v>
      </c>
      <c r="Q2495" s="6" t="s">
        <v>4475</v>
      </c>
      <c r="T2495" s="23">
        <v>46203</v>
      </c>
      <c r="U2495" s="23">
        <v>46296</v>
      </c>
      <c r="X2495" s="20">
        <v>3660</v>
      </c>
      <c r="Z2495" s="6" t="s">
        <v>5978</v>
      </c>
      <c r="AA2495" s="14">
        <f t="shared" si="315"/>
        <v>5.9999999999999995E-4</v>
      </c>
      <c r="AB2495">
        <v>2.1959999999999997</v>
      </c>
      <c r="AC2495">
        <v>2.2838399999999996</v>
      </c>
    </row>
    <row r="2496" spans="1:29" x14ac:dyDescent="0.3">
      <c r="A2496">
        <v>147003</v>
      </c>
      <c r="B2496" s="25" t="s">
        <v>5984</v>
      </c>
      <c r="C2496" t="s">
        <v>20</v>
      </c>
      <c r="D2496" t="s">
        <v>21</v>
      </c>
      <c r="E2496">
        <v>2222222</v>
      </c>
      <c r="F2496" s="8" t="s">
        <v>22</v>
      </c>
      <c r="G2496" s="2">
        <v>98</v>
      </c>
      <c r="H2496" t="s">
        <v>4262</v>
      </c>
      <c r="J2496" s="9" t="s">
        <v>4873</v>
      </c>
      <c r="K2496" t="s">
        <v>5169</v>
      </c>
      <c r="L2496" s="2">
        <v>1</v>
      </c>
      <c r="M2496" s="24" t="s">
        <v>5971</v>
      </c>
      <c r="N2496" s="2" t="s">
        <v>23</v>
      </c>
      <c r="O2496" s="18" t="s">
        <v>1980</v>
      </c>
      <c r="P2496" s="18" t="s">
        <v>3781</v>
      </c>
      <c r="Q2496" s="6" t="s">
        <v>4475</v>
      </c>
      <c r="T2496" s="23">
        <v>45868</v>
      </c>
      <c r="U2496" s="23">
        <v>47693</v>
      </c>
      <c r="X2496" s="20">
        <v>37100</v>
      </c>
      <c r="Z2496" s="6" t="s">
        <v>5978</v>
      </c>
      <c r="AA2496" s="14">
        <f t="shared" si="315"/>
        <v>5.9999999999999995E-4</v>
      </c>
      <c r="AB2496">
        <v>19.324824</v>
      </c>
      <c r="AC2496">
        <v>20.097816959999999</v>
      </c>
    </row>
    <row r="2497" spans="1:29" x14ac:dyDescent="0.3">
      <c r="A2497">
        <v>151511</v>
      </c>
      <c r="B2497" s="25" t="s">
        <v>5984</v>
      </c>
      <c r="C2497" t="s">
        <v>20</v>
      </c>
      <c r="D2497" t="s">
        <v>21</v>
      </c>
      <c r="E2497">
        <v>2222222</v>
      </c>
      <c r="F2497" s="8" t="s">
        <v>22</v>
      </c>
      <c r="G2497" s="2">
        <v>98</v>
      </c>
      <c r="H2497" t="s">
        <v>4262</v>
      </c>
      <c r="J2497" s="9" t="s">
        <v>4873</v>
      </c>
      <c r="K2497" t="s">
        <v>5169</v>
      </c>
      <c r="L2497" s="2">
        <v>1</v>
      </c>
      <c r="M2497" s="24" t="s">
        <v>5971</v>
      </c>
      <c r="N2497" s="2" t="s">
        <v>23</v>
      </c>
      <c r="O2497" s="18" t="s">
        <v>1980</v>
      </c>
      <c r="P2497" s="18" t="s">
        <v>3781</v>
      </c>
      <c r="Q2497" s="6" t="s">
        <v>4475</v>
      </c>
      <c r="T2497" s="23">
        <v>46169</v>
      </c>
      <c r="U2497" s="23">
        <v>46352</v>
      </c>
      <c r="X2497" s="20">
        <v>1450</v>
      </c>
      <c r="Z2497" s="6" t="s">
        <v>5978</v>
      </c>
      <c r="AA2497" s="14">
        <f t="shared" si="315"/>
        <v>5.9999999999999995E-4</v>
      </c>
      <c r="AB2497">
        <v>0.72994799999999993</v>
      </c>
      <c r="AC2497">
        <v>0.75914591999999992</v>
      </c>
    </row>
    <row r="2498" spans="1:29" x14ac:dyDescent="0.3">
      <c r="A2498">
        <v>134600</v>
      </c>
      <c r="B2498" s="25" t="s">
        <v>5984</v>
      </c>
      <c r="C2498" t="s">
        <v>20</v>
      </c>
      <c r="D2498" t="s">
        <v>21</v>
      </c>
      <c r="E2498">
        <v>2222222</v>
      </c>
      <c r="F2498" s="8" t="s">
        <v>22</v>
      </c>
      <c r="G2498" s="2">
        <v>98</v>
      </c>
      <c r="H2498" t="s">
        <v>4263</v>
      </c>
      <c r="J2498" s="9" t="s">
        <v>5628</v>
      </c>
      <c r="K2498" t="s">
        <v>4815</v>
      </c>
      <c r="L2498" s="2">
        <v>1</v>
      </c>
      <c r="M2498" s="24" t="s">
        <v>5971</v>
      </c>
      <c r="N2498" s="2" t="s">
        <v>23</v>
      </c>
      <c r="O2498" s="18" t="s">
        <v>1981</v>
      </c>
      <c r="P2498" s="18" t="s">
        <v>0</v>
      </c>
      <c r="Q2498" s="6" t="s">
        <v>4475</v>
      </c>
      <c r="T2498" s="23">
        <v>45065</v>
      </c>
      <c r="U2498" s="23">
        <v>45795</v>
      </c>
      <c r="X2498" s="20">
        <v>5000</v>
      </c>
      <c r="Z2498" s="6" t="s">
        <v>5978</v>
      </c>
      <c r="AA2498" s="13">
        <f>+(0.56/1000)</f>
        <v>5.6000000000000006E-4</v>
      </c>
      <c r="AB2498">
        <v>2.3012920000000001</v>
      </c>
      <c r="AC2498">
        <v>2.3933436800000001</v>
      </c>
    </row>
    <row r="2499" spans="1:29" x14ac:dyDescent="0.3">
      <c r="A2499">
        <v>145232</v>
      </c>
      <c r="B2499" s="25" t="s">
        <v>5984</v>
      </c>
      <c r="C2499" t="s">
        <v>20</v>
      </c>
      <c r="D2499" t="s">
        <v>21</v>
      </c>
      <c r="E2499">
        <v>2222222</v>
      </c>
      <c r="F2499" s="8" t="s">
        <v>22</v>
      </c>
      <c r="G2499" s="2">
        <v>98</v>
      </c>
      <c r="H2499" t="s">
        <v>4264</v>
      </c>
      <c r="J2499" s="9" t="s">
        <v>4485</v>
      </c>
      <c r="K2499" t="s">
        <v>5629</v>
      </c>
      <c r="L2499" s="2">
        <v>1</v>
      </c>
      <c r="M2499" s="24" t="s">
        <v>5971</v>
      </c>
      <c r="N2499" s="2" t="s">
        <v>23</v>
      </c>
      <c r="O2499" s="18" t="s">
        <v>1982</v>
      </c>
      <c r="P2499" s="18" t="s">
        <v>0</v>
      </c>
      <c r="Q2499" s="6" t="s">
        <v>4475</v>
      </c>
      <c r="T2499" s="23">
        <v>45737</v>
      </c>
      <c r="U2499" s="23">
        <v>48293</v>
      </c>
      <c r="X2499" s="20">
        <v>50000</v>
      </c>
      <c r="Z2499" s="6" t="s">
        <v>5978</v>
      </c>
      <c r="AA2499" s="14">
        <f t="shared" ref="AA2499:AA2500" si="316">+(0.6/1000)</f>
        <v>5.9999999999999995E-4</v>
      </c>
      <c r="AB2499">
        <v>26.792759999999998</v>
      </c>
      <c r="AC2499">
        <v>27.864470399999998</v>
      </c>
    </row>
    <row r="2500" spans="1:29" x14ac:dyDescent="0.3">
      <c r="A2500">
        <v>148668</v>
      </c>
      <c r="B2500" s="25" t="s">
        <v>5984</v>
      </c>
      <c r="C2500" t="s">
        <v>20</v>
      </c>
      <c r="D2500" t="s">
        <v>21</v>
      </c>
      <c r="E2500">
        <v>2222222</v>
      </c>
      <c r="F2500" s="8" t="s">
        <v>22</v>
      </c>
      <c r="G2500" s="2">
        <v>98</v>
      </c>
      <c r="H2500" t="s">
        <v>4264</v>
      </c>
      <c r="J2500" s="9" t="s">
        <v>4485</v>
      </c>
      <c r="K2500" t="s">
        <v>5629</v>
      </c>
      <c r="L2500" s="2">
        <v>1</v>
      </c>
      <c r="M2500" s="24" t="s">
        <v>5971</v>
      </c>
      <c r="N2500" s="2" t="s">
        <v>23</v>
      </c>
      <c r="O2500" s="18" t="s">
        <v>1982</v>
      </c>
      <c r="P2500" s="18" t="s">
        <v>0</v>
      </c>
      <c r="Q2500" s="6" t="s">
        <v>4475</v>
      </c>
      <c r="T2500" s="23">
        <v>45978</v>
      </c>
      <c r="U2500" s="23">
        <v>47804</v>
      </c>
      <c r="X2500" s="20">
        <v>9000</v>
      </c>
      <c r="Z2500" s="6" t="s">
        <v>5978</v>
      </c>
      <c r="AA2500" s="14">
        <f t="shared" si="316"/>
        <v>5.9999999999999995E-4</v>
      </c>
      <c r="AB2500">
        <v>4.8775199999999996</v>
      </c>
      <c r="AC2500">
        <v>5.0726208000000002</v>
      </c>
    </row>
    <row r="2501" spans="1:29" x14ac:dyDescent="0.3">
      <c r="A2501">
        <v>140022</v>
      </c>
      <c r="B2501" s="25" t="s">
        <v>5984</v>
      </c>
      <c r="C2501" t="s">
        <v>20</v>
      </c>
      <c r="D2501" t="s">
        <v>21</v>
      </c>
      <c r="E2501">
        <v>2222222</v>
      </c>
      <c r="F2501" s="8" t="s">
        <v>22</v>
      </c>
      <c r="G2501" s="2">
        <v>98</v>
      </c>
      <c r="H2501" t="s">
        <v>4265</v>
      </c>
      <c r="J2501" s="9" t="s">
        <v>5240</v>
      </c>
      <c r="K2501" t="s">
        <v>5630</v>
      </c>
      <c r="L2501" s="2">
        <v>1</v>
      </c>
      <c r="M2501" s="24" t="s">
        <v>5971</v>
      </c>
      <c r="N2501" s="2" t="s">
        <v>23</v>
      </c>
      <c r="O2501" s="18" t="s">
        <v>1983</v>
      </c>
      <c r="P2501" s="18" t="s">
        <v>0</v>
      </c>
      <c r="Q2501" s="6" t="s">
        <v>4475</v>
      </c>
      <c r="T2501" s="23">
        <v>45364</v>
      </c>
      <c r="U2501" s="23">
        <v>46277</v>
      </c>
      <c r="X2501" s="20">
        <v>2900</v>
      </c>
      <c r="Z2501" s="6" t="s">
        <v>5978</v>
      </c>
      <c r="AA2501" s="13">
        <f>+(0.56/1000)</f>
        <v>5.6000000000000006E-4</v>
      </c>
      <c r="AB2501">
        <v>0.1241184</v>
      </c>
      <c r="AC2501">
        <v>0.12908313600000001</v>
      </c>
    </row>
    <row r="2502" spans="1:29" x14ac:dyDescent="0.3">
      <c r="A2502">
        <v>143050</v>
      </c>
      <c r="B2502" s="25" t="s">
        <v>5984</v>
      </c>
      <c r="C2502" t="s">
        <v>20</v>
      </c>
      <c r="D2502" t="s">
        <v>21</v>
      </c>
      <c r="E2502">
        <v>2222222</v>
      </c>
      <c r="F2502" s="8" t="s">
        <v>22</v>
      </c>
      <c r="G2502" s="2">
        <v>98</v>
      </c>
      <c r="H2502" t="s">
        <v>4265</v>
      </c>
      <c r="J2502" s="9" t="s">
        <v>5240</v>
      </c>
      <c r="K2502" t="s">
        <v>5630</v>
      </c>
      <c r="L2502" s="2">
        <v>1</v>
      </c>
      <c r="M2502" s="24" t="s">
        <v>5971</v>
      </c>
      <c r="N2502" s="2" t="s">
        <v>23</v>
      </c>
      <c r="O2502" s="18" t="s">
        <v>1983</v>
      </c>
      <c r="P2502" s="18" t="s">
        <v>0</v>
      </c>
      <c r="Q2502" s="6" t="s">
        <v>4475</v>
      </c>
      <c r="T2502" s="23">
        <v>45565</v>
      </c>
      <c r="U2502" s="23">
        <v>47483</v>
      </c>
      <c r="X2502" s="20">
        <v>14000</v>
      </c>
      <c r="Z2502" s="6" t="s">
        <v>5978</v>
      </c>
      <c r="AA2502" s="14">
        <f t="shared" ref="AA2502:AA2512" si="317">+(0.6/1000)</f>
        <v>5.9999999999999995E-4</v>
      </c>
      <c r="AB2502">
        <v>6.2637239999999998</v>
      </c>
      <c r="AC2502">
        <v>6.5142729600000004</v>
      </c>
    </row>
    <row r="2503" spans="1:29" x14ac:dyDescent="0.3">
      <c r="A2503">
        <v>151639</v>
      </c>
      <c r="B2503" s="25" t="s">
        <v>5984</v>
      </c>
      <c r="C2503" t="s">
        <v>20</v>
      </c>
      <c r="D2503" t="s">
        <v>21</v>
      </c>
      <c r="E2503">
        <v>2222222</v>
      </c>
      <c r="F2503" s="8" t="s">
        <v>22</v>
      </c>
      <c r="G2503" s="2">
        <v>98</v>
      </c>
      <c r="H2503" t="s">
        <v>4265</v>
      </c>
      <c r="J2503" s="9" t="s">
        <v>5240</v>
      </c>
      <c r="K2503" t="s">
        <v>5630</v>
      </c>
      <c r="L2503" s="2">
        <v>1</v>
      </c>
      <c r="M2503" s="24" t="s">
        <v>5971</v>
      </c>
      <c r="N2503" s="2" t="s">
        <v>23</v>
      </c>
      <c r="O2503" s="18" t="s">
        <v>1983</v>
      </c>
      <c r="P2503" s="18" t="s">
        <v>0</v>
      </c>
      <c r="Q2503" s="6" t="s">
        <v>4475</v>
      </c>
      <c r="T2503" s="23">
        <v>46186</v>
      </c>
      <c r="U2503" s="23">
        <v>46276</v>
      </c>
      <c r="X2503" s="20">
        <v>20000</v>
      </c>
      <c r="Z2503" s="6" t="s">
        <v>5978</v>
      </c>
      <c r="AA2503" s="14">
        <f t="shared" si="317"/>
        <v>5.9999999999999995E-4</v>
      </c>
      <c r="AB2503">
        <v>11.999999999999998</v>
      </c>
      <c r="AC2503">
        <v>12.479999999999999</v>
      </c>
    </row>
    <row r="2504" spans="1:29" x14ac:dyDescent="0.3">
      <c r="A2504">
        <v>151641</v>
      </c>
      <c r="B2504" s="25" t="s">
        <v>5984</v>
      </c>
      <c r="C2504" t="s">
        <v>20</v>
      </c>
      <c r="D2504" t="s">
        <v>21</v>
      </c>
      <c r="E2504">
        <v>2222222</v>
      </c>
      <c r="F2504" s="8" t="s">
        <v>22</v>
      </c>
      <c r="G2504" s="2">
        <v>98</v>
      </c>
      <c r="H2504" t="s">
        <v>4265</v>
      </c>
      <c r="J2504" s="9" t="s">
        <v>5240</v>
      </c>
      <c r="K2504" t="s">
        <v>5630</v>
      </c>
      <c r="L2504" s="2">
        <v>1</v>
      </c>
      <c r="M2504" s="24" t="s">
        <v>5971</v>
      </c>
      <c r="N2504" s="2" t="s">
        <v>23</v>
      </c>
      <c r="O2504" s="18" t="s">
        <v>1983</v>
      </c>
      <c r="P2504" s="18" t="s">
        <v>0</v>
      </c>
      <c r="Q2504" s="6" t="s">
        <v>4475</v>
      </c>
      <c r="T2504" s="23">
        <v>46181</v>
      </c>
      <c r="U2504" s="23">
        <v>46271</v>
      </c>
      <c r="X2504" s="20">
        <v>1030</v>
      </c>
      <c r="Z2504" s="6" t="s">
        <v>5978</v>
      </c>
      <c r="AA2504" s="14">
        <f t="shared" si="317"/>
        <v>5.9999999999999995E-4</v>
      </c>
      <c r="AB2504">
        <v>0.61799999999999999</v>
      </c>
      <c r="AC2504">
        <v>0.64272000000000007</v>
      </c>
    </row>
    <row r="2505" spans="1:29" x14ac:dyDescent="0.3">
      <c r="A2505">
        <v>143222</v>
      </c>
      <c r="B2505" s="25" t="s">
        <v>5984</v>
      </c>
      <c r="C2505" t="s">
        <v>20</v>
      </c>
      <c r="D2505" t="s">
        <v>21</v>
      </c>
      <c r="E2505">
        <v>2222222</v>
      </c>
      <c r="F2505" s="8" t="s">
        <v>22</v>
      </c>
      <c r="G2505" s="2">
        <v>98</v>
      </c>
      <c r="H2505" t="s">
        <v>4266</v>
      </c>
      <c r="J2505" s="9" t="s">
        <v>5240</v>
      </c>
      <c r="K2505" t="s">
        <v>5374</v>
      </c>
      <c r="L2505" s="2">
        <v>1</v>
      </c>
      <c r="M2505" s="24" t="s">
        <v>5971</v>
      </c>
      <c r="N2505" s="2" t="s">
        <v>23</v>
      </c>
      <c r="O2505" s="18" t="s">
        <v>1984</v>
      </c>
      <c r="P2505" s="18" t="s">
        <v>0</v>
      </c>
      <c r="Q2505" s="6" t="s">
        <v>4475</v>
      </c>
      <c r="T2505" s="23">
        <v>45574</v>
      </c>
      <c r="U2505" s="23">
        <v>46760</v>
      </c>
      <c r="X2505" s="20">
        <v>5000</v>
      </c>
      <c r="Z2505" s="6" t="s">
        <v>5978</v>
      </c>
      <c r="AA2505" s="14">
        <f t="shared" si="317"/>
        <v>5.9999999999999995E-4</v>
      </c>
      <c r="AB2505">
        <v>1.7920799999999999</v>
      </c>
      <c r="AC2505">
        <v>1.8637632</v>
      </c>
    </row>
    <row r="2506" spans="1:29" x14ac:dyDescent="0.3">
      <c r="A2506">
        <v>144031</v>
      </c>
      <c r="B2506" s="25" t="s">
        <v>5984</v>
      </c>
      <c r="C2506" t="s">
        <v>20</v>
      </c>
      <c r="D2506" t="s">
        <v>21</v>
      </c>
      <c r="E2506">
        <v>2222222</v>
      </c>
      <c r="F2506" s="8" t="s">
        <v>22</v>
      </c>
      <c r="G2506" s="2">
        <v>98</v>
      </c>
      <c r="H2506" t="s">
        <v>4266</v>
      </c>
      <c r="J2506" s="9" t="s">
        <v>4900</v>
      </c>
      <c r="K2506" t="s">
        <v>4901</v>
      </c>
      <c r="L2506" s="2">
        <v>1</v>
      </c>
      <c r="M2506" s="24" t="s">
        <v>5971</v>
      </c>
      <c r="N2506" s="2" t="s">
        <v>23</v>
      </c>
      <c r="O2506" s="18" t="s">
        <v>1985</v>
      </c>
      <c r="P2506" s="18" t="s">
        <v>0</v>
      </c>
      <c r="Q2506" s="6" t="s">
        <v>4475</v>
      </c>
      <c r="T2506" s="23">
        <v>45632</v>
      </c>
      <c r="U2506" s="23">
        <v>46817</v>
      </c>
      <c r="X2506" s="20">
        <v>4000</v>
      </c>
      <c r="Z2506" s="6" t="s">
        <v>5978</v>
      </c>
      <c r="AA2506" s="14">
        <f t="shared" si="317"/>
        <v>5.9999999999999995E-4</v>
      </c>
      <c r="AB2506">
        <v>1.4812259999999999</v>
      </c>
      <c r="AC2506">
        <v>1.54047504</v>
      </c>
    </row>
    <row r="2507" spans="1:29" x14ac:dyDescent="0.3">
      <c r="A2507">
        <v>145015</v>
      </c>
      <c r="B2507" s="25" t="s">
        <v>5984</v>
      </c>
      <c r="C2507" t="s">
        <v>20</v>
      </c>
      <c r="D2507" t="s">
        <v>21</v>
      </c>
      <c r="E2507">
        <v>2222222</v>
      </c>
      <c r="F2507" s="8" t="s">
        <v>22</v>
      </c>
      <c r="G2507" s="2">
        <v>98</v>
      </c>
      <c r="H2507" t="s">
        <v>4266</v>
      </c>
      <c r="J2507" s="9" t="s">
        <v>4900</v>
      </c>
      <c r="K2507" t="s">
        <v>4901</v>
      </c>
      <c r="L2507" s="2">
        <v>1</v>
      </c>
      <c r="M2507" s="24" t="s">
        <v>5971</v>
      </c>
      <c r="N2507" s="2" t="s">
        <v>23</v>
      </c>
      <c r="O2507" s="18" t="s">
        <v>1985</v>
      </c>
      <c r="P2507" s="18" t="s">
        <v>0</v>
      </c>
      <c r="Q2507" s="6" t="s">
        <v>4475</v>
      </c>
      <c r="T2507" s="23">
        <v>45706</v>
      </c>
      <c r="U2507" s="23">
        <v>47258</v>
      </c>
      <c r="X2507" s="20">
        <v>5000</v>
      </c>
      <c r="Z2507" s="6" t="s">
        <v>5978</v>
      </c>
      <c r="AA2507" s="14">
        <f t="shared" si="317"/>
        <v>5.9999999999999995E-4</v>
      </c>
      <c r="AB2507">
        <v>2.3368919999999997</v>
      </c>
      <c r="AC2507">
        <v>2.4303676799999998</v>
      </c>
    </row>
    <row r="2508" spans="1:29" x14ac:dyDescent="0.3">
      <c r="A2508">
        <v>149588</v>
      </c>
      <c r="B2508" s="25" t="s">
        <v>5984</v>
      </c>
      <c r="C2508" t="s">
        <v>20</v>
      </c>
      <c r="D2508" t="s">
        <v>21</v>
      </c>
      <c r="E2508">
        <v>2222222</v>
      </c>
      <c r="F2508" s="8" t="s">
        <v>22</v>
      </c>
      <c r="G2508" s="2">
        <v>98</v>
      </c>
      <c r="H2508" t="s">
        <v>4266</v>
      </c>
      <c r="J2508" s="9" t="s">
        <v>5111</v>
      </c>
      <c r="K2508" t="s">
        <v>4900</v>
      </c>
      <c r="L2508" s="2">
        <v>1</v>
      </c>
      <c r="M2508" s="24" t="s">
        <v>5971</v>
      </c>
      <c r="N2508" s="2" t="s">
        <v>23</v>
      </c>
      <c r="O2508" s="18" t="s">
        <v>1986</v>
      </c>
      <c r="P2508" s="18" t="s">
        <v>0</v>
      </c>
      <c r="Q2508" s="6" t="s">
        <v>4475</v>
      </c>
      <c r="T2508" s="23">
        <v>46035</v>
      </c>
      <c r="U2508" s="23">
        <v>46765</v>
      </c>
      <c r="X2508" s="20">
        <v>1900</v>
      </c>
      <c r="Z2508" s="6" t="s">
        <v>5978</v>
      </c>
      <c r="AA2508" s="14">
        <f t="shared" si="317"/>
        <v>5.9999999999999995E-4</v>
      </c>
      <c r="AB2508">
        <v>0.88907999999999987</v>
      </c>
      <c r="AC2508">
        <v>0.92464319999999989</v>
      </c>
    </row>
    <row r="2509" spans="1:29" x14ac:dyDescent="0.3">
      <c r="A2509">
        <v>150538</v>
      </c>
      <c r="B2509" s="25" t="s">
        <v>5984</v>
      </c>
      <c r="C2509" t="s">
        <v>20</v>
      </c>
      <c r="D2509" t="s">
        <v>21</v>
      </c>
      <c r="E2509">
        <v>2222222</v>
      </c>
      <c r="F2509" s="8" t="s">
        <v>22</v>
      </c>
      <c r="G2509" s="2">
        <v>98</v>
      </c>
      <c r="H2509" t="s">
        <v>4266</v>
      </c>
      <c r="J2509" s="9" t="s">
        <v>4970</v>
      </c>
      <c r="K2509" t="s">
        <v>5622</v>
      </c>
      <c r="L2509" s="2">
        <v>1</v>
      </c>
      <c r="M2509" s="24" t="s">
        <v>5971</v>
      </c>
      <c r="N2509" s="2" t="s">
        <v>23</v>
      </c>
      <c r="O2509" s="18" t="s">
        <v>1987</v>
      </c>
      <c r="P2509" s="18" t="s">
        <v>3781</v>
      </c>
      <c r="Q2509" s="6" t="s">
        <v>4475</v>
      </c>
      <c r="T2509" s="23">
        <v>46108</v>
      </c>
      <c r="U2509" s="23">
        <v>49760</v>
      </c>
      <c r="X2509" s="20">
        <v>20000</v>
      </c>
      <c r="Z2509" s="6" t="s">
        <v>5978</v>
      </c>
      <c r="AA2509" s="14">
        <f t="shared" si="317"/>
        <v>5.9999999999999995E-4</v>
      </c>
      <c r="AB2509">
        <v>11.705316</v>
      </c>
      <c r="AC2509">
        <v>12.173528640000001</v>
      </c>
    </row>
    <row r="2510" spans="1:29" x14ac:dyDescent="0.3">
      <c r="A2510">
        <v>152033</v>
      </c>
      <c r="B2510" s="25" t="s">
        <v>5984</v>
      </c>
      <c r="C2510" t="s">
        <v>20</v>
      </c>
      <c r="D2510" t="s">
        <v>21</v>
      </c>
      <c r="E2510">
        <v>2222222</v>
      </c>
      <c r="F2510" s="8" t="s">
        <v>22</v>
      </c>
      <c r="G2510" s="2">
        <v>98</v>
      </c>
      <c r="H2510" t="s">
        <v>4266</v>
      </c>
      <c r="J2510" s="9" t="s">
        <v>4953</v>
      </c>
      <c r="K2510" t="s">
        <v>4949</v>
      </c>
      <c r="L2510" s="2">
        <v>1</v>
      </c>
      <c r="M2510" s="24" t="s">
        <v>5971</v>
      </c>
      <c r="N2510" s="2" t="s">
        <v>23</v>
      </c>
      <c r="O2510" s="18" t="s">
        <v>1988</v>
      </c>
      <c r="P2510" s="18" t="s">
        <v>0</v>
      </c>
      <c r="Q2510" s="6" t="s">
        <v>4475</v>
      </c>
      <c r="T2510" s="23">
        <v>46206</v>
      </c>
      <c r="U2510" s="23">
        <v>47301</v>
      </c>
      <c r="X2510" s="20">
        <v>3550</v>
      </c>
      <c r="Z2510" s="6" t="s">
        <v>5978</v>
      </c>
      <c r="AA2510" s="14">
        <f t="shared" si="317"/>
        <v>5.9999999999999995E-4</v>
      </c>
      <c r="AB2510">
        <v>2.13</v>
      </c>
      <c r="AC2510">
        <v>2.2151999999999998</v>
      </c>
    </row>
    <row r="2511" spans="1:29" x14ac:dyDescent="0.3">
      <c r="A2511">
        <v>152374</v>
      </c>
      <c r="B2511" s="25" t="s">
        <v>5984</v>
      </c>
      <c r="C2511" t="s">
        <v>20</v>
      </c>
      <c r="D2511" t="s">
        <v>21</v>
      </c>
      <c r="E2511">
        <v>2222222</v>
      </c>
      <c r="F2511" s="8" t="s">
        <v>22</v>
      </c>
      <c r="G2511" s="2">
        <v>98</v>
      </c>
      <c r="H2511" t="s">
        <v>4266</v>
      </c>
      <c r="J2511" s="9" t="s">
        <v>5111</v>
      </c>
      <c r="K2511" t="s">
        <v>4900</v>
      </c>
      <c r="L2511" s="2">
        <v>1</v>
      </c>
      <c r="M2511" s="24" t="s">
        <v>5971</v>
      </c>
      <c r="N2511" s="2" t="s">
        <v>23</v>
      </c>
      <c r="O2511" s="18" t="s">
        <v>1986</v>
      </c>
      <c r="P2511" s="18" t="s">
        <v>0</v>
      </c>
      <c r="Q2511" s="6" t="s">
        <v>4475</v>
      </c>
      <c r="T2511" s="23">
        <v>46233</v>
      </c>
      <c r="U2511" s="23">
        <v>46266</v>
      </c>
      <c r="X2511" s="20">
        <v>2900</v>
      </c>
      <c r="Z2511" s="6" t="s">
        <v>5978</v>
      </c>
      <c r="AA2511" s="14">
        <f t="shared" si="317"/>
        <v>5.9999999999999995E-4</v>
      </c>
      <c r="AB2511">
        <v>1.7399999999999998</v>
      </c>
      <c r="AC2511">
        <v>1.8095999999999999</v>
      </c>
    </row>
    <row r="2512" spans="1:29" x14ac:dyDescent="0.3">
      <c r="A2512">
        <v>151685</v>
      </c>
      <c r="B2512" s="25" t="s">
        <v>5984</v>
      </c>
      <c r="C2512" t="s">
        <v>20</v>
      </c>
      <c r="D2512" t="s">
        <v>21</v>
      </c>
      <c r="E2512">
        <v>2222222</v>
      </c>
      <c r="F2512" s="8" t="s">
        <v>22</v>
      </c>
      <c r="G2512" s="2">
        <v>98</v>
      </c>
      <c r="H2512" t="s">
        <v>4267</v>
      </c>
      <c r="J2512" s="9" t="s">
        <v>5070</v>
      </c>
      <c r="K2512" t="s">
        <v>5631</v>
      </c>
      <c r="L2512" s="2">
        <v>1</v>
      </c>
      <c r="M2512" s="24" t="s">
        <v>5971</v>
      </c>
      <c r="N2512" s="2" t="s">
        <v>23</v>
      </c>
      <c r="O2512" s="18" t="s">
        <v>1989</v>
      </c>
      <c r="P2512" s="18" t="s">
        <v>3781</v>
      </c>
      <c r="Q2512" s="6" t="s">
        <v>4475</v>
      </c>
      <c r="T2512" s="23">
        <v>46183</v>
      </c>
      <c r="U2512" s="23">
        <v>47279</v>
      </c>
      <c r="X2512" s="20">
        <v>5000</v>
      </c>
      <c r="Z2512" s="6" t="s">
        <v>5978</v>
      </c>
      <c r="AA2512" s="14">
        <f t="shared" si="317"/>
        <v>5.9999999999999995E-4</v>
      </c>
      <c r="AB2512">
        <v>2.9361659999999996</v>
      </c>
      <c r="AC2512">
        <v>3.0536126399999999</v>
      </c>
    </row>
    <row r="2513" spans="1:29" x14ac:dyDescent="0.3">
      <c r="A2513">
        <v>65966</v>
      </c>
      <c r="B2513" s="25" t="s">
        <v>5984</v>
      </c>
      <c r="C2513" t="s">
        <v>20</v>
      </c>
      <c r="D2513" t="s">
        <v>21</v>
      </c>
      <c r="E2513">
        <v>2222222</v>
      </c>
      <c r="F2513" s="8" t="s">
        <v>22</v>
      </c>
      <c r="G2513" s="2">
        <v>98</v>
      </c>
      <c r="H2513" t="s">
        <v>4268</v>
      </c>
      <c r="J2513" s="9" t="s">
        <v>4903</v>
      </c>
      <c r="K2513" t="s">
        <v>4925</v>
      </c>
      <c r="L2513" s="2">
        <v>1</v>
      </c>
      <c r="M2513" s="24" t="s">
        <v>5971</v>
      </c>
      <c r="N2513" s="2" t="s">
        <v>23</v>
      </c>
      <c r="O2513" s="18" t="s">
        <v>1990</v>
      </c>
      <c r="P2513" s="18" t="s">
        <v>3781</v>
      </c>
      <c r="Q2513" s="6" t="s">
        <v>4475</v>
      </c>
      <c r="T2513" s="23">
        <v>42242</v>
      </c>
      <c r="U2513" s="23">
        <v>43338</v>
      </c>
      <c r="X2513" s="20">
        <v>5000</v>
      </c>
      <c r="Z2513" s="6" t="s">
        <v>5978</v>
      </c>
      <c r="AA2513" s="15">
        <f t="shared" ref="AA2513:AA2520" si="318">+(0.42/1000)</f>
        <v>4.1999999999999996E-4</v>
      </c>
      <c r="AB2513">
        <v>1.1237057999999998</v>
      </c>
      <c r="AC2513">
        <v>1.1686540319999998</v>
      </c>
    </row>
    <row r="2514" spans="1:29" x14ac:dyDescent="0.3">
      <c r="A2514">
        <v>79264</v>
      </c>
      <c r="B2514" s="25" t="s">
        <v>5984</v>
      </c>
      <c r="C2514" t="s">
        <v>20</v>
      </c>
      <c r="D2514" t="s">
        <v>21</v>
      </c>
      <c r="E2514">
        <v>2222222</v>
      </c>
      <c r="F2514" s="8" t="s">
        <v>22</v>
      </c>
      <c r="G2514" s="2">
        <v>98</v>
      </c>
      <c r="H2514" t="s">
        <v>4268</v>
      </c>
      <c r="J2514" s="9" t="s">
        <v>4838</v>
      </c>
      <c r="K2514" t="s">
        <v>5374</v>
      </c>
      <c r="L2514" s="2">
        <v>1</v>
      </c>
      <c r="M2514" s="24" t="s">
        <v>5971</v>
      </c>
      <c r="N2514" s="2" t="s">
        <v>23</v>
      </c>
      <c r="O2514" s="18" t="s">
        <v>1991</v>
      </c>
      <c r="P2514" s="18" t="s">
        <v>0</v>
      </c>
      <c r="Q2514" s="6" t="s">
        <v>4475</v>
      </c>
      <c r="T2514" s="23">
        <v>42762</v>
      </c>
      <c r="U2514" s="23">
        <v>43127</v>
      </c>
      <c r="X2514" s="20">
        <v>1500</v>
      </c>
      <c r="Z2514" s="6" t="s">
        <v>5978</v>
      </c>
      <c r="AA2514" s="15">
        <f t="shared" si="318"/>
        <v>4.1999999999999996E-4</v>
      </c>
      <c r="AB2514">
        <v>0.53239619999999988</v>
      </c>
      <c r="AC2514">
        <v>0.55369204799999994</v>
      </c>
    </row>
    <row r="2515" spans="1:29" x14ac:dyDescent="0.3">
      <c r="A2515">
        <v>80385</v>
      </c>
      <c r="B2515" s="25" t="s">
        <v>5984</v>
      </c>
      <c r="C2515" t="s">
        <v>20</v>
      </c>
      <c r="D2515" t="s">
        <v>21</v>
      </c>
      <c r="E2515">
        <v>2222222</v>
      </c>
      <c r="F2515" s="8" t="s">
        <v>22</v>
      </c>
      <c r="G2515" s="2">
        <v>98</v>
      </c>
      <c r="H2515" t="s">
        <v>4268</v>
      </c>
      <c r="J2515" s="9" t="s">
        <v>4903</v>
      </c>
      <c r="K2515" t="s">
        <v>4925</v>
      </c>
      <c r="L2515" s="2">
        <v>1</v>
      </c>
      <c r="M2515" s="24" t="s">
        <v>5971</v>
      </c>
      <c r="N2515" s="2" t="s">
        <v>23</v>
      </c>
      <c r="O2515" s="18" t="s">
        <v>1990</v>
      </c>
      <c r="P2515" s="18" t="s">
        <v>3781</v>
      </c>
      <c r="Q2515" s="6" t="s">
        <v>4475</v>
      </c>
      <c r="T2515" s="23">
        <v>42803</v>
      </c>
      <c r="U2515" s="23">
        <v>42895</v>
      </c>
      <c r="X2515" s="20">
        <v>1000</v>
      </c>
      <c r="Z2515" s="6" t="s">
        <v>5978</v>
      </c>
      <c r="AA2515" s="15">
        <f t="shared" si="318"/>
        <v>4.1999999999999996E-4</v>
      </c>
      <c r="AB2515">
        <v>0.42</v>
      </c>
      <c r="AC2515">
        <v>0.43680000000000002</v>
      </c>
    </row>
    <row r="2516" spans="1:29" x14ac:dyDescent="0.3">
      <c r="A2516">
        <v>96867</v>
      </c>
      <c r="B2516" s="25" t="s">
        <v>5984</v>
      </c>
      <c r="C2516" t="s">
        <v>20</v>
      </c>
      <c r="D2516" t="s">
        <v>21</v>
      </c>
      <c r="E2516">
        <v>2222222</v>
      </c>
      <c r="F2516" s="8" t="s">
        <v>22</v>
      </c>
      <c r="G2516" s="2">
        <v>98</v>
      </c>
      <c r="H2516" t="s">
        <v>4268</v>
      </c>
      <c r="J2516" s="9" t="s">
        <v>5490</v>
      </c>
      <c r="K2516" t="s">
        <v>5081</v>
      </c>
      <c r="L2516" s="2">
        <v>1</v>
      </c>
      <c r="M2516" s="24" t="s">
        <v>5971</v>
      </c>
      <c r="N2516" s="2" t="s">
        <v>23</v>
      </c>
      <c r="O2516" s="18" t="s">
        <v>1992</v>
      </c>
      <c r="P2516" s="18" t="s">
        <v>3781</v>
      </c>
      <c r="Q2516" s="6" t="s">
        <v>4475</v>
      </c>
      <c r="T2516" s="23">
        <v>43353</v>
      </c>
      <c r="U2516" s="23">
        <v>47072</v>
      </c>
      <c r="X2516" s="20">
        <v>30000</v>
      </c>
      <c r="Z2516" s="6" t="s">
        <v>5978</v>
      </c>
      <c r="AA2516" s="15">
        <f t="shared" si="318"/>
        <v>4.1999999999999996E-4</v>
      </c>
      <c r="AB2516">
        <v>4.2287112000000002</v>
      </c>
      <c r="AC2516">
        <v>4.3978596480000007</v>
      </c>
    </row>
    <row r="2517" spans="1:29" x14ac:dyDescent="0.3">
      <c r="A2517">
        <v>124778</v>
      </c>
      <c r="B2517" s="25" t="s">
        <v>5984</v>
      </c>
      <c r="C2517" t="s">
        <v>20</v>
      </c>
      <c r="D2517" t="s">
        <v>21</v>
      </c>
      <c r="E2517">
        <v>2222222</v>
      </c>
      <c r="F2517" s="8" t="s">
        <v>22</v>
      </c>
      <c r="G2517" s="2">
        <v>98</v>
      </c>
      <c r="H2517" t="s">
        <v>4268</v>
      </c>
      <c r="J2517" s="9" t="s">
        <v>5141</v>
      </c>
      <c r="K2517" t="s">
        <v>4924</v>
      </c>
      <c r="L2517" s="2">
        <v>1</v>
      </c>
      <c r="M2517" s="24" t="s">
        <v>5971</v>
      </c>
      <c r="N2517" s="2" t="s">
        <v>23</v>
      </c>
      <c r="O2517" s="18" t="s">
        <v>363</v>
      </c>
      <c r="P2517" s="18" t="s">
        <v>3781</v>
      </c>
      <c r="Q2517" s="6" t="s">
        <v>4475</v>
      </c>
      <c r="T2517" s="23">
        <v>44533</v>
      </c>
      <c r="U2517" s="23">
        <v>46358</v>
      </c>
      <c r="X2517" s="20">
        <v>8000</v>
      </c>
      <c r="Z2517" s="6" t="s">
        <v>5978</v>
      </c>
      <c r="AA2517" s="15">
        <f t="shared" si="318"/>
        <v>4.1999999999999996E-4</v>
      </c>
      <c r="AB2517">
        <v>2.6536439999999999</v>
      </c>
      <c r="AC2517">
        <v>2.7597897599999999</v>
      </c>
    </row>
    <row r="2518" spans="1:29" x14ac:dyDescent="0.3">
      <c r="A2518">
        <v>127229</v>
      </c>
      <c r="B2518" s="25" t="s">
        <v>5984</v>
      </c>
      <c r="C2518" t="s">
        <v>20</v>
      </c>
      <c r="D2518" t="s">
        <v>21</v>
      </c>
      <c r="E2518">
        <v>2222222</v>
      </c>
      <c r="F2518" s="8" t="s">
        <v>22</v>
      </c>
      <c r="G2518" s="2">
        <v>98</v>
      </c>
      <c r="H2518" t="s">
        <v>4268</v>
      </c>
      <c r="J2518" s="9" t="s">
        <v>4852</v>
      </c>
      <c r="K2518" t="s">
        <v>5288</v>
      </c>
      <c r="L2518" s="2">
        <v>1</v>
      </c>
      <c r="M2518" s="24" t="s">
        <v>5971</v>
      </c>
      <c r="N2518" s="2" t="s">
        <v>23</v>
      </c>
      <c r="O2518" s="18" t="s">
        <v>1993</v>
      </c>
      <c r="P2518" s="18" t="s">
        <v>0</v>
      </c>
      <c r="Q2518" s="6" t="s">
        <v>4475</v>
      </c>
      <c r="T2518" s="23">
        <v>44669</v>
      </c>
      <c r="U2518" s="23">
        <v>46586</v>
      </c>
      <c r="X2518" s="20">
        <v>20000</v>
      </c>
      <c r="Z2518" s="6" t="s">
        <v>5978</v>
      </c>
      <c r="AA2518" s="15">
        <f t="shared" si="318"/>
        <v>4.1999999999999996E-4</v>
      </c>
      <c r="AB2518">
        <v>2.874396</v>
      </c>
      <c r="AC2518">
        <v>2.98937184</v>
      </c>
    </row>
    <row r="2519" spans="1:29" x14ac:dyDescent="0.3">
      <c r="A2519">
        <v>127872</v>
      </c>
      <c r="B2519" s="25" t="s">
        <v>5984</v>
      </c>
      <c r="C2519" t="s">
        <v>20</v>
      </c>
      <c r="D2519" t="s">
        <v>21</v>
      </c>
      <c r="E2519">
        <v>2222222</v>
      </c>
      <c r="F2519" s="8" t="s">
        <v>22</v>
      </c>
      <c r="G2519" s="2">
        <v>98</v>
      </c>
      <c r="H2519" t="s">
        <v>4268</v>
      </c>
      <c r="J2519" s="9" t="s">
        <v>4929</v>
      </c>
      <c r="K2519" t="s">
        <v>4878</v>
      </c>
      <c r="L2519" s="2">
        <v>1</v>
      </c>
      <c r="M2519" s="24" t="s">
        <v>5971</v>
      </c>
      <c r="N2519" s="2" t="s">
        <v>23</v>
      </c>
      <c r="O2519" s="18" t="s">
        <v>1994</v>
      </c>
      <c r="P2519" s="18" t="s">
        <v>0</v>
      </c>
      <c r="Q2519" s="6" t="s">
        <v>4475</v>
      </c>
      <c r="T2519" s="23">
        <v>44769</v>
      </c>
      <c r="U2519" s="23">
        <v>49614</v>
      </c>
      <c r="X2519" s="20">
        <v>100000</v>
      </c>
      <c r="Z2519" s="6" t="s">
        <v>5978</v>
      </c>
      <c r="AA2519" s="15">
        <f t="shared" si="318"/>
        <v>4.1999999999999996E-4</v>
      </c>
      <c r="AB2519">
        <v>35.229062399999997</v>
      </c>
      <c r="AC2519">
        <v>36.638224895999997</v>
      </c>
    </row>
    <row r="2520" spans="1:29" x14ac:dyDescent="0.3">
      <c r="A2520">
        <v>128127</v>
      </c>
      <c r="B2520" s="25" t="s">
        <v>5984</v>
      </c>
      <c r="C2520" t="s">
        <v>20</v>
      </c>
      <c r="D2520" t="s">
        <v>21</v>
      </c>
      <c r="E2520">
        <v>2222222</v>
      </c>
      <c r="F2520" s="8" t="s">
        <v>22</v>
      </c>
      <c r="G2520" s="2">
        <v>98</v>
      </c>
      <c r="H2520" t="s">
        <v>4268</v>
      </c>
      <c r="J2520" s="9" t="s">
        <v>5632</v>
      </c>
      <c r="K2520" t="s">
        <v>5281</v>
      </c>
      <c r="L2520" s="2">
        <v>1</v>
      </c>
      <c r="M2520" s="24" t="s">
        <v>5971</v>
      </c>
      <c r="N2520" s="2" t="s">
        <v>23</v>
      </c>
      <c r="O2520" s="18" t="s">
        <v>1995</v>
      </c>
      <c r="P2520" s="18" t="s">
        <v>0</v>
      </c>
      <c r="Q2520" s="6" t="s">
        <v>4475</v>
      </c>
      <c r="T2520" s="23">
        <v>44708</v>
      </c>
      <c r="U2520" s="23">
        <v>46533</v>
      </c>
      <c r="X2520" s="20">
        <v>4200</v>
      </c>
      <c r="Z2520" s="6" t="s">
        <v>5978</v>
      </c>
      <c r="AA2520" s="15">
        <f t="shared" si="318"/>
        <v>4.1999999999999996E-4</v>
      </c>
      <c r="AB2520">
        <v>0.43847999999999998</v>
      </c>
      <c r="AC2520">
        <v>0.45601920000000001</v>
      </c>
    </row>
    <row r="2521" spans="1:29" x14ac:dyDescent="0.3">
      <c r="A2521">
        <v>131984</v>
      </c>
      <c r="B2521" s="25" t="s">
        <v>5984</v>
      </c>
      <c r="C2521" t="s">
        <v>20</v>
      </c>
      <c r="D2521" t="s">
        <v>21</v>
      </c>
      <c r="E2521">
        <v>2222222</v>
      </c>
      <c r="F2521" s="8" t="s">
        <v>22</v>
      </c>
      <c r="G2521" s="2">
        <v>98</v>
      </c>
      <c r="H2521" t="s">
        <v>4268</v>
      </c>
      <c r="J2521" s="9" t="s">
        <v>5390</v>
      </c>
      <c r="K2521" t="s">
        <v>5018</v>
      </c>
      <c r="L2521" s="2">
        <v>1</v>
      </c>
      <c r="M2521" s="24" t="s">
        <v>5971</v>
      </c>
      <c r="N2521" s="2" t="s">
        <v>23</v>
      </c>
      <c r="O2521" s="18" t="s">
        <v>1411</v>
      </c>
      <c r="P2521" s="18" t="s">
        <v>0</v>
      </c>
      <c r="Q2521" s="6" t="s">
        <v>4475</v>
      </c>
      <c r="T2521" s="23">
        <v>44926</v>
      </c>
      <c r="U2521" s="23">
        <v>47122</v>
      </c>
      <c r="X2521" s="20">
        <v>7000</v>
      </c>
      <c r="Z2521" s="6" t="s">
        <v>5978</v>
      </c>
      <c r="AA2521" s="13">
        <f t="shared" ref="AA2521:AA2527" si="319">+(0.56/1000)</f>
        <v>5.6000000000000006E-4</v>
      </c>
      <c r="AB2521">
        <v>2.0935040000000003</v>
      </c>
      <c r="AC2521">
        <v>2.1772441600000003</v>
      </c>
    </row>
    <row r="2522" spans="1:29" x14ac:dyDescent="0.3">
      <c r="A2522">
        <v>132466</v>
      </c>
      <c r="B2522" s="25" t="s">
        <v>5984</v>
      </c>
      <c r="C2522" t="s">
        <v>20</v>
      </c>
      <c r="D2522" t="s">
        <v>21</v>
      </c>
      <c r="E2522">
        <v>2222222</v>
      </c>
      <c r="F2522" s="8" t="s">
        <v>22</v>
      </c>
      <c r="G2522" s="2">
        <v>98</v>
      </c>
      <c r="H2522" t="s">
        <v>4268</v>
      </c>
      <c r="J2522" s="9" t="s">
        <v>4889</v>
      </c>
      <c r="K2522" t="s">
        <v>4836</v>
      </c>
      <c r="L2522" s="2">
        <v>1</v>
      </c>
      <c r="M2522" s="24" t="s">
        <v>5971</v>
      </c>
      <c r="N2522" s="2" t="s">
        <v>23</v>
      </c>
      <c r="O2522" s="18" t="s">
        <v>1996</v>
      </c>
      <c r="P2522" s="18" t="s">
        <v>3781</v>
      </c>
      <c r="Q2522" s="6" t="s">
        <v>4475</v>
      </c>
      <c r="T2522" s="23">
        <v>44949</v>
      </c>
      <c r="U2522" s="23">
        <v>46499</v>
      </c>
      <c r="X2522" s="20">
        <v>20000</v>
      </c>
      <c r="Z2522" s="6" t="s">
        <v>5978</v>
      </c>
      <c r="AA2522" s="13">
        <f t="shared" si="319"/>
        <v>5.6000000000000006E-4</v>
      </c>
      <c r="AB2522">
        <v>2.673664</v>
      </c>
      <c r="AC2522">
        <v>2.78061056</v>
      </c>
    </row>
    <row r="2523" spans="1:29" x14ac:dyDescent="0.3">
      <c r="A2523">
        <v>133642</v>
      </c>
      <c r="B2523" s="25" t="s">
        <v>5984</v>
      </c>
      <c r="C2523" t="s">
        <v>20</v>
      </c>
      <c r="D2523" t="s">
        <v>21</v>
      </c>
      <c r="E2523">
        <v>2222222</v>
      </c>
      <c r="F2523" s="8" t="s">
        <v>22</v>
      </c>
      <c r="G2523" s="2">
        <v>98</v>
      </c>
      <c r="H2523" t="s">
        <v>4268</v>
      </c>
      <c r="J2523" s="9" t="s">
        <v>5490</v>
      </c>
      <c r="K2523" t="s">
        <v>5081</v>
      </c>
      <c r="L2523" s="2">
        <v>1</v>
      </c>
      <c r="M2523" s="24" t="s">
        <v>5971</v>
      </c>
      <c r="N2523" s="2" t="s">
        <v>23</v>
      </c>
      <c r="O2523" s="18" t="s">
        <v>1992</v>
      </c>
      <c r="P2523" s="18" t="s">
        <v>3781</v>
      </c>
      <c r="Q2523" s="6" t="s">
        <v>4475</v>
      </c>
      <c r="T2523" s="23">
        <v>45012</v>
      </c>
      <c r="U2523" s="23">
        <v>46479</v>
      </c>
      <c r="X2523" s="20">
        <v>10320</v>
      </c>
      <c r="Z2523" s="6" t="s">
        <v>5978</v>
      </c>
      <c r="AA2523" s="13">
        <f t="shared" si="319"/>
        <v>5.6000000000000006E-4</v>
      </c>
      <c r="AB2523">
        <v>1.3891304000000002</v>
      </c>
      <c r="AC2523">
        <v>1.4446956160000002</v>
      </c>
    </row>
    <row r="2524" spans="1:29" x14ac:dyDescent="0.3">
      <c r="A2524">
        <v>133908</v>
      </c>
      <c r="B2524" s="25" t="s">
        <v>5984</v>
      </c>
      <c r="C2524" t="s">
        <v>20</v>
      </c>
      <c r="D2524" t="s">
        <v>21</v>
      </c>
      <c r="E2524">
        <v>2222222</v>
      </c>
      <c r="F2524" s="8" t="s">
        <v>22</v>
      </c>
      <c r="G2524" s="2">
        <v>98</v>
      </c>
      <c r="H2524" t="s">
        <v>4268</v>
      </c>
      <c r="J2524" s="9" t="s">
        <v>5050</v>
      </c>
      <c r="K2524" t="s">
        <v>4942</v>
      </c>
      <c r="L2524" s="2">
        <v>1</v>
      </c>
      <c r="M2524" s="24" t="s">
        <v>5971</v>
      </c>
      <c r="N2524" s="2" t="s">
        <v>23</v>
      </c>
      <c r="O2524" s="18" t="s">
        <v>1997</v>
      </c>
      <c r="P2524" s="18" t="s">
        <v>3781</v>
      </c>
      <c r="Q2524" s="6" t="s">
        <v>4475</v>
      </c>
      <c r="T2524" s="23">
        <v>45022</v>
      </c>
      <c r="U2524" s="23">
        <v>46483</v>
      </c>
      <c r="X2524" s="20">
        <v>5000</v>
      </c>
      <c r="Z2524" s="6" t="s">
        <v>5978</v>
      </c>
      <c r="AA2524" s="13">
        <f t="shared" si="319"/>
        <v>5.6000000000000006E-4</v>
      </c>
      <c r="AB2524">
        <v>2.4167752000000005</v>
      </c>
      <c r="AC2524">
        <v>2.5134462080000004</v>
      </c>
    </row>
    <row r="2525" spans="1:29" x14ac:dyDescent="0.3">
      <c r="A2525">
        <v>134533</v>
      </c>
      <c r="B2525" s="25" t="s">
        <v>5984</v>
      </c>
      <c r="C2525" t="s">
        <v>20</v>
      </c>
      <c r="D2525" t="s">
        <v>21</v>
      </c>
      <c r="E2525">
        <v>2222222</v>
      </c>
      <c r="F2525" s="8" t="s">
        <v>22</v>
      </c>
      <c r="G2525" s="2">
        <v>98</v>
      </c>
      <c r="H2525" t="s">
        <v>4268</v>
      </c>
      <c r="J2525" s="9" t="s">
        <v>4908</v>
      </c>
      <c r="K2525" t="s">
        <v>4815</v>
      </c>
      <c r="L2525" s="2">
        <v>1</v>
      </c>
      <c r="M2525" s="24" t="s">
        <v>5971</v>
      </c>
      <c r="N2525" s="2" t="s">
        <v>23</v>
      </c>
      <c r="O2525" s="18" t="s">
        <v>1998</v>
      </c>
      <c r="P2525" s="18" t="s">
        <v>0</v>
      </c>
      <c r="Q2525" s="6" t="s">
        <v>4475</v>
      </c>
      <c r="T2525" s="23">
        <v>45063</v>
      </c>
      <c r="U2525" s="23">
        <v>46889</v>
      </c>
      <c r="X2525" s="20">
        <v>7200</v>
      </c>
      <c r="Z2525" s="6" t="s">
        <v>5978</v>
      </c>
      <c r="AA2525" s="13">
        <f t="shared" si="319"/>
        <v>5.6000000000000006E-4</v>
      </c>
      <c r="AB2525">
        <v>1.8291000000000002</v>
      </c>
      <c r="AC2525">
        <v>1.9022640000000002</v>
      </c>
    </row>
    <row r="2526" spans="1:29" x14ac:dyDescent="0.3">
      <c r="A2526">
        <v>137653</v>
      </c>
      <c r="B2526" s="25" t="s">
        <v>5984</v>
      </c>
      <c r="C2526" t="s">
        <v>20</v>
      </c>
      <c r="D2526" t="s">
        <v>21</v>
      </c>
      <c r="E2526">
        <v>2222222</v>
      </c>
      <c r="F2526" s="8" t="s">
        <v>22</v>
      </c>
      <c r="G2526" s="2">
        <v>98</v>
      </c>
      <c r="H2526" t="s">
        <v>4268</v>
      </c>
      <c r="J2526" s="9" t="s">
        <v>5234</v>
      </c>
      <c r="K2526" t="s">
        <v>4846</v>
      </c>
      <c r="L2526" s="2">
        <v>1</v>
      </c>
      <c r="M2526" s="24" t="s">
        <v>5971</v>
      </c>
      <c r="N2526" s="2" t="s">
        <v>23</v>
      </c>
      <c r="O2526" s="18" t="s">
        <v>1999</v>
      </c>
      <c r="P2526" s="18" t="s">
        <v>0</v>
      </c>
      <c r="Q2526" s="6" t="s">
        <v>4475</v>
      </c>
      <c r="T2526" s="23">
        <v>45236</v>
      </c>
      <c r="U2526" s="23">
        <v>46331</v>
      </c>
      <c r="X2526" s="20">
        <v>2650</v>
      </c>
      <c r="Z2526" s="6" t="s">
        <v>5978</v>
      </c>
      <c r="AA2526" s="13">
        <f t="shared" si="319"/>
        <v>5.6000000000000006E-4</v>
      </c>
      <c r="AB2526">
        <v>0.20636000000000002</v>
      </c>
      <c r="AC2526">
        <v>0.21461440000000001</v>
      </c>
    </row>
    <row r="2527" spans="1:29" x14ac:dyDescent="0.3">
      <c r="A2527">
        <v>138917</v>
      </c>
      <c r="B2527" s="25" t="s">
        <v>5984</v>
      </c>
      <c r="C2527" t="s">
        <v>20</v>
      </c>
      <c r="D2527" t="s">
        <v>21</v>
      </c>
      <c r="E2527">
        <v>2222222</v>
      </c>
      <c r="F2527" s="8" t="s">
        <v>22</v>
      </c>
      <c r="G2527" s="2">
        <v>98</v>
      </c>
      <c r="H2527" t="s">
        <v>4268</v>
      </c>
      <c r="J2527" s="9" t="s">
        <v>5122</v>
      </c>
      <c r="K2527" t="s">
        <v>5217</v>
      </c>
      <c r="L2527" s="2">
        <v>1</v>
      </c>
      <c r="M2527" s="24" t="s">
        <v>5971</v>
      </c>
      <c r="N2527" s="2" t="s">
        <v>23</v>
      </c>
      <c r="O2527" s="18" t="s">
        <v>2000</v>
      </c>
      <c r="P2527" s="18" t="s">
        <v>3781</v>
      </c>
      <c r="Q2527" s="6" t="s">
        <v>4475</v>
      </c>
      <c r="T2527" s="23">
        <v>45313</v>
      </c>
      <c r="U2527" s="23">
        <v>47869</v>
      </c>
      <c r="X2527" s="20">
        <v>37900</v>
      </c>
      <c r="Z2527" s="6" t="s">
        <v>5978</v>
      </c>
      <c r="AA2527" s="13">
        <f t="shared" si="319"/>
        <v>5.6000000000000006E-4</v>
      </c>
      <c r="AB2527">
        <v>15.882563200000002</v>
      </c>
      <c r="AC2527">
        <v>16.517865728000004</v>
      </c>
    </row>
    <row r="2528" spans="1:29" x14ac:dyDescent="0.3">
      <c r="A2528">
        <v>141379</v>
      </c>
      <c r="B2528" s="25" t="s">
        <v>5984</v>
      </c>
      <c r="C2528" t="s">
        <v>20</v>
      </c>
      <c r="D2528" t="s">
        <v>21</v>
      </c>
      <c r="E2528">
        <v>2222222</v>
      </c>
      <c r="F2528" s="8" t="s">
        <v>22</v>
      </c>
      <c r="G2528" s="2">
        <v>98</v>
      </c>
      <c r="H2528" t="s">
        <v>4268</v>
      </c>
      <c r="J2528" s="9" t="s">
        <v>5141</v>
      </c>
      <c r="K2528" t="s">
        <v>4991</v>
      </c>
      <c r="L2528" s="2">
        <v>1</v>
      </c>
      <c r="M2528" s="24" t="s">
        <v>5971</v>
      </c>
      <c r="N2528" s="2" t="s">
        <v>23</v>
      </c>
      <c r="O2528" s="18" t="s">
        <v>2001</v>
      </c>
      <c r="P2528" s="18" t="s">
        <v>3781</v>
      </c>
      <c r="Q2528" s="6" t="s">
        <v>4475</v>
      </c>
      <c r="T2528" s="23">
        <v>45451</v>
      </c>
      <c r="U2528" s="23">
        <v>47277</v>
      </c>
      <c r="X2528" s="20">
        <v>5000</v>
      </c>
      <c r="Z2528" s="6" t="s">
        <v>5978</v>
      </c>
      <c r="AA2528" s="14">
        <f t="shared" ref="AA2528:AA2560" si="320">+(0.6/1000)</f>
        <v>5.9999999999999995E-4</v>
      </c>
      <c r="AB2528">
        <v>2.0165099999999998</v>
      </c>
      <c r="AC2528">
        <v>2.0971704</v>
      </c>
    </row>
    <row r="2529" spans="1:29" x14ac:dyDescent="0.3">
      <c r="A2529">
        <v>141656</v>
      </c>
      <c r="B2529" s="25" t="s">
        <v>5984</v>
      </c>
      <c r="C2529" t="s">
        <v>20</v>
      </c>
      <c r="D2529" t="s">
        <v>21</v>
      </c>
      <c r="E2529">
        <v>2222222</v>
      </c>
      <c r="F2529" s="8" t="s">
        <v>22</v>
      </c>
      <c r="G2529" s="2">
        <v>98</v>
      </c>
      <c r="H2529" t="s">
        <v>4268</v>
      </c>
      <c r="J2529" s="9" t="s">
        <v>4929</v>
      </c>
      <c r="K2529" t="s">
        <v>4878</v>
      </c>
      <c r="L2529" s="2">
        <v>1</v>
      </c>
      <c r="M2529" s="24" t="s">
        <v>5971</v>
      </c>
      <c r="N2529" s="2" t="s">
        <v>23</v>
      </c>
      <c r="O2529" s="18" t="s">
        <v>1994</v>
      </c>
      <c r="P2529" s="18" t="s">
        <v>0</v>
      </c>
      <c r="Q2529" s="6" t="s">
        <v>4475</v>
      </c>
      <c r="T2529" s="23">
        <v>45468</v>
      </c>
      <c r="U2529" s="23">
        <v>46935</v>
      </c>
      <c r="X2529" s="20">
        <v>5000</v>
      </c>
      <c r="Z2529" s="6" t="s">
        <v>5978</v>
      </c>
      <c r="AA2529" s="14">
        <f t="shared" si="320"/>
        <v>5.9999999999999995E-4</v>
      </c>
      <c r="AB2529">
        <v>1.781892</v>
      </c>
      <c r="AC2529">
        <v>1.8531676800000001</v>
      </c>
    </row>
    <row r="2530" spans="1:29" x14ac:dyDescent="0.3">
      <c r="A2530">
        <v>142891</v>
      </c>
      <c r="B2530" s="25" t="s">
        <v>5984</v>
      </c>
      <c r="C2530" t="s">
        <v>20</v>
      </c>
      <c r="D2530" t="s">
        <v>21</v>
      </c>
      <c r="E2530">
        <v>2222222</v>
      </c>
      <c r="F2530" s="8" t="s">
        <v>22</v>
      </c>
      <c r="G2530" s="2">
        <v>98</v>
      </c>
      <c r="H2530" t="s">
        <v>4268</v>
      </c>
      <c r="J2530" s="9" t="s">
        <v>4936</v>
      </c>
      <c r="K2530" t="s">
        <v>4965</v>
      </c>
      <c r="L2530" s="2">
        <v>1</v>
      </c>
      <c r="M2530" s="24" t="s">
        <v>5971</v>
      </c>
      <c r="N2530" s="2" t="s">
        <v>23</v>
      </c>
      <c r="O2530" s="18" t="s">
        <v>2002</v>
      </c>
      <c r="P2530" s="18" t="s">
        <v>0</v>
      </c>
      <c r="Q2530" s="6" t="s">
        <v>4475</v>
      </c>
      <c r="T2530" s="23">
        <v>45552</v>
      </c>
      <c r="U2530" s="23">
        <v>47013</v>
      </c>
      <c r="X2530" s="20">
        <v>4195</v>
      </c>
      <c r="Z2530" s="6" t="s">
        <v>5978</v>
      </c>
      <c r="AA2530" s="14">
        <f t="shared" si="320"/>
        <v>5.9999999999999995E-4</v>
      </c>
      <c r="AB2530">
        <v>1.5953639999999998</v>
      </c>
      <c r="AC2530">
        <v>1.6591785599999997</v>
      </c>
    </row>
    <row r="2531" spans="1:29" x14ac:dyDescent="0.3">
      <c r="A2531">
        <v>142992</v>
      </c>
      <c r="B2531" s="25" t="s">
        <v>5984</v>
      </c>
      <c r="C2531" t="s">
        <v>20</v>
      </c>
      <c r="D2531" t="s">
        <v>21</v>
      </c>
      <c r="E2531">
        <v>2222222</v>
      </c>
      <c r="F2531" s="8" t="s">
        <v>22</v>
      </c>
      <c r="G2531" s="2">
        <v>98</v>
      </c>
      <c r="H2531" t="s">
        <v>4268</v>
      </c>
      <c r="J2531" s="9" t="s">
        <v>4942</v>
      </c>
      <c r="K2531" t="s">
        <v>5380</v>
      </c>
      <c r="L2531" s="2">
        <v>1</v>
      </c>
      <c r="M2531" s="24" t="s">
        <v>5971</v>
      </c>
      <c r="N2531" s="2" t="s">
        <v>23</v>
      </c>
      <c r="O2531" s="18" t="s">
        <v>2003</v>
      </c>
      <c r="P2531" s="18" t="s">
        <v>3781</v>
      </c>
      <c r="Q2531" s="6" t="s">
        <v>4475</v>
      </c>
      <c r="T2531" s="23">
        <v>45560</v>
      </c>
      <c r="U2531" s="23">
        <v>47112</v>
      </c>
      <c r="X2531" s="20">
        <v>5000</v>
      </c>
      <c r="Z2531" s="6" t="s">
        <v>5978</v>
      </c>
      <c r="AA2531" s="14">
        <f t="shared" si="320"/>
        <v>5.9999999999999995E-4</v>
      </c>
      <c r="AB2531">
        <v>2.0750159999999997</v>
      </c>
      <c r="AC2531">
        <v>2.1580166399999996</v>
      </c>
    </row>
    <row r="2532" spans="1:29" x14ac:dyDescent="0.3">
      <c r="A2532">
        <v>143231</v>
      </c>
      <c r="B2532" s="25" t="s">
        <v>5984</v>
      </c>
      <c r="C2532" t="s">
        <v>20</v>
      </c>
      <c r="D2532" t="s">
        <v>21</v>
      </c>
      <c r="E2532">
        <v>2222222</v>
      </c>
      <c r="F2532" s="8" t="s">
        <v>22</v>
      </c>
      <c r="G2532" s="2">
        <v>98</v>
      </c>
      <c r="H2532" t="s">
        <v>4268</v>
      </c>
      <c r="J2532" s="9" t="s">
        <v>5465</v>
      </c>
      <c r="K2532" t="s">
        <v>5633</v>
      </c>
      <c r="L2532" s="2">
        <v>1</v>
      </c>
      <c r="M2532" s="24" t="s">
        <v>5971</v>
      </c>
      <c r="N2532" s="2" t="s">
        <v>23</v>
      </c>
      <c r="O2532" s="18" t="s">
        <v>2004</v>
      </c>
      <c r="P2532" s="18" t="s">
        <v>3781</v>
      </c>
      <c r="Q2532" s="6" t="s">
        <v>4475</v>
      </c>
      <c r="T2532" s="23">
        <v>45575</v>
      </c>
      <c r="U2532" s="23">
        <v>48496</v>
      </c>
      <c r="X2532" s="20">
        <v>11920</v>
      </c>
      <c r="Z2532" s="6" t="s">
        <v>5978</v>
      </c>
      <c r="AA2532" s="14">
        <f t="shared" si="320"/>
        <v>5.9999999999999995E-4</v>
      </c>
      <c r="AB2532">
        <v>6.1523459999999996</v>
      </c>
      <c r="AC2532">
        <v>6.39843984</v>
      </c>
    </row>
    <row r="2533" spans="1:29" x14ac:dyDescent="0.3">
      <c r="A2533">
        <v>143548</v>
      </c>
      <c r="B2533" s="25" t="s">
        <v>5984</v>
      </c>
      <c r="C2533" t="s">
        <v>20</v>
      </c>
      <c r="D2533" t="s">
        <v>21</v>
      </c>
      <c r="E2533">
        <v>2222222</v>
      </c>
      <c r="F2533" s="8" t="s">
        <v>22</v>
      </c>
      <c r="G2533" s="2">
        <v>98</v>
      </c>
      <c r="H2533" t="s">
        <v>4268</v>
      </c>
      <c r="J2533" s="9" t="s">
        <v>4836</v>
      </c>
      <c r="K2533" t="s">
        <v>5110</v>
      </c>
      <c r="L2533" s="2">
        <v>1</v>
      </c>
      <c r="M2533" s="24" t="s">
        <v>5971</v>
      </c>
      <c r="N2533" s="2" t="s">
        <v>23</v>
      </c>
      <c r="O2533" s="18" t="s">
        <v>2005</v>
      </c>
      <c r="P2533" s="18" t="s">
        <v>3781</v>
      </c>
      <c r="Q2533" s="6" t="s">
        <v>4475</v>
      </c>
      <c r="T2533" s="23">
        <v>45599</v>
      </c>
      <c r="U2533" s="23">
        <v>46329</v>
      </c>
      <c r="X2533" s="20">
        <v>1500</v>
      </c>
      <c r="Z2533" s="6" t="s">
        <v>5978</v>
      </c>
      <c r="AA2533" s="14">
        <f t="shared" si="320"/>
        <v>5.9999999999999995E-4</v>
      </c>
      <c r="AB2533">
        <v>0.17431799999999997</v>
      </c>
      <c r="AC2533">
        <v>0.18129071999999999</v>
      </c>
    </row>
    <row r="2534" spans="1:29" x14ac:dyDescent="0.3">
      <c r="A2534">
        <v>143834</v>
      </c>
      <c r="B2534" s="25" t="s">
        <v>5984</v>
      </c>
      <c r="C2534" t="s">
        <v>20</v>
      </c>
      <c r="D2534" t="s">
        <v>21</v>
      </c>
      <c r="E2534">
        <v>2222222</v>
      </c>
      <c r="F2534" s="8" t="s">
        <v>22</v>
      </c>
      <c r="G2534" s="2">
        <v>98</v>
      </c>
      <c r="H2534" t="s">
        <v>4268</v>
      </c>
      <c r="J2534" s="9" t="s">
        <v>4917</v>
      </c>
      <c r="K2534" t="s">
        <v>5048</v>
      </c>
      <c r="L2534" s="2">
        <v>1</v>
      </c>
      <c r="M2534" s="24" t="s">
        <v>5971</v>
      </c>
      <c r="N2534" s="2" t="s">
        <v>23</v>
      </c>
      <c r="O2534" s="18" t="s">
        <v>2006</v>
      </c>
      <c r="P2534" s="18" t="s">
        <v>3781</v>
      </c>
      <c r="Q2534" s="6" t="s">
        <v>4475</v>
      </c>
      <c r="T2534" s="23">
        <v>45618</v>
      </c>
      <c r="U2534" s="23">
        <v>47444</v>
      </c>
      <c r="X2534" s="20">
        <v>5000</v>
      </c>
      <c r="Z2534" s="6" t="s">
        <v>5978</v>
      </c>
      <c r="AA2534" s="14">
        <f t="shared" si="320"/>
        <v>5.9999999999999995E-4</v>
      </c>
      <c r="AB2534">
        <v>2.2223339999999996</v>
      </c>
      <c r="AC2534">
        <v>2.3112273599999997</v>
      </c>
    </row>
    <row r="2535" spans="1:29" x14ac:dyDescent="0.3">
      <c r="A2535">
        <v>143887</v>
      </c>
      <c r="B2535" s="25" t="s">
        <v>5984</v>
      </c>
      <c r="C2535" t="s">
        <v>20</v>
      </c>
      <c r="D2535" t="s">
        <v>21</v>
      </c>
      <c r="E2535">
        <v>2222222</v>
      </c>
      <c r="F2535" s="8" t="s">
        <v>22</v>
      </c>
      <c r="G2535" s="2">
        <v>98</v>
      </c>
      <c r="H2535" t="s">
        <v>4268</v>
      </c>
      <c r="J2535" s="9" t="s">
        <v>4864</v>
      </c>
      <c r="K2535" t="s">
        <v>4878</v>
      </c>
      <c r="L2535" s="2">
        <v>1</v>
      </c>
      <c r="M2535" s="24" t="s">
        <v>5971</v>
      </c>
      <c r="N2535" s="2" t="s">
        <v>23</v>
      </c>
      <c r="O2535" s="18" t="s">
        <v>2007</v>
      </c>
      <c r="P2535" s="18" t="s">
        <v>0</v>
      </c>
      <c r="Q2535" s="6" t="s">
        <v>4475</v>
      </c>
      <c r="T2535" s="23">
        <v>45684</v>
      </c>
      <c r="U2535" s="23">
        <v>51161</v>
      </c>
      <c r="X2535" s="20">
        <v>100000</v>
      </c>
      <c r="Z2535" s="6" t="s">
        <v>5978</v>
      </c>
      <c r="AA2535" s="14">
        <f t="shared" si="320"/>
        <v>5.9999999999999995E-4</v>
      </c>
      <c r="AB2535">
        <v>57.519293999999995</v>
      </c>
      <c r="AC2535">
        <v>59.820065759999999</v>
      </c>
    </row>
    <row r="2536" spans="1:29" x14ac:dyDescent="0.3">
      <c r="A2536">
        <v>144013</v>
      </c>
      <c r="B2536" s="25" t="s">
        <v>5984</v>
      </c>
      <c r="C2536" t="s">
        <v>20</v>
      </c>
      <c r="D2536" t="s">
        <v>21</v>
      </c>
      <c r="E2536">
        <v>2222222</v>
      </c>
      <c r="F2536" s="8" t="s">
        <v>22</v>
      </c>
      <c r="G2536" s="2">
        <v>98</v>
      </c>
      <c r="H2536" t="s">
        <v>4268</v>
      </c>
      <c r="J2536" s="9" t="s">
        <v>4995</v>
      </c>
      <c r="K2536" t="s">
        <v>4857</v>
      </c>
      <c r="L2536" s="2">
        <v>1</v>
      </c>
      <c r="M2536" s="24" t="s">
        <v>5971</v>
      </c>
      <c r="N2536" s="2" t="s">
        <v>23</v>
      </c>
      <c r="O2536" s="18" t="s">
        <v>1984</v>
      </c>
      <c r="P2536" s="18" t="s">
        <v>0</v>
      </c>
      <c r="Q2536" s="6" t="s">
        <v>4475</v>
      </c>
      <c r="T2536" s="23">
        <v>45641</v>
      </c>
      <c r="U2536" s="23">
        <v>47466</v>
      </c>
      <c r="X2536" s="20">
        <v>10000</v>
      </c>
      <c r="Z2536" s="6" t="s">
        <v>5978</v>
      </c>
      <c r="AA2536" s="14">
        <f t="shared" si="320"/>
        <v>5.9999999999999995E-4</v>
      </c>
      <c r="AB2536">
        <v>4.586112</v>
      </c>
      <c r="AC2536">
        <v>4.7695564800000003</v>
      </c>
    </row>
    <row r="2537" spans="1:29" x14ac:dyDescent="0.3">
      <c r="A2537">
        <v>145001</v>
      </c>
      <c r="B2537" s="25" t="s">
        <v>5984</v>
      </c>
      <c r="C2537" t="s">
        <v>20</v>
      </c>
      <c r="D2537" t="s">
        <v>21</v>
      </c>
      <c r="E2537">
        <v>2222222</v>
      </c>
      <c r="F2537" s="8" t="s">
        <v>22</v>
      </c>
      <c r="G2537" s="2">
        <v>98</v>
      </c>
      <c r="H2537" t="s">
        <v>4268</v>
      </c>
      <c r="J2537" s="9" t="s">
        <v>4990</v>
      </c>
      <c r="K2537" t="s">
        <v>4863</v>
      </c>
      <c r="L2537" s="2">
        <v>1</v>
      </c>
      <c r="M2537" s="24" t="s">
        <v>5971</v>
      </c>
      <c r="N2537" s="2" t="s">
        <v>23</v>
      </c>
      <c r="O2537" s="18" t="s">
        <v>2008</v>
      </c>
      <c r="P2537" s="18" t="s">
        <v>3781</v>
      </c>
      <c r="Q2537" s="6" t="s">
        <v>4475</v>
      </c>
      <c r="T2537" s="23">
        <v>45705</v>
      </c>
      <c r="U2537" s="23">
        <v>46802</v>
      </c>
      <c r="X2537" s="20">
        <v>5000</v>
      </c>
      <c r="Z2537" s="6" t="s">
        <v>5978</v>
      </c>
      <c r="AA2537" s="14">
        <f t="shared" si="320"/>
        <v>5.9999999999999995E-4</v>
      </c>
      <c r="AB2537">
        <v>1.7845739999999999</v>
      </c>
      <c r="AC2537">
        <v>1.8559569599999999</v>
      </c>
    </row>
    <row r="2538" spans="1:29" x14ac:dyDescent="0.3">
      <c r="A2538">
        <v>147160</v>
      </c>
      <c r="B2538" s="25" t="s">
        <v>5984</v>
      </c>
      <c r="C2538" t="s">
        <v>20</v>
      </c>
      <c r="D2538" t="s">
        <v>21</v>
      </c>
      <c r="E2538">
        <v>2222222</v>
      </c>
      <c r="F2538" s="8" t="s">
        <v>22</v>
      </c>
      <c r="G2538" s="2">
        <v>98</v>
      </c>
      <c r="H2538" t="s">
        <v>4268</v>
      </c>
      <c r="J2538" s="9" t="s">
        <v>5490</v>
      </c>
      <c r="K2538" t="s">
        <v>5081</v>
      </c>
      <c r="L2538" s="2">
        <v>1</v>
      </c>
      <c r="M2538" s="24" t="s">
        <v>5971</v>
      </c>
      <c r="N2538" s="2" t="s">
        <v>23</v>
      </c>
      <c r="O2538" s="18" t="s">
        <v>1992</v>
      </c>
      <c r="P2538" s="18" t="s">
        <v>3781</v>
      </c>
      <c r="Q2538" s="6" t="s">
        <v>4475</v>
      </c>
      <c r="T2538" s="23">
        <v>45868</v>
      </c>
      <c r="U2538" s="23">
        <v>47693</v>
      </c>
      <c r="X2538" s="20">
        <v>4790</v>
      </c>
      <c r="Z2538" s="6" t="s">
        <v>5978</v>
      </c>
      <c r="AA2538" s="14">
        <f t="shared" si="320"/>
        <v>5.9999999999999995E-4</v>
      </c>
      <c r="AB2538">
        <v>2.4861299999999997</v>
      </c>
      <c r="AC2538">
        <v>2.5855751999999996</v>
      </c>
    </row>
    <row r="2539" spans="1:29" x14ac:dyDescent="0.3">
      <c r="A2539">
        <v>147602</v>
      </c>
      <c r="B2539" s="25" t="s">
        <v>5984</v>
      </c>
      <c r="C2539" t="s">
        <v>20</v>
      </c>
      <c r="D2539" t="s">
        <v>21</v>
      </c>
      <c r="E2539">
        <v>2222222</v>
      </c>
      <c r="F2539" s="8" t="s">
        <v>22</v>
      </c>
      <c r="G2539" s="2">
        <v>98</v>
      </c>
      <c r="H2539" t="s">
        <v>4268</v>
      </c>
      <c r="J2539" s="9" t="s">
        <v>4852</v>
      </c>
      <c r="K2539" t="s">
        <v>5288</v>
      </c>
      <c r="L2539" s="2">
        <v>1</v>
      </c>
      <c r="M2539" s="24" t="s">
        <v>5971</v>
      </c>
      <c r="N2539" s="2" t="s">
        <v>23</v>
      </c>
      <c r="O2539" s="18" t="s">
        <v>1993</v>
      </c>
      <c r="P2539" s="18" t="s">
        <v>0</v>
      </c>
      <c r="Q2539" s="6" t="s">
        <v>4475</v>
      </c>
      <c r="T2539" s="23">
        <v>45901</v>
      </c>
      <c r="U2539" s="23">
        <v>46722</v>
      </c>
      <c r="X2539" s="20">
        <v>4660</v>
      </c>
      <c r="Z2539" s="6" t="s">
        <v>5978</v>
      </c>
      <c r="AA2539" s="14">
        <f t="shared" si="320"/>
        <v>5.9999999999999995E-4</v>
      </c>
      <c r="AB2539">
        <v>2.6180999999999996</v>
      </c>
      <c r="AC2539">
        <v>2.7228239999999997</v>
      </c>
    </row>
    <row r="2540" spans="1:29" x14ac:dyDescent="0.3">
      <c r="A2540">
        <v>147659</v>
      </c>
      <c r="B2540" s="25" t="s">
        <v>5984</v>
      </c>
      <c r="C2540" t="s">
        <v>20</v>
      </c>
      <c r="D2540" t="s">
        <v>21</v>
      </c>
      <c r="E2540">
        <v>2222222</v>
      </c>
      <c r="F2540" s="8" t="s">
        <v>22</v>
      </c>
      <c r="G2540" s="2">
        <v>98</v>
      </c>
      <c r="H2540" t="s">
        <v>4268</v>
      </c>
      <c r="J2540" s="9" t="s">
        <v>5634</v>
      </c>
      <c r="K2540" t="s">
        <v>4956</v>
      </c>
      <c r="L2540" s="2">
        <v>1</v>
      </c>
      <c r="M2540" s="24" t="s">
        <v>5971</v>
      </c>
      <c r="N2540" s="2" t="s">
        <v>23</v>
      </c>
      <c r="O2540" s="18" t="s">
        <v>1840</v>
      </c>
      <c r="P2540" s="18" t="s">
        <v>3781</v>
      </c>
      <c r="Q2540" s="6" t="s">
        <v>4475</v>
      </c>
      <c r="T2540" s="23">
        <v>45909</v>
      </c>
      <c r="U2540" s="23">
        <v>49561</v>
      </c>
      <c r="X2540" s="20">
        <v>10500</v>
      </c>
      <c r="Z2540" s="6" t="s">
        <v>5978</v>
      </c>
      <c r="AA2540" s="14">
        <f t="shared" si="320"/>
        <v>5.9999999999999995E-4</v>
      </c>
      <c r="AB2540">
        <v>6.0136139999999996</v>
      </c>
      <c r="AC2540">
        <v>6.2541585599999996</v>
      </c>
    </row>
    <row r="2541" spans="1:29" x14ac:dyDescent="0.3">
      <c r="A2541">
        <v>148881</v>
      </c>
      <c r="B2541" s="25" t="s">
        <v>5984</v>
      </c>
      <c r="C2541" t="s">
        <v>20</v>
      </c>
      <c r="D2541" t="s">
        <v>21</v>
      </c>
      <c r="E2541">
        <v>2222222</v>
      </c>
      <c r="F2541" s="8" t="s">
        <v>22</v>
      </c>
      <c r="G2541" s="2">
        <v>98</v>
      </c>
      <c r="H2541" t="s">
        <v>4268</v>
      </c>
      <c r="J2541" s="9" t="s">
        <v>4936</v>
      </c>
      <c r="K2541" t="s">
        <v>4965</v>
      </c>
      <c r="L2541" s="2">
        <v>1</v>
      </c>
      <c r="M2541" s="24" t="s">
        <v>5971</v>
      </c>
      <c r="N2541" s="2" t="s">
        <v>23</v>
      </c>
      <c r="O2541" s="18" t="s">
        <v>2002</v>
      </c>
      <c r="P2541" s="18" t="s">
        <v>0</v>
      </c>
      <c r="Q2541" s="6" t="s">
        <v>4475</v>
      </c>
      <c r="T2541" s="23">
        <v>45985</v>
      </c>
      <c r="U2541" s="23">
        <v>46350</v>
      </c>
      <c r="X2541" s="20">
        <v>500</v>
      </c>
      <c r="Z2541" s="6" t="s">
        <v>5978</v>
      </c>
      <c r="AA2541" s="14">
        <f t="shared" si="320"/>
        <v>5.9999999999999995E-4</v>
      </c>
      <c r="AB2541">
        <v>0.10559999999999999</v>
      </c>
      <c r="AC2541">
        <v>0.10982399999999999</v>
      </c>
    </row>
    <row r="2542" spans="1:29" x14ac:dyDescent="0.3">
      <c r="A2542">
        <v>148976</v>
      </c>
      <c r="B2542" s="25" t="s">
        <v>5984</v>
      </c>
      <c r="C2542" t="s">
        <v>20</v>
      </c>
      <c r="D2542" t="s">
        <v>21</v>
      </c>
      <c r="E2542">
        <v>2222222</v>
      </c>
      <c r="F2542" s="8" t="s">
        <v>22</v>
      </c>
      <c r="G2542" s="2">
        <v>98</v>
      </c>
      <c r="H2542" t="s">
        <v>4268</v>
      </c>
      <c r="J2542" s="9" t="s">
        <v>5093</v>
      </c>
      <c r="K2542" t="s">
        <v>4863</v>
      </c>
      <c r="L2542" s="2">
        <v>1</v>
      </c>
      <c r="M2542" s="24" t="s">
        <v>5971</v>
      </c>
      <c r="N2542" s="2" t="s">
        <v>23</v>
      </c>
      <c r="O2542" s="18" t="s">
        <v>2009</v>
      </c>
      <c r="P2542" s="18" t="s">
        <v>3781</v>
      </c>
      <c r="Q2542" s="6" t="s">
        <v>4475</v>
      </c>
      <c r="T2542" s="23">
        <v>45990</v>
      </c>
      <c r="U2542" s="23">
        <v>46539</v>
      </c>
      <c r="X2542" s="20">
        <v>1950</v>
      </c>
      <c r="Z2542" s="6" t="s">
        <v>5978</v>
      </c>
      <c r="AA2542" s="14">
        <f t="shared" si="320"/>
        <v>5.9999999999999995E-4</v>
      </c>
      <c r="AB2542">
        <v>0.74929799999999991</v>
      </c>
      <c r="AC2542">
        <v>0.77926991999999995</v>
      </c>
    </row>
    <row r="2543" spans="1:29" x14ac:dyDescent="0.3">
      <c r="A2543">
        <v>149225</v>
      </c>
      <c r="B2543" s="25" t="s">
        <v>5984</v>
      </c>
      <c r="C2543" t="s">
        <v>20</v>
      </c>
      <c r="D2543" t="s">
        <v>21</v>
      </c>
      <c r="E2543">
        <v>2222222</v>
      </c>
      <c r="F2543" s="8" t="s">
        <v>22</v>
      </c>
      <c r="G2543" s="2">
        <v>98</v>
      </c>
      <c r="H2543" t="s">
        <v>4268</v>
      </c>
      <c r="J2543" s="9" t="s">
        <v>5083</v>
      </c>
      <c r="K2543" t="s">
        <v>5166</v>
      </c>
      <c r="L2543" s="2">
        <v>1</v>
      </c>
      <c r="M2543" s="24" t="s">
        <v>5971</v>
      </c>
      <c r="N2543" s="2" t="s">
        <v>23</v>
      </c>
      <c r="O2543" s="18" t="s">
        <v>2010</v>
      </c>
      <c r="P2543" s="18" t="s">
        <v>3781</v>
      </c>
      <c r="Q2543" s="6" t="s">
        <v>4475</v>
      </c>
      <c r="T2543" s="23">
        <v>46006</v>
      </c>
      <c r="U2543" s="23">
        <v>47101</v>
      </c>
      <c r="X2543" s="20">
        <v>1550</v>
      </c>
      <c r="Z2543" s="6" t="s">
        <v>5978</v>
      </c>
      <c r="AA2543" s="14">
        <f t="shared" si="320"/>
        <v>5.9999999999999995E-4</v>
      </c>
      <c r="AB2543">
        <v>0.78365399999999985</v>
      </c>
      <c r="AC2543">
        <v>0.81500015999999986</v>
      </c>
    </row>
    <row r="2544" spans="1:29" x14ac:dyDescent="0.3">
      <c r="A2544">
        <v>149469</v>
      </c>
      <c r="B2544" s="25" t="s">
        <v>5984</v>
      </c>
      <c r="C2544" t="s">
        <v>20</v>
      </c>
      <c r="D2544" t="s">
        <v>21</v>
      </c>
      <c r="E2544">
        <v>2222222</v>
      </c>
      <c r="F2544" s="8" t="s">
        <v>22</v>
      </c>
      <c r="G2544" s="2">
        <v>98</v>
      </c>
      <c r="H2544" t="s">
        <v>4268</v>
      </c>
      <c r="J2544" s="9" t="s">
        <v>4900</v>
      </c>
      <c r="K2544" t="s">
        <v>4964</v>
      </c>
      <c r="L2544" s="2">
        <v>1</v>
      </c>
      <c r="M2544" s="24" t="s">
        <v>5971</v>
      </c>
      <c r="N2544" s="2" t="s">
        <v>23</v>
      </c>
      <c r="O2544" s="18" t="s">
        <v>2011</v>
      </c>
      <c r="P2544" s="18" t="s">
        <v>0</v>
      </c>
      <c r="Q2544" s="6" t="s">
        <v>4475</v>
      </c>
      <c r="T2544" s="23">
        <v>46028</v>
      </c>
      <c r="U2544" s="23">
        <v>47123</v>
      </c>
      <c r="X2544" s="20">
        <v>4000</v>
      </c>
      <c r="Z2544" s="6" t="s">
        <v>5978</v>
      </c>
      <c r="AA2544" s="14">
        <f t="shared" si="320"/>
        <v>5.9999999999999995E-4</v>
      </c>
      <c r="AB2544">
        <v>2.0509079999999997</v>
      </c>
      <c r="AC2544">
        <v>2.13294432</v>
      </c>
    </row>
    <row r="2545" spans="1:29" x14ac:dyDescent="0.3">
      <c r="A2545">
        <v>149545</v>
      </c>
      <c r="B2545" s="25" t="s">
        <v>5984</v>
      </c>
      <c r="C2545" t="s">
        <v>20</v>
      </c>
      <c r="D2545" t="s">
        <v>21</v>
      </c>
      <c r="E2545">
        <v>2222222</v>
      </c>
      <c r="F2545" s="8" t="s">
        <v>22</v>
      </c>
      <c r="G2545" s="2">
        <v>98</v>
      </c>
      <c r="H2545" t="s">
        <v>4268</v>
      </c>
      <c r="J2545" s="9" t="s">
        <v>5138</v>
      </c>
      <c r="K2545" t="s">
        <v>4928</v>
      </c>
      <c r="L2545" s="2">
        <v>1</v>
      </c>
      <c r="M2545" s="24" t="s">
        <v>5971</v>
      </c>
      <c r="N2545" s="2" t="s">
        <v>23</v>
      </c>
      <c r="O2545" s="18" t="s">
        <v>2012</v>
      </c>
      <c r="P2545" s="18" t="s">
        <v>3781</v>
      </c>
      <c r="Q2545" s="6" t="s">
        <v>4475</v>
      </c>
      <c r="T2545" s="23">
        <v>46033</v>
      </c>
      <c r="U2545" s="23">
        <v>46762</v>
      </c>
      <c r="X2545" s="20">
        <v>2000</v>
      </c>
      <c r="Z2545" s="6" t="s">
        <v>5978</v>
      </c>
      <c r="AA2545" s="14">
        <f t="shared" si="320"/>
        <v>5.9999999999999995E-4</v>
      </c>
      <c r="AB2545">
        <v>0.93588599999999988</v>
      </c>
      <c r="AC2545">
        <v>0.97332143999999987</v>
      </c>
    </row>
    <row r="2546" spans="1:29" x14ac:dyDescent="0.3">
      <c r="A2546">
        <v>149701</v>
      </c>
      <c r="B2546" s="25" t="s">
        <v>5984</v>
      </c>
      <c r="C2546" t="s">
        <v>20</v>
      </c>
      <c r="D2546" t="s">
        <v>21</v>
      </c>
      <c r="E2546">
        <v>2222222</v>
      </c>
      <c r="F2546" s="8" t="s">
        <v>22</v>
      </c>
      <c r="G2546" s="2">
        <v>98</v>
      </c>
      <c r="H2546" t="s">
        <v>4268</v>
      </c>
      <c r="J2546" s="9" t="s">
        <v>5083</v>
      </c>
      <c r="K2546" t="s">
        <v>5166</v>
      </c>
      <c r="L2546" s="2">
        <v>1</v>
      </c>
      <c r="M2546" s="24" t="s">
        <v>5971</v>
      </c>
      <c r="N2546" s="2" t="s">
        <v>23</v>
      </c>
      <c r="O2546" s="18" t="s">
        <v>2010</v>
      </c>
      <c r="P2546" s="18" t="s">
        <v>3781</v>
      </c>
      <c r="Q2546" s="6" t="s">
        <v>4475</v>
      </c>
      <c r="T2546" s="23">
        <v>46052</v>
      </c>
      <c r="U2546" s="23">
        <v>47701</v>
      </c>
      <c r="X2546" s="20">
        <v>40000</v>
      </c>
      <c r="Z2546" s="6" t="s">
        <v>5978</v>
      </c>
      <c r="AA2546" s="14">
        <f t="shared" si="320"/>
        <v>5.9999999999999995E-4</v>
      </c>
      <c r="AB2546">
        <v>22.284815999999999</v>
      </c>
      <c r="AC2546">
        <v>23.176208639999999</v>
      </c>
    </row>
    <row r="2547" spans="1:29" x14ac:dyDescent="0.3">
      <c r="A2547">
        <v>149741</v>
      </c>
      <c r="B2547" s="25" t="s">
        <v>5984</v>
      </c>
      <c r="C2547" t="s">
        <v>20</v>
      </c>
      <c r="D2547" t="s">
        <v>21</v>
      </c>
      <c r="E2547">
        <v>2222222</v>
      </c>
      <c r="F2547" s="8" t="s">
        <v>22</v>
      </c>
      <c r="G2547" s="2">
        <v>98</v>
      </c>
      <c r="H2547" t="s">
        <v>4268</v>
      </c>
      <c r="J2547" s="9" t="s">
        <v>4970</v>
      </c>
      <c r="K2547" t="s">
        <v>4924</v>
      </c>
      <c r="L2547" s="2">
        <v>1</v>
      </c>
      <c r="M2547" s="24" t="s">
        <v>5971</v>
      </c>
      <c r="N2547" s="2" t="s">
        <v>23</v>
      </c>
      <c r="O2547" s="18" t="s">
        <v>2013</v>
      </c>
      <c r="P2547" s="18" t="s">
        <v>3781</v>
      </c>
      <c r="Q2547" s="6" t="s">
        <v>4475</v>
      </c>
      <c r="T2547" s="23">
        <v>46123</v>
      </c>
      <c r="U2547" s="23">
        <v>49806</v>
      </c>
      <c r="X2547" s="20">
        <v>70000</v>
      </c>
      <c r="Z2547" s="6" t="s">
        <v>5978</v>
      </c>
      <c r="AA2547" s="14">
        <f t="shared" si="320"/>
        <v>5.9999999999999995E-4</v>
      </c>
      <c r="AB2547">
        <v>29.616137999999999</v>
      </c>
      <c r="AC2547">
        <v>30.80078352</v>
      </c>
    </row>
    <row r="2548" spans="1:29" x14ac:dyDescent="0.3">
      <c r="A2548">
        <v>149892</v>
      </c>
      <c r="B2548" s="25" t="s">
        <v>5984</v>
      </c>
      <c r="C2548" t="s">
        <v>20</v>
      </c>
      <c r="D2548" t="s">
        <v>21</v>
      </c>
      <c r="E2548">
        <v>2222222</v>
      </c>
      <c r="F2548" s="8" t="s">
        <v>22</v>
      </c>
      <c r="G2548" s="2">
        <v>98</v>
      </c>
      <c r="H2548" t="s">
        <v>4268</v>
      </c>
      <c r="J2548" s="9" t="s">
        <v>4911</v>
      </c>
      <c r="K2548" t="s">
        <v>5004</v>
      </c>
      <c r="L2548" s="2">
        <v>1</v>
      </c>
      <c r="M2548" s="24" t="s">
        <v>5971</v>
      </c>
      <c r="N2548" s="2" t="s">
        <v>23</v>
      </c>
      <c r="O2548" s="18" t="s">
        <v>2014</v>
      </c>
      <c r="P2548" s="18" t="s">
        <v>3781</v>
      </c>
      <c r="Q2548" s="6" t="s">
        <v>4475</v>
      </c>
      <c r="T2548" s="23">
        <v>46056</v>
      </c>
      <c r="U2548" s="23">
        <v>46788</v>
      </c>
      <c r="X2548" s="20">
        <v>1200</v>
      </c>
      <c r="Z2548" s="6" t="s">
        <v>5978</v>
      </c>
      <c r="AA2548" s="14">
        <f t="shared" si="320"/>
        <v>5.9999999999999995E-4</v>
      </c>
      <c r="AB2548">
        <v>0.58957799999999994</v>
      </c>
      <c r="AC2548">
        <v>0.61316112</v>
      </c>
    </row>
    <row r="2549" spans="1:29" x14ac:dyDescent="0.3">
      <c r="A2549">
        <v>149914</v>
      </c>
      <c r="B2549" s="25" t="s">
        <v>5984</v>
      </c>
      <c r="C2549" t="s">
        <v>20</v>
      </c>
      <c r="D2549" t="s">
        <v>21</v>
      </c>
      <c r="E2549">
        <v>2222222</v>
      </c>
      <c r="F2549" s="8" t="s">
        <v>22</v>
      </c>
      <c r="G2549" s="2">
        <v>98</v>
      </c>
      <c r="H2549" t="s">
        <v>4268</v>
      </c>
      <c r="J2549" s="9" t="s">
        <v>4889</v>
      </c>
      <c r="K2549" t="s">
        <v>4836</v>
      </c>
      <c r="L2549" s="2">
        <v>1</v>
      </c>
      <c r="M2549" s="24" t="s">
        <v>5971</v>
      </c>
      <c r="N2549" s="2" t="s">
        <v>23</v>
      </c>
      <c r="O2549" s="18" t="s">
        <v>1996</v>
      </c>
      <c r="P2549" s="18" t="s">
        <v>3781</v>
      </c>
      <c r="Q2549" s="6" t="s">
        <v>4475</v>
      </c>
      <c r="T2549" s="23">
        <v>46057</v>
      </c>
      <c r="U2549" s="23">
        <v>46789</v>
      </c>
      <c r="X2549" s="20">
        <v>3000</v>
      </c>
      <c r="Z2549" s="6" t="s">
        <v>5978</v>
      </c>
      <c r="AA2549" s="14">
        <f t="shared" si="320"/>
        <v>5.9999999999999995E-4</v>
      </c>
      <c r="AB2549">
        <v>1.476726</v>
      </c>
      <c r="AC2549">
        <v>1.53579504</v>
      </c>
    </row>
    <row r="2550" spans="1:29" x14ac:dyDescent="0.3">
      <c r="A2550">
        <v>150033</v>
      </c>
      <c r="B2550" s="25" t="s">
        <v>5984</v>
      </c>
      <c r="C2550" t="s">
        <v>20</v>
      </c>
      <c r="D2550" t="s">
        <v>21</v>
      </c>
      <c r="E2550">
        <v>2222222</v>
      </c>
      <c r="F2550" s="8" t="s">
        <v>22</v>
      </c>
      <c r="G2550" s="2">
        <v>98</v>
      </c>
      <c r="H2550" t="s">
        <v>4268</v>
      </c>
      <c r="J2550" s="9" t="s">
        <v>4516</v>
      </c>
      <c r="K2550" t="s">
        <v>5635</v>
      </c>
      <c r="L2550" s="2">
        <v>1</v>
      </c>
      <c r="M2550" s="24" t="s">
        <v>5971</v>
      </c>
      <c r="N2550" s="2" t="s">
        <v>23</v>
      </c>
      <c r="O2550" s="18" t="s">
        <v>2015</v>
      </c>
      <c r="P2550" s="18" t="s">
        <v>3781</v>
      </c>
      <c r="Q2550" s="6" t="s">
        <v>4475</v>
      </c>
      <c r="T2550" s="23">
        <v>46065</v>
      </c>
      <c r="U2550" s="23">
        <v>47163</v>
      </c>
      <c r="X2550" s="20">
        <v>5000</v>
      </c>
      <c r="Z2550" s="6" t="s">
        <v>5978</v>
      </c>
      <c r="AA2550" s="14">
        <f t="shared" si="320"/>
        <v>5.9999999999999995E-4</v>
      </c>
      <c r="AB2550">
        <v>2.6740679999999997</v>
      </c>
      <c r="AC2550">
        <v>2.78103072</v>
      </c>
    </row>
    <row r="2551" spans="1:29" x14ac:dyDescent="0.3">
      <c r="A2551">
        <v>150519</v>
      </c>
      <c r="B2551" s="25" t="s">
        <v>5984</v>
      </c>
      <c r="C2551" t="s">
        <v>20</v>
      </c>
      <c r="D2551" t="s">
        <v>21</v>
      </c>
      <c r="E2551">
        <v>2222222</v>
      </c>
      <c r="F2551" s="8" t="s">
        <v>22</v>
      </c>
      <c r="G2551" s="2">
        <v>98</v>
      </c>
      <c r="H2551" t="s">
        <v>4268</v>
      </c>
      <c r="J2551" s="9" t="s">
        <v>5240</v>
      </c>
      <c r="K2551" t="s">
        <v>4847</v>
      </c>
      <c r="L2551" s="2">
        <v>1</v>
      </c>
      <c r="M2551" s="24" t="s">
        <v>5971</v>
      </c>
      <c r="N2551" s="2" t="s">
        <v>23</v>
      </c>
      <c r="O2551" s="18" t="s">
        <v>481</v>
      </c>
      <c r="P2551" s="18" t="s">
        <v>0</v>
      </c>
      <c r="Q2551" s="6" t="s">
        <v>4475</v>
      </c>
      <c r="T2551" s="23">
        <v>46099</v>
      </c>
      <c r="U2551" s="23">
        <v>47194</v>
      </c>
      <c r="X2551" s="20">
        <v>2790</v>
      </c>
      <c r="Z2551" s="6" t="s">
        <v>5978</v>
      </c>
      <c r="AA2551" s="14">
        <f t="shared" si="320"/>
        <v>5.9999999999999995E-4</v>
      </c>
      <c r="AB2551">
        <v>1.5290879999999998</v>
      </c>
      <c r="AC2551">
        <v>1.5902515199999998</v>
      </c>
    </row>
    <row r="2552" spans="1:29" x14ac:dyDescent="0.3">
      <c r="A2552">
        <v>150583</v>
      </c>
      <c r="B2552" s="25" t="s">
        <v>5984</v>
      </c>
      <c r="C2552" t="s">
        <v>20</v>
      </c>
      <c r="D2552" t="s">
        <v>21</v>
      </c>
      <c r="E2552">
        <v>2222222</v>
      </c>
      <c r="F2552" s="8" t="s">
        <v>22</v>
      </c>
      <c r="G2552" s="2">
        <v>98</v>
      </c>
      <c r="H2552" t="s">
        <v>4268</v>
      </c>
      <c r="J2552" s="9" t="s">
        <v>5068</v>
      </c>
      <c r="K2552" t="s">
        <v>4905</v>
      </c>
      <c r="L2552" s="2">
        <v>1</v>
      </c>
      <c r="M2552" s="24" t="s">
        <v>5971</v>
      </c>
      <c r="N2552" s="2" t="s">
        <v>23</v>
      </c>
      <c r="O2552" s="18" t="s">
        <v>2016</v>
      </c>
      <c r="P2552" s="18" t="s">
        <v>0</v>
      </c>
      <c r="Q2552" s="6" t="s">
        <v>4475</v>
      </c>
      <c r="T2552" s="23">
        <v>46101</v>
      </c>
      <c r="U2552" s="23">
        <v>46466</v>
      </c>
      <c r="X2552" s="20">
        <v>1100</v>
      </c>
      <c r="Z2552" s="6" t="s">
        <v>5978</v>
      </c>
      <c r="AA2552" s="14">
        <f t="shared" si="320"/>
        <v>5.9999999999999995E-4</v>
      </c>
      <c r="AB2552">
        <v>0.452214</v>
      </c>
      <c r="AC2552">
        <v>0.47030256000000004</v>
      </c>
    </row>
    <row r="2553" spans="1:29" x14ac:dyDescent="0.3">
      <c r="A2553">
        <v>151200</v>
      </c>
      <c r="B2553" s="25" t="s">
        <v>5984</v>
      </c>
      <c r="C2553" t="s">
        <v>20</v>
      </c>
      <c r="D2553" t="s">
        <v>21</v>
      </c>
      <c r="E2553">
        <v>2222222</v>
      </c>
      <c r="F2553" s="8" t="s">
        <v>22</v>
      </c>
      <c r="G2553" s="2">
        <v>98</v>
      </c>
      <c r="H2553" t="s">
        <v>4268</v>
      </c>
      <c r="J2553" s="9" t="s">
        <v>4889</v>
      </c>
      <c r="K2553" t="s">
        <v>4836</v>
      </c>
      <c r="L2553" s="2">
        <v>1</v>
      </c>
      <c r="M2553" s="24" t="s">
        <v>5971</v>
      </c>
      <c r="N2553" s="2" t="s">
        <v>23</v>
      </c>
      <c r="O2553" s="18" t="s">
        <v>1996</v>
      </c>
      <c r="P2553" s="18" t="s">
        <v>3781</v>
      </c>
      <c r="Q2553" s="6" t="s">
        <v>4475</v>
      </c>
      <c r="T2553" s="23">
        <v>46146</v>
      </c>
      <c r="U2553" s="23">
        <v>47241</v>
      </c>
      <c r="X2553" s="20">
        <v>4000</v>
      </c>
      <c r="Z2553" s="6" t="s">
        <v>5978</v>
      </c>
      <c r="AA2553" s="14">
        <f t="shared" si="320"/>
        <v>5.9999999999999995E-4</v>
      </c>
      <c r="AB2553">
        <v>2.2955699999999997</v>
      </c>
      <c r="AC2553">
        <v>2.3873927999999998</v>
      </c>
    </row>
    <row r="2554" spans="1:29" x14ac:dyDescent="0.3">
      <c r="A2554">
        <v>151871</v>
      </c>
      <c r="B2554" s="25" t="s">
        <v>5984</v>
      </c>
      <c r="C2554" t="s">
        <v>20</v>
      </c>
      <c r="D2554" t="s">
        <v>21</v>
      </c>
      <c r="E2554">
        <v>2222222</v>
      </c>
      <c r="F2554" s="8" t="s">
        <v>22</v>
      </c>
      <c r="G2554" s="2">
        <v>98</v>
      </c>
      <c r="H2554" t="s">
        <v>4268</v>
      </c>
      <c r="J2554" s="9" t="s">
        <v>5636</v>
      </c>
      <c r="K2554" t="s">
        <v>4980</v>
      </c>
      <c r="L2554" s="2">
        <v>1</v>
      </c>
      <c r="M2554" s="24" t="s">
        <v>5971</v>
      </c>
      <c r="N2554" s="2" t="s">
        <v>23</v>
      </c>
      <c r="O2554" s="18" t="s">
        <v>2017</v>
      </c>
      <c r="P2554" s="18" t="s">
        <v>3781</v>
      </c>
      <c r="Q2554" s="6" t="s">
        <v>4475</v>
      </c>
      <c r="T2554" s="23">
        <v>46192</v>
      </c>
      <c r="U2554" s="23">
        <v>46526</v>
      </c>
      <c r="X2554" s="20">
        <v>11200</v>
      </c>
      <c r="Z2554" s="6" t="s">
        <v>5978</v>
      </c>
      <c r="AA2554" s="14">
        <f t="shared" si="320"/>
        <v>5.9999999999999995E-4</v>
      </c>
      <c r="AB2554">
        <v>6.1385039999999993</v>
      </c>
      <c r="AC2554">
        <v>6.3840441599999993</v>
      </c>
    </row>
    <row r="2555" spans="1:29" x14ac:dyDescent="0.3">
      <c r="A2555">
        <v>151906</v>
      </c>
      <c r="B2555" s="25" t="s">
        <v>5984</v>
      </c>
      <c r="C2555" t="s">
        <v>20</v>
      </c>
      <c r="D2555" t="s">
        <v>21</v>
      </c>
      <c r="E2555">
        <v>2222222</v>
      </c>
      <c r="F2555" s="8" t="s">
        <v>22</v>
      </c>
      <c r="G2555" s="2">
        <v>98</v>
      </c>
      <c r="H2555" t="s">
        <v>4268</v>
      </c>
      <c r="J2555" s="9" t="s">
        <v>4911</v>
      </c>
      <c r="K2555" t="s">
        <v>5196</v>
      </c>
      <c r="L2555" s="2">
        <v>1</v>
      </c>
      <c r="M2555" s="24" t="s">
        <v>5971</v>
      </c>
      <c r="N2555" s="2" t="s">
        <v>23</v>
      </c>
      <c r="O2555" s="18" t="s">
        <v>2018</v>
      </c>
      <c r="P2555" s="18" t="s">
        <v>3781</v>
      </c>
      <c r="Q2555" s="6" t="s">
        <v>4475</v>
      </c>
      <c r="T2555" s="23">
        <v>46196</v>
      </c>
      <c r="U2555" s="23">
        <v>46286</v>
      </c>
      <c r="X2555" s="20">
        <v>3000</v>
      </c>
      <c r="Z2555" s="6" t="s">
        <v>5978</v>
      </c>
      <c r="AA2555" s="14">
        <f t="shared" si="320"/>
        <v>5.9999999999999995E-4</v>
      </c>
      <c r="AB2555">
        <v>1.7999999999999998</v>
      </c>
      <c r="AC2555">
        <v>1.8719999999999999</v>
      </c>
    </row>
    <row r="2556" spans="1:29" x14ac:dyDescent="0.3">
      <c r="A2556">
        <v>152019</v>
      </c>
      <c r="B2556" s="25" t="s">
        <v>5984</v>
      </c>
      <c r="C2556" t="s">
        <v>20</v>
      </c>
      <c r="D2556" t="s">
        <v>21</v>
      </c>
      <c r="E2556">
        <v>2222222</v>
      </c>
      <c r="F2556" s="8" t="s">
        <v>22</v>
      </c>
      <c r="G2556" s="2">
        <v>98</v>
      </c>
      <c r="H2556" t="s">
        <v>4268</v>
      </c>
      <c r="J2556" s="9" t="s">
        <v>4911</v>
      </c>
      <c r="K2556" t="s">
        <v>4924</v>
      </c>
      <c r="L2556" s="2">
        <v>1</v>
      </c>
      <c r="M2556" s="24" t="s">
        <v>5971</v>
      </c>
      <c r="N2556" s="2" t="s">
        <v>23</v>
      </c>
      <c r="O2556" s="18" t="s">
        <v>2019</v>
      </c>
      <c r="P2556" s="18" t="s">
        <v>3781</v>
      </c>
      <c r="Q2556" s="6" t="s">
        <v>4475</v>
      </c>
      <c r="T2556" s="23">
        <v>46205</v>
      </c>
      <c r="U2556" s="23">
        <v>46295</v>
      </c>
      <c r="X2556" s="20">
        <v>1500</v>
      </c>
      <c r="Z2556" s="6" t="s">
        <v>5978</v>
      </c>
      <c r="AA2556" s="14">
        <f t="shared" si="320"/>
        <v>5.9999999999999995E-4</v>
      </c>
      <c r="AB2556">
        <v>0.89999999999999991</v>
      </c>
      <c r="AC2556">
        <v>0.93599999999999994</v>
      </c>
    </row>
    <row r="2557" spans="1:29" x14ac:dyDescent="0.3">
      <c r="A2557">
        <v>152042</v>
      </c>
      <c r="B2557" s="25" t="s">
        <v>5984</v>
      </c>
      <c r="C2557" t="s">
        <v>20</v>
      </c>
      <c r="D2557" t="s">
        <v>21</v>
      </c>
      <c r="E2557">
        <v>2222222</v>
      </c>
      <c r="F2557" s="8" t="s">
        <v>22</v>
      </c>
      <c r="G2557" s="2">
        <v>98</v>
      </c>
      <c r="H2557" t="s">
        <v>4268</v>
      </c>
      <c r="J2557" s="9" t="s">
        <v>5634</v>
      </c>
      <c r="K2557" t="s">
        <v>4956</v>
      </c>
      <c r="L2557" s="2">
        <v>1</v>
      </c>
      <c r="M2557" s="24" t="s">
        <v>5971</v>
      </c>
      <c r="N2557" s="2" t="s">
        <v>23</v>
      </c>
      <c r="O2557" s="18" t="s">
        <v>1840</v>
      </c>
      <c r="P2557" s="18" t="s">
        <v>3781</v>
      </c>
      <c r="Q2557" s="6" t="s">
        <v>4475</v>
      </c>
      <c r="T2557" s="23">
        <v>46206</v>
      </c>
      <c r="U2557" s="23">
        <v>47301</v>
      </c>
      <c r="X2557" s="20">
        <v>700</v>
      </c>
      <c r="Z2557" s="6" t="s">
        <v>5978</v>
      </c>
      <c r="AA2557" s="14">
        <f t="shared" si="320"/>
        <v>5.9999999999999995E-4</v>
      </c>
      <c r="AB2557">
        <v>0.42</v>
      </c>
      <c r="AC2557">
        <v>0.43680000000000002</v>
      </c>
    </row>
    <row r="2558" spans="1:29" x14ac:dyDescent="0.3">
      <c r="A2558">
        <v>152044</v>
      </c>
      <c r="B2558" s="25" t="s">
        <v>5984</v>
      </c>
      <c r="C2558" t="s">
        <v>20</v>
      </c>
      <c r="D2558" t="s">
        <v>21</v>
      </c>
      <c r="E2558">
        <v>2222222</v>
      </c>
      <c r="F2558" s="8" t="s">
        <v>22</v>
      </c>
      <c r="G2558" s="2">
        <v>98</v>
      </c>
      <c r="H2558" t="s">
        <v>4268</v>
      </c>
      <c r="J2558" s="9" t="s">
        <v>5637</v>
      </c>
      <c r="K2558" t="s">
        <v>5638</v>
      </c>
      <c r="L2558" s="2">
        <v>1</v>
      </c>
      <c r="M2558" s="24" t="s">
        <v>5971</v>
      </c>
      <c r="N2558" s="2" t="s">
        <v>23</v>
      </c>
      <c r="O2558" s="18" t="s">
        <v>2020</v>
      </c>
      <c r="P2558" s="18" t="s">
        <v>0</v>
      </c>
      <c r="Q2558" s="6" t="s">
        <v>4475</v>
      </c>
      <c r="T2558" s="23">
        <v>46210</v>
      </c>
      <c r="U2558" s="23">
        <v>51693</v>
      </c>
      <c r="X2558" s="20">
        <v>25000</v>
      </c>
      <c r="Z2558" s="6" t="s">
        <v>5978</v>
      </c>
      <c r="AA2558" s="14">
        <f t="shared" si="320"/>
        <v>5.9999999999999995E-4</v>
      </c>
      <c r="AB2558">
        <v>14.999999999999998</v>
      </c>
      <c r="AC2558">
        <v>15.599999999999998</v>
      </c>
    </row>
    <row r="2559" spans="1:29" x14ac:dyDescent="0.3">
      <c r="A2559">
        <v>152332</v>
      </c>
      <c r="B2559" s="25" t="s">
        <v>5984</v>
      </c>
      <c r="C2559" t="s">
        <v>20</v>
      </c>
      <c r="D2559" t="s">
        <v>21</v>
      </c>
      <c r="E2559">
        <v>2222222</v>
      </c>
      <c r="F2559" s="8" t="s">
        <v>22</v>
      </c>
      <c r="G2559" s="2">
        <v>98</v>
      </c>
      <c r="H2559" t="s">
        <v>4268</v>
      </c>
      <c r="J2559" s="9" t="s">
        <v>4852</v>
      </c>
      <c r="K2559" t="s">
        <v>5639</v>
      </c>
      <c r="L2559" s="2">
        <v>1</v>
      </c>
      <c r="M2559" s="24" t="s">
        <v>5971</v>
      </c>
      <c r="N2559" s="2" t="s">
        <v>23</v>
      </c>
      <c r="O2559" s="18" t="s">
        <v>2021</v>
      </c>
      <c r="P2559" s="18" t="s">
        <v>0</v>
      </c>
      <c r="Q2559" s="6" t="s">
        <v>4475</v>
      </c>
      <c r="T2559" s="23">
        <v>46230</v>
      </c>
      <c r="U2559" s="23">
        <v>46594</v>
      </c>
      <c r="X2559" s="20">
        <v>1200</v>
      </c>
      <c r="Z2559" s="6" t="s">
        <v>5978</v>
      </c>
      <c r="AA2559" s="14">
        <f t="shared" si="320"/>
        <v>5.9999999999999995E-4</v>
      </c>
      <c r="AB2559">
        <v>0.72</v>
      </c>
      <c r="AC2559">
        <v>0.74880000000000002</v>
      </c>
    </row>
    <row r="2560" spans="1:29" x14ac:dyDescent="0.3">
      <c r="A2560">
        <v>152345</v>
      </c>
      <c r="B2560" s="25" t="s">
        <v>5984</v>
      </c>
      <c r="C2560" t="s">
        <v>20</v>
      </c>
      <c r="D2560" t="s">
        <v>21</v>
      </c>
      <c r="E2560">
        <v>2222222</v>
      </c>
      <c r="F2560" s="8" t="s">
        <v>22</v>
      </c>
      <c r="G2560" s="2">
        <v>98</v>
      </c>
      <c r="H2560" t="s">
        <v>4268</v>
      </c>
      <c r="J2560" s="9" t="s">
        <v>5637</v>
      </c>
      <c r="K2560" t="s">
        <v>4856</v>
      </c>
      <c r="L2560" s="2">
        <v>1</v>
      </c>
      <c r="M2560" s="24" t="s">
        <v>5971</v>
      </c>
      <c r="N2560" s="2" t="s">
        <v>23</v>
      </c>
      <c r="O2560" s="18" t="s">
        <v>2022</v>
      </c>
      <c r="P2560" s="18" t="s">
        <v>0</v>
      </c>
      <c r="Q2560" s="6" t="s">
        <v>4475</v>
      </c>
      <c r="T2560" s="23">
        <v>46232</v>
      </c>
      <c r="U2560" s="23">
        <v>46322</v>
      </c>
      <c r="X2560" s="20">
        <v>3310</v>
      </c>
      <c r="Z2560" s="6" t="s">
        <v>5978</v>
      </c>
      <c r="AA2560" s="14">
        <f t="shared" si="320"/>
        <v>5.9999999999999995E-4</v>
      </c>
      <c r="AB2560">
        <v>1.9859999999999998</v>
      </c>
      <c r="AC2560">
        <v>2.0654399999999997</v>
      </c>
    </row>
    <row r="2561" spans="1:29" x14ac:dyDescent="0.3">
      <c r="A2561">
        <v>124168</v>
      </c>
      <c r="B2561" s="25" t="s">
        <v>5984</v>
      </c>
      <c r="C2561" t="s">
        <v>20</v>
      </c>
      <c r="D2561" t="s">
        <v>21</v>
      </c>
      <c r="E2561">
        <v>2222222</v>
      </c>
      <c r="F2561" s="8" t="s">
        <v>22</v>
      </c>
      <c r="G2561" s="2">
        <v>98</v>
      </c>
      <c r="H2561" t="s">
        <v>4269</v>
      </c>
      <c r="J2561" s="9" t="s">
        <v>5234</v>
      </c>
      <c r="K2561" t="s">
        <v>4966</v>
      </c>
      <c r="L2561" s="2">
        <v>1</v>
      </c>
      <c r="M2561" s="24" t="s">
        <v>5971</v>
      </c>
      <c r="N2561" s="2" t="s">
        <v>23</v>
      </c>
      <c r="O2561" s="18" t="s">
        <v>2023</v>
      </c>
      <c r="P2561" s="18" t="s">
        <v>0</v>
      </c>
      <c r="Q2561" s="6" t="s">
        <v>4475</v>
      </c>
      <c r="T2561" s="23">
        <v>44508</v>
      </c>
      <c r="U2561" s="23">
        <v>45604</v>
      </c>
      <c r="X2561" s="20">
        <v>2820</v>
      </c>
      <c r="Z2561" s="6" t="s">
        <v>5978</v>
      </c>
      <c r="AA2561" s="15">
        <f>+(0.42/1000)</f>
        <v>4.1999999999999996E-4</v>
      </c>
      <c r="AB2561">
        <v>1.1843999999999999</v>
      </c>
      <c r="AC2561">
        <v>1.231776</v>
      </c>
    </row>
    <row r="2562" spans="1:29" x14ac:dyDescent="0.3">
      <c r="A2562">
        <v>136390</v>
      </c>
      <c r="B2562" s="25" t="s">
        <v>5984</v>
      </c>
      <c r="C2562" t="s">
        <v>20</v>
      </c>
      <c r="D2562" t="s">
        <v>21</v>
      </c>
      <c r="E2562">
        <v>2222222</v>
      </c>
      <c r="F2562" s="8" t="s">
        <v>22</v>
      </c>
      <c r="G2562" s="2">
        <v>98</v>
      </c>
      <c r="H2562" t="s">
        <v>4269</v>
      </c>
      <c r="J2562" s="9" t="s">
        <v>4838</v>
      </c>
      <c r="K2562" t="s">
        <v>4826</v>
      </c>
      <c r="L2562" s="2">
        <v>1</v>
      </c>
      <c r="M2562" s="24" t="s">
        <v>5971</v>
      </c>
      <c r="N2562" s="2" t="s">
        <v>23</v>
      </c>
      <c r="O2562" s="18" t="s">
        <v>279</v>
      </c>
      <c r="P2562" s="18" t="s">
        <v>0</v>
      </c>
      <c r="Q2562" s="6" t="s">
        <v>4475</v>
      </c>
      <c r="T2562" s="23">
        <v>45177</v>
      </c>
      <c r="U2562" s="23">
        <v>47004</v>
      </c>
      <c r="X2562" s="20">
        <v>20000</v>
      </c>
      <c r="Z2562" s="6" t="s">
        <v>5978</v>
      </c>
      <c r="AA2562" s="13">
        <f t="shared" ref="AA2562:AA2563" si="321">+(0.56/1000)</f>
        <v>5.6000000000000006E-4</v>
      </c>
      <c r="AB2562">
        <v>5.9675728000000001</v>
      </c>
      <c r="AC2562">
        <v>6.2062757120000001</v>
      </c>
    </row>
    <row r="2563" spans="1:29" x14ac:dyDescent="0.3">
      <c r="A2563">
        <v>139068</v>
      </c>
      <c r="B2563" s="25" t="s">
        <v>5984</v>
      </c>
      <c r="C2563" t="s">
        <v>20</v>
      </c>
      <c r="D2563" t="s">
        <v>21</v>
      </c>
      <c r="E2563">
        <v>2222222</v>
      </c>
      <c r="F2563" s="8" t="s">
        <v>22</v>
      </c>
      <c r="G2563" s="2">
        <v>98</v>
      </c>
      <c r="H2563" t="s">
        <v>4269</v>
      </c>
      <c r="J2563" s="9" t="s">
        <v>4969</v>
      </c>
      <c r="K2563" t="s">
        <v>4836</v>
      </c>
      <c r="L2563" s="2">
        <v>1</v>
      </c>
      <c r="M2563" s="24" t="s">
        <v>5971</v>
      </c>
      <c r="N2563" s="2" t="s">
        <v>23</v>
      </c>
      <c r="O2563" s="18" t="s">
        <v>2024</v>
      </c>
      <c r="P2563" s="18" t="s">
        <v>3781</v>
      </c>
      <c r="Q2563" s="6" t="s">
        <v>4475</v>
      </c>
      <c r="T2563" s="23">
        <v>45343</v>
      </c>
      <c r="U2563" s="23">
        <v>47171</v>
      </c>
      <c r="X2563" s="20">
        <v>30000</v>
      </c>
      <c r="Z2563" s="6" t="s">
        <v>5978</v>
      </c>
      <c r="AA2563" s="13">
        <f t="shared" si="321"/>
        <v>5.6000000000000006E-4</v>
      </c>
      <c r="AB2563">
        <v>10.611932800000002</v>
      </c>
      <c r="AC2563">
        <v>11.036410112000002</v>
      </c>
    </row>
    <row r="2564" spans="1:29" x14ac:dyDescent="0.3">
      <c r="A2564">
        <v>141804</v>
      </c>
      <c r="B2564" s="25" t="s">
        <v>5984</v>
      </c>
      <c r="C2564" t="s">
        <v>20</v>
      </c>
      <c r="D2564" t="s">
        <v>21</v>
      </c>
      <c r="E2564">
        <v>2222222</v>
      </c>
      <c r="F2564" s="8" t="s">
        <v>22</v>
      </c>
      <c r="G2564" s="2">
        <v>98</v>
      </c>
      <c r="H2564" t="s">
        <v>4269</v>
      </c>
      <c r="J2564" s="9" t="s">
        <v>4838</v>
      </c>
      <c r="K2564" t="s">
        <v>4826</v>
      </c>
      <c r="L2564" s="2">
        <v>1</v>
      </c>
      <c r="M2564" s="24" t="s">
        <v>5971</v>
      </c>
      <c r="N2564" s="2" t="s">
        <v>23</v>
      </c>
      <c r="O2564" s="18" t="s">
        <v>279</v>
      </c>
      <c r="P2564" s="18" t="s">
        <v>0</v>
      </c>
      <c r="Q2564" s="6" t="s">
        <v>4475</v>
      </c>
      <c r="T2564" s="23">
        <v>45476</v>
      </c>
      <c r="U2564" s="23">
        <v>46936</v>
      </c>
      <c r="X2564" s="20">
        <v>5000</v>
      </c>
      <c r="Z2564" s="6" t="s">
        <v>5978</v>
      </c>
      <c r="AA2564" s="14">
        <f t="shared" ref="AA2564:AA2568" si="322">+(0.6/1000)</f>
        <v>5.9999999999999995E-4</v>
      </c>
      <c r="AB2564">
        <v>1.781892</v>
      </c>
      <c r="AC2564">
        <v>1.8531676800000001</v>
      </c>
    </row>
    <row r="2565" spans="1:29" x14ac:dyDescent="0.3">
      <c r="A2565">
        <v>142304</v>
      </c>
      <c r="B2565" s="25" t="s">
        <v>5984</v>
      </c>
      <c r="C2565" t="s">
        <v>20</v>
      </c>
      <c r="D2565" t="s">
        <v>21</v>
      </c>
      <c r="E2565">
        <v>2222222</v>
      </c>
      <c r="F2565" s="8" t="s">
        <v>22</v>
      </c>
      <c r="G2565" s="2">
        <v>98</v>
      </c>
      <c r="H2565" t="s">
        <v>4269</v>
      </c>
      <c r="J2565" s="9" t="s">
        <v>5139</v>
      </c>
      <c r="K2565" t="s">
        <v>4956</v>
      </c>
      <c r="L2565" s="2">
        <v>1</v>
      </c>
      <c r="M2565" s="24" t="s">
        <v>5971</v>
      </c>
      <c r="N2565" s="2" t="s">
        <v>23</v>
      </c>
      <c r="O2565" s="18" t="s">
        <v>2025</v>
      </c>
      <c r="P2565" s="18" t="s">
        <v>3781</v>
      </c>
      <c r="Q2565" s="6" t="s">
        <v>4475</v>
      </c>
      <c r="T2565" s="23">
        <v>45511</v>
      </c>
      <c r="U2565" s="23">
        <v>47336</v>
      </c>
      <c r="X2565" s="20">
        <v>4000</v>
      </c>
      <c r="Z2565" s="6" t="s">
        <v>5978</v>
      </c>
      <c r="AA2565" s="14">
        <f t="shared" si="322"/>
        <v>5.9999999999999995E-4</v>
      </c>
      <c r="AB2565">
        <v>1.684104</v>
      </c>
      <c r="AC2565">
        <v>1.7514681600000002</v>
      </c>
    </row>
    <row r="2566" spans="1:29" x14ac:dyDescent="0.3">
      <c r="A2566">
        <v>146288</v>
      </c>
      <c r="B2566" s="25" t="s">
        <v>5984</v>
      </c>
      <c r="C2566" t="s">
        <v>20</v>
      </c>
      <c r="D2566" t="s">
        <v>21</v>
      </c>
      <c r="E2566">
        <v>2222222</v>
      </c>
      <c r="F2566" s="8" t="s">
        <v>22</v>
      </c>
      <c r="G2566" s="2">
        <v>98</v>
      </c>
      <c r="H2566" t="s">
        <v>4269</v>
      </c>
      <c r="J2566" s="9" t="s">
        <v>4936</v>
      </c>
      <c r="K2566" t="s">
        <v>4857</v>
      </c>
      <c r="L2566" s="2">
        <v>1</v>
      </c>
      <c r="M2566" s="24" t="s">
        <v>5971</v>
      </c>
      <c r="N2566" s="2" t="s">
        <v>23</v>
      </c>
      <c r="O2566" s="18" t="s">
        <v>2026</v>
      </c>
      <c r="P2566" s="18" t="s">
        <v>0</v>
      </c>
      <c r="Q2566" s="6" t="s">
        <v>4475</v>
      </c>
      <c r="T2566" s="23">
        <v>45807</v>
      </c>
      <c r="U2566" s="23">
        <v>46902</v>
      </c>
      <c r="X2566" s="20">
        <v>2751</v>
      </c>
      <c r="Z2566" s="6" t="s">
        <v>5978</v>
      </c>
      <c r="AA2566" s="14">
        <f t="shared" si="322"/>
        <v>5.9999999999999995E-4</v>
      </c>
      <c r="AB2566">
        <v>1.2728219999999999</v>
      </c>
      <c r="AC2566">
        <v>1.3237348799999999</v>
      </c>
    </row>
    <row r="2567" spans="1:29" x14ac:dyDescent="0.3">
      <c r="A2567">
        <v>148249</v>
      </c>
      <c r="B2567" s="25" t="s">
        <v>5984</v>
      </c>
      <c r="C2567" t="s">
        <v>20</v>
      </c>
      <c r="D2567" t="s">
        <v>21</v>
      </c>
      <c r="E2567">
        <v>2222222</v>
      </c>
      <c r="F2567" s="8" t="s">
        <v>22</v>
      </c>
      <c r="G2567" s="2">
        <v>98</v>
      </c>
      <c r="H2567" t="s">
        <v>4269</v>
      </c>
      <c r="J2567" s="9" t="s">
        <v>4882</v>
      </c>
      <c r="K2567" t="s">
        <v>5298</v>
      </c>
      <c r="L2567" s="2">
        <v>1</v>
      </c>
      <c r="M2567" s="24" t="s">
        <v>5971</v>
      </c>
      <c r="N2567" s="2" t="s">
        <v>23</v>
      </c>
      <c r="O2567" s="18" t="s">
        <v>2027</v>
      </c>
      <c r="P2567" s="18" t="s">
        <v>0</v>
      </c>
      <c r="Q2567" s="6" t="s">
        <v>4475</v>
      </c>
      <c r="T2567" s="23">
        <v>45949</v>
      </c>
      <c r="U2567" s="23">
        <v>46495</v>
      </c>
      <c r="X2567" s="20">
        <v>665</v>
      </c>
      <c r="Z2567" s="6" t="s">
        <v>5978</v>
      </c>
      <c r="AA2567" s="14">
        <f t="shared" si="322"/>
        <v>5.9999999999999995E-4</v>
      </c>
      <c r="AB2567">
        <v>0.209838</v>
      </c>
      <c r="AC2567">
        <v>0.21823152000000001</v>
      </c>
    </row>
    <row r="2568" spans="1:29" x14ac:dyDescent="0.3">
      <c r="A2568">
        <v>151488</v>
      </c>
      <c r="B2568" s="25" t="s">
        <v>5984</v>
      </c>
      <c r="C2568" t="s">
        <v>20</v>
      </c>
      <c r="D2568" t="s">
        <v>21</v>
      </c>
      <c r="E2568">
        <v>2222222</v>
      </c>
      <c r="F2568" s="8" t="s">
        <v>22</v>
      </c>
      <c r="G2568" s="2">
        <v>98</v>
      </c>
      <c r="H2568" t="s">
        <v>4269</v>
      </c>
      <c r="J2568" s="9" t="s">
        <v>5045</v>
      </c>
      <c r="K2568" t="s">
        <v>5196</v>
      </c>
      <c r="L2568" s="2">
        <v>1</v>
      </c>
      <c r="M2568" s="24" t="s">
        <v>5971</v>
      </c>
      <c r="N2568" s="2" t="s">
        <v>23</v>
      </c>
      <c r="O2568" s="18" t="s">
        <v>1028</v>
      </c>
      <c r="P2568" s="18" t="s">
        <v>3781</v>
      </c>
      <c r="Q2568" s="6" t="s">
        <v>4475</v>
      </c>
      <c r="T2568" s="23">
        <v>46168</v>
      </c>
      <c r="U2568" s="23">
        <v>46258</v>
      </c>
      <c r="X2568" s="20">
        <v>2420</v>
      </c>
      <c r="Z2568" s="6" t="s">
        <v>5978</v>
      </c>
      <c r="AA2568" s="14">
        <f t="shared" si="322"/>
        <v>5.9999999999999995E-4</v>
      </c>
      <c r="AB2568">
        <v>1.452</v>
      </c>
      <c r="AC2568">
        <v>1.5100800000000001</v>
      </c>
    </row>
    <row r="2569" spans="1:29" x14ac:dyDescent="0.3">
      <c r="A2569">
        <v>137146</v>
      </c>
      <c r="B2569" s="25" t="s">
        <v>5984</v>
      </c>
      <c r="C2569" t="s">
        <v>20</v>
      </c>
      <c r="D2569" t="s">
        <v>21</v>
      </c>
      <c r="E2569">
        <v>2222222</v>
      </c>
      <c r="F2569" s="8" t="s">
        <v>22</v>
      </c>
      <c r="G2569" s="2">
        <v>98</v>
      </c>
      <c r="H2569" t="s">
        <v>4270</v>
      </c>
      <c r="J2569" s="9" t="s">
        <v>4892</v>
      </c>
      <c r="K2569" t="s">
        <v>5070</v>
      </c>
      <c r="L2569" s="2">
        <v>1</v>
      </c>
      <c r="M2569" s="24" t="s">
        <v>5971</v>
      </c>
      <c r="N2569" s="2" t="s">
        <v>23</v>
      </c>
      <c r="O2569" s="18" t="s">
        <v>2028</v>
      </c>
      <c r="P2569" s="18" t="s">
        <v>3781</v>
      </c>
      <c r="Q2569" s="6" t="s">
        <v>4475</v>
      </c>
      <c r="T2569" s="23">
        <v>45211</v>
      </c>
      <c r="U2569" s="23">
        <v>47037</v>
      </c>
      <c r="X2569" s="20">
        <v>10000</v>
      </c>
      <c r="Z2569" s="6" t="s">
        <v>5978</v>
      </c>
      <c r="AA2569" s="13">
        <f t="shared" ref="AA2569:AA2570" si="323">+(0.56/1000)</f>
        <v>5.6000000000000006E-4</v>
      </c>
      <c r="AB2569">
        <v>3.0598176000000001</v>
      </c>
      <c r="AC2569">
        <v>3.1822103040000003</v>
      </c>
    </row>
    <row r="2570" spans="1:29" x14ac:dyDescent="0.3">
      <c r="A2570">
        <v>137200</v>
      </c>
      <c r="B2570" s="25" t="s">
        <v>5984</v>
      </c>
      <c r="C2570" t="s">
        <v>20</v>
      </c>
      <c r="D2570" t="s">
        <v>21</v>
      </c>
      <c r="E2570">
        <v>2222222</v>
      </c>
      <c r="F2570" s="8" t="s">
        <v>22</v>
      </c>
      <c r="G2570" s="2">
        <v>98</v>
      </c>
      <c r="H2570" t="s">
        <v>4270</v>
      </c>
      <c r="J2570" s="9" t="s">
        <v>4836</v>
      </c>
      <c r="K2570" t="s">
        <v>4967</v>
      </c>
      <c r="L2570" s="2">
        <v>1</v>
      </c>
      <c r="M2570" s="24" t="s">
        <v>5971</v>
      </c>
      <c r="N2570" s="2" t="s">
        <v>23</v>
      </c>
      <c r="O2570" s="18" t="s">
        <v>2029</v>
      </c>
      <c r="P2570" s="18" t="s">
        <v>3781</v>
      </c>
      <c r="Q2570" s="6" t="s">
        <v>4475</v>
      </c>
      <c r="T2570" s="23">
        <v>45210</v>
      </c>
      <c r="U2570" s="23">
        <v>46305</v>
      </c>
      <c r="X2570" s="20">
        <v>1000</v>
      </c>
      <c r="Z2570" s="6" t="s">
        <v>5978</v>
      </c>
      <c r="AA2570" s="13">
        <f t="shared" si="323"/>
        <v>5.6000000000000006E-4</v>
      </c>
      <c r="AB2570">
        <v>0.18625600000000003</v>
      </c>
      <c r="AC2570">
        <v>0.19370624000000003</v>
      </c>
    </row>
    <row r="2571" spans="1:29" x14ac:dyDescent="0.3">
      <c r="A2571">
        <v>141248</v>
      </c>
      <c r="B2571" s="25" t="s">
        <v>5984</v>
      </c>
      <c r="C2571" t="s">
        <v>20</v>
      </c>
      <c r="D2571" t="s">
        <v>21</v>
      </c>
      <c r="E2571">
        <v>2222222</v>
      </c>
      <c r="F2571" s="8" t="s">
        <v>22</v>
      </c>
      <c r="G2571" s="2">
        <v>98</v>
      </c>
      <c r="H2571" t="s">
        <v>4270</v>
      </c>
      <c r="J2571" s="9" t="s">
        <v>4981</v>
      </c>
      <c r="K2571" t="s">
        <v>4859</v>
      </c>
      <c r="L2571" s="2">
        <v>1</v>
      </c>
      <c r="M2571" s="24" t="s">
        <v>5971</v>
      </c>
      <c r="N2571" s="2" t="s">
        <v>23</v>
      </c>
      <c r="O2571" s="18" t="s">
        <v>2030</v>
      </c>
      <c r="P2571" s="18" t="s">
        <v>3781</v>
      </c>
      <c r="Q2571" s="6" t="s">
        <v>4475</v>
      </c>
      <c r="T2571" s="23">
        <v>45443</v>
      </c>
      <c r="U2571" s="23">
        <v>47360</v>
      </c>
      <c r="X2571" s="20">
        <v>6810</v>
      </c>
      <c r="Z2571" s="6" t="s">
        <v>5978</v>
      </c>
      <c r="AA2571" s="14">
        <f t="shared" ref="AA2571:AA2573" si="324">+(0.6/1000)</f>
        <v>5.9999999999999995E-4</v>
      </c>
      <c r="AB2571">
        <v>3.0499079999999998</v>
      </c>
      <c r="AC2571">
        <v>3.1719043199999999</v>
      </c>
    </row>
    <row r="2572" spans="1:29" x14ac:dyDescent="0.3">
      <c r="A2572">
        <v>145844</v>
      </c>
      <c r="B2572" s="25" t="s">
        <v>5984</v>
      </c>
      <c r="C2572" t="s">
        <v>20</v>
      </c>
      <c r="D2572" t="s">
        <v>21</v>
      </c>
      <c r="E2572">
        <v>2222222</v>
      </c>
      <c r="F2572" s="8" t="s">
        <v>22</v>
      </c>
      <c r="G2572" s="2">
        <v>98</v>
      </c>
      <c r="H2572" t="s">
        <v>4270</v>
      </c>
      <c r="J2572" s="9" t="s">
        <v>5057</v>
      </c>
      <c r="K2572" t="s">
        <v>4861</v>
      </c>
      <c r="L2572" s="2">
        <v>1</v>
      </c>
      <c r="M2572" s="24" t="s">
        <v>5971</v>
      </c>
      <c r="N2572" s="2" t="s">
        <v>23</v>
      </c>
      <c r="O2572" s="18" t="s">
        <v>2031</v>
      </c>
      <c r="P2572" s="18" t="s">
        <v>3781</v>
      </c>
      <c r="Q2572" s="6" t="s">
        <v>4475</v>
      </c>
      <c r="T2572" s="23">
        <v>45770</v>
      </c>
      <c r="U2572" s="23">
        <v>46866</v>
      </c>
      <c r="X2572" s="20">
        <v>700</v>
      </c>
      <c r="Z2572" s="6" t="s">
        <v>5978</v>
      </c>
      <c r="AA2572" s="14">
        <f t="shared" si="324"/>
        <v>5.9999999999999995E-4</v>
      </c>
      <c r="AB2572">
        <v>0.270702</v>
      </c>
      <c r="AC2572">
        <v>0.28153008000000002</v>
      </c>
    </row>
    <row r="2573" spans="1:29" x14ac:dyDescent="0.3">
      <c r="A2573">
        <v>147201</v>
      </c>
      <c r="B2573" s="25" t="s">
        <v>5984</v>
      </c>
      <c r="C2573" t="s">
        <v>20</v>
      </c>
      <c r="D2573" t="s">
        <v>21</v>
      </c>
      <c r="E2573">
        <v>2222222</v>
      </c>
      <c r="F2573" s="8" t="s">
        <v>22</v>
      </c>
      <c r="G2573" s="2">
        <v>98</v>
      </c>
      <c r="H2573" t="s">
        <v>4270</v>
      </c>
      <c r="J2573" s="9" t="s">
        <v>4836</v>
      </c>
      <c r="K2573" t="s">
        <v>4516</v>
      </c>
      <c r="L2573" s="2">
        <v>1</v>
      </c>
      <c r="M2573" s="24" t="s">
        <v>5971</v>
      </c>
      <c r="N2573" s="2" t="s">
        <v>23</v>
      </c>
      <c r="O2573" s="18" t="s">
        <v>2032</v>
      </c>
      <c r="P2573" s="18" t="s">
        <v>3781</v>
      </c>
      <c r="Q2573" s="6" t="s">
        <v>4475</v>
      </c>
      <c r="T2573" s="23">
        <v>45871</v>
      </c>
      <c r="U2573" s="23">
        <v>46236</v>
      </c>
      <c r="X2573" s="20">
        <v>3000</v>
      </c>
      <c r="Z2573" s="6" t="s">
        <v>5978</v>
      </c>
      <c r="AA2573" s="14">
        <f t="shared" si="324"/>
        <v>5.9999999999999995E-4</v>
      </c>
      <c r="AB2573">
        <v>0.16115399999999996</v>
      </c>
      <c r="AC2573">
        <v>0.16760015999999997</v>
      </c>
    </row>
    <row r="2574" spans="1:29" x14ac:dyDescent="0.3">
      <c r="A2574">
        <v>135616</v>
      </c>
      <c r="B2574" s="25" t="s">
        <v>5984</v>
      </c>
      <c r="C2574" t="s">
        <v>20</v>
      </c>
      <c r="D2574" t="s">
        <v>21</v>
      </c>
      <c r="E2574">
        <v>2222222</v>
      </c>
      <c r="F2574" s="8" t="s">
        <v>22</v>
      </c>
      <c r="G2574" s="2">
        <v>98</v>
      </c>
      <c r="H2574" t="s">
        <v>4271</v>
      </c>
      <c r="J2574" s="9" t="s">
        <v>5232</v>
      </c>
      <c r="K2574" t="s">
        <v>5090</v>
      </c>
      <c r="L2574" s="2">
        <v>1</v>
      </c>
      <c r="M2574" s="24" t="s">
        <v>5971</v>
      </c>
      <c r="N2574" s="2" t="s">
        <v>23</v>
      </c>
      <c r="O2574" s="18" t="s">
        <v>2033</v>
      </c>
      <c r="P2574" s="18" t="s">
        <v>3781</v>
      </c>
      <c r="Q2574" s="6" t="s">
        <v>4475</v>
      </c>
      <c r="T2574" s="23">
        <v>45121</v>
      </c>
      <c r="U2574" s="23">
        <v>46216</v>
      </c>
      <c r="X2574" s="20">
        <v>2700</v>
      </c>
      <c r="Z2574" s="6" t="s">
        <v>5978</v>
      </c>
      <c r="AA2574" s="13">
        <f>+(0.56/1000)</f>
        <v>5.6000000000000006E-4</v>
      </c>
      <c r="AB2574">
        <v>0.31661280000000003</v>
      </c>
      <c r="AC2574">
        <v>0.32927731200000004</v>
      </c>
    </row>
    <row r="2575" spans="1:29" x14ac:dyDescent="0.3">
      <c r="A2575">
        <v>147604</v>
      </c>
      <c r="B2575" s="25" t="s">
        <v>5984</v>
      </c>
      <c r="C2575" t="s">
        <v>20</v>
      </c>
      <c r="D2575" t="s">
        <v>21</v>
      </c>
      <c r="E2575">
        <v>2222222</v>
      </c>
      <c r="F2575" s="8" t="s">
        <v>22</v>
      </c>
      <c r="G2575" s="2">
        <v>98</v>
      </c>
      <c r="H2575" t="s">
        <v>4272</v>
      </c>
      <c r="J2575" s="9" t="s">
        <v>4859</v>
      </c>
      <c r="K2575" t="s">
        <v>5091</v>
      </c>
      <c r="L2575" s="2">
        <v>1</v>
      </c>
      <c r="M2575" s="24" t="s">
        <v>5971</v>
      </c>
      <c r="N2575" s="2" t="s">
        <v>23</v>
      </c>
      <c r="O2575" s="18" t="s">
        <v>2034</v>
      </c>
      <c r="P2575" s="18" t="s">
        <v>3781</v>
      </c>
      <c r="Q2575" s="6" t="s">
        <v>4475</v>
      </c>
      <c r="T2575" s="23">
        <v>45905</v>
      </c>
      <c r="U2575" s="23">
        <v>47182</v>
      </c>
      <c r="X2575" s="20">
        <v>6000</v>
      </c>
      <c r="Z2575" s="6" t="s">
        <v>5978</v>
      </c>
      <c r="AA2575" s="14">
        <f>+(0.6/1000)</f>
        <v>5.9999999999999995E-4</v>
      </c>
      <c r="AB2575">
        <v>2.8744439999999996</v>
      </c>
      <c r="AC2575">
        <v>2.9894217599999995</v>
      </c>
    </row>
    <row r="2576" spans="1:29" x14ac:dyDescent="0.3">
      <c r="A2576">
        <v>115375</v>
      </c>
      <c r="B2576" s="25" t="s">
        <v>5984</v>
      </c>
      <c r="C2576" t="s">
        <v>20</v>
      </c>
      <c r="D2576" t="s">
        <v>21</v>
      </c>
      <c r="E2576">
        <v>2222222</v>
      </c>
      <c r="F2576" s="8" t="s">
        <v>22</v>
      </c>
      <c r="G2576" s="2">
        <v>98</v>
      </c>
      <c r="H2576" t="s">
        <v>4273</v>
      </c>
      <c r="J2576" s="9" t="s">
        <v>4903</v>
      </c>
      <c r="K2576" t="s">
        <v>5038</v>
      </c>
      <c r="L2576" s="2">
        <v>1</v>
      </c>
      <c r="M2576" s="24" t="s">
        <v>5971</v>
      </c>
      <c r="N2576" s="2" t="s">
        <v>23</v>
      </c>
      <c r="O2576" s="18" t="s">
        <v>2035</v>
      </c>
      <c r="P2576" s="18" t="s">
        <v>3781</v>
      </c>
      <c r="Q2576" s="6" t="s">
        <v>4475</v>
      </c>
      <c r="T2576" s="23">
        <v>44090</v>
      </c>
      <c r="U2576" s="23">
        <v>46665</v>
      </c>
      <c r="X2576" s="20">
        <v>20000</v>
      </c>
      <c r="Z2576" s="6" t="s">
        <v>5978</v>
      </c>
      <c r="AA2576" s="15">
        <f>+(0.42/1000)</f>
        <v>4.1999999999999996E-4</v>
      </c>
      <c r="AB2576">
        <v>2.3948903999999995</v>
      </c>
      <c r="AC2576">
        <v>2.4906860159999997</v>
      </c>
    </row>
    <row r="2577" spans="1:29" x14ac:dyDescent="0.3">
      <c r="A2577">
        <v>140645</v>
      </c>
      <c r="B2577" s="25" t="s">
        <v>5984</v>
      </c>
      <c r="C2577" t="s">
        <v>20</v>
      </c>
      <c r="D2577" t="s">
        <v>21</v>
      </c>
      <c r="E2577">
        <v>2222222</v>
      </c>
      <c r="F2577" s="8" t="s">
        <v>22</v>
      </c>
      <c r="G2577" s="2">
        <v>98</v>
      </c>
      <c r="H2577" t="s">
        <v>4274</v>
      </c>
      <c r="J2577" s="9" t="s">
        <v>5351</v>
      </c>
      <c r="K2577" t="s">
        <v>4839</v>
      </c>
      <c r="L2577" s="2">
        <v>1</v>
      </c>
      <c r="M2577" s="24" t="s">
        <v>5971</v>
      </c>
      <c r="N2577" s="2" t="s">
        <v>23</v>
      </c>
      <c r="O2577" s="18" t="s">
        <v>225</v>
      </c>
      <c r="P2577" s="18" t="s">
        <v>0</v>
      </c>
      <c r="Q2577" s="6" t="s">
        <v>4475</v>
      </c>
      <c r="T2577" s="23">
        <v>45401</v>
      </c>
      <c r="U2577" s="23">
        <v>46496</v>
      </c>
      <c r="X2577" s="20">
        <v>4000</v>
      </c>
      <c r="Z2577" s="6" t="s">
        <v>5978</v>
      </c>
      <c r="AA2577" s="13">
        <f>+(0.56/1000)</f>
        <v>5.6000000000000006E-4</v>
      </c>
      <c r="AB2577">
        <v>0.65881200000000006</v>
      </c>
      <c r="AC2577">
        <v>0.68516448000000008</v>
      </c>
    </row>
    <row r="2578" spans="1:29" x14ac:dyDescent="0.3">
      <c r="A2578">
        <v>107362</v>
      </c>
      <c r="B2578" s="25" t="s">
        <v>5984</v>
      </c>
      <c r="C2578" t="s">
        <v>20</v>
      </c>
      <c r="D2578" t="s">
        <v>21</v>
      </c>
      <c r="E2578">
        <v>2222222</v>
      </c>
      <c r="F2578" s="8" t="s">
        <v>22</v>
      </c>
      <c r="G2578" s="2">
        <v>98</v>
      </c>
      <c r="H2578" t="s">
        <v>4275</v>
      </c>
      <c r="J2578" s="9" t="s">
        <v>4901</v>
      </c>
      <c r="K2578" t="s">
        <v>5224</v>
      </c>
      <c r="L2578" s="2">
        <v>1</v>
      </c>
      <c r="M2578" s="24" t="s">
        <v>5971</v>
      </c>
      <c r="N2578" s="2" t="s">
        <v>23</v>
      </c>
      <c r="O2578" s="18" t="s">
        <v>2036</v>
      </c>
      <c r="P2578" s="18" t="s">
        <v>0</v>
      </c>
      <c r="Q2578" s="6" t="s">
        <v>4475</v>
      </c>
      <c r="T2578" s="23">
        <v>43733</v>
      </c>
      <c r="U2578" s="23">
        <v>47400</v>
      </c>
      <c r="X2578" s="20">
        <v>6977</v>
      </c>
      <c r="Z2578" s="6" t="s">
        <v>5978</v>
      </c>
      <c r="AA2578" s="15">
        <f>+(0.42/1000)</f>
        <v>4.1999999999999996E-4</v>
      </c>
      <c r="AB2578">
        <v>1.6063277999999999</v>
      </c>
      <c r="AC2578">
        <v>1.6705809119999999</v>
      </c>
    </row>
    <row r="2579" spans="1:29" x14ac:dyDescent="0.3">
      <c r="A2579">
        <v>138126</v>
      </c>
      <c r="B2579" s="25" t="s">
        <v>5984</v>
      </c>
      <c r="C2579" t="s">
        <v>20</v>
      </c>
      <c r="D2579" t="s">
        <v>21</v>
      </c>
      <c r="E2579">
        <v>2222222</v>
      </c>
      <c r="F2579" s="8" t="s">
        <v>22</v>
      </c>
      <c r="G2579" s="2">
        <v>98</v>
      </c>
      <c r="H2579" t="s">
        <v>4275</v>
      </c>
      <c r="J2579" s="9" t="s">
        <v>5093</v>
      </c>
      <c r="K2579" t="s">
        <v>5075</v>
      </c>
      <c r="L2579" s="2">
        <v>1</v>
      </c>
      <c r="M2579" s="24" t="s">
        <v>5971</v>
      </c>
      <c r="N2579" s="2" t="s">
        <v>23</v>
      </c>
      <c r="O2579" s="18" t="s">
        <v>2037</v>
      </c>
      <c r="P2579" s="18" t="s">
        <v>3781</v>
      </c>
      <c r="Q2579" s="6" t="s">
        <v>4475</v>
      </c>
      <c r="T2579" s="23">
        <v>45273</v>
      </c>
      <c r="U2579" s="23">
        <v>47099</v>
      </c>
      <c r="X2579" s="20">
        <v>21000</v>
      </c>
      <c r="Z2579" s="6" t="s">
        <v>5978</v>
      </c>
      <c r="AA2579" s="13">
        <f>+(0.56/1000)</f>
        <v>5.6000000000000006E-4</v>
      </c>
      <c r="AB2579">
        <v>6.8522440000000007</v>
      </c>
      <c r="AC2579">
        <v>7.1263337600000005</v>
      </c>
    </row>
    <row r="2580" spans="1:29" x14ac:dyDescent="0.3">
      <c r="A2580">
        <v>145131</v>
      </c>
      <c r="B2580" s="25" t="s">
        <v>5984</v>
      </c>
      <c r="C2580" t="s">
        <v>20</v>
      </c>
      <c r="D2580" t="s">
        <v>21</v>
      </c>
      <c r="E2580">
        <v>2222222</v>
      </c>
      <c r="F2580" s="8" t="s">
        <v>22</v>
      </c>
      <c r="G2580" s="2">
        <v>98</v>
      </c>
      <c r="H2580" t="s">
        <v>4275</v>
      </c>
      <c r="J2580" s="9" t="s">
        <v>4838</v>
      </c>
      <c r="K2580" t="s">
        <v>4852</v>
      </c>
      <c r="L2580" s="2">
        <v>1</v>
      </c>
      <c r="M2580" s="24" t="s">
        <v>5971</v>
      </c>
      <c r="N2580" s="2" t="s">
        <v>23</v>
      </c>
      <c r="O2580" s="18" t="s">
        <v>2038</v>
      </c>
      <c r="P2580" s="18" t="s">
        <v>0</v>
      </c>
      <c r="Q2580" s="6" t="s">
        <v>4475</v>
      </c>
      <c r="T2580" s="23">
        <v>45714</v>
      </c>
      <c r="U2580" s="23">
        <v>47177</v>
      </c>
      <c r="X2580" s="20">
        <v>4630</v>
      </c>
      <c r="Z2580" s="6" t="s">
        <v>5978</v>
      </c>
      <c r="AA2580" s="14">
        <f t="shared" ref="AA2580:AA2584" si="325">+(0.6/1000)</f>
        <v>5.9999999999999995E-4</v>
      </c>
      <c r="AB2580">
        <v>2.0142959999999999</v>
      </c>
      <c r="AC2580">
        <v>2.09486784</v>
      </c>
    </row>
    <row r="2581" spans="1:29" x14ac:dyDescent="0.3">
      <c r="A2581">
        <v>150842</v>
      </c>
      <c r="B2581" s="25" t="s">
        <v>5984</v>
      </c>
      <c r="C2581" t="s">
        <v>20</v>
      </c>
      <c r="D2581" t="s">
        <v>21</v>
      </c>
      <c r="E2581">
        <v>2222222</v>
      </c>
      <c r="F2581" s="8" t="s">
        <v>22</v>
      </c>
      <c r="G2581" s="2">
        <v>98</v>
      </c>
      <c r="H2581" t="s">
        <v>4275</v>
      </c>
      <c r="J2581" s="9" t="s">
        <v>4779</v>
      </c>
      <c r="K2581" t="s">
        <v>5204</v>
      </c>
      <c r="L2581" s="2">
        <v>1</v>
      </c>
      <c r="M2581" s="24" t="s">
        <v>5971</v>
      </c>
      <c r="N2581" s="2" t="s">
        <v>23</v>
      </c>
      <c r="O2581" s="18" t="s">
        <v>434</v>
      </c>
      <c r="P2581" s="18" t="s">
        <v>0</v>
      </c>
      <c r="Q2581" s="6" t="s">
        <v>4475</v>
      </c>
      <c r="T2581" s="23">
        <v>46121</v>
      </c>
      <c r="U2581" s="23">
        <v>47947</v>
      </c>
      <c r="X2581" s="20">
        <v>5000</v>
      </c>
      <c r="Z2581" s="6" t="s">
        <v>5978</v>
      </c>
      <c r="AA2581" s="14">
        <f t="shared" si="325"/>
        <v>5.9999999999999995E-4</v>
      </c>
      <c r="AB2581">
        <v>2.9378279999999997</v>
      </c>
      <c r="AC2581">
        <v>3.0553411199999996</v>
      </c>
    </row>
    <row r="2582" spans="1:29" x14ac:dyDescent="0.3">
      <c r="A2582">
        <v>151190</v>
      </c>
      <c r="B2582" s="25" t="s">
        <v>5984</v>
      </c>
      <c r="C2582" t="s">
        <v>20</v>
      </c>
      <c r="D2582" t="s">
        <v>21</v>
      </c>
      <c r="E2582">
        <v>2222222</v>
      </c>
      <c r="F2582" s="8" t="s">
        <v>22</v>
      </c>
      <c r="G2582" s="2">
        <v>98</v>
      </c>
      <c r="H2582" t="s">
        <v>4275</v>
      </c>
      <c r="J2582" s="9" t="s">
        <v>4901</v>
      </c>
      <c r="K2582" t="s">
        <v>5078</v>
      </c>
      <c r="L2582" s="2">
        <v>1</v>
      </c>
      <c r="M2582" s="24" t="s">
        <v>5971</v>
      </c>
      <c r="N2582" s="2" t="s">
        <v>23</v>
      </c>
      <c r="O2582" s="18" t="s">
        <v>2039</v>
      </c>
      <c r="P2582" s="18" t="s">
        <v>0</v>
      </c>
      <c r="Q2582" s="6" t="s">
        <v>4475</v>
      </c>
      <c r="T2582" s="23">
        <v>46146</v>
      </c>
      <c r="U2582" s="23">
        <v>46511</v>
      </c>
      <c r="X2582" s="20">
        <v>740</v>
      </c>
      <c r="Z2582" s="6" t="s">
        <v>5978</v>
      </c>
      <c r="AA2582" s="14">
        <f t="shared" si="325"/>
        <v>5.9999999999999995E-4</v>
      </c>
      <c r="AB2582">
        <v>0.37500599999999995</v>
      </c>
      <c r="AC2582">
        <v>0.39000623999999995</v>
      </c>
    </row>
    <row r="2583" spans="1:29" x14ac:dyDescent="0.3">
      <c r="A2583">
        <v>151359</v>
      </c>
      <c r="B2583" s="25" t="s">
        <v>5984</v>
      </c>
      <c r="C2583" t="s">
        <v>20</v>
      </c>
      <c r="D2583" t="s">
        <v>21</v>
      </c>
      <c r="E2583">
        <v>2222222</v>
      </c>
      <c r="F2583" s="8" t="s">
        <v>22</v>
      </c>
      <c r="G2583" s="2">
        <v>98</v>
      </c>
      <c r="H2583" t="s">
        <v>4275</v>
      </c>
      <c r="J2583" s="9" t="s">
        <v>4978</v>
      </c>
      <c r="K2583" t="s">
        <v>5271</v>
      </c>
      <c r="L2583" s="2">
        <v>1</v>
      </c>
      <c r="M2583" s="24" t="s">
        <v>5971</v>
      </c>
      <c r="N2583" s="2" t="s">
        <v>23</v>
      </c>
      <c r="O2583" s="18" t="s">
        <v>2040</v>
      </c>
      <c r="P2583" s="18" t="s">
        <v>0</v>
      </c>
      <c r="Q2583" s="6" t="s">
        <v>4475</v>
      </c>
      <c r="T2583" s="23">
        <v>46158</v>
      </c>
      <c r="U2583" s="23">
        <v>46706</v>
      </c>
      <c r="X2583" s="20">
        <v>2260</v>
      </c>
      <c r="Z2583" s="6" t="s">
        <v>5978</v>
      </c>
      <c r="AA2583" s="14">
        <f t="shared" si="325"/>
        <v>5.9999999999999995E-4</v>
      </c>
      <c r="AB2583">
        <v>1.22142</v>
      </c>
      <c r="AC2583">
        <v>1.2702768</v>
      </c>
    </row>
    <row r="2584" spans="1:29" x14ac:dyDescent="0.3">
      <c r="A2584">
        <v>151585</v>
      </c>
      <c r="B2584" s="25" t="s">
        <v>5984</v>
      </c>
      <c r="C2584" t="s">
        <v>20</v>
      </c>
      <c r="D2584" t="s">
        <v>21</v>
      </c>
      <c r="E2584">
        <v>2222222</v>
      </c>
      <c r="F2584" s="8" t="s">
        <v>22</v>
      </c>
      <c r="G2584" s="2">
        <v>98</v>
      </c>
      <c r="H2584" t="s">
        <v>4275</v>
      </c>
      <c r="J2584" s="9" t="s">
        <v>4950</v>
      </c>
      <c r="K2584" t="s">
        <v>5112</v>
      </c>
      <c r="L2584" s="2">
        <v>1</v>
      </c>
      <c r="M2584" s="24" t="s">
        <v>5971</v>
      </c>
      <c r="N2584" s="2" t="s">
        <v>23</v>
      </c>
      <c r="O2584" s="18" t="s">
        <v>2020</v>
      </c>
      <c r="P2584" s="18" t="s">
        <v>0</v>
      </c>
      <c r="Q2584" s="6" t="s">
        <v>4475</v>
      </c>
      <c r="T2584" s="23">
        <v>46174</v>
      </c>
      <c r="U2584" s="23">
        <v>46722</v>
      </c>
      <c r="X2584" s="20">
        <v>2500</v>
      </c>
      <c r="Z2584" s="6" t="s">
        <v>5978</v>
      </c>
      <c r="AA2584" s="14">
        <f t="shared" si="325"/>
        <v>5.9999999999999995E-4</v>
      </c>
      <c r="AB2584">
        <v>1.4260859999999997</v>
      </c>
      <c r="AC2584">
        <v>1.4831294399999997</v>
      </c>
    </row>
    <row r="2585" spans="1:29" x14ac:dyDescent="0.3">
      <c r="A2585">
        <v>124768</v>
      </c>
      <c r="B2585" s="25" t="s">
        <v>5984</v>
      </c>
      <c r="C2585" t="s">
        <v>20</v>
      </c>
      <c r="D2585" t="s">
        <v>21</v>
      </c>
      <c r="E2585">
        <v>2222222</v>
      </c>
      <c r="F2585" s="8" t="s">
        <v>22</v>
      </c>
      <c r="G2585" s="2">
        <v>98</v>
      </c>
      <c r="H2585" t="s">
        <v>4276</v>
      </c>
      <c r="J2585" s="9" t="s">
        <v>4950</v>
      </c>
      <c r="K2585" t="s">
        <v>5182</v>
      </c>
      <c r="L2585" s="2">
        <v>1</v>
      </c>
      <c r="M2585" s="24" t="s">
        <v>5971</v>
      </c>
      <c r="N2585" s="2" t="s">
        <v>23</v>
      </c>
      <c r="O2585" s="18" t="s">
        <v>2041</v>
      </c>
      <c r="P2585" s="18" t="s">
        <v>0</v>
      </c>
      <c r="Q2585" s="6" t="s">
        <v>4475</v>
      </c>
      <c r="T2585" s="23">
        <v>44553</v>
      </c>
      <c r="U2585" s="23">
        <v>46378</v>
      </c>
      <c r="X2585" s="20">
        <v>12000</v>
      </c>
      <c r="Z2585" s="6" t="s">
        <v>5978</v>
      </c>
      <c r="AA2585" s="15">
        <f t="shared" ref="AA2585:AA2586" si="326">+(0.42/1000)</f>
        <v>4.1999999999999996E-4</v>
      </c>
      <c r="AB2585">
        <v>0.58243919999999993</v>
      </c>
      <c r="AC2585">
        <v>0.60573676799999998</v>
      </c>
    </row>
    <row r="2586" spans="1:29" x14ac:dyDescent="0.3">
      <c r="A2586">
        <v>126718</v>
      </c>
      <c r="B2586" s="25" t="s">
        <v>5984</v>
      </c>
      <c r="C2586" t="s">
        <v>20</v>
      </c>
      <c r="D2586" t="s">
        <v>21</v>
      </c>
      <c r="E2586">
        <v>2222222</v>
      </c>
      <c r="F2586" s="8" t="s">
        <v>22</v>
      </c>
      <c r="G2586" s="2">
        <v>98</v>
      </c>
      <c r="H2586" t="s">
        <v>4276</v>
      </c>
      <c r="J2586" s="9" t="s">
        <v>5204</v>
      </c>
      <c r="K2586" t="s">
        <v>5201</v>
      </c>
      <c r="L2586" s="2">
        <v>1</v>
      </c>
      <c r="M2586" s="24" t="s">
        <v>5971</v>
      </c>
      <c r="N2586" s="2" t="s">
        <v>23</v>
      </c>
      <c r="O2586" s="18" t="s">
        <v>2042</v>
      </c>
      <c r="P2586" s="18" t="s">
        <v>0</v>
      </c>
      <c r="Q2586" s="6" t="s">
        <v>4475</v>
      </c>
      <c r="T2586" s="23">
        <v>44633</v>
      </c>
      <c r="U2586" s="23">
        <v>46101</v>
      </c>
      <c r="X2586" s="20">
        <v>4160</v>
      </c>
      <c r="Z2586" s="6" t="s">
        <v>5978</v>
      </c>
      <c r="AA2586" s="15">
        <f t="shared" si="326"/>
        <v>4.1999999999999996E-4</v>
      </c>
      <c r="AB2586">
        <v>1.7471999999999999</v>
      </c>
      <c r="AC2586">
        <v>1.8170879999999998</v>
      </c>
    </row>
    <row r="2587" spans="1:29" x14ac:dyDescent="0.3">
      <c r="A2587">
        <v>148260</v>
      </c>
      <c r="B2587" s="25" t="s">
        <v>5984</v>
      </c>
      <c r="C2587" t="s">
        <v>20</v>
      </c>
      <c r="D2587" t="s">
        <v>21</v>
      </c>
      <c r="E2587">
        <v>2222222</v>
      </c>
      <c r="F2587" s="8" t="s">
        <v>22</v>
      </c>
      <c r="G2587" s="2">
        <v>98</v>
      </c>
      <c r="H2587" t="s">
        <v>4276</v>
      </c>
      <c r="J2587" s="9" t="s">
        <v>5032</v>
      </c>
      <c r="K2587" t="s">
        <v>4863</v>
      </c>
      <c r="L2587" s="2">
        <v>1</v>
      </c>
      <c r="M2587" s="24" t="s">
        <v>5971</v>
      </c>
      <c r="N2587" s="2" t="s">
        <v>23</v>
      </c>
      <c r="O2587" s="18" t="s">
        <v>2043</v>
      </c>
      <c r="P2587" s="18" t="s">
        <v>3781</v>
      </c>
      <c r="Q2587" s="6" t="s">
        <v>4475</v>
      </c>
      <c r="T2587" s="23">
        <v>45952</v>
      </c>
      <c r="U2587" s="23">
        <v>46317</v>
      </c>
      <c r="X2587" s="20">
        <v>3000</v>
      </c>
      <c r="Z2587" s="6" t="s">
        <v>5978</v>
      </c>
      <c r="AA2587" s="14">
        <f t="shared" ref="AA2587:AA2591" si="327">+(0.6/1000)</f>
        <v>5.9999999999999995E-4</v>
      </c>
      <c r="AB2587">
        <v>0.47810399999999997</v>
      </c>
      <c r="AC2587">
        <v>0.49722815999999997</v>
      </c>
    </row>
    <row r="2588" spans="1:29" x14ac:dyDescent="0.3">
      <c r="A2588">
        <v>150099</v>
      </c>
      <c r="B2588" s="25" t="s">
        <v>5984</v>
      </c>
      <c r="C2588" t="s">
        <v>20</v>
      </c>
      <c r="D2588" t="s">
        <v>21</v>
      </c>
      <c r="E2588">
        <v>2222222</v>
      </c>
      <c r="F2588" s="8" t="s">
        <v>22</v>
      </c>
      <c r="G2588" s="2">
        <v>98</v>
      </c>
      <c r="H2588" t="s">
        <v>4276</v>
      </c>
      <c r="J2588" s="9" t="s">
        <v>4852</v>
      </c>
      <c r="K2588" t="s">
        <v>5272</v>
      </c>
      <c r="L2588" s="2">
        <v>1</v>
      </c>
      <c r="M2588" s="24" t="s">
        <v>5971</v>
      </c>
      <c r="N2588" s="2" t="s">
        <v>23</v>
      </c>
      <c r="O2588" s="18" t="s">
        <v>2044</v>
      </c>
      <c r="P2588" s="18" t="s">
        <v>0</v>
      </c>
      <c r="Q2588" s="6" t="s">
        <v>4475</v>
      </c>
      <c r="T2588" s="23">
        <v>46072</v>
      </c>
      <c r="U2588" s="23">
        <v>47535</v>
      </c>
      <c r="X2588" s="20">
        <v>5000</v>
      </c>
      <c r="Z2588" s="6" t="s">
        <v>5978</v>
      </c>
      <c r="AA2588" s="14">
        <f t="shared" si="327"/>
        <v>5.9999999999999995E-4</v>
      </c>
      <c r="AB2588">
        <v>2.7787860000000002</v>
      </c>
      <c r="AC2588">
        <v>2.8899374400000002</v>
      </c>
    </row>
    <row r="2589" spans="1:29" x14ac:dyDescent="0.3">
      <c r="A2589">
        <v>151082</v>
      </c>
      <c r="B2589" s="25" t="s">
        <v>5984</v>
      </c>
      <c r="C2589" t="s">
        <v>20</v>
      </c>
      <c r="D2589" t="s">
        <v>21</v>
      </c>
      <c r="E2589">
        <v>2222222</v>
      </c>
      <c r="F2589" s="8" t="s">
        <v>22</v>
      </c>
      <c r="G2589" s="2">
        <v>98</v>
      </c>
      <c r="H2589" t="s">
        <v>4276</v>
      </c>
      <c r="J2589" s="9" t="s">
        <v>4950</v>
      </c>
      <c r="K2589" t="s">
        <v>5182</v>
      </c>
      <c r="L2589" s="2">
        <v>1</v>
      </c>
      <c r="M2589" s="24" t="s">
        <v>5971</v>
      </c>
      <c r="N2589" s="2" t="s">
        <v>23</v>
      </c>
      <c r="O2589" s="18" t="s">
        <v>2041</v>
      </c>
      <c r="P2589" s="18" t="s">
        <v>0</v>
      </c>
      <c r="Q2589" s="6" t="s">
        <v>4475</v>
      </c>
      <c r="T2589" s="23">
        <v>46136</v>
      </c>
      <c r="U2589" s="23">
        <v>47597</v>
      </c>
      <c r="X2589" s="20">
        <v>5000</v>
      </c>
      <c r="Z2589" s="6" t="s">
        <v>5978</v>
      </c>
      <c r="AA2589" s="14">
        <f t="shared" si="327"/>
        <v>5.9999999999999995E-4</v>
      </c>
      <c r="AB2589">
        <v>2.8689779999999998</v>
      </c>
      <c r="AC2589">
        <v>2.9837371199999998</v>
      </c>
    </row>
    <row r="2590" spans="1:29" x14ac:dyDescent="0.3">
      <c r="A2590">
        <v>151939</v>
      </c>
      <c r="B2590" s="25" t="s">
        <v>5984</v>
      </c>
      <c r="C2590" t="s">
        <v>20</v>
      </c>
      <c r="D2590" t="s">
        <v>21</v>
      </c>
      <c r="E2590">
        <v>2222222</v>
      </c>
      <c r="F2590" s="8" t="s">
        <v>22</v>
      </c>
      <c r="G2590" s="2">
        <v>98</v>
      </c>
      <c r="H2590" t="s">
        <v>4276</v>
      </c>
      <c r="J2590" s="9" t="s">
        <v>4911</v>
      </c>
      <c r="K2590" t="s">
        <v>5640</v>
      </c>
      <c r="L2590" s="2">
        <v>1</v>
      </c>
      <c r="M2590" s="24" t="s">
        <v>5971</v>
      </c>
      <c r="N2590" s="2" t="s">
        <v>23</v>
      </c>
      <c r="O2590" s="18" t="s">
        <v>2045</v>
      </c>
      <c r="P2590" s="18" t="s">
        <v>3781</v>
      </c>
      <c r="Q2590" s="6" t="s">
        <v>4475</v>
      </c>
      <c r="T2590" s="23">
        <v>46219</v>
      </c>
      <c r="U2590" s="23">
        <v>49871</v>
      </c>
      <c r="X2590" s="20">
        <v>30000</v>
      </c>
      <c r="Z2590" s="6" t="s">
        <v>5978</v>
      </c>
      <c r="AA2590" s="14">
        <f t="shared" si="327"/>
        <v>5.9999999999999995E-4</v>
      </c>
      <c r="AB2590">
        <v>18</v>
      </c>
      <c r="AC2590">
        <v>18.72</v>
      </c>
    </row>
    <row r="2591" spans="1:29" x14ac:dyDescent="0.3">
      <c r="A2591">
        <v>149730</v>
      </c>
      <c r="B2591" s="25" t="s">
        <v>5984</v>
      </c>
      <c r="C2591" t="s">
        <v>20</v>
      </c>
      <c r="D2591" t="s">
        <v>21</v>
      </c>
      <c r="E2591">
        <v>2222222</v>
      </c>
      <c r="F2591" s="8" t="s">
        <v>22</v>
      </c>
      <c r="G2591" s="2">
        <v>98</v>
      </c>
      <c r="H2591" t="s">
        <v>4277</v>
      </c>
      <c r="J2591" s="9" t="s">
        <v>5207</v>
      </c>
      <c r="K2591" t="s">
        <v>5329</v>
      </c>
      <c r="L2591" s="2">
        <v>1</v>
      </c>
      <c r="M2591" s="24" t="s">
        <v>5971</v>
      </c>
      <c r="N2591" s="2" t="s">
        <v>23</v>
      </c>
      <c r="O2591" s="18" t="s">
        <v>2046</v>
      </c>
      <c r="P2591" s="18" t="s">
        <v>3781</v>
      </c>
      <c r="Q2591" s="6" t="s">
        <v>4475</v>
      </c>
      <c r="T2591" s="23">
        <v>46045</v>
      </c>
      <c r="U2591" s="23">
        <v>46775</v>
      </c>
      <c r="X2591" s="20">
        <v>2900</v>
      </c>
      <c r="Z2591" s="6" t="s">
        <v>5978</v>
      </c>
      <c r="AA2591" s="14">
        <f t="shared" si="327"/>
        <v>5.9999999999999995E-4</v>
      </c>
      <c r="AB2591">
        <v>1.6765979999999998</v>
      </c>
      <c r="AC2591">
        <v>1.7436619199999999</v>
      </c>
    </row>
    <row r="2592" spans="1:29" x14ac:dyDescent="0.3">
      <c r="A2592">
        <v>118134</v>
      </c>
      <c r="B2592" s="25" t="s">
        <v>5984</v>
      </c>
      <c r="C2592" t="s">
        <v>20</v>
      </c>
      <c r="D2592" t="s">
        <v>21</v>
      </c>
      <c r="E2592">
        <v>2222222</v>
      </c>
      <c r="F2592" s="8" t="s">
        <v>22</v>
      </c>
      <c r="G2592" s="2">
        <v>98</v>
      </c>
      <c r="H2592" t="s">
        <v>4278</v>
      </c>
      <c r="J2592" s="9" t="s">
        <v>4911</v>
      </c>
      <c r="K2592" t="s">
        <v>5169</v>
      </c>
      <c r="L2592" s="2">
        <v>1</v>
      </c>
      <c r="M2592" s="24" t="s">
        <v>5971</v>
      </c>
      <c r="N2592" s="2" t="s">
        <v>23</v>
      </c>
      <c r="O2592" s="18" t="s">
        <v>2047</v>
      </c>
      <c r="P2592" s="18" t="s">
        <v>3781</v>
      </c>
      <c r="Q2592" s="6" t="s">
        <v>4475</v>
      </c>
      <c r="T2592" s="23">
        <v>44225</v>
      </c>
      <c r="U2592" s="23">
        <v>49702</v>
      </c>
      <c r="X2592" s="20">
        <v>35000</v>
      </c>
      <c r="Z2592" s="6" t="s">
        <v>5978</v>
      </c>
      <c r="AA2592" s="15">
        <f t="shared" ref="AA2592:AA2593" si="328">+(0.42/1000)</f>
        <v>4.1999999999999996E-4</v>
      </c>
      <c r="AB2592">
        <v>11.708402999999999</v>
      </c>
      <c r="AC2592">
        <v>12.176739119999999</v>
      </c>
    </row>
    <row r="2593" spans="1:29" x14ac:dyDescent="0.3">
      <c r="A2593">
        <v>122931</v>
      </c>
      <c r="B2593" s="25" t="s">
        <v>5984</v>
      </c>
      <c r="C2593" t="s">
        <v>20</v>
      </c>
      <c r="D2593" t="s">
        <v>21</v>
      </c>
      <c r="E2593">
        <v>2222222</v>
      </c>
      <c r="F2593" s="8" t="s">
        <v>22</v>
      </c>
      <c r="G2593" s="2">
        <v>98</v>
      </c>
      <c r="H2593" t="s">
        <v>4278</v>
      </c>
      <c r="J2593" s="9" t="s">
        <v>5641</v>
      </c>
      <c r="K2593" t="s">
        <v>5642</v>
      </c>
      <c r="L2593" s="2">
        <v>1</v>
      </c>
      <c r="M2593" s="24" t="s">
        <v>5971</v>
      </c>
      <c r="N2593" s="2" t="s">
        <v>23</v>
      </c>
      <c r="O2593" s="18" t="s">
        <v>2048</v>
      </c>
      <c r="P2593" s="18" t="s">
        <v>0</v>
      </c>
      <c r="Q2593" s="6" t="s">
        <v>4475</v>
      </c>
      <c r="T2593" s="23">
        <v>44442</v>
      </c>
      <c r="U2593" s="23">
        <v>45538</v>
      </c>
      <c r="X2593" s="20">
        <v>1483.28</v>
      </c>
      <c r="Z2593" s="6" t="s">
        <v>5978</v>
      </c>
      <c r="AA2593" s="15">
        <f t="shared" si="328"/>
        <v>4.1999999999999996E-4</v>
      </c>
      <c r="AB2593">
        <v>0.54075839999999997</v>
      </c>
      <c r="AC2593">
        <v>0.56238873599999994</v>
      </c>
    </row>
    <row r="2594" spans="1:29" x14ac:dyDescent="0.3">
      <c r="A2594">
        <v>131988</v>
      </c>
      <c r="B2594" s="25" t="s">
        <v>5984</v>
      </c>
      <c r="C2594" t="s">
        <v>20</v>
      </c>
      <c r="D2594" t="s">
        <v>21</v>
      </c>
      <c r="E2594">
        <v>2222222</v>
      </c>
      <c r="F2594" s="8" t="s">
        <v>22</v>
      </c>
      <c r="G2594" s="2">
        <v>98</v>
      </c>
      <c r="H2594" t="s">
        <v>4278</v>
      </c>
      <c r="J2594" s="9" t="s">
        <v>4853</v>
      </c>
      <c r="K2594" t="s">
        <v>5288</v>
      </c>
      <c r="L2594" s="2">
        <v>1</v>
      </c>
      <c r="M2594" s="24" t="s">
        <v>5971</v>
      </c>
      <c r="N2594" s="2" t="s">
        <v>23</v>
      </c>
      <c r="O2594" s="18" t="s">
        <v>2049</v>
      </c>
      <c r="P2594" s="18" t="s">
        <v>0</v>
      </c>
      <c r="Q2594" s="6" t="s">
        <v>4475</v>
      </c>
      <c r="T2594" s="23">
        <v>44916</v>
      </c>
      <c r="U2594" s="23">
        <v>46376</v>
      </c>
      <c r="X2594" s="20">
        <v>5000</v>
      </c>
      <c r="Z2594" s="6" t="s">
        <v>5978</v>
      </c>
      <c r="AA2594" s="13">
        <f t="shared" ref="AA2594:AA2597" si="329">+(0.56/1000)</f>
        <v>5.6000000000000006E-4</v>
      </c>
      <c r="AB2594">
        <v>0.47561920000000008</v>
      </c>
      <c r="AC2594">
        <v>0.4946439680000001</v>
      </c>
    </row>
    <row r="2595" spans="1:29" x14ac:dyDescent="0.3">
      <c r="A2595">
        <v>132426</v>
      </c>
      <c r="B2595" s="25" t="s">
        <v>5984</v>
      </c>
      <c r="C2595" t="s">
        <v>20</v>
      </c>
      <c r="D2595" t="s">
        <v>21</v>
      </c>
      <c r="E2595">
        <v>2222222</v>
      </c>
      <c r="F2595" s="8" t="s">
        <v>22</v>
      </c>
      <c r="G2595" s="2">
        <v>98</v>
      </c>
      <c r="H2595" t="s">
        <v>4278</v>
      </c>
      <c r="J2595" s="9" t="s">
        <v>5011</v>
      </c>
      <c r="K2595" t="s">
        <v>4926</v>
      </c>
      <c r="L2595" s="2">
        <v>1</v>
      </c>
      <c r="M2595" s="24" t="s">
        <v>5971</v>
      </c>
      <c r="N2595" s="2" t="s">
        <v>23</v>
      </c>
      <c r="O2595" s="18" t="s">
        <v>2050</v>
      </c>
      <c r="P2595" s="18" t="s">
        <v>3781</v>
      </c>
      <c r="Q2595" s="6" t="s">
        <v>4475</v>
      </c>
      <c r="T2595" s="23">
        <v>44945</v>
      </c>
      <c r="U2595" s="23">
        <v>47136</v>
      </c>
      <c r="X2595" s="20">
        <v>20000</v>
      </c>
      <c r="Z2595" s="6" t="s">
        <v>5978</v>
      </c>
      <c r="AA2595" s="13">
        <f t="shared" si="329"/>
        <v>5.6000000000000006E-4</v>
      </c>
      <c r="AB2595">
        <v>4.6666144000000003</v>
      </c>
      <c r="AC2595">
        <v>4.8532789760000004</v>
      </c>
    </row>
    <row r="2596" spans="1:29" x14ac:dyDescent="0.3">
      <c r="A2596">
        <v>137023</v>
      </c>
      <c r="B2596" s="25" t="s">
        <v>5984</v>
      </c>
      <c r="C2596" t="s">
        <v>20</v>
      </c>
      <c r="D2596" t="s">
        <v>21</v>
      </c>
      <c r="E2596">
        <v>2222222</v>
      </c>
      <c r="F2596" s="8" t="s">
        <v>22</v>
      </c>
      <c r="G2596" s="2">
        <v>98</v>
      </c>
      <c r="H2596" t="s">
        <v>4278</v>
      </c>
      <c r="J2596" s="9" t="s">
        <v>4838</v>
      </c>
      <c r="K2596" t="s">
        <v>5643</v>
      </c>
      <c r="L2596" s="2">
        <v>1</v>
      </c>
      <c r="M2596" s="24" t="s">
        <v>5971</v>
      </c>
      <c r="N2596" s="2" t="s">
        <v>23</v>
      </c>
      <c r="O2596" s="18" t="s">
        <v>2051</v>
      </c>
      <c r="P2596" s="18" t="s">
        <v>0</v>
      </c>
      <c r="Q2596" s="6" t="s">
        <v>4475</v>
      </c>
      <c r="T2596" s="23">
        <v>45201</v>
      </c>
      <c r="U2596" s="23">
        <v>46753</v>
      </c>
      <c r="X2596" s="20">
        <v>5000</v>
      </c>
      <c r="Z2596" s="6" t="s">
        <v>5978</v>
      </c>
      <c r="AA2596" s="13">
        <f t="shared" si="329"/>
        <v>5.6000000000000006E-4</v>
      </c>
      <c r="AB2596">
        <v>1.3052368000000003</v>
      </c>
      <c r="AC2596">
        <v>1.3574462720000005</v>
      </c>
    </row>
    <row r="2597" spans="1:29" x14ac:dyDescent="0.3">
      <c r="A2597">
        <v>139308</v>
      </c>
      <c r="B2597" s="25" t="s">
        <v>5984</v>
      </c>
      <c r="C2597" t="s">
        <v>20</v>
      </c>
      <c r="D2597" t="s">
        <v>21</v>
      </c>
      <c r="E2597">
        <v>2222222</v>
      </c>
      <c r="F2597" s="8" t="s">
        <v>22</v>
      </c>
      <c r="G2597" s="2">
        <v>98</v>
      </c>
      <c r="H2597" t="s">
        <v>4278</v>
      </c>
      <c r="J2597" s="9" t="s">
        <v>5096</v>
      </c>
      <c r="K2597" t="s">
        <v>4956</v>
      </c>
      <c r="L2597" s="2">
        <v>1</v>
      </c>
      <c r="M2597" s="24" t="s">
        <v>5971</v>
      </c>
      <c r="N2597" s="2" t="s">
        <v>23</v>
      </c>
      <c r="O2597" s="18" t="s">
        <v>2052</v>
      </c>
      <c r="P2597" s="18" t="s">
        <v>3781</v>
      </c>
      <c r="Q2597" s="6" t="s">
        <v>4475</v>
      </c>
      <c r="T2597" s="23">
        <v>45323</v>
      </c>
      <c r="U2597" s="23">
        <v>46236</v>
      </c>
      <c r="X2597" s="20">
        <v>5000</v>
      </c>
      <c r="Z2597" s="6" t="s">
        <v>5978</v>
      </c>
      <c r="AA2597" s="13">
        <f t="shared" si="329"/>
        <v>5.6000000000000006E-4</v>
      </c>
      <c r="AB2597">
        <v>0.11207280000000001</v>
      </c>
      <c r="AC2597">
        <v>0.11655571200000002</v>
      </c>
    </row>
    <row r="2598" spans="1:29" x14ac:dyDescent="0.3">
      <c r="A2598">
        <v>143797</v>
      </c>
      <c r="B2598" s="25" t="s">
        <v>5984</v>
      </c>
      <c r="C2598" t="s">
        <v>20</v>
      </c>
      <c r="D2598" t="s">
        <v>21</v>
      </c>
      <c r="E2598">
        <v>2222222</v>
      </c>
      <c r="F2598" s="8" t="s">
        <v>22</v>
      </c>
      <c r="G2598" s="2">
        <v>98</v>
      </c>
      <c r="H2598" t="s">
        <v>4278</v>
      </c>
      <c r="J2598" s="9" t="s">
        <v>4836</v>
      </c>
      <c r="K2598" t="s">
        <v>5031</v>
      </c>
      <c r="L2598" s="2">
        <v>1</v>
      </c>
      <c r="M2598" s="24" t="s">
        <v>5971</v>
      </c>
      <c r="N2598" s="2" t="s">
        <v>23</v>
      </c>
      <c r="O2598" s="18" t="s">
        <v>2053</v>
      </c>
      <c r="P2598" s="18" t="s">
        <v>3781</v>
      </c>
      <c r="Q2598" s="6" t="s">
        <v>4475</v>
      </c>
      <c r="T2598" s="23">
        <v>45616</v>
      </c>
      <c r="U2598" s="23">
        <v>47169</v>
      </c>
      <c r="X2598" s="20">
        <v>4350</v>
      </c>
      <c r="Z2598" s="6" t="s">
        <v>5978</v>
      </c>
      <c r="AA2598" s="14">
        <f t="shared" ref="AA2598:AA2603" si="330">+(0.6/1000)</f>
        <v>5.9999999999999995E-4</v>
      </c>
      <c r="AB2598">
        <v>1.8475139999999999</v>
      </c>
      <c r="AC2598">
        <v>1.9214145599999999</v>
      </c>
    </row>
    <row r="2599" spans="1:29" x14ac:dyDescent="0.3">
      <c r="A2599">
        <v>144080</v>
      </c>
      <c r="B2599" s="25" t="s">
        <v>5984</v>
      </c>
      <c r="C2599" t="s">
        <v>20</v>
      </c>
      <c r="D2599" t="s">
        <v>21</v>
      </c>
      <c r="E2599">
        <v>2222222</v>
      </c>
      <c r="F2599" s="8" t="s">
        <v>22</v>
      </c>
      <c r="G2599" s="2">
        <v>98</v>
      </c>
      <c r="H2599" t="s">
        <v>4278</v>
      </c>
      <c r="J2599" s="9" t="s">
        <v>5021</v>
      </c>
      <c r="K2599" t="s">
        <v>5644</v>
      </c>
      <c r="L2599" s="2">
        <v>1</v>
      </c>
      <c r="M2599" s="24" t="s">
        <v>5971</v>
      </c>
      <c r="N2599" s="2" t="s">
        <v>23</v>
      </c>
      <c r="O2599" s="18" t="s">
        <v>2054</v>
      </c>
      <c r="P2599" s="18" t="s">
        <v>3781</v>
      </c>
      <c r="Q2599" s="6" t="s">
        <v>4475</v>
      </c>
      <c r="T2599" s="23">
        <v>45636</v>
      </c>
      <c r="U2599" s="23">
        <v>51113</v>
      </c>
      <c r="X2599" s="20">
        <v>18250</v>
      </c>
      <c r="Z2599" s="6" t="s">
        <v>5978</v>
      </c>
      <c r="AA2599" s="14">
        <f t="shared" si="330"/>
        <v>5.9999999999999995E-4</v>
      </c>
      <c r="AB2599">
        <v>10.501139999999999</v>
      </c>
      <c r="AC2599">
        <v>10.921185599999999</v>
      </c>
    </row>
    <row r="2600" spans="1:29" x14ac:dyDescent="0.3">
      <c r="A2600">
        <v>146347</v>
      </c>
      <c r="B2600" s="25" t="s">
        <v>5984</v>
      </c>
      <c r="C2600" t="s">
        <v>20</v>
      </c>
      <c r="D2600" t="s">
        <v>21</v>
      </c>
      <c r="E2600">
        <v>2222222</v>
      </c>
      <c r="F2600" s="8" t="s">
        <v>22</v>
      </c>
      <c r="G2600" s="2">
        <v>98</v>
      </c>
      <c r="H2600" t="s">
        <v>4278</v>
      </c>
      <c r="J2600" s="9" t="s">
        <v>5235</v>
      </c>
      <c r="K2600" t="s">
        <v>5075</v>
      </c>
      <c r="L2600" s="2">
        <v>1</v>
      </c>
      <c r="M2600" s="24" t="s">
        <v>5971</v>
      </c>
      <c r="N2600" s="2" t="s">
        <v>23</v>
      </c>
      <c r="O2600" s="18" t="s">
        <v>2055</v>
      </c>
      <c r="P2600" s="18" t="s">
        <v>3781</v>
      </c>
      <c r="Q2600" s="6" t="s">
        <v>4475</v>
      </c>
      <c r="T2600" s="23">
        <v>45818</v>
      </c>
      <c r="U2600" s="23">
        <v>49470</v>
      </c>
      <c r="X2600" s="20">
        <v>20000</v>
      </c>
      <c r="Z2600" s="6" t="s">
        <v>5978</v>
      </c>
      <c r="AA2600" s="14">
        <f t="shared" si="330"/>
        <v>5.9999999999999995E-4</v>
      </c>
      <c r="AB2600">
        <v>11.42742</v>
      </c>
      <c r="AC2600">
        <v>11.8845168</v>
      </c>
    </row>
    <row r="2601" spans="1:29" x14ac:dyDescent="0.3">
      <c r="A2601">
        <v>146523</v>
      </c>
      <c r="B2601" s="25" t="s">
        <v>5984</v>
      </c>
      <c r="C2601" t="s">
        <v>20</v>
      </c>
      <c r="D2601" t="s">
        <v>21</v>
      </c>
      <c r="E2601">
        <v>2222222</v>
      </c>
      <c r="F2601" s="8" t="s">
        <v>22</v>
      </c>
      <c r="G2601" s="2">
        <v>98</v>
      </c>
      <c r="H2601" t="s">
        <v>4278</v>
      </c>
      <c r="J2601" s="9" t="s">
        <v>4838</v>
      </c>
      <c r="K2601" t="s">
        <v>5643</v>
      </c>
      <c r="L2601" s="2">
        <v>1</v>
      </c>
      <c r="M2601" s="24" t="s">
        <v>5971</v>
      </c>
      <c r="N2601" s="2" t="s">
        <v>23</v>
      </c>
      <c r="O2601" s="18" t="s">
        <v>2051</v>
      </c>
      <c r="P2601" s="18" t="s">
        <v>0</v>
      </c>
      <c r="Q2601" s="6" t="s">
        <v>4475</v>
      </c>
      <c r="T2601" s="23">
        <v>45824</v>
      </c>
      <c r="U2601" s="23">
        <v>46920</v>
      </c>
      <c r="X2601" s="20">
        <v>4000</v>
      </c>
      <c r="Z2601" s="6" t="s">
        <v>5978</v>
      </c>
      <c r="AA2601" s="14">
        <f t="shared" si="330"/>
        <v>5.9999999999999995E-4</v>
      </c>
      <c r="AB2601">
        <v>1.671216</v>
      </c>
      <c r="AC2601">
        <v>1.7380646400000002</v>
      </c>
    </row>
    <row r="2602" spans="1:29" x14ac:dyDescent="0.3">
      <c r="A2602">
        <v>147378</v>
      </c>
      <c r="B2602" s="25" t="s">
        <v>5984</v>
      </c>
      <c r="C2602" t="s">
        <v>20</v>
      </c>
      <c r="D2602" t="s">
        <v>21</v>
      </c>
      <c r="E2602">
        <v>2222222</v>
      </c>
      <c r="F2602" s="8" t="s">
        <v>22</v>
      </c>
      <c r="G2602" s="2">
        <v>98</v>
      </c>
      <c r="H2602" t="s">
        <v>4278</v>
      </c>
      <c r="J2602" s="9" t="s">
        <v>4931</v>
      </c>
      <c r="K2602" t="s">
        <v>5019</v>
      </c>
      <c r="L2602" s="2">
        <v>1</v>
      </c>
      <c r="M2602" s="24" t="s">
        <v>5971</v>
      </c>
      <c r="N2602" s="2" t="s">
        <v>23</v>
      </c>
      <c r="O2602" s="18" t="s">
        <v>237</v>
      </c>
      <c r="P2602" s="18" t="s">
        <v>3781</v>
      </c>
      <c r="Q2602" s="6" t="s">
        <v>4475</v>
      </c>
      <c r="T2602" s="23">
        <v>45884</v>
      </c>
      <c r="U2602" s="23">
        <v>47344</v>
      </c>
      <c r="X2602" s="20">
        <v>1220</v>
      </c>
      <c r="Z2602" s="6" t="s">
        <v>5978</v>
      </c>
      <c r="AA2602" s="14">
        <f t="shared" si="330"/>
        <v>5.9999999999999995E-4</v>
      </c>
      <c r="AB2602">
        <v>0.59826000000000001</v>
      </c>
      <c r="AC2602">
        <v>0.62219040000000003</v>
      </c>
    </row>
    <row r="2603" spans="1:29" x14ac:dyDescent="0.3">
      <c r="A2603">
        <v>147398</v>
      </c>
      <c r="B2603" s="25" t="s">
        <v>5984</v>
      </c>
      <c r="C2603" t="s">
        <v>20</v>
      </c>
      <c r="D2603" t="s">
        <v>21</v>
      </c>
      <c r="E2603">
        <v>2222222</v>
      </c>
      <c r="F2603" s="8" t="s">
        <v>22</v>
      </c>
      <c r="G2603" s="2">
        <v>98</v>
      </c>
      <c r="H2603" t="s">
        <v>4278</v>
      </c>
      <c r="J2603" s="9" t="s">
        <v>4903</v>
      </c>
      <c r="K2603" t="s">
        <v>4885</v>
      </c>
      <c r="L2603" s="2">
        <v>1</v>
      </c>
      <c r="M2603" s="24" t="s">
        <v>5971</v>
      </c>
      <c r="N2603" s="2" t="s">
        <v>23</v>
      </c>
      <c r="O2603" s="18" t="s">
        <v>2056</v>
      </c>
      <c r="P2603" s="18" t="s">
        <v>3781</v>
      </c>
      <c r="Q2603" s="6" t="s">
        <v>4475</v>
      </c>
      <c r="T2603" s="23">
        <v>45887</v>
      </c>
      <c r="U2603" s="23">
        <v>46252</v>
      </c>
      <c r="X2603" s="20">
        <v>1100</v>
      </c>
      <c r="Z2603" s="6" t="s">
        <v>5978</v>
      </c>
      <c r="AA2603" s="14">
        <f t="shared" si="330"/>
        <v>5.9999999999999995E-4</v>
      </c>
      <c r="AB2603">
        <v>5.907599999999999E-2</v>
      </c>
      <c r="AC2603">
        <v>6.1439039999999993E-2</v>
      </c>
    </row>
    <row r="2604" spans="1:29" x14ac:dyDescent="0.3">
      <c r="A2604">
        <v>148509</v>
      </c>
      <c r="B2604" s="25" t="s">
        <v>5984</v>
      </c>
      <c r="C2604" t="s">
        <v>20</v>
      </c>
      <c r="D2604" t="s">
        <v>21</v>
      </c>
      <c r="E2604">
        <v>2222222</v>
      </c>
      <c r="F2604" s="8" t="s">
        <v>22</v>
      </c>
      <c r="G2604" s="2">
        <v>98</v>
      </c>
      <c r="H2604" t="s">
        <v>4278</v>
      </c>
      <c r="J2604" s="9" t="s">
        <v>5093</v>
      </c>
      <c r="K2604" t="s">
        <v>5640</v>
      </c>
      <c r="L2604" s="2">
        <v>1</v>
      </c>
      <c r="M2604" s="24" t="s">
        <v>5971</v>
      </c>
      <c r="N2604" s="2" t="s">
        <v>23</v>
      </c>
      <c r="O2604" s="18" t="s">
        <v>2057</v>
      </c>
      <c r="P2604" s="18" t="s">
        <v>3781</v>
      </c>
      <c r="Q2604" s="6" t="s">
        <v>4475</v>
      </c>
      <c r="T2604" s="23">
        <v>44089</v>
      </c>
      <c r="U2604" s="23">
        <v>47019</v>
      </c>
      <c r="X2604" s="20">
        <v>39400</v>
      </c>
      <c r="Z2604" s="6" t="s">
        <v>5978</v>
      </c>
      <c r="AA2604" s="15">
        <f>+(0.42/1000)</f>
        <v>4.1999999999999996E-4</v>
      </c>
      <c r="AB2604">
        <v>6.5845835999999993</v>
      </c>
      <c r="AC2604">
        <v>6.8479669439999995</v>
      </c>
    </row>
    <row r="2605" spans="1:29" x14ac:dyDescent="0.3">
      <c r="A2605">
        <v>148648</v>
      </c>
      <c r="B2605" s="25" t="s">
        <v>5984</v>
      </c>
      <c r="C2605" t="s">
        <v>20</v>
      </c>
      <c r="D2605" t="s">
        <v>21</v>
      </c>
      <c r="E2605">
        <v>2222222</v>
      </c>
      <c r="F2605" s="8" t="s">
        <v>22</v>
      </c>
      <c r="G2605" s="2">
        <v>98</v>
      </c>
      <c r="H2605" t="s">
        <v>4278</v>
      </c>
      <c r="J2605" s="9" t="s">
        <v>5047</v>
      </c>
      <c r="K2605" t="s">
        <v>4921</v>
      </c>
      <c r="L2605" s="2">
        <v>1</v>
      </c>
      <c r="M2605" s="24" t="s">
        <v>5971</v>
      </c>
      <c r="N2605" s="2" t="s">
        <v>23</v>
      </c>
      <c r="O2605" s="18" t="s">
        <v>2058</v>
      </c>
      <c r="P2605" s="18" t="s">
        <v>3781</v>
      </c>
      <c r="Q2605" s="6" t="s">
        <v>4475</v>
      </c>
      <c r="T2605" s="23">
        <v>45970</v>
      </c>
      <c r="U2605" s="23">
        <v>46455</v>
      </c>
      <c r="X2605" s="20">
        <v>340</v>
      </c>
      <c r="Z2605" s="6" t="s">
        <v>5978</v>
      </c>
      <c r="AA2605" s="14">
        <f t="shared" ref="AA2605:AA2612" si="331">+(0.6/1000)</f>
        <v>5.9999999999999995E-4</v>
      </c>
      <c r="AB2605">
        <v>0.107694</v>
      </c>
      <c r="AC2605">
        <v>0.11200176000000001</v>
      </c>
    </row>
    <row r="2606" spans="1:29" x14ac:dyDescent="0.3">
      <c r="A2606">
        <v>148894</v>
      </c>
      <c r="B2606" s="25" t="s">
        <v>5984</v>
      </c>
      <c r="C2606" t="s">
        <v>20</v>
      </c>
      <c r="D2606" t="s">
        <v>21</v>
      </c>
      <c r="E2606">
        <v>2222222</v>
      </c>
      <c r="F2606" s="8" t="s">
        <v>22</v>
      </c>
      <c r="G2606" s="2">
        <v>98</v>
      </c>
      <c r="H2606" t="s">
        <v>4278</v>
      </c>
      <c r="J2606" s="9" t="s">
        <v>5007</v>
      </c>
      <c r="K2606" t="s">
        <v>5024</v>
      </c>
      <c r="L2606" s="2">
        <v>1</v>
      </c>
      <c r="M2606" s="24" t="s">
        <v>5971</v>
      </c>
      <c r="N2606" s="2" t="s">
        <v>23</v>
      </c>
      <c r="O2606" s="18" t="s">
        <v>2059</v>
      </c>
      <c r="P2606" s="18" t="s">
        <v>0</v>
      </c>
      <c r="Q2606" s="6" t="s">
        <v>4475</v>
      </c>
      <c r="T2606" s="23">
        <v>46002</v>
      </c>
      <c r="U2606" s="23">
        <v>49653</v>
      </c>
      <c r="X2606" s="20">
        <v>80000</v>
      </c>
      <c r="Z2606" s="6" t="s">
        <v>5978</v>
      </c>
      <c r="AA2606" s="14">
        <f t="shared" si="331"/>
        <v>5.9999999999999995E-4</v>
      </c>
      <c r="AB2606">
        <v>46.707629999999995</v>
      </c>
      <c r="AC2606">
        <v>48.575935199999996</v>
      </c>
    </row>
    <row r="2607" spans="1:29" x14ac:dyDescent="0.3">
      <c r="A2607">
        <v>149438</v>
      </c>
      <c r="B2607" s="25" t="s">
        <v>5984</v>
      </c>
      <c r="C2607" t="s">
        <v>20</v>
      </c>
      <c r="D2607" t="s">
        <v>21</v>
      </c>
      <c r="E2607">
        <v>2222222</v>
      </c>
      <c r="F2607" s="8" t="s">
        <v>22</v>
      </c>
      <c r="G2607" s="2">
        <v>98</v>
      </c>
      <c r="H2607" t="s">
        <v>4278</v>
      </c>
      <c r="J2607" s="9" t="s">
        <v>4815</v>
      </c>
      <c r="K2607" t="s">
        <v>5053</v>
      </c>
      <c r="L2607" s="2">
        <v>1</v>
      </c>
      <c r="M2607" s="24" t="s">
        <v>5971</v>
      </c>
      <c r="N2607" s="2" t="s">
        <v>23</v>
      </c>
      <c r="O2607" s="18" t="s">
        <v>2060</v>
      </c>
      <c r="P2607" s="18" t="s">
        <v>0</v>
      </c>
      <c r="Q2607" s="6" t="s">
        <v>4475</v>
      </c>
      <c r="T2607" s="23">
        <v>46026</v>
      </c>
      <c r="U2607" s="23">
        <v>46937</v>
      </c>
      <c r="X2607" s="20">
        <v>1540</v>
      </c>
      <c r="Z2607" s="6" t="s">
        <v>5978</v>
      </c>
      <c r="AA2607" s="14">
        <f t="shared" si="331"/>
        <v>5.9999999999999995E-4</v>
      </c>
      <c r="AB2607">
        <v>0.76826399999999995</v>
      </c>
      <c r="AC2607">
        <v>0.79899456000000002</v>
      </c>
    </row>
    <row r="2608" spans="1:29" x14ac:dyDescent="0.3">
      <c r="A2608">
        <v>149442</v>
      </c>
      <c r="B2608" s="25" t="s">
        <v>5984</v>
      </c>
      <c r="C2608" t="s">
        <v>20</v>
      </c>
      <c r="D2608" t="s">
        <v>21</v>
      </c>
      <c r="E2608">
        <v>2222222</v>
      </c>
      <c r="F2608" s="8" t="s">
        <v>22</v>
      </c>
      <c r="G2608" s="2">
        <v>98</v>
      </c>
      <c r="H2608" t="s">
        <v>4278</v>
      </c>
      <c r="J2608" s="9" t="s">
        <v>5645</v>
      </c>
      <c r="K2608" t="s">
        <v>4926</v>
      </c>
      <c r="L2608" s="2">
        <v>1</v>
      </c>
      <c r="M2608" s="24" t="s">
        <v>5971</v>
      </c>
      <c r="N2608" s="2" t="s">
        <v>23</v>
      </c>
      <c r="O2608" s="18" t="s">
        <v>2061</v>
      </c>
      <c r="P2608" s="18" t="s">
        <v>3781</v>
      </c>
      <c r="Q2608" s="6" t="s">
        <v>4475</v>
      </c>
      <c r="T2608" s="23">
        <v>46027</v>
      </c>
      <c r="U2608" s="23">
        <v>46392</v>
      </c>
      <c r="X2608" s="20">
        <v>2000</v>
      </c>
      <c r="Z2608" s="6" t="s">
        <v>5978</v>
      </c>
      <c r="AA2608" s="14">
        <f t="shared" si="331"/>
        <v>5.9999999999999995E-4</v>
      </c>
      <c r="AB2608">
        <v>0.62425799999999998</v>
      </c>
      <c r="AC2608">
        <v>0.64922831999999997</v>
      </c>
    </row>
    <row r="2609" spans="1:29" x14ac:dyDescent="0.3">
      <c r="A2609">
        <v>150917</v>
      </c>
      <c r="B2609" s="25" t="s">
        <v>5984</v>
      </c>
      <c r="C2609" t="s">
        <v>20</v>
      </c>
      <c r="D2609" t="s">
        <v>21</v>
      </c>
      <c r="E2609">
        <v>2222222</v>
      </c>
      <c r="F2609" s="8" t="s">
        <v>22</v>
      </c>
      <c r="G2609" s="2">
        <v>98</v>
      </c>
      <c r="H2609" t="s">
        <v>4278</v>
      </c>
      <c r="J2609" s="9" t="s">
        <v>5045</v>
      </c>
      <c r="K2609" t="s">
        <v>4832</v>
      </c>
      <c r="L2609" s="2">
        <v>1</v>
      </c>
      <c r="M2609" s="24" t="s">
        <v>5971</v>
      </c>
      <c r="N2609" s="2" t="s">
        <v>23</v>
      </c>
      <c r="O2609" s="18" t="s">
        <v>2062</v>
      </c>
      <c r="P2609" s="18" t="s">
        <v>3781</v>
      </c>
      <c r="Q2609" s="6" t="s">
        <v>4475</v>
      </c>
      <c r="T2609" s="23">
        <v>46126</v>
      </c>
      <c r="U2609" s="23">
        <v>46216</v>
      </c>
      <c r="X2609" s="20">
        <v>2990</v>
      </c>
      <c r="Z2609" s="6" t="s">
        <v>5978</v>
      </c>
      <c r="AA2609" s="14">
        <f t="shared" si="331"/>
        <v>5.9999999999999995E-4</v>
      </c>
      <c r="AB2609">
        <v>1.7939999999999998</v>
      </c>
      <c r="AC2609">
        <v>1.8657599999999999</v>
      </c>
    </row>
    <row r="2610" spans="1:29" x14ac:dyDescent="0.3">
      <c r="A2610">
        <v>151242</v>
      </c>
      <c r="B2610" s="25" t="s">
        <v>5984</v>
      </c>
      <c r="C2610" t="s">
        <v>20</v>
      </c>
      <c r="D2610" t="s">
        <v>21</v>
      </c>
      <c r="E2610">
        <v>2222222</v>
      </c>
      <c r="F2610" s="8" t="s">
        <v>22</v>
      </c>
      <c r="G2610" s="2">
        <v>98</v>
      </c>
      <c r="H2610" t="s">
        <v>4278</v>
      </c>
      <c r="J2610" s="9" t="s">
        <v>5193</v>
      </c>
      <c r="K2610" t="s">
        <v>5621</v>
      </c>
      <c r="L2610" s="2">
        <v>1</v>
      </c>
      <c r="M2610" s="24" t="s">
        <v>5971</v>
      </c>
      <c r="N2610" s="2" t="s">
        <v>23</v>
      </c>
      <c r="O2610" s="18" t="s">
        <v>2063</v>
      </c>
      <c r="P2610" s="18" t="s">
        <v>0</v>
      </c>
      <c r="Q2610" s="6" t="s">
        <v>4475</v>
      </c>
      <c r="T2610" s="23">
        <v>46150</v>
      </c>
      <c r="U2610" s="23">
        <v>47610</v>
      </c>
      <c r="X2610" s="20">
        <v>5000</v>
      </c>
      <c r="Z2610" s="6" t="s">
        <v>5978</v>
      </c>
      <c r="AA2610" s="14">
        <f t="shared" si="331"/>
        <v>5.9999999999999995E-4</v>
      </c>
      <c r="AB2610">
        <v>2.9123100000000002</v>
      </c>
      <c r="AC2610">
        <v>3.0288024000000004</v>
      </c>
    </row>
    <row r="2611" spans="1:29" x14ac:dyDescent="0.3">
      <c r="A2611">
        <v>151857</v>
      </c>
      <c r="B2611" s="25" t="s">
        <v>5984</v>
      </c>
      <c r="C2611" t="s">
        <v>20</v>
      </c>
      <c r="D2611" t="s">
        <v>21</v>
      </c>
      <c r="E2611">
        <v>2222222</v>
      </c>
      <c r="F2611" s="8" t="s">
        <v>22</v>
      </c>
      <c r="G2611" s="2">
        <v>98</v>
      </c>
      <c r="H2611" t="s">
        <v>4278</v>
      </c>
      <c r="J2611" s="9" t="s">
        <v>5646</v>
      </c>
      <c r="K2611" t="s">
        <v>5206</v>
      </c>
      <c r="L2611" s="2">
        <v>1</v>
      </c>
      <c r="M2611" s="24" t="s">
        <v>5971</v>
      </c>
      <c r="N2611" s="2" t="s">
        <v>23</v>
      </c>
      <c r="O2611" s="18" t="s">
        <v>2064</v>
      </c>
      <c r="P2611" s="18" t="s">
        <v>3781</v>
      </c>
      <c r="Q2611" s="6" t="s">
        <v>4475</v>
      </c>
      <c r="T2611" s="23">
        <v>46192</v>
      </c>
      <c r="U2611" s="23">
        <v>48023</v>
      </c>
      <c r="X2611" s="20">
        <v>3000</v>
      </c>
      <c r="Z2611" s="6" t="s">
        <v>5978</v>
      </c>
      <c r="AA2611" s="14">
        <f t="shared" si="331"/>
        <v>5.9999999999999995E-4</v>
      </c>
      <c r="AB2611">
        <v>1.7810459999999997</v>
      </c>
      <c r="AC2611">
        <v>1.8522878399999998</v>
      </c>
    </row>
    <row r="2612" spans="1:29" x14ac:dyDescent="0.3">
      <c r="A2612">
        <v>152314</v>
      </c>
      <c r="B2612" s="25" t="s">
        <v>5984</v>
      </c>
      <c r="C2612" t="s">
        <v>20</v>
      </c>
      <c r="D2612" t="s">
        <v>21</v>
      </c>
      <c r="E2612">
        <v>2222222</v>
      </c>
      <c r="F2612" s="8" t="s">
        <v>22</v>
      </c>
      <c r="G2612" s="2">
        <v>98</v>
      </c>
      <c r="H2612" t="s">
        <v>4278</v>
      </c>
      <c r="J2612" s="9" t="s">
        <v>5008</v>
      </c>
      <c r="K2612" t="s">
        <v>5085</v>
      </c>
      <c r="L2612" s="2">
        <v>1</v>
      </c>
      <c r="M2612" s="24" t="s">
        <v>5971</v>
      </c>
      <c r="N2612" s="2" t="s">
        <v>23</v>
      </c>
      <c r="O2612" s="18" t="s">
        <v>2065</v>
      </c>
      <c r="P2612" s="18" t="s">
        <v>0</v>
      </c>
      <c r="Q2612" s="6" t="s">
        <v>4475</v>
      </c>
      <c r="T2612" s="23">
        <v>46227</v>
      </c>
      <c r="U2612" s="23">
        <v>46592</v>
      </c>
      <c r="X2612" s="20">
        <v>5000</v>
      </c>
      <c r="Z2612" s="6" t="s">
        <v>5978</v>
      </c>
      <c r="AA2612" s="14">
        <f t="shared" si="331"/>
        <v>5.9999999999999995E-4</v>
      </c>
      <c r="AB2612">
        <v>2.9999999999999996</v>
      </c>
      <c r="AC2612">
        <v>3.1199999999999997</v>
      </c>
    </row>
    <row r="2613" spans="1:29" x14ac:dyDescent="0.3">
      <c r="A2613">
        <v>140194</v>
      </c>
      <c r="B2613" s="25" t="s">
        <v>5984</v>
      </c>
      <c r="C2613" t="s">
        <v>20</v>
      </c>
      <c r="D2613" t="s">
        <v>21</v>
      </c>
      <c r="E2613">
        <v>2222222</v>
      </c>
      <c r="F2613" s="8" t="s">
        <v>22</v>
      </c>
      <c r="G2613" s="2">
        <v>98</v>
      </c>
      <c r="H2613" t="s">
        <v>4279</v>
      </c>
      <c r="J2613" s="9" t="s">
        <v>5601</v>
      </c>
      <c r="K2613" t="s">
        <v>4980</v>
      </c>
      <c r="L2613" s="2">
        <v>1</v>
      </c>
      <c r="M2613" s="24" t="s">
        <v>5971</v>
      </c>
      <c r="N2613" s="2" t="s">
        <v>23</v>
      </c>
      <c r="O2613" s="18" t="s">
        <v>2066</v>
      </c>
      <c r="P2613" s="18" t="s">
        <v>3781</v>
      </c>
      <c r="Q2613" s="6" t="s">
        <v>4475</v>
      </c>
      <c r="T2613" s="23">
        <v>45371</v>
      </c>
      <c r="U2613" s="23">
        <v>46557</v>
      </c>
      <c r="X2613" s="20">
        <v>6300</v>
      </c>
      <c r="Z2613" s="6" t="s">
        <v>5978</v>
      </c>
      <c r="AA2613" s="13">
        <f>+(0.56/1000)</f>
        <v>5.6000000000000006E-4</v>
      </c>
      <c r="AB2613">
        <v>1.3421464000000001</v>
      </c>
      <c r="AC2613">
        <v>1.395832256</v>
      </c>
    </row>
    <row r="2614" spans="1:29" x14ac:dyDescent="0.3">
      <c r="A2614">
        <v>142729</v>
      </c>
      <c r="B2614" s="25" t="s">
        <v>5984</v>
      </c>
      <c r="C2614" t="s">
        <v>20</v>
      </c>
      <c r="D2614" t="s">
        <v>21</v>
      </c>
      <c r="E2614">
        <v>2222222</v>
      </c>
      <c r="F2614" s="8" t="s">
        <v>22</v>
      </c>
      <c r="G2614" s="2">
        <v>98</v>
      </c>
      <c r="H2614" t="s">
        <v>4279</v>
      </c>
      <c r="J2614" s="9" t="s">
        <v>4990</v>
      </c>
      <c r="K2614" t="s">
        <v>5647</v>
      </c>
      <c r="L2614" s="2">
        <v>1</v>
      </c>
      <c r="M2614" s="24" t="s">
        <v>5971</v>
      </c>
      <c r="N2614" s="2" t="s">
        <v>23</v>
      </c>
      <c r="O2614" s="18" t="s">
        <v>2067</v>
      </c>
      <c r="P2614" s="18" t="s">
        <v>3781</v>
      </c>
      <c r="Q2614" s="6" t="s">
        <v>4475</v>
      </c>
      <c r="T2614" s="23">
        <v>45540</v>
      </c>
      <c r="U2614" s="23">
        <v>48187</v>
      </c>
      <c r="X2614" s="20">
        <v>51800</v>
      </c>
      <c r="Z2614" s="6" t="s">
        <v>5978</v>
      </c>
      <c r="AA2614" s="14">
        <f t="shared" ref="AA2614:AA2620" si="332">+(0.6/1000)</f>
        <v>5.9999999999999995E-4</v>
      </c>
      <c r="AB2614">
        <v>26.632572</v>
      </c>
      <c r="AC2614">
        <v>27.697874880000001</v>
      </c>
    </row>
    <row r="2615" spans="1:29" x14ac:dyDescent="0.3">
      <c r="A2615">
        <v>143933</v>
      </c>
      <c r="B2615" s="25" t="s">
        <v>5984</v>
      </c>
      <c r="C2615" t="s">
        <v>20</v>
      </c>
      <c r="D2615" t="s">
        <v>21</v>
      </c>
      <c r="E2615">
        <v>2222222</v>
      </c>
      <c r="F2615" s="8" t="s">
        <v>22</v>
      </c>
      <c r="G2615" s="2">
        <v>98</v>
      </c>
      <c r="H2615" t="s">
        <v>4279</v>
      </c>
      <c r="J2615" s="9" t="s">
        <v>4969</v>
      </c>
      <c r="K2615" t="s">
        <v>5451</v>
      </c>
      <c r="L2615" s="2">
        <v>1</v>
      </c>
      <c r="M2615" s="24" t="s">
        <v>5971</v>
      </c>
      <c r="N2615" s="2" t="s">
        <v>23</v>
      </c>
      <c r="O2615" s="18" t="s">
        <v>2068</v>
      </c>
      <c r="P2615" s="18" t="s">
        <v>3781</v>
      </c>
      <c r="Q2615" s="6" t="s">
        <v>4475</v>
      </c>
      <c r="T2615" s="23">
        <v>45625</v>
      </c>
      <c r="U2615" s="23">
        <v>47542</v>
      </c>
      <c r="X2615" s="20">
        <v>4130</v>
      </c>
      <c r="Z2615" s="6" t="s">
        <v>5978</v>
      </c>
      <c r="AA2615" s="14">
        <f t="shared" si="332"/>
        <v>5.9999999999999995E-4</v>
      </c>
      <c r="AB2615">
        <v>2.0112719999999999</v>
      </c>
      <c r="AC2615">
        <v>2.0917228799999998</v>
      </c>
    </row>
    <row r="2616" spans="1:29" x14ac:dyDescent="0.3">
      <c r="A2616">
        <v>151048</v>
      </c>
      <c r="B2616" s="25" t="s">
        <v>5984</v>
      </c>
      <c r="C2616" t="s">
        <v>20</v>
      </c>
      <c r="D2616" t="s">
        <v>21</v>
      </c>
      <c r="E2616">
        <v>2222222</v>
      </c>
      <c r="F2616" s="8" t="s">
        <v>22</v>
      </c>
      <c r="G2616" s="2">
        <v>98</v>
      </c>
      <c r="H2616" t="s">
        <v>4279</v>
      </c>
      <c r="J2616" s="9" t="s">
        <v>4969</v>
      </c>
      <c r="K2616" t="s">
        <v>5451</v>
      </c>
      <c r="L2616" s="2">
        <v>1</v>
      </c>
      <c r="M2616" s="24" t="s">
        <v>5971</v>
      </c>
      <c r="N2616" s="2" t="s">
        <v>23</v>
      </c>
      <c r="O2616" s="18" t="s">
        <v>2068</v>
      </c>
      <c r="P2616" s="18" t="s">
        <v>3781</v>
      </c>
      <c r="Q2616" s="6" t="s">
        <v>4475</v>
      </c>
      <c r="T2616" s="23">
        <v>46134</v>
      </c>
      <c r="U2616" s="23">
        <v>46224</v>
      </c>
      <c r="X2616" s="20">
        <v>5000</v>
      </c>
      <c r="Z2616" s="6" t="s">
        <v>5978</v>
      </c>
      <c r="AA2616" s="14">
        <f t="shared" si="332"/>
        <v>5.9999999999999995E-4</v>
      </c>
      <c r="AB2616">
        <v>2.9999999999999996</v>
      </c>
      <c r="AC2616">
        <v>3.1199999999999997</v>
      </c>
    </row>
    <row r="2617" spans="1:29" x14ac:dyDescent="0.3">
      <c r="A2617">
        <v>151598</v>
      </c>
      <c r="B2617" s="25" t="s">
        <v>5984</v>
      </c>
      <c r="C2617" t="s">
        <v>20</v>
      </c>
      <c r="D2617" t="s">
        <v>21</v>
      </c>
      <c r="E2617">
        <v>2222222</v>
      </c>
      <c r="F2617" s="8" t="s">
        <v>22</v>
      </c>
      <c r="G2617" s="2">
        <v>98</v>
      </c>
      <c r="H2617" t="s">
        <v>4279</v>
      </c>
      <c r="J2617" s="9" t="s">
        <v>5025</v>
      </c>
      <c r="K2617" t="s">
        <v>4955</v>
      </c>
      <c r="L2617" s="2">
        <v>1</v>
      </c>
      <c r="M2617" s="24" t="s">
        <v>5971</v>
      </c>
      <c r="N2617" s="2" t="s">
        <v>23</v>
      </c>
      <c r="O2617" s="18" t="s">
        <v>2069</v>
      </c>
      <c r="P2617" s="18" t="s">
        <v>3781</v>
      </c>
      <c r="Q2617" s="6" t="s">
        <v>4475</v>
      </c>
      <c r="T2617" s="23">
        <v>46175</v>
      </c>
      <c r="U2617" s="23">
        <v>46265</v>
      </c>
      <c r="X2617" s="20">
        <v>4980</v>
      </c>
      <c r="Z2617" s="6" t="s">
        <v>5978</v>
      </c>
      <c r="AA2617" s="14">
        <f t="shared" si="332"/>
        <v>5.9999999999999995E-4</v>
      </c>
      <c r="AB2617">
        <v>2.9879999999999995</v>
      </c>
      <c r="AC2617">
        <v>3.1075199999999996</v>
      </c>
    </row>
    <row r="2618" spans="1:29" x14ac:dyDescent="0.3">
      <c r="A2618">
        <v>147548</v>
      </c>
      <c r="B2618" s="25" t="s">
        <v>5984</v>
      </c>
      <c r="C2618" t="s">
        <v>20</v>
      </c>
      <c r="D2618" t="s">
        <v>21</v>
      </c>
      <c r="E2618">
        <v>2222222</v>
      </c>
      <c r="F2618" s="8" t="s">
        <v>22</v>
      </c>
      <c r="G2618" s="2">
        <v>98</v>
      </c>
      <c r="H2618" t="s">
        <v>4280</v>
      </c>
      <c r="J2618" s="9" t="s">
        <v>4848</v>
      </c>
      <c r="K2618" t="s">
        <v>4827</v>
      </c>
      <c r="L2618" s="2">
        <v>1</v>
      </c>
      <c r="M2618" s="24" t="s">
        <v>5971</v>
      </c>
      <c r="N2618" s="2" t="s">
        <v>23</v>
      </c>
      <c r="O2618" s="18" t="s">
        <v>2070</v>
      </c>
      <c r="P2618" s="18" t="s">
        <v>0</v>
      </c>
      <c r="Q2618" s="6" t="s">
        <v>4475</v>
      </c>
      <c r="T2618" s="23">
        <v>45897</v>
      </c>
      <c r="U2618" s="23">
        <v>48453</v>
      </c>
      <c r="X2618" s="20">
        <v>15000</v>
      </c>
      <c r="Z2618" s="6" t="s">
        <v>5978</v>
      </c>
      <c r="AA2618" s="14">
        <f t="shared" si="332"/>
        <v>5.9999999999999995E-4</v>
      </c>
      <c r="AB2618">
        <v>8.6111399999999989</v>
      </c>
      <c r="AC2618">
        <v>8.9555855999999991</v>
      </c>
    </row>
    <row r="2619" spans="1:29" x14ac:dyDescent="0.3">
      <c r="A2619">
        <v>148789</v>
      </c>
      <c r="B2619" s="25" t="s">
        <v>5984</v>
      </c>
      <c r="C2619" t="s">
        <v>20</v>
      </c>
      <c r="D2619" t="s">
        <v>21</v>
      </c>
      <c r="E2619">
        <v>2222222</v>
      </c>
      <c r="F2619" s="8" t="s">
        <v>22</v>
      </c>
      <c r="G2619" s="2">
        <v>98</v>
      </c>
      <c r="H2619" t="s">
        <v>4281</v>
      </c>
      <c r="J2619" s="9"/>
      <c r="K2619" t="s">
        <v>5648</v>
      </c>
      <c r="L2619" s="2">
        <v>1</v>
      </c>
      <c r="M2619" s="24" t="s">
        <v>5971</v>
      </c>
      <c r="N2619" s="2" t="s">
        <v>23</v>
      </c>
      <c r="O2619" s="18" t="s">
        <v>2071</v>
      </c>
      <c r="P2619" s="18" t="s">
        <v>0</v>
      </c>
      <c r="Q2619" s="6" t="s">
        <v>4475</v>
      </c>
      <c r="T2619" s="23">
        <v>45989</v>
      </c>
      <c r="U2619" s="23">
        <v>47450</v>
      </c>
      <c r="X2619" s="20">
        <v>12500</v>
      </c>
      <c r="Z2619" s="6" t="s">
        <v>5978</v>
      </c>
      <c r="AA2619" s="14">
        <f t="shared" si="332"/>
        <v>5.9999999999999995E-4</v>
      </c>
      <c r="AB2619">
        <v>6.5207819999999987</v>
      </c>
      <c r="AC2619">
        <v>6.7816132799999993</v>
      </c>
    </row>
    <row r="2620" spans="1:29" x14ac:dyDescent="0.3">
      <c r="A2620">
        <v>150737</v>
      </c>
      <c r="B2620" s="25" t="s">
        <v>5984</v>
      </c>
      <c r="C2620" t="s">
        <v>20</v>
      </c>
      <c r="D2620" t="s">
        <v>21</v>
      </c>
      <c r="E2620">
        <v>2222222</v>
      </c>
      <c r="F2620" s="8" t="s">
        <v>22</v>
      </c>
      <c r="G2620" s="2">
        <v>98</v>
      </c>
      <c r="H2620" t="s">
        <v>4281</v>
      </c>
      <c r="J2620" s="9" t="s">
        <v>4219</v>
      </c>
      <c r="K2620" t="s">
        <v>4825</v>
      </c>
      <c r="L2620" s="2">
        <v>1</v>
      </c>
      <c r="M2620" s="24" t="s">
        <v>5971</v>
      </c>
      <c r="N2620" s="2" t="s">
        <v>23</v>
      </c>
      <c r="O2620" s="18" t="s">
        <v>2072</v>
      </c>
      <c r="P2620" s="18" t="s">
        <v>0</v>
      </c>
      <c r="Q2620" s="6" t="s">
        <v>4475</v>
      </c>
      <c r="T2620" s="23">
        <v>46112</v>
      </c>
      <c r="U2620" s="23">
        <v>47026</v>
      </c>
      <c r="X2620" s="20">
        <v>11800</v>
      </c>
      <c r="Z2620" s="6" t="s">
        <v>5978</v>
      </c>
      <c r="AA2620" s="14">
        <f t="shared" si="332"/>
        <v>5.9999999999999995E-4</v>
      </c>
      <c r="AB2620">
        <v>3.0246179999999994</v>
      </c>
      <c r="AC2620">
        <v>3.1456027199999994</v>
      </c>
    </row>
    <row r="2621" spans="1:29" x14ac:dyDescent="0.3">
      <c r="A2621">
        <v>134182</v>
      </c>
      <c r="B2621" s="25" t="s">
        <v>5984</v>
      </c>
      <c r="C2621" t="s">
        <v>20</v>
      </c>
      <c r="D2621" t="s">
        <v>21</v>
      </c>
      <c r="E2621">
        <v>2222222</v>
      </c>
      <c r="F2621" s="8" t="s">
        <v>22</v>
      </c>
      <c r="G2621" s="2">
        <v>98</v>
      </c>
      <c r="H2621" t="s">
        <v>4282</v>
      </c>
      <c r="J2621" s="9" t="s">
        <v>5057</v>
      </c>
      <c r="K2621" t="s">
        <v>4947</v>
      </c>
      <c r="L2621" s="2">
        <v>1</v>
      </c>
      <c r="M2621" s="24" t="s">
        <v>5971</v>
      </c>
      <c r="N2621" s="2" t="s">
        <v>23</v>
      </c>
      <c r="O2621" s="18" t="s">
        <v>2073</v>
      </c>
      <c r="P2621" s="18" t="s">
        <v>3781</v>
      </c>
      <c r="Q2621" s="6" t="s">
        <v>4475</v>
      </c>
      <c r="T2621" s="23">
        <v>45048</v>
      </c>
      <c r="U2621" s="23">
        <v>46508</v>
      </c>
      <c r="X2621" s="20">
        <v>8000</v>
      </c>
      <c r="Z2621" s="6" t="s">
        <v>5978</v>
      </c>
      <c r="AA2621" s="13">
        <f t="shared" ref="AA2621:AA2622" si="333">+(0.56/1000)</f>
        <v>5.6000000000000006E-4</v>
      </c>
      <c r="AB2621">
        <v>3.5302456000000006</v>
      </c>
      <c r="AC2621">
        <v>3.6714554240000008</v>
      </c>
    </row>
    <row r="2622" spans="1:29" x14ac:dyDescent="0.3">
      <c r="A2622">
        <v>136151</v>
      </c>
      <c r="B2622" s="25" t="s">
        <v>5984</v>
      </c>
      <c r="C2622" t="s">
        <v>20</v>
      </c>
      <c r="D2622" t="s">
        <v>21</v>
      </c>
      <c r="E2622">
        <v>2222222</v>
      </c>
      <c r="F2622" s="8" t="s">
        <v>22</v>
      </c>
      <c r="G2622" s="2">
        <v>98</v>
      </c>
      <c r="H2622" t="s">
        <v>4282</v>
      </c>
      <c r="J2622" s="9" t="s">
        <v>4892</v>
      </c>
      <c r="K2622" t="s">
        <v>4925</v>
      </c>
      <c r="L2622" s="2">
        <v>1</v>
      </c>
      <c r="M2622" s="24" t="s">
        <v>5971</v>
      </c>
      <c r="N2622" s="2" t="s">
        <v>23</v>
      </c>
      <c r="O2622" s="18" t="s">
        <v>2074</v>
      </c>
      <c r="P2622" s="18" t="s">
        <v>3781</v>
      </c>
      <c r="Q2622" s="6" t="s">
        <v>4475</v>
      </c>
      <c r="T2622" s="23">
        <v>45156</v>
      </c>
      <c r="U2622" s="23">
        <v>46251</v>
      </c>
      <c r="X2622" s="20">
        <v>1900</v>
      </c>
      <c r="Z2622" s="6" t="s">
        <v>5978</v>
      </c>
      <c r="AA2622" s="13">
        <f t="shared" si="333"/>
        <v>5.6000000000000006E-4</v>
      </c>
      <c r="AB2622">
        <v>3.7923200000000004E-2</v>
      </c>
      <c r="AC2622">
        <v>3.9440128000000005E-2</v>
      </c>
    </row>
    <row r="2623" spans="1:29" x14ac:dyDescent="0.3">
      <c r="A2623">
        <v>141013</v>
      </c>
      <c r="B2623" s="25" t="s">
        <v>5984</v>
      </c>
      <c r="C2623" t="s">
        <v>20</v>
      </c>
      <c r="D2623" t="s">
        <v>21</v>
      </c>
      <c r="E2623">
        <v>2222222</v>
      </c>
      <c r="F2623" s="8" t="s">
        <v>22</v>
      </c>
      <c r="G2623" s="2">
        <v>98</v>
      </c>
      <c r="H2623" t="s">
        <v>4282</v>
      </c>
      <c r="J2623" s="9" t="s">
        <v>4848</v>
      </c>
      <c r="K2623" t="s">
        <v>4875</v>
      </c>
      <c r="L2623" s="2">
        <v>1</v>
      </c>
      <c r="M2623" s="24" t="s">
        <v>5971</v>
      </c>
      <c r="N2623" s="2" t="s">
        <v>23</v>
      </c>
      <c r="O2623" s="18" t="s">
        <v>2075</v>
      </c>
      <c r="P2623" s="18" t="s">
        <v>0</v>
      </c>
      <c r="Q2623" s="6" t="s">
        <v>4475</v>
      </c>
      <c r="T2623" s="23">
        <v>45429</v>
      </c>
      <c r="U2623" s="23">
        <v>47254</v>
      </c>
      <c r="X2623" s="20">
        <v>11000</v>
      </c>
      <c r="Z2623" s="6" t="s">
        <v>5978</v>
      </c>
      <c r="AA2623" s="14">
        <f t="shared" ref="AA2623:AA2631" si="334">+(0.6/1000)</f>
        <v>5.9999999999999995E-4</v>
      </c>
      <c r="AB2623">
        <v>2.9103239999999997</v>
      </c>
      <c r="AC2623">
        <v>3.0267369599999996</v>
      </c>
    </row>
    <row r="2624" spans="1:29" x14ac:dyDescent="0.3">
      <c r="A2624">
        <v>142092</v>
      </c>
      <c r="B2624" s="25" t="s">
        <v>5984</v>
      </c>
      <c r="C2624" t="s">
        <v>20</v>
      </c>
      <c r="D2624" t="s">
        <v>21</v>
      </c>
      <c r="E2624">
        <v>2222222</v>
      </c>
      <c r="F2624" s="8" t="s">
        <v>22</v>
      </c>
      <c r="G2624" s="2">
        <v>98</v>
      </c>
      <c r="H2624" t="s">
        <v>4282</v>
      </c>
      <c r="J2624" s="9" t="s">
        <v>4967</v>
      </c>
      <c r="K2624" t="s">
        <v>5030</v>
      </c>
      <c r="L2624" s="2">
        <v>1</v>
      </c>
      <c r="M2624" s="24" t="s">
        <v>5971</v>
      </c>
      <c r="N2624" s="2" t="s">
        <v>23</v>
      </c>
      <c r="O2624" s="18" t="s">
        <v>2076</v>
      </c>
      <c r="P2624" s="18" t="s">
        <v>3781</v>
      </c>
      <c r="Q2624" s="6" t="s">
        <v>4475</v>
      </c>
      <c r="T2624" s="23">
        <v>45499</v>
      </c>
      <c r="U2624" s="23">
        <v>47416</v>
      </c>
      <c r="X2624" s="20">
        <v>16900</v>
      </c>
      <c r="Z2624" s="6" t="s">
        <v>5978</v>
      </c>
      <c r="AA2624" s="14">
        <f t="shared" si="334"/>
        <v>5.9999999999999995E-4</v>
      </c>
      <c r="AB2624">
        <v>7.7532719999999999</v>
      </c>
      <c r="AC2624">
        <v>8.0634028799999999</v>
      </c>
    </row>
    <row r="2625" spans="1:29" x14ac:dyDescent="0.3">
      <c r="A2625">
        <v>142561</v>
      </c>
      <c r="B2625" s="25" t="s">
        <v>5984</v>
      </c>
      <c r="C2625" t="s">
        <v>20</v>
      </c>
      <c r="D2625" t="s">
        <v>21</v>
      </c>
      <c r="E2625">
        <v>2222222</v>
      </c>
      <c r="F2625" s="8" t="s">
        <v>22</v>
      </c>
      <c r="G2625" s="2">
        <v>98</v>
      </c>
      <c r="H2625" t="s">
        <v>4282</v>
      </c>
      <c r="J2625" s="9" t="s">
        <v>4951</v>
      </c>
      <c r="K2625" t="s">
        <v>4870</v>
      </c>
      <c r="L2625" s="2">
        <v>1</v>
      </c>
      <c r="M2625" s="24" t="s">
        <v>5971</v>
      </c>
      <c r="N2625" s="2" t="s">
        <v>23</v>
      </c>
      <c r="O2625" s="18" t="s">
        <v>2077</v>
      </c>
      <c r="P2625" s="18" t="s">
        <v>0</v>
      </c>
      <c r="Q2625" s="6" t="s">
        <v>4475</v>
      </c>
      <c r="T2625" s="23">
        <v>45535</v>
      </c>
      <c r="U2625" s="23">
        <v>46636</v>
      </c>
      <c r="X2625" s="20">
        <v>3200</v>
      </c>
      <c r="Z2625" s="6" t="s">
        <v>5978</v>
      </c>
      <c r="AA2625" s="14">
        <f t="shared" si="334"/>
        <v>5.9999999999999995E-4</v>
      </c>
      <c r="AB2625">
        <v>0.87836399999999992</v>
      </c>
      <c r="AC2625">
        <v>0.91349855999999996</v>
      </c>
    </row>
    <row r="2626" spans="1:29" x14ac:dyDescent="0.3">
      <c r="A2626">
        <v>146506</v>
      </c>
      <c r="B2626" s="25" t="s">
        <v>5984</v>
      </c>
      <c r="C2626" t="s">
        <v>20</v>
      </c>
      <c r="D2626" t="s">
        <v>21</v>
      </c>
      <c r="E2626">
        <v>2222222</v>
      </c>
      <c r="F2626" s="8" t="s">
        <v>22</v>
      </c>
      <c r="G2626" s="2">
        <v>98</v>
      </c>
      <c r="H2626" t="s">
        <v>4282</v>
      </c>
      <c r="J2626" s="9" t="s">
        <v>4911</v>
      </c>
      <c r="K2626" t="s">
        <v>4941</v>
      </c>
      <c r="L2626" s="2">
        <v>1</v>
      </c>
      <c r="M2626" s="24" t="s">
        <v>5971</v>
      </c>
      <c r="N2626" s="2" t="s">
        <v>23</v>
      </c>
      <c r="O2626" s="18" t="s">
        <v>2078</v>
      </c>
      <c r="P2626" s="18" t="s">
        <v>3781</v>
      </c>
      <c r="Q2626" s="6" t="s">
        <v>4475</v>
      </c>
      <c r="T2626" s="23">
        <v>45821</v>
      </c>
      <c r="U2626" s="23">
        <v>46917</v>
      </c>
      <c r="X2626" s="20">
        <v>4130</v>
      </c>
      <c r="Z2626" s="6" t="s">
        <v>5978</v>
      </c>
      <c r="AA2626" s="14">
        <f t="shared" si="334"/>
        <v>5.9999999999999995E-4</v>
      </c>
      <c r="AB2626">
        <v>1.7335199999999997</v>
      </c>
      <c r="AC2626">
        <v>1.8028607999999997</v>
      </c>
    </row>
    <row r="2627" spans="1:29" x14ac:dyDescent="0.3">
      <c r="A2627">
        <v>146960</v>
      </c>
      <c r="B2627" s="25" t="s">
        <v>5984</v>
      </c>
      <c r="C2627" t="s">
        <v>20</v>
      </c>
      <c r="D2627" t="s">
        <v>21</v>
      </c>
      <c r="E2627">
        <v>2222222</v>
      </c>
      <c r="F2627" s="8" t="s">
        <v>22</v>
      </c>
      <c r="G2627" s="2">
        <v>98</v>
      </c>
      <c r="H2627" t="s">
        <v>4282</v>
      </c>
      <c r="J2627" s="9" t="s">
        <v>4848</v>
      </c>
      <c r="K2627" t="s">
        <v>4875</v>
      </c>
      <c r="L2627" s="2">
        <v>1</v>
      </c>
      <c r="M2627" s="24" t="s">
        <v>5971</v>
      </c>
      <c r="N2627" s="2" t="s">
        <v>23</v>
      </c>
      <c r="O2627" s="18" t="s">
        <v>2075</v>
      </c>
      <c r="P2627" s="18" t="s">
        <v>0</v>
      </c>
      <c r="Q2627" s="6" t="s">
        <v>4475</v>
      </c>
      <c r="T2627" s="23">
        <v>45855</v>
      </c>
      <c r="U2627" s="23">
        <v>47315</v>
      </c>
      <c r="X2627" s="20">
        <v>2900</v>
      </c>
      <c r="Z2627" s="6" t="s">
        <v>5978</v>
      </c>
      <c r="AA2627" s="14">
        <f t="shared" si="334"/>
        <v>5.9999999999999995E-4</v>
      </c>
      <c r="AB2627">
        <v>0.31321199999999993</v>
      </c>
      <c r="AC2627">
        <v>0.32574047999999994</v>
      </c>
    </row>
    <row r="2628" spans="1:29" x14ac:dyDescent="0.3">
      <c r="A2628">
        <v>147371</v>
      </c>
      <c r="B2628" s="25" t="s">
        <v>5984</v>
      </c>
      <c r="C2628" t="s">
        <v>20</v>
      </c>
      <c r="D2628" t="s">
        <v>21</v>
      </c>
      <c r="E2628">
        <v>2222222</v>
      </c>
      <c r="F2628" s="8" t="s">
        <v>22</v>
      </c>
      <c r="G2628" s="2">
        <v>98</v>
      </c>
      <c r="H2628" t="s">
        <v>4282</v>
      </c>
      <c r="J2628" s="9" t="s">
        <v>4872</v>
      </c>
      <c r="K2628" t="s">
        <v>4832</v>
      </c>
      <c r="L2628" s="2">
        <v>1</v>
      </c>
      <c r="M2628" s="24" t="s">
        <v>5971</v>
      </c>
      <c r="N2628" s="2" t="s">
        <v>23</v>
      </c>
      <c r="O2628" s="18" t="s">
        <v>2079</v>
      </c>
      <c r="P2628" s="18" t="s">
        <v>0</v>
      </c>
      <c r="Q2628" s="6" t="s">
        <v>4475</v>
      </c>
      <c r="T2628" s="23">
        <v>45883</v>
      </c>
      <c r="U2628" s="23">
        <v>46066</v>
      </c>
      <c r="X2628" s="20">
        <v>366</v>
      </c>
      <c r="Z2628" s="6" t="s">
        <v>5978</v>
      </c>
      <c r="AA2628" s="14">
        <f t="shared" si="334"/>
        <v>5.9999999999999995E-4</v>
      </c>
      <c r="AB2628">
        <v>0.10728</v>
      </c>
      <c r="AC2628">
        <v>0.11157120000000001</v>
      </c>
    </row>
    <row r="2629" spans="1:29" x14ac:dyDescent="0.3">
      <c r="A2629">
        <v>151219</v>
      </c>
      <c r="B2629" s="25" t="s">
        <v>5984</v>
      </c>
      <c r="C2629" t="s">
        <v>20</v>
      </c>
      <c r="D2629" t="s">
        <v>21</v>
      </c>
      <c r="E2629">
        <v>2222222</v>
      </c>
      <c r="F2629" s="8" t="s">
        <v>22</v>
      </c>
      <c r="G2629" s="2">
        <v>98</v>
      </c>
      <c r="H2629" t="s">
        <v>4282</v>
      </c>
      <c r="J2629" s="9" t="s">
        <v>5126</v>
      </c>
      <c r="K2629" t="s">
        <v>4964</v>
      </c>
      <c r="L2629" s="2">
        <v>1</v>
      </c>
      <c r="M2629" s="24" t="s">
        <v>5971</v>
      </c>
      <c r="N2629" s="2" t="s">
        <v>23</v>
      </c>
      <c r="O2629" s="18" t="s">
        <v>2080</v>
      </c>
      <c r="P2629" s="18" t="s">
        <v>0</v>
      </c>
      <c r="Q2629" s="6" t="s">
        <v>4475</v>
      </c>
      <c r="T2629" s="23">
        <v>46148</v>
      </c>
      <c r="U2629" s="23">
        <v>47243</v>
      </c>
      <c r="X2629" s="20">
        <v>5000</v>
      </c>
      <c r="Z2629" s="6" t="s">
        <v>5978</v>
      </c>
      <c r="AA2629" s="14">
        <f t="shared" si="334"/>
        <v>5.9999999999999995E-4</v>
      </c>
      <c r="AB2629">
        <v>2.8713719999999996</v>
      </c>
      <c r="AC2629">
        <v>2.9862268799999998</v>
      </c>
    </row>
    <row r="2630" spans="1:29" x14ac:dyDescent="0.3">
      <c r="A2630">
        <v>151686</v>
      </c>
      <c r="B2630" s="25" t="s">
        <v>5984</v>
      </c>
      <c r="C2630" t="s">
        <v>20</v>
      </c>
      <c r="D2630" t="s">
        <v>21</v>
      </c>
      <c r="E2630">
        <v>2222222</v>
      </c>
      <c r="F2630" s="8" t="s">
        <v>22</v>
      </c>
      <c r="G2630" s="2">
        <v>98</v>
      </c>
      <c r="H2630" t="s">
        <v>4282</v>
      </c>
      <c r="J2630" s="9" t="s">
        <v>4848</v>
      </c>
      <c r="K2630" t="s">
        <v>4875</v>
      </c>
      <c r="L2630" s="2">
        <v>1</v>
      </c>
      <c r="M2630" s="24" t="s">
        <v>5971</v>
      </c>
      <c r="N2630" s="2" t="s">
        <v>23</v>
      </c>
      <c r="O2630" s="18" t="s">
        <v>2075</v>
      </c>
      <c r="P2630" s="18" t="s">
        <v>0</v>
      </c>
      <c r="Q2630" s="6" t="s">
        <v>4475</v>
      </c>
      <c r="T2630" s="23">
        <v>46185</v>
      </c>
      <c r="U2630" s="23">
        <v>48011</v>
      </c>
      <c r="X2630" s="20">
        <v>5000</v>
      </c>
      <c r="Z2630" s="6" t="s">
        <v>5978</v>
      </c>
      <c r="AA2630" s="14">
        <f t="shared" si="334"/>
        <v>5.9999999999999995E-4</v>
      </c>
      <c r="AB2630">
        <v>2.9305199999999996</v>
      </c>
      <c r="AC2630">
        <v>3.0477407999999997</v>
      </c>
    </row>
    <row r="2631" spans="1:29" x14ac:dyDescent="0.3">
      <c r="A2631">
        <v>152170</v>
      </c>
      <c r="B2631" s="25" t="s">
        <v>5984</v>
      </c>
      <c r="C2631" t="s">
        <v>20</v>
      </c>
      <c r="D2631" t="s">
        <v>21</v>
      </c>
      <c r="E2631">
        <v>2222222</v>
      </c>
      <c r="F2631" s="8" t="s">
        <v>22</v>
      </c>
      <c r="G2631" s="2">
        <v>98</v>
      </c>
      <c r="H2631" t="s">
        <v>4282</v>
      </c>
      <c r="J2631" s="9" t="s">
        <v>5098</v>
      </c>
      <c r="K2631" t="s">
        <v>5649</v>
      </c>
      <c r="L2631" s="2">
        <v>1</v>
      </c>
      <c r="M2631" s="24" t="s">
        <v>5971</v>
      </c>
      <c r="N2631" s="2" t="s">
        <v>23</v>
      </c>
      <c r="O2631" s="18" t="s">
        <v>2081</v>
      </c>
      <c r="P2631" s="18" t="s">
        <v>3781</v>
      </c>
      <c r="Q2631" s="6" t="s">
        <v>4475</v>
      </c>
      <c r="T2631" s="23">
        <v>46220</v>
      </c>
      <c r="U2631" s="23">
        <v>47315</v>
      </c>
      <c r="X2631" s="20">
        <v>5000</v>
      </c>
      <c r="Z2631" s="6" t="s">
        <v>5978</v>
      </c>
      <c r="AA2631" s="14">
        <f t="shared" si="334"/>
        <v>5.9999999999999995E-4</v>
      </c>
      <c r="AB2631">
        <v>2.9999999999999996</v>
      </c>
      <c r="AC2631">
        <v>3.1199999999999997</v>
      </c>
    </row>
    <row r="2632" spans="1:29" x14ac:dyDescent="0.3">
      <c r="A2632">
        <v>113635</v>
      </c>
      <c r="B2632" s="25" t="s">
        <v>5984</v>
      </c>
      <c r="C2632" t="s">
        <v>20</v>
      </c>
      <c r="D2632" t="s">
        <v>21</v>
      </c>
      <c r="E2632">
        <v>2222222</v>
      </c>
      <c r="F2632" s="8" t="s">
        <v>22</v>
      </c>
      <c r="G2632" s="2">
        <v>98</v>
      </c>
      <c r="H2632" t="s">
        <v>4283</v>
      </c>
      <c r="J2632" s="9" t="s">
        <v>4884</v>
      </c>
      <c r="K2632" t="s">
        <v>5650</v>
      </c>
      <c r="L2632" s="2">
        <v>1</v>
      </c>
      <c r="M2632" s="24" t="s">
        <v>5971</v>
      </c>
      <c r="N2632" s="2" t="s">
        <v>23</v>
      </c>
      <c r="O2632" s="18" t="s">
        <v>2082</v>
      </c>
      <c r="P2632" s="18" t="s">
        <v>3781</v>
      </c>
      <c r="Q2632" s="6" t="s">
        <v>4475</v>
      </c>
      <c r="T2632" s="23">
        <v>44015</v>
      </c>
      <c r="U2632" s="23">
        <v>44105</v>
      </c>
      <c r="X2632" s="20">
        <v>455</v>
      </c>
      <c r="Z2632" s="6" t="s">
        <v>5978</v>
      </c>
      <c r="AA2632" s="15">
        <f t="shared" ref="AA2632:AA2633" si="335">+(0.42/1000)</f>
        <v>4.1999999999999996E-4</v>
      </c>
      <c r="AB2632">
        <v>0.19109999999999999</v>
      </c>
      <c r="AC2632">
        <v>0.198744</v>
      </c>
    </row>
    <row r="2633" spans="1:29" x14ac:dyDescent="0.3">
      <c r="A2633">
        <v>116830</v>
      </c>
      <c r="B2633" s="25" t="s">
        <v>5984</v>
      </c>
      <c r="C2633" t="s">
        <v>20</v>
      </c>
      <c r="D2633" t="s">
        <v>21</v>
      </c>
      <c r="E2633">
        <v>2222222</v>
      </c>
      <c r="F2633" s="8" t="s">
        <v>22</v>
      </c>
      <c r="G2633" s="2">
        <v>98</v>
      </c>
      <c r="H2633" t="s">
        <v>4283</v>
      </c>
      <c r="J2633" s="9" t="s">
        <v>5651</v>
      </c>
      <c r="K2633" t="s">
        <v>4825</v>
      </c>
      <c r="L2633" s="2">
        <v>1</v>
      </c>
      <c r="M2633" s="24" t="s">
        <v>5971</v>
      </c>
      <c r="N2633" s="2" t="s">
        <v>23</v>
      </c>
      <c r="O2633" s="18" t="s">
        <v>2083</v>
      </c>
      <c r="P2633" s="18" t="s">
        <v>0</v>
      </c>
      <c r="Q2633" s="6" t="s">
        <v>4475</v>
      </c>
      <c r="T2633" s="23">
        <v>44186</v>
      </c>
      <c r="U2633" s="23">
        <v>46741</v>
      </c>
      <c r="X2633" s="20">
        <v>15000</v>
      </c>
      <c r="Z2633" s="6" t="s">
        <v>5978</v>
      </c>
      <c r="AA2633" s="15">
        <f t="shared" si="335"/>
        <v>4.1999999999999996E-4</v>
      </c>
      <c r="AB2633">
        <v>1.8952121999999998</v>
      </c>
      <c r="AC2633">
        <v>1.9710206879999999</v>
      </c>
    </row>
    <row r="2634" spans="1:29" x14ac:dyDescent="0.3">
      <c r="A2634">
        <v>152127</v>
      </c>
      <c r="B2634" s="25" t="s">
        <v>5984</v>
      </c>
      <c r="C2634" t="s">
        <v>20</v>
      </c>
      <c r="D2634" t="s">
        <v>21</v>
      </c>
      <c r="E2634">
        <v>2222222</v>
      </c>
      <c r="F2634" s="8" t="s">
        <v>22</v>
      </c>
      <c r="G2634" s="2">
        <v>98</v>
      </c>
      <c r="H2634" t="s">
        <v>4283</v>
      </c>
      <c r="J2634" s="9" t="s">
        <v>4864</v>
      </c>
      <c r="K2634" t="s">
        <v>4913</v>
      </c>
      <c r="L2634" s="2">
        <v>1</v>
      </c>
      <c r="M2634" s="24" t="s">
        <v>5971</v>
      </c>
      <c r="N2634" s="2" t="s">
        <v>23</v>
      </c>
      <c r="O2634" s="18" t="s">
        <v>2084</v>
      </c>
      <c r="P2634" s="18" t="s">
        <v>0</v>
      </c>
      <c r="Q2634" s="6" t="s">
        <v>4475</v>
      </c>
      <c r="T2634" s="23">
        <v>46213</v>
      </c>
      <c r="U2634" s="23">
        <v>47674</v>
      </c>
      <c r="X2634" s="20">
        <v>5000</v>
      </c>
      <c r="Z2634" s="6" t="s">
        <v>5978</v>
      </c>
      <c r="AA2634" s="14">
        <f t="shared" ref="AA2634:AA2636" si="336">+(0.6/1000)</f>
        <v>5.9999999999999995E-4</v>
      </c>
      <c r="AB2634">
        <v>2.9999999999999996</v>
      </c>
      <c r="AC2634">
        <v>3.1199999999999997</v>
      </c>
    </row>
    <row r="2635" spans="1:29" x14ac:dyDescent="0.3">
      <c r="A2635">
        <v>147389</v>
      </c>
      <c r="B2635" s="25" t="s">
        <v>5984</v>
      </c>
      <c r="C2635" t="s">
        <v>20</v>
      </c>
      <c r="D2635" t="s">
        <v>21</v>
      </c>
      <c r="E2635">
        <v>2222222</v>
      </c>
      <c r="F2635" s="8" t="s">
        <v>22</v>
      </c>
      <c r="G2635" s="2">
        <v>98</v>
      </c>
      <c r="H2635" t="s">
        <v>4284</v>
      </c>
      <c r="J2635" s="9" t="s">
        <v>5418</v>
      </c>
      <c r="K2635" t="s">
        <v>4961</v>
      </c>
      <c r="L2635" s="2">
        <v>1</v>
      </c>
      <c r="M2635" s="24" t="s">
        <v>5971</v>
      </c>
      <c r="N2635" s="2" t="s">
        <v>23</v>
      </c>
      <c r="O2635" s="18" t="s">
        <v>2085</v>
      </c>
      <c r="P2635" s="18" t="s">
        <v>0</v>
      </c>
      <c r="Q2635" s="6" t="s">
        <v>4475</v>
      </c>
      <c r="T2635" s="23">
        <v>45897</v>
      </c>
      <c r="U2635" s="23">
        <v>47722</v>
      </c>
      <c r="X2635" s="20">
        <v>10000</v>
      </c>
      <c r="Z2635" s="6" t="s">
        <v>5978</v>
      </c>
      <c r="AA2635" s="14">
        <f t="shared" si="336"/>
        <v>5.9999999999999995E-4</v>
      </c>
      <c r="AB2635">
        <v>5.1879720000000002</v>
      </c>
      <c r="AC2635">
        <v>5.3954908800000005</v>
      </c>
    </row>
    <row r="2636" spans="1:29" x14ac:dyDescent="0.3">
      <c r="A2636">
        <v>145215</v>
      </c>
      <c r="B2636" s="25" t="s">
        <v>5984</v>
      </c>
      <c r="C2636" t="s">
        <v>20</v>
      </c>
      <c r="D2636" t="s">
        <v>21</v>
      </c>
      <c r="E2636">
        <v>2222222</v>
      </c>
      <c r="F2636" s="8" t="s">
        <v>22</v>
      </c>
      <c r="G2636" s="2">
        <v>98</v>
      </c>
      <c r="H2636" t="s">
        <v>4285</v>
      </c>
      <c r="J2636" s="9" t="s">
        <v>5237</v>
      </c>
      <c r="K2636" t="s">
        <v>4969</v>
      </c>
      <c r="L2636" s="2">
        <v>1</v>
      </c>
      <c r="M2636" s="24" t="s">
        <v>5971</v>
      </c>
      <c r="N2636" s="2" t="s">
        <v>23</v>
      </c>
      <c r="O2636" s="18" t="s">
        <v>2086</v>
      </c>
      <c r="P2636" s="18" t="s">
        <v>3781</v>
      </c>
      <c r="Q2636" s="6" t="s">
        <v>4475</v>
      </c>
      <c r="T2636" s="23">
        <v>45723</v>
      </c>
      <c r="U2636" s="23">
        <v>46271</v>
      </c>
      <c r="X2636" s="20">
        <v>700</v>
      </c>
      <c r="Z2636" s="6" t="s">
        <v>5978</v>
      </c>
      <c r="AA2636" s="14">
        <f t="shared" si="336"/>
        <v>5.9999999999999995E-4</v>
      </c>
      <c r="AB2636">
        <v>5.1179999999999996E-2</v>
      </c>
      <c r="AC2636">
        <v>5.3227199999999995E-2</v>
      </c>
    </row>
    <row r="2637" spans="1:29" x14ac:dyDescent="0.3">
      <c r="A2637">
        <v>281</v>
      </c>
      <c r="B2637" s="25" t="s">
        <v>5984</v>
      </c>
      <c r="C2637" t="s">
        <v>20</v>
      </c>
      <c r="D2637" t="s">
        <v>21</v>
      </c>
      <c r="E2637">
        <v>2222222</v>
      </c>
      <c r="F2637" s="8" t="s">
        <v>22</v>
      </c>
      <c r="G2637" s="2">
        <v>98</v>
      </c>
      <c r="H2637" t="s">
        <v>4286</v>
      </c>
      <c r="J2637" s="9" t="s">
        <v>4836</v>
      </c>
      <c r="K2637" t="s">
        <v>4887</v>
      </c>
      <c r="L2637" s="2">
        <v>1</v>
      </c>
      <c r="M2637" s="24" t="s">
        <v>5971</v>
      </c>
      <c r="N2637" s="2" t="s">
        <v>23</v>
      </c>
      <c r="O2637" s="18" t="s">
        <v>2087</v>
      </c>
      <c r="P2637" s="18" t="s">
        <v>3781</v>
      </c>
      <c r="Q2637" s="6" t="s">
        <v>4475</v>
      </c>
      <c r="T2637" s="23">
        <v>39118</v>
      </c>
      <c r="U2637" s="23">
        <v>40579</v>
      </c>
      <c r="X2637" s="20">
        <v>7000</v>
      </c>
      <c r="Z2637" s="6" t="s">
        <v>5978</v>
      </c>
      <c r="AA2637" s="16">
        <f>+(0.36/1000)</f>
        <v>3.5999999999999997E-4</v>
      </c>
      <c r="AB2637">
        <v>2.1169835999999997</v>
      </c>
      <c r="AC2637">
        <v>2.2016629439999997</v>
      </c>
    </row>
    <row r="2638" spans="1:29" x14ac:dyDescent="0.3">
      <c r="A2638">
        <v>124665</v>
      </c>
      <c r="B2638" s="25" t="s">
        <v>5984</v>
      </c>
      <c r="C2638" t="s">
        <v>20</v>
      </c>
      <c r="D2638" t="s">
        <v>21</v>
      </c>
      <c r="E2638">
        <v>2222222</v>
      </c>
      <c r="F2638" s="8" t="s">
        <v>22</v>
      </c>
      <c r="G2638" s="2">
        <v>98</v>
      </c>
      <c r="H2638" t="s">
        <v>4286</v>
      </c>
      <c r="J2638" s="9" t="s">
        <v>5025</v>
      </c>
      <c r="K2638" t="s">
        <v>5103</v>
      </c>
      <c r="L2638" s="2">
        <v>1</v>
      </c>
      <c r="M2638" s="24" t="s">
        <v>5971</v>
      </c>
      <c r="N2638" s="2" t="s">
        <v>23</v>
      </c>
      <c r="O2638" s="18" t="s">
        <v>2088</v>
      </c>
      <c r="P2638" s="18" t="s">
        <v>3781</v>
      </c>
      <c r="Q2638" s="6" t="s">
        <v>4475</v>
      </c>
      <c r="T2638" s="23">
        <v>44530</v>
      </c>
      <c r="U2638" s="23">
        <v>47087</v>
      </c>
      <c r="X2638" s="20">
        <v>19600</v>
      </c>
      <c r="Z2638" s="6" t="s">
        <v>5978</v>
      </c>
      <c r="AA2638" s="15">
        <f>+(0.42/1000)</f>
        <v>4.1999999999999996E-4</v>
      </c>
      <c r="AB2638">
        <v>6.1961297999999996</v>
      </c>
      <c r="AC2638">
        <v>6.4439749919999993</v>
      </c>
    </row>
    <row r="2639" spans="1:29" x14ac:dyDescent="0.3">
      <c r="A2639">
        <v>130876</v>
      </c>
      <c r="B2639" s="25" t="s">
        <v>5984</v>
      </c>
      <c r="C2639" t="s">
        <v>20</v>
      </c>
      <c r="D2639" t="s">
        <v>21</v>
      </c>
      <c r="E2639">
        <v>2222222</v>
      </c>
      <c r="F2639" s="8" t="s">
        <v>22</v>
      </c>
      <c r="G2639" s="2">
        <v>98</v>
      </c>
      <c r="H2639" t="s">
        <v>4286</v>
      </c>
      <c r="J2639" s="9" t="s">
        <v>5652</v>
      </c>
      <c r="K2639" t="s">
        <v>4924</v>
      </c>
      <c r="L2639" s="2">
        <v>1</v>
      </c>
      <c r="M2639" s="24" t="s">
        <v>5971</v>
      </c>
      <c r="N2639" s="2" t="s">
        <v>23</v>
      </c>
      <c r="O2639" s="18" t="s">
        <v>2089</v>
      </c>
      <c r="P2639" s="18" t="s">
        <v>3781</v>
      </c>
      <c r="Q2639" s="6" t="s">
        <v>4475</v>
      </c>
      <c r="T2639" s="23">
        <v>44860</v>
      </c>
      <c r="U2639" s="23">
        <v>46327</v>
      </c>
      <c r="X2639" s="20">
        <v>8670</v>
      </c>
      <c r="Z2639" s="6" t="s">
        <v>5978</v>
      </c>
      <c r="AA2639" s="13">
        <f t="shared" ref="AA2639:AA2643" si="337">+(0.56/1000)</f>
        <v>5.6000000000000006E-4</v>
      </c>
      <c r="AB2639">
        <v>0.53410560000000007</v>
      </c>
      <c r="AC2639">
        <v>0.55546982400000011</v>
      </c>
    </row>
    <row r="2640" spans="1:29" x14ac:dyDescent="0.3">
      <c r="A2640">
        <v>135528</v>
      </c>
      <c r="B2640" s="25" t="s">
        <v>5984</v>
      </c>
      <c r="C2640" t="s">
        <v>20</v>
      </c>
      <c r="D2640" t="s">
        <v>21</v>
      </c>
      <c r="E2640">
        <v>2222222</v>
      </c>
      <c r="F2640" s="8" t="s">
        <v>22</v>
      </c>
      <c r="G2640" s="2">
        <v>98</v>
      </c>
      <c r="H2640" t="s">
        <v>4286</v>
      </c>
      <c r="J2640" s="9" t="s">
        <v>5240</v>
      </c>
      <c r="K2640" t="s">
        <v>5006</v>
      </c>
      <c r="L2640" s="2">
        <v>1</v>
      </c>
      <c r="M2640" s="24" t="s">
        <v>5971</v>
      </c>
      <c r="N2640" s="2" t="s">
        <v>23</v>
      </c>
      <c r="O2640" s="18" t="s">
        <v>2090</v>
      </c>
      <c r="P2640" s="18" t="s">
        <v>0</v>
      </c>
      <c r="Q2640" s="6" t="s">
        <v>4475</v>
      </c>
      <c r="T2640" s="23">
        <v>45124</v>
      </c>
      <c r="U2640" s="23">
        <v>47864</v>
      </c>
      <c r="X2640" s="20">
        <v>28000</v>
      </c>
      <c r="Z2640" s="6" t="s">
        <v>5978</v>
      </c>
      <c r="AA2640" s="13">
        <f t="shared" si="337"/>
        <v>5.6000000000000006E-4</v>
      </c>
      <c r="AB2640">
        <v>11.753072800000002</v>
      </c>
      <c r="AC2640">
        <v>12.223195712000003</v>
      </c>
    </row>
    <row r="2641" spans="1:29" x14ac:dyDescent="0.3">
      <c r="A2641">
        <v>138760</v>
      </c>
      <c r="B2641" s="25" t="s">
        <v>5984</v>
      </c>
      <c r="C2641" t="s">
        <v>20</v>
      </c>
      <c r="D2641" t="s">
        <v>21</v>
      </c>
      <c r="E2641">
        <v>2222222</v>
      </c>
      <c r="F2641" s="8" t="s">
        <v>22</v>
      </c>
      <c r="G2641" s="2">
        <v>98</v>
      </c>
      <c r="H2641" t="s">
        <v>4286</v>
      </c>
      <c r="J2641" s="9" t="s">
        <v>5068</v>
      </c>
      <c r="K2641" t="s">
        <v>4950</v>
      </c>
      <c r="L2641" s="2">
        <v>1</v>
      </c>
      <c r="M2641" s="24" t="s">
        <v>5971</v>
      </c>
      <c r="N2641" s="2" t="s">
        <v>23</v>
      </c>
      <c r="O2641" s="18" t="s">
        <v>2091</v>
      </c>
      <c r="P2641" s="18" t="s">
        <v>0</v>
      </c>
      <c r="Q2641" s="6" t="s">
        <v>4475</v>
      </c>
      <c r="T2641" s="23">
        <v>45295</v>
      </c>
      <c r="U2641" s="23">
        <v>47302</v>
      </c>
      <c r="X2641" s="20">
        <v>5000</v>
      </c>
      <c r="Z2641" s="6" t="s">
        <v>5978</v>
      </c>
      <c r="AA2641" s="13">
        <f t="shared" si="337"/>
        <v>5.6000000000000006E-4</v>
      </c>
      <c r="AB2641">
        <v>1.9580680000000004</v>
      </c>
      <c r="AC2641">
        <v>2.0363907200000004</v>
      </c>
    </row>
    <row r="2642" spans="1:29" x14ac:dyDescent="0.3">
      <c r="A2642">
        <v>139941</v>
      </c>
      <c r="B2642" s="25" t="s">
        <v>5984</v>
      </c>
      <c r="C2642" t="s">
        <v>20</v>
      </c>
      <c r="D2642" t="s">
        <v>21</v>
      </c>
      <c r="E2642">
        <v>2222222</v>
      </c>
      <c r="F2642" s="8" t="s">
        <v>22</v>
      </c>
      <c r="G2642" s="2">
        <v>98</v>
      </c>
      <c r="H2642" t="s">
        <v>4286</v>
      </c>
      <c r="J2642" s="9" t="s">
        <v>5112</v>
      </c>
      <c r="K2642" t="s">
        <v>5107</v>
      </c>
      <c r="L2642" s="2">
        <v>1</v>
      </c>
      <c r="M2642" s="24" t="s">
        <v>5971</v>
      </c>
      <c r="N2642" s="2" t="s">
        <v>23</v>
      </c>
      <c r="O2642" s="18" t="s">
        <v>2092</v>
      </c>
      <c r="P2642" s="18" t="s">
        <v>0</v>
      </c>
      <c r="Q2642" s="6" t="s">
        <v>4475</v>
      </c>
      <c r="T2642" s="23">
        <v>45356</v>
      </c>
      <c r="U2642" s="23">
        <v>46450</v>
      </c>
      <c r="X2642" s="20">
        <v>5000</v>
      </c>
      <c r="Z2642" s="6" t="s">
        <v>5978</v>
      </c>
      <c r="AA2642" s="13">
        <f t="shared" si="337"/>
        <v>5.6000000000000006E-4</v>
      </c>
      <c r="AB2642">
        <v>0.76722240000000008</v>
      </c>
      <c r="AC2642">
        <v>0.7979112960000001</v>
      </c>
    </row>
    <row r="2643" spans="1:29" x14ac:dyDescent="0.3">
      <c r="A2643">
        <v>140161</v>
      </c>
      <c r="B2643" s="25" t="s">
        <v>5984</v>
      </c>
      <c r="C2643" t="s">
        <v>20</v>
      </c>
      <c r="D2643" t="s">
        <v>21</v>
      </c>
      <c r="E2643">
        <v>2222222</v>
      </c>
      <c r="F2643" s="8" t="s">
        <v>22</v>
      </c>
      <c r="G2643" s="2">
        <v>98</v>
      </c>
      <c r="H2643" t="s">
        <v>4286</v>
      </c>
      <c r="J2643" s="9" t="s">
        <v>5502</v>
      </c>
      <c r="K2643" t="s">
        <v>4832</v>
      </c>
      <c r="L2643" s="2">
        <v>1</v>
      </c>
      <c r="M2643" s="24" t="s">
        <v>5971</v>
      </c>
      <c r="N2643" s="2" t="s">
        <v>23</v>
      </c>
      <c r="O2643" s="18" t="s">
        <v>2093</v>
      </c>
      <c r="P2643" s="18" t="s">
        <v>3781</v>
      </c>
      <c r="Q2643" s="6" t="s">
        <v>4475</v>
      </c>
      <c r="T2643" s="23">
        <v>45371</v>
      </c>
      <c r="U2643" s="23">
        <v>49114</v>
      </c>
      <c r="X2643" s="20">
        <v>100000</v>
      </c>
      <c r="Z2643" s="6" t="s">
        <v>5978</v>
      </c>
      <c r="AA2643" s="13">
        <f t="shared" si="337"/>
        <v>5.6000000000000006E-4</v>
      </c>
      <c r="AB2643">
        <v>49.339029600000011</v>
      </c>
      <c r="AC2643">
        <v>51.312590784000015</v>
      </c>
    </row>
    <row r="2644" spans="1:29" x14ac:dyDescent="0.3">
      <c r="A2644">
        <v>143396</v>
      </c>
      <c r="B2644" s="25" t="s">
        <v>5984</v>
      </c>
      <c r="C2644" t="s">
        <v>20</v>
      </c>
      <c r="D2644" t="s">
        <v>21</v>
      </c>
      <c r="E2644">
        <v>2222222</v>
      </c>
      <c r="F2644" s="8" t="s">
        <v>22</v>
      </c>
      <c r="G2644" s="2">
        <v>98</v>
      </c>
      <c r="H2644" t="s">
        <v>4286</v>
      </c>
      <c r="J2644" s="9" t="s">
        <v>5240</v>
      </c>
      <c r="K2644" t="s">
        <v>5006</v>
      </c>
      <c r="L2644" s="2">
        <v>1</v>
      </c>
      <c r="M2644" s="24" t="s">
        <v>5971</v>
      </c>
      <c r="N2644" s="2" t="s">
        <v>23</v>
      </c>
      <c r="O2644" s="18" t="s">
        <v>2090</v>
      </c>
      <c r="P2644" s="18" t="s">
        <v>0</v>
      </c>
      <c r="Q2644" s="6" t="s">
        <v>4475</v>
      </c>
      <c r="T2644" s="23">
        <v>45587</v>
      </c>
      <c r="U2644" s="23">
        <v>47594</v>
      </c>
      <c r="X2644" s="20">
        <v>5000</v>
      </c>
      <c r="Z2644" s="6" t="s">
        <v>5978</v>
      </c>
      <c r="AA2644" s="14">
        <f t="shared" ref="AA2644:AA2673" si="338">+(0.6/1000)</f>
        <v>5.9999999999999995E-4</v>
      </c>
      <c r="AB2644">
        <v>2.4467279999999998</v>
      </c>
      <c r="AC2644">
        <v>2.5445971199999997</v>
      </c>
    </row>
    <row r="2645" spans="1:29" x14ac:dyDescent="0.3">
      <c r="A2645">
        <v>143913</v>
      </c>
      <c r="B2645" s="25" t="s">
        <v>5984</v>
      </c>
      <c r="C2645" t="s">
        <v>20</v>
      </c>
      <c r="D2645" t="s">
        <v>21</v>
      </c>
      <c r="E2645">
        <v>2222222</v>
      </c>
      <c r="F2645" s="8" t="s">
        <v>22</v>
      </c>
      <c r="G2645" s="2">
        <v>98</v>
      </c>
      <c r="H2645" t="s">
        <v>4286</v>
      </c>
      <c r="J2645" s="9" t="s">
        <v>5068</v>
      </c>
      <c r="K2645" t="s">
        <v>5290</v>
      </c>
      <c r="L2645" s="2">
        <v>1</v>
      </c>
      <c r="M2645" s="24" t="s">
        <v>5971</v>
      </c>
      <c r="N2645" s="2" t="s">
        <v>23</v>
      </c>
      <c r="O2645" s="18" t="s">
        <v>2094</v>
      </c>
      <c r="P2645" s="18" t="s">
        <v>0</v>
      </c>
      <c r="Q2645" s="6" t="s">
        <v>4475</v>
      </c>
      <c r="T2645" s="23">
        <v>45624</v>
      </c>
      <c r="U2645" s="23">
        <v>47087</v>
      </c>
      <c r="X2645" s="20">
        <v>4500</v>
      </c>
      <c r="Z2645" s="6" t="s">
        <v>5978</v>
      </c>
      <c r="AA2645" s="14">
        <f t="shared" si="338"/>
        <v>5.9999999999999995E-4</v>
      </c>
      <c r="AB2645">
        <v>1.575</v>
      </c>
      <c r="AC2645">
        <v>1.6379999999999999</v>
      </c>
    </row>
    <row r="2646" spans="1:29" x14ac:dyDescent="0.3">
      <c r="A2646">
        <v>144116</v>
      </c>
      <c r="B2646" s="25" t="s">
        <v>5984</v>
      </c>
      <c r="C2646" t="s">
        <v>20</v>
      </c>
      <c r="D2646" t="s">
        <v>21</v>
      </c>
      <c r="E2646">
        <v>2222222</v>
      </c>
      <c r="F2646" s="8" t="s">
        <v>22</v>
      </c>
      <c r="G2646" s="2">
        <v>98</v>
      </c>
      <c r="H2646" t="s">
        <v>4286</v>
      </c>
      <c r="J2646" s="9" t="s">
        <v>4935</v>
      </c>
      <c r="K2646" t="s">
        <v>4900</v>
      </c>
      <c r="L2646" s="2">
        <v>1</v>
      </c>
      <c r="M2646" s="24" t="s">
        <v>5971</v>
      </c>
      <c r="N2646" s="2" t="s">
        <v>23</v>
      </c>
      <c r="O2646" s="18" t="s">
        <v>2095</v>
      </c>
      <c r="P2646" s="18" t="s">
        <v>0</v>
      </c>
      <c r="Q2646" s="6" t="s">
        <v>4475</v>
      </c>
      <c r="T2646" s="23">
        <v>45649</v>
      </c>
      <c r="U2646" s="23">
        <v>47112</v>
      </c>
      <c r="X2646" s="20">
        <v>15000</v>
      </c>
      <c r="Z2646" s="6" t="s">
        <v>5978</v>
      </c>
      <c r="AA2646" s="14">
        <f t="shared" si="338"/>
        <v>5.9999999999999995E-4</v>
      </c>
      <c r="AB2646">
        <v>6.2743979999999997</v>
      </c>
      <c r="AC2646">
        <v>6.5253739199999998</v>
      </c>
    </row>
    <row r="2647" spans="1:29" x14ac:dyDescent="0.3">
      <c r="A2647">
        <v>144685</v>
      </c>
      <c r="B2647" s="25" t="s">
        <v>5984</v>
      </c>
      <c r="C2647" t="s">
        <v>20</v>
      </c>
      <c r="D2647" t="s">
        <v>21</v>
      </c>
      <c r="E2647">
        <v>2222222</v>
      </c>
      <c r="F2647" s="8" t="s">
        <v>22</v>
      </c>
      <c r="G2647" s="2">
        <v>98</v>
      </c>
      <c r="H2647" t="s">
        <v>4286</v>
      </c>
      <c r="J2647" s="9" t="s">
        <v>5240</v>
      </c>
      <c r="K2647" t="s">
        <v>5006</v>
      </c>
      <c r="L2647" s="2">
        <v>1</v>
      </c>
      <c r="M2647" s="24" t="s">
        <v>5971</v>
      </c>
      <c r="N2647" s="2" t="s">
        <v>23</v>
      </c>
      <c r="O2647" s="18" t="s">
        <v>2090</v>
      </c>
      <c r="P2647" s="18" t="s">
        <v>0</v>
      </c>
      <c r="Q2647" s="6" t="s">
        <v>4475</v>
      </c>
      <c r="T2647" s="23">
        <v>45681</v>
      </c>
      <c r="U2647" s="23">
        <v>47687</v>
      </c>
      <c r="X2647" s="20">
        <v>5000</v>
      </c>
      <c r="Z2647" s="6" t="s">
        <v>5978</v>
      </c>
      <c r="AA2647" s="14">
        <f t="shared" si="338"/>
        <v>5.9999999999999995E-4</v>
      </c>
      <c r="AB2647">
        <v>2.5652999999999997</v>
      </c>
      <c r="AC2647">
        <v>2.6679119999999998</v>
      </c>
    </row>
    <row r="2648" spans="1:29" x14ac:dyDescent="0.3">
      <c r="A2648">
        <v>144703</v>
      </c>
      <c r="B2648" s="25" t="s">
        <v>5984</v>
      </c>
      <c r="C2648" t="s">
        <v>20</v>
      </c>
      <c r="D2648" t="s">
        <v>21</v>
      </c>
      <c r="E2648">
        <v>2222222</v>
      </c>
      <c r="F2648" s="8" t="s">
        <v>22</v>
      </c>
      <c r="G2648" s="2">
        <v>98</v>
      </c>
      <c r="H2648" t="s">
        <v>4286</v>
      </c>
      <c r="J2648" s="9" t="s">
        <v>5112</v>
      </c>
      <c r="K2648" t="s">
        <v>5160</v>
      </c>
      <c r="L2648" s="2">
        <v>1</v>
      </c>
      <c r="M2648" s="24" t="s">
        <v>5971</v>
      </c>
      <c r="N2648" s="2" t="s">
        <v>23</v>
      </c>
      <c r="O2648" s="18" t="s">
        <v>2096</v>
      </c>
      <c r="P2648" s="18" t="s">
        <v>0</v>
      </c>
      <c r="Q2648" s="6" t="s">
        <v>4475</v>
      </c>
      <c r="T2648" s="23">
        <v>45688</v>
      </c>
      <c r="U2648" s="23">
        <v>47516</v>
      </c>
      <c r="X2648" s="20">
        <v>7500</v>
      </c>
      <c r="Z2648" s="6" t="s">
        <v>5978</v>
      </c>
      <c r="AA2648" s="14">
        <f t="shared" si="338"/>
        <v>5.9999999999999995E-4</v>
      </c>
      <c r="AB2648">
        <v>3.4673279999999997</v>
      </c>
      <c r="AC2648">
        <v>3.6060211199999999</v>
      </c>
    </row>
    <row r="2649" spans="1:29" x14ac:dyDescent="0.3">
      <c r="A2649">
        <v>144798</v>
      </c>
      <c r="B2649" s="25" t="s">
        <v>5984</v>
      </c>
      <c r="C2649" t="s">
        <v>20</v>
      </c>
      <c r="D2649" t="s">
        <v>21</v>
      </c>
      <c r="E2649">
        <v>2222222</v>
      </c>
      <c r="F2649" s="8" t="s">
        <v>22</v>
      </c>
      <c r="G2649" s="2">
        <v>98</v>
      </c>
      <c r="H2649" t="s">
        <v>4286</v>
      </c>
      <c r="J2649" s="9" t="s">
        <v>4848</v>
      </c>
      <c r="K2649" t="s">
        <v>4949</v>
      </c>
      <c r="L2649" s="2">
        <v>1</v>
      </c>
      <c r="M2649" s="24" t="s">
        <v>5971</v>
      </c>
      <c r="N2649" s="2" t="s">
        <v>23</v>
      </c>
      <c r="O2649" s="18" t="s">
        <v>2097</v>
      </c>
      <c r="P2649" s="18" t="s">
        <v>0</v>
      </c>
      <c r="Q2649" s="6" t="s">
        <v>4475</v>
      </c>
      <c r="T2649" s="23">
        <v>45694</v>
      </c>
      <c r="U2649" s="23">
        <v>46576</v>
      </c>
      <c r="X2649" s="20">
        <v>30000</v>
      </c>
      <c r="Z2649" s="6" t="s">
        <v>5978</v>
      </c>
      <c r="AA2649" s="14">
        <f t="shared" si="338"/>
        <v>5.9999999999999995E-4</v>
      </c>
      <c r="AB2649">
        <v>6.9111059999999993</v>
      </c>
      <c r="AC2649">
        <v>7.1875502399999993</v>
      </c>
    </row>
    <row r="2650" spans="1:29" x14ac:dyDescent="0.3">
      <c r="A2650">
        <v>146215</v>
      </c>
      <c r="B2650" s="25" t="s">
        <v>5984</v>
      </c>
      <c r="C2650" t="s">
        <v>20</v>
      </c>
      <c r="D2650" t="s">
        <v>21</v>
      </c>
      <c r="E2650">
        <v>2222222</v>
      </c>
      <c r="F2650" s="8" t="s">
        <v>22</v>
      </c>
      <c r="G2650" s="2">
        <v>98</v>
      </c>
      <c r="H2650" t="s">
        <v>4286</v>
      </c>
      <c r="J2650" s="9" t="s">
        <v>5653</v>
      </c>
      <c r="K2650" t="s">
        <v>4845</v>
      </c>
      <c r="L2650" s="2">
        <v>1</v>
      </c>
      <c r="M2650" s="24" t="s">
        <v>5971</v>
      </c>
      <c r="N2650" s="2" t="s">
        <v>23</v>
      </c>
      <c r="O2650" s="18" t="s">
        <v>2098</v>
      </c>
      <c r="P2650" s="18" t="s">
        <v>3781</v>
      </c>
      <c r="Q2650" s="6" t="s">
        <v>4475</v>
      </c>
      <c r="T2650" s="23">
        <v>45799</v>
      </c>
      <c r="U2650" s="23">
        <v>47259</v>
      </c>
      <c r="X2650" s="20">
        <v>5000</v>
      </c>
      <c r="Z2650" s="6" t="s">
        <v>5978</v>
      </c>
      <c r="AA2650" s="14">
        <f t="shared" si="338"/>
        <v>5.9999999999999995E-4</v>
      </c>
      <c r="AB2650">
        <v>2.3352659999999998</v>
      </c>
      <c r="AC2650">
        <v>2.4286766399999999</v>
      </c>
    </row>
    <row r="2651" spans="1:29" x14ac:dyDescent="0.3">
      <c r="A2651">
        <v>147332</v>
      </c>
      <c r="B2651" s="25" t="s">
        <v>5984</v>
      </c>
      <c r="C2651" t="s">
        <v>20</v>
      </c>
      <c r="D2651" t="s">
        <v>21</v>
      </c>
      <c r="E2651">
        <v>2222222</v>
      </c>
      <c r="F2651" s="8" t="s">
        <v>22</v>
      </c>
      <c r="G2651" s="2">
        <v>98</v>
      </c>
      <c r="H2651" t="s">
        <v>4286</v>
      </c>
      <c r="J2651" s="9" t="s">
        <v>5164</v>
      </c>
      <c r="K2651" t="s">
        <v>4924</v>
      </c>
      <c r="L2651" s="2">
        <v>1</v>
      </c>
      <c r="M2651" s="24" t="s">
        <v>5971</v>
      </c>
      <c r="N2651" s="2" t="s">
        <v>23</v>
      </c>
      <c r="O2651" s="18" t="s">
        <v>2099</v>
      </c>
      <c r="P2651" s="18" t="s">
        <v>3781</v>
      </c>
      <c r="Q2651" s="6" t="s">
        <v>4475</v>
      </c>
      <c r="T2651" s="23">
        <v>45882</v>
      </c>
      <c r="U2651" s="23">
        <v>47342</v>
      </c>
      <c r="X2651" s="20">
        <v>5000</v>
      </c>
      <c r="Z2651" s="6" t="s">
        <v>5978</v>
      </c>
      <c r="AA2651" s="14">
        <f t="shared" si="338"/>
        <v>5.9999999999999995E-4</v>
      </c>
      <c r="AB2651">
        <v>2.4882239999999998</v>
      </c>
      <c r="AC2651">
        <v>2.58775296</v>
      </c>
    </row>
    <row r="2652" spans="1:29" x14ac:dyDescent="0.3">
      <c r="A2652">
        <v>147464</v>
      </c>
      <c r="B2652" s="25" t="s">
        <v>5984</v>
      </c>
      <c r="C2652" t="s">
        <v>20</v>
      </c>
      <c r="D2652" t="s">
        <v>21</v>
      </c>
      <c r="E2652">
        <v>2222222</v>
      </c>
      <c r="F2652" s="8" t="s">
        <v>22</v>
      </c>
      <c r="G2652" s="2">
        <v>98</v>
      </c>
      <c r="H2652" t="s">
        <v>4286</v>
      </c>
      <c r="J2652" s="9" t="s">
        <v>5240</v>
      </c>
      <c r="K2652" t="s">
        <v>5006</v>
      </c>
      <c r="L2652" s="2">
        <v>1</v>
      </c>
      <c r="M2652" s="24" t="s">
        <v>5971</v>
      </c>
      <c r="N2652" s="2" t="s">
        <v>23</v>
      </c>
      <c r="O2652" s="18" t="s">
        <v>2090</v>
      </c>
      <c r="P2652" s="18" t="s">
        <v>0</v>
      </c>
      <c r="Q2652" s="6" t="s">
        <v>4475</v>
      </c>
      <c r="T2652" s="23">
        <v>45890</v>
      </c>
      <c r="U2652" s="23">
        <v>49541</v>
      </c>
      <c r="X2652" s="20">
        <v>4000</v>
      </c>
      <c r="Z2652" s="6" t="s">
        <v>5978</v>
      </c>
      <c r="AA2652" s="14">
        <f t="shared" si="338"/>
        <v>5.9999999999999995E-4</v>
      </c>
      <c r="AB2652">
        <v>2.2791239999999999</v>
      </c>
      <c r="AC2652">
        <v>2.3702889599999999</v>
      </c>
    </row>
    <row r="2653" spans="1:29" x14ac:dyDescent="0.3">
      <c r="A2653">
        <v>147881</v>
      </c>
      <c r="B2653" s="25" t="s">
        <v>5984</v>
      </c>
      <c r="C2653" t="s">
        <v>20</v>
      </c>
      <c r="D2653" t="s">
        <v>21</v>
      </c>
      <c r="E2653">
        <v>2222222</v>
      </c>
      <c r="F2653" s="8" t="s">
        <v>22</v>
      </c>
      <c r="G2653" s="2">
        <v>98</v>
      </c>
      <c r="H2653" t="s">
        <v>4286</v>
      </c>
      <c r="J2653" s="9" t="s">
        <v>5185</v>
      </c>
      <c r="K2653" t="s">
        <v>4905</v>
      </c>
      <c r="L2653" s="2">
        <v>1</v>
      </c>
      <c r="M2653" s="24" t="s">
        <v>5971</v>
      </c>
      <c r="N2653" s="2" t="s">
        <v>23</v>
      </c>
      <c r="O2653" s="18" t="s">
        <v>2100</v>
      </c>
      <c r="P2653" s="18" t="s">
        <v>0</v>
      </c>
      <c r="Q2653" s="6" t="s">
        <v>4475</v>
      </c>
      <c r="T2653" s="23">
        <v>45919</v>
      </c>
      <c r="U2653" s="23">
        <v>47380</v>
      </c>
      <c r="X2653" s="20">
        <v>5000</v>
      </c>
      <c r="Z2653" s="6" t="s">
        <v>5978</v>
      </c>
      <c r="AA2653" s="14">
        <f t="shared" si="338"/>
        <v>5.9999999999999995E-4</v>
      </c>
      <c r="AB2653">
        <v>2.5388099999999998</v>
      </c>
      <c r="AC2653">
        <v>2.6403623999999999</v>
      </c>
    </row>
    <row r="2654" spans="1:29" x14ac:dyDescent="0.3">
      <c r="A2654">
        <v>150028</v>
      </c>
      <c r="B2654" s="25" t="s">
        <v>5984</v>
      </c>
      <c r="C2654" t="s">
        <v>20</v>
      </c>
      <c r="D2654" t="s">
        <v>21</v>
      </c>
      <c r="E2654">
        <v>2222222</v>
      </c>
      <c r="F2654" s="8" t="s">
        <v>22</v>
      </c>
      <c r="G2654" s="2">
        <v>98</v>
      </c>
      <c r="H2654" t="s">
        <v>4286</v>
      </c>
      <c r="J2654" s="9" t="s">
        <v>5112</v>
      </c>
      <c r="K2654" t="s">
        <v>5519</v>
      </c>
      <c r="L2654" s="2">
        <v>1</v>
      </c>
      <c r="M2654" s="24" t="s">
        <v>5971</v>
      </c>
      <c r="N2654" s="2" t="s">
        <v>23</v>
      </c>
      <c r="O2654" s="18" t="s">
        <v>2101</v>
      </c>
      <c r="P2654" s="18" t="s">
        <v>0</v>
      </c>
      <c r="Q2654" s="6" t="s">
        <v>4475</v>
      </c>
      <c r="T2654" s="23">
        <v>46065</v>
      </c>
      <c r="U2654" s="23">
        <v>47163</v>
      </c>
      <c r="X2654" s="20">
        <v>5000</v>
      </c>
      <c r="Z2654" s="6" t="s">
        <v>5978</v>
      </c>
      <c r="AA2654" s="14">
        <f t="shared" si="338"/>
        <v>5.9999999999999995E-4</v>
      </c>
      <c r="AB2654">
        <v>2.6551979999999995</v>
      </c>
      <c r="AC2654">
        <v>2.7614059199999996</v>
      </c>
    </row>
    <row r="2655" spans="1:29" x14ac:dyDescent="0.3">
      <c r="A2655">
        <v>150096</v>
      </c>
      <c r="B2655" s="25" t="s">
        <v>5984</v>
      </c>
      <c r="C2655" t="s">
        <v>20</v>
      </c>
      <c r="D2655" t="s">
        <v>21</v>
      </c>
      <c r="E2655">
        <v>2222222</v>
      </c>
      <c r="F2655" s="8" t="s">
        <v>22</v>
      </c>
      <c r="G2655" s="2">
        <v>98</v>
      </c>
      <c r="H2655" t="s">
        <v>4286</v>
      </c>
      <c r="J2655" s="9" t="s">
        <v>5112</v>
      </c>
      <c r="K2655" t="s">
        <v>5107</v>
      </c>
      <c r="L2655" s="2">
        <v>1</v>
      </c>
      <c r="M2655" s="24" t="s">
        <v>5971</v>
      </c>
      <c r="N2655" s="2" t="s">
        <v>23</v>
      </c>
      <c r="O2655" s="18" t="s">
        <v>2092</v>
      </c>
      <c r="P2655" s="18" t="s">
        <v>0</v>
      </c>
      <c r="Q2655" s="6" t="s">
        <v>4475</v>
      </c>
      <c r="T2655" s="23">
        <v>46072</v>
      </c>
      <c r="U2655" s="23">
        <v>47170</v>
      </c>
      <c r="X2655" s="20">
        <v>5000</v>
      </c>
      <c r="Z2655" s="6" t="s">
        <v>5978</v>
      </c>
      <c r="AA2655" s="14">
        <f t="shared" si="338"/>
        <v>5.9999999999999995E-4</v>
      </c>
      <c r="AB2655">
        <v>2.6647439999999998</v>
      </c>
      <c r="AC2655">
        <v>2.7713337599999996</v>
      </c>
    </row>
    <row r="2656" spans="1:29" x14ac:dyDescent="0.3">
      <c r="A2656">
        <v>150135</v>
      </c>
      <c r="B2656" s="25" t="s">
        <v>5984</v>
      </c>
      <c r="C2656" t="s">
        <v>20</v>
      </c>
      <c r="D2656" t="s">
        <v>21</v>
      </c>
      <c r="E2656">
        <v>2222222</v>
      </c>
      <c r="F2656" s="8" t="s">
        <v>22</v>
      </c>
      <c r="G2656" s="2">
        <v>98</v>
      </c>
      <c r="H2656" t="s">
        <v>4286</v>
      </c>
      <c r="J2656" s="9" t="s">
        <v>4876</v>
      </c>
      <c r="K2656" t="s">
        <v>4953</v>
      </c>
      <c r="L2656" s="2">
        <v>1</v>
      </c>
      <c r="M2656" s="24" t="s">
        <v>5971</v>
      </c>
      <c r="N2656" s="2" t="s">
        <v>23</v>
      </c>
      <c r="O2656" s="18" t="s">
        <v>2102</v>
      </c>
      <c r="P2656" s="18" t="s">
        <v>0</v>
      </c>
      <c r="Q2656" s="6" t="s">
        <v>4475</v>
      </c>
      <c r="T2656" s="23">
        <v>46073</v>
      </c>
      <c r="U2656" s="23">
        <v>46805</v>
      </c>
      <c r="X2656" s="20">
        <v>2600</v>
      </c>
      <c r="Z2656" s="6" t="s">
        <v>5978</v>
      </c>
      <c r="AA2656" s="14">
        <f t="shared" si="338"/>
        <v>5.9999999999999995E-4</v>
      </c>
      <c r="AB2656">
        <v>1.2774179999999999</v>
      </c>
      <c r="AC2656">
        <v>1.32851472</v>
      </c>
    </row>
    <row r="2657" spans="1:29" x14ac:dyDescent="0.3">
      <c r="A2657">
        <v>150184</v>
      </c>
      <c r="B2657" s="25" t="s">
        <v>5984</v>
      </c>
      <c r="C2657" t="s">
        <v>20</v>
      </c>
      <c r="D2657" t="s">
        <v>21</v>
      </c>
      <c r="E2657">
        <v>2222222</v>
      </c>
      <c r="F2657" s="8" t="s">
        <v>22</v>
      </c>
      <c r="G2657" s="2">
        <v>98</v>
      </c>
      <c r="H2657" t="s">
        <v>4286</v>
      </c>
      <c r="J2657" s="9" t="s">
        <v>5240</v>
      </c>
      <c r="K2657" t="s">
        <v>5064</v>
      </c>
      <c r="L2657" s="2">
        <v>1</v>
      </c>
      <c r="M2657" s="24" t="s">
        <v>5971</v>
      </c>
      <c r="N2657" s="2" t="s">
        <v>23</v>
      </c>
      <c r="O2657" s="18" t="s">
        <v>2103</v>
      </c>
      <c r="P2657" s="18" t="s">
        <v>0</v>
      </c>
      <c r="Q2657" s="6" t="s">
        <v>4475</v>
      </c>
      <c r="T2657" s="23">
        <v>46077</v>
      </c>
      <c r="U2657" s="23">
        <v>46991</v>
      </c>
      <c r="X2657" s="20">
        <v>2680</v>
      </c>
      <c r="Z2657" s="6" t="s">
        <v>5978</v>
      </c>
      <c r="AA2657" s="14">
        <f t="shared" si="338"/>
        <v>5.9999999999999995E-4</v>
      </c>
      <c r="AB2657">
        <v>1.3853519999999999</v>
      </c>
      <c r="AC2657">
        <v>1.4407660799999999</v>
      </c>
    </row>
    <row r="2658" spans="1:29" x14ac:dyDescent="0.3">
      <c r="A2658">
        <v>150433</v>
      </c>
      <c r="B2658" s="25" t="s">
        <v>5984</v>
      </c>
      <c r="C2658" t="s">
        <v>20</v>
      </c>
      <c r="D2658" t="s">
        <v>21</v>
      </c>
      <c r="E2658">
        <v>2222222</v>
      </c>
      <c r="F2658" s="8" t="s">
        <v>22</v>
      </c>
      <c r="G2658" s="2">
        <v>98</v>
      </c>
      <c r="H2658" t="s">
        <v>4286</v>
      </c>
      <c r="J2658" s="9" t="s">
        <v>4826</v>
      </c>
      <c r="K2658" t="s">
        <v>4853</v>
      </c>
      <c r="L2658" s="2">
        <v>1</v>
      </c>
      <c r="M2658" s="24" t="s">
        <v>5971</v>
      </c>
      <c r="N2658" s="2" t="s">
        <v>23</v>
      </c>
      <c r="O2658" s="18" t="s">
        <v>2104</v>
      </c>
      <c r="P2658" s="18" t="s">
        <v>0</v>
      </c>
      <c r="Q2658" s="6" t="s">
        <v>4475</v>
      </c>
      <c r="T2658" s="23">
        <v>46093</v>
      </c>
      <c r="U2658" s="23">
        <v>47188</v>
      </c>
      <c r="X2658" s="20">
        <v>4000</v>
      </c>
      <c r="Z2658" s="6" t="s">
        <v>5978</v>
      </c>
      <c r="AA2658" s="14">
        <f t="shared" si="338"/>
        <v>5.9999999999999995E-4</v>
      </c>
      <c r="AB2658">
        <v>2.1800579999999998</v>
      </c>
      <c r="AC2658">
        <v>2.2672603200000001</v>
      </c>
    </row>
    <row r="2659" spans="1:29" x14ac:dyDescent="0.3">
      <c r="A2659">
        <v>150890</v>
      </c>
      <c r="B2659" s="25" t="s">
        <v>5984</v>
      </c>
      <c r="C2659" t="s">
        <v>20</v>
      </c>
      <c r="D2659" t="s">
        <v>21</v>
      </c>
      <c r="E2659">
        <v>2222222</v>
      </c>
      <c r="F2659" s="8" t="s">
        <v>22</v>
      </c>
      <c r="G2659" s="2">
        <v>98</v>
      </c>
      <c r="H2659" t="s">
        <v>4286</v>
      </c>
      <c r="J2659" s="9" t="s">
        <v>5477</v>
      </c>
      <c r="K2659" t="s">
        <v>5654</v>
      </c>
      <c r="L2659" s="2">
        <v>1</v>
      </c>
      <c r="M2659" s="24" t="s">
        <v>5971</v>
      </c>
      <c r="N2659" s="2" t="s">
        <v>23</v>
      </c>
      <c r="O2659" s="18" t="s">
        <v>2100</v>
      </c>
      <c r="P2659" s="18" t="s">
        <v>0</v>
      </c>
      <c r="Q2659" s="6" t="s">
        <v>4475</v>
      </c>
      <c r="T2659" s="23">
        <v>46125</v>
      </c>
      <c r="U2659" s="23">
        <v>46308</v>
      </c>
      <c r="X2659" s="20">
        <v>570</v>
      </c>
      <c r="Z2659" s="6" t="s">
        <v>5978</v>
      </c>
      <c r="AA2659" s="14">
        <f t="shared" si="338"/>
        <v>5.9999999999999995E-4</v>
      </c>
      <c r="AB2659">
        <v>0.17462999999999998</v>
      </c>
      <c r="AC2659">
        <v>0.18161519999999998</v>
      </c>
    </row>
    <row r="2660" spans="1:29" x14ac:dyDescent="0.3">
      <c r="A2660">
        <v>151133</v>
      </c>
      <c r="B2660" s="25" t="s">
        <v>5984</v>
      </c>
      <c r="C2660" t="s">
        <v>20</v>
      </c>
      <c r="D2660" t="s">
        <v>21</v>
      </c>
      <c r="E2660">
        <v>2222222</v>
      </c>
      <c r="F2660" s="8" t="s">
        <v>22</v>
      </c>
      <c r="G2660" s="2">
        <v>98</v>
      </c>
      <c r="H2660" t="s">
        <v>4286</v>
      </c>
      <c r="J2660" s="9" t="s">
        <v>5068</v>
      </c>
      <c r="K2660" t="s">
        <v>4950</v>
      </c>
      <c r="L2660" s="2">
        <v>1</v>
      </c>
      <c r="M2660" s="24" t="s">
        <v>5971</v>
      </c>
      <c r="N2660" s="2" t="s">
        <v>23</v>
      </c>
      <c r="O2660" s="18" t="s">
        <v>2091</v>
      </c>
      <c r="P2660" s="18" t="s">
        <v>0</v>
      </c>
      <c r="Q2660" s="6" t="s">
        <v>4475</v>
      </c>
      <c r="T2660" s="23">
        <v>46140</v>
      </c>
      <c r="U2660" s="23">
        <v>47969</v>
      </c>
      <c r="X2660" s="20">
        <v>4580</v>
      </c>
      <c r="Z2660" s="6" t="s">
        <v>5978</v>
      </c>
      <c r="AA2660" s="14">
        <f t="shared" si="338"/>
        <v>5.9999999999999995E-4</v>
      </c>
      <c r="AB2660">
        <v>2.7141179999999996</v>
      </c>
      <c r="AC2660">
        <v>2.8226827199999995</v>
      </c>
    </row>
    <row r="2661" spans="1:29" x14ac:dyDescent="0.3">
      <c r="A2661">
        <v>151163</v>
      </c>
      <c r="B2661" s="25" t="s">
        <v>5984</v>
      </c>
      <c r="C2661" t="s">
        <v>20</v>
      </c>
      <c r="D2661" t="s">
        <v>21</v>
      </c>
      <c r="E2661">
        <v>2222222</v>
      </c>
      <c r="F2661" s="8" t="s">
        <v>22</v>
      </c>
      <c r="G2661" s="2">
        <v>98</v>
      </c>
      <c r="H2661" t="s">
        <v>4286</v>
      </c>
      <c r="J2661" s="9" t="s">
        <v>4995</v>
      </c>
      <c r="K2661" t="s">
        <v>5655</v>
      </c>
      <c r="L2661" s="2">
        <v>1</v>
      </c>
      <c r="M2661" s="24" t="s">
        <v>5971</v>
      </c>
      <c r="N2661" s="2" t="s">
        <v>23</v>
      </c>
      <c r="O2661" s="18" t="s">
        <v>2105</v>
      </c>
      <c r="P2661" s="18" t="s">
        <v>0</v>
      </c>
      <c r="Q2661" s="6" t="s">
        <v>4475</v>
      </c>
      <c r="T2661" s="23">
        <v>46142</v>
      </c>
      <c r="U2661" s="23">
        <v>46232</v>
      </c>
      <c r="X2661" s="20">
        <v>4000</v>
      </c>
      <c r="Z2661" s="6" t="s">
        <v>5978</v>
      </c>
      <c r="AA2661" s="14">
        <f t="shared" si="338"/>
        <v>5.9999999999999995E-4</v>
      </c>
      <c r="AB2661">
        <v>2.4</v>
      </c>
      <c r="AC2661">
        <v>2.496</v>
      </c>
    </row>
    <row r="2662" spans="1:29" x14ac:dyDescent="0.3">
      <c r="A2662">
        <v>151165</v>
      </c>
      <c r="B2662" s="25" t="s">
        <v>5984</v>
      </c>
      <c r="C2662" t="s">
        <v>20</v>
      </c>
      <c r="D2662" t="s">
        <v>21</v>
      </c>
      <c r="E2662">
        <v>2222222</v>
      </c>
      <c r="F2662" s="8" t="s">
        <v>22</v>
      </c>
      <c r="G2662" s="2">
        <v>98</v>
      </c>
      <c r="H2662" t="s">
        <v>4286</v>
      </c>
      <c r="J2662" s="9" t="s">
        <v>5007</v>
      </c>
      <c r="K2662" t="s">
        <v>5656</v>
      </c>
      <c r="L2662" s="2">
        <v>1</v>
      </c>
      <c r="M2662" s="24" t="s">
        <v>5971</v>
      </c>
      <c r="N2662" s="2" t="s">
        <v>23</v>
      </c>
      <c r="O2662" s="18" t="s">
        <v>2106</v>
      </c>
      <c r="P2662" s="18" t="s">
        <v>0</v>
      </c>
      <c r="Q2662" s="6" t="s">
        <v>4475</v>
      </c>
      <c r="T2662" s="23">
        <v>46142</v>
      </c>
      <c r="U2662" s="23">
        <v>47238</v>
      </c>
      <c r="X2662" s="20">
        <v>3500</v>
      </c>
      <c r="Z2662" s="6" t="s">
        <v>5978</v>
      </c>
      <c r="AA2662" s="14">
        <f t="shared" si="338"/>
        <v>5.9999999999999995E-4</v>
      </c>
      <c r="AB2662">
        <v>2.0053019999999999</v>
      </c>
      <c r="AC2662">
        <v>2.0855140799999998</v>
      </c>
    </row>
    <row r="2663" spans="1:29" x14ac:dyDescent="0.3">
      <c r="A2663">
        <v>151166</v>
      </c>
      <c r="B2663" s="25" t="s">
        <v>5984</v>
      </c>
      <c r="C2663" t="s">
        <v>20</v>
      </c>
      <c r="D2663" t="s">
        <v>21</v>
      </c>
      <c r="E2663">
        <v>2222222</v>
      </c>
      <c r="F2663" s="8" t="s">
        <v>22</v>
      </c>
      <c r="G2663" s="2">
        <v>98</v>
      </c>
      <c r="H2663" t="s">
        <v>4286</v>
      </c>
      <c r="J2663" s="9" t="s">
        <v>4877</v>
      </c>
      <c r="K2663" t="s">
        <v>5298</v>
      </c>
      <c r="L2663" s="2">
        <v>1</v>
      </c>
      <c r="M2663" s="24" t="s">
        <v>5971</v>
      </c>
      <c r="N2663" s="2" t="s">
        <v>23</v>
      </c>
      <c r="O2663" s="18" t="s">
        <v>2107</v>
      </c>
      <c r="P2663" s="18" t="s">
        <v>0</v>
      </c>
      <c r="Q2663" s="6" t="s">
        <v>4475</v>
      </c>
      <c r="T2663" s="23">
        <v>46142</v>
      </c>
      <c r="U2663" s="23">
        <v>46232</v>
      </c>
      <c r="X2663" s="20">
        <v>5000</v>
      </c>
      <c r="Z2663" s="6" t="s">
        <v>5978</v>
      </c>
      <c r="AA2663" s="14">
        <f t="shared" si="338"/>
        <v>5.9999999999999995E-4</v>
      </c>
      <c r="AB2663">
        <v>2.9999999999999996</v>
      </c>
      <c r="AC2663">
        <v>3.1199999999999997</v>
      </c>
    </row>
    <row r="2664" spans="1:29" x14ac:dyDescent="0.3">
      <c r="A2664">
        <v>151594</v>
      </c>
      <c r="B2664" s="25" t="s">
        <v>5984</v>
      </c>
      <c r="C2664" t="s">
        <v>20</v>
      </c>
      <c r="D2664" t="s">
        <v>21</v>
      </c>
      <c r="E2664">
        <v>2222222</v>
      </c>
      <c r="F2664" s="8" t="s">
        <v>22</v>
      </c>
      <c r="G2664" s="2">
        <v>98</v>
      </c>
      <c r="H2664" t="s">
        <v>4286</v>
      </c>
      <c r="J2664" s="9" t="s">
        <v>5068</v>
      </c>
      <c r="K2664" t="s">
        <v>5290</v>
      </c>
      <c r="L2664" s="2">
        <v>1</v>
      </c>
      <c r="M2664" s="24" t="s">
        <v>5971</v>
      </c>
      <c r="N2664" s="2" t="s">
        <v>23</v>
      </c>
      <c r="O2664" s="18" t="s">
        <v>2094</v>
      </c>
      <c r="P2664" s="18" t="s">
        <v>0</v>
      </c>
      <c r="Q2664" s="6" t="s">
        <v>4475</v>
      </c>
      <c r="T2664" s="23">
        <v>46181</v>
      </c>
      <c r="U2664" s="23">
        <v>48373</v>
      </c>
      <c r="X2664" s="20">
        <v>25000</v>
      </c>
      <c r="Z2664" s="6" t="s">
        <v>5978</v>
      </c>
      <c r="AA2664" s="14">
        <f t="shared" si="338"/>
        <v>5.9999999999999995E-4</v>
      </c>
      <c r="AB2664">
        <v>14.791667999999998</v>
      </c>
      <c r="AC2664">
        <v>15.383334719999999</v>
      </c>
    </row>
    <row r="2665" spans="1:29" x14ac:dyDescent="0.3">
      <c r="A2665">
        <v>151775</v>
      </c>
      <c r="B2665" s="25" t="s">
        <v>5984</v>
      </c>
      <c r="C2665" t="s">
        <v>20</v>
      </c>
      <c r="D2665" t="s">
        <v>21</v>
      </c>
      <c r="E2665">
        <v>2222222</v>
      </c>
      <c r="F2665" s="8" t="s">
        <v>22</v>
      </c>
      <c r="G2665" s="2">
        <v>98</v>
      </c>
      <c r="H2665" t="s">
        <v>4286</v>
      </c>
      <c r="J2665" s="9" t="s">
        <v>4852</v>
      </c>
      <c r="K2665" t="s">
        <v>5089</v>
      </c>
      <c r="L2665" s="2">
        <v>1</v>
      </c>
      <c r="M2665" s="24" t="s">
        <v>5971</v>
      </c>
      <c r="N2665" s="2" t="s">
        <v>23</v>
      </c>
      <c r="O2665" s="18" t="s">
        <v>2044</v>
      </c>
      <c r="P2665" s="18" t="s">
        <v>0</v>
      </c>
      <c r="Q2665" s="6" t="s">
        <v>4475</v>
      </c>
      <c r="T2665" s="23">
        <v>46186</v>
      </c>
      <c r="U2665" s="23">
        <v>46276</v>
      </c>
      <c r="X2665" s="20">
        <v>500</v>
      </c>
      <c r="Z2665" s="6" t="s">
        <v>5978</v>
      </c>
      <c r="AA2665" s="14">
        <f t="shared" si="338"/>
        <v>5.9999999999999995E-4</v>
      </c>
      <c r="AB2665">
        <v>0.3</v>
      </c>
      <c r="AC2665">
        <v>0.312</v>
      </c>
    </row>
    <row r="2666" spans="1:29" x14ac:dyDescent="0.3">
      <c r="A2666">
        <v>151903</v>
      </c>
      <c r="B2666" s="25" t="s">
        <v>5984</v>
      </c>
      <c r="C2666" t="s">
        <v>20</v>
      </c>
      <c r="D2666" t="s">
        <v>21</v>
      </c>
      <c r="E2666">
        <v>2222222</v>
      </c>
      <c r="F2666" s="8" t="s">
        <v>22</v>
      </c>
      <c r="G2666" s="2">
        <v>98</v>
      </c>
      <c r="H2666" t="s">
        <v>4286</v>
      </c>
      <c r="J2666" s="9" t="s">
        <v>5032</v>
      </c>
      <c r="K2666" t="s">
        <v>4928</v>
      </c>
      <c r="L2666" s="2">
        <v>1</v>
      </c>
      <c r="M2666" s="24" t="s">
        <v>5971</v>
      </c>
      <c r="N2666" s="2" t="s">
        <v>23</v>
      </c>
      <c r="O2666" s="18" t="s">
        <v>1534</v>
      </c>
      <c r="P2666" s="18" t="s">
        <v>3781</v>
      </c>
      <c r="Q2666" s="6" t="s">
        <v>4475</v>
      </c>
      <c r="T2666" s="23">
        <v>46196</v>
      </c>
      <c r="U2666" s="23">
        <v>46286</v>
      </c>
      <c r="X2666" s="20">
        <v>495</v>
      </c>
      <c r="Z2666" s="6" t="s">
        <v>5978</v>
      </c>
      <c r="AA2666" s="14">
        <f t="shared" si="338"/>
        <v>5.9999999999999995E-4</v>
      </c>
      <c r="AB2666">
        <v>0.29699999999999999</v>
      </c>
      <c r="AC2666">
        <v>0.30887999999999999</v>
      </c>
    </row>
    <row r="2667" spans="1:29" x14ac:dyDescent="0.3">
      <c r="A2667">
        <v>151965</v>
      </c>
      <c r="B2667" s="25" t="s">
        <v>5984</v>
      </c>
      <c r="C2667" t="s">
        <v>20</v>
      </c>
      <c r="D2667" t="s">
        <v>21</v>
      </c>
      <c r="E2667">
        <v>2222222</v>
      </c>
      <c r="F2667" s="8" t="s">
        <v>22</v>
      </c>
      <c r="G2667" s="2">
        <v>98</v>
      </c>
      <c r="H2667" t="s">
        <v>4286</v>
      </c>
      <c r="J2667" s="9" t="s">
        <v>4891</v>
      </c>
      <c r="K2667" t="s">
        <v>5026</v>
      </c>
      <c r="L2667" s="2">
        <v>1</v>
      </c>
      <c r="M2667" s="24" t="s">
        <v>5971</v>
      </c>
      <c r="N2667" s="2" t="s">
        <v>23</v>
      </c>
      <c r="O2667" s="18" t="s">
        <v>2108</v>
      </c>
      <c r="P2667" s="18" t="s">
        <v>3781</v>
      </c>
      <c r="Q2667" s="6" t="s">
        <v>4475</v>
      </c>
      <c r="T2667" s="23">
        <v>46202</v>
      </c>
      <c r="U2667" s="23">
        <v>47302</v>
      </c>
      <c r="X2667" s="20">
        <v>2720</v>
      </c>
      <c r="Z2667" s="6" t="s">
        <v>5978</v>
      </c>
      <c r="AA2667" s="14">
        <f t="shared" si="338"/>
        <v>5.9999999999999995E-4</v>
      </c>
      <c r="AB2667">
        <v>1.6319999999999999</v>
      </c>
      <c r="AC2667">
        <v>1.6972799999999999</v>
      </c>
    </row>
    <row r="2668" spans="1:29" x14ac:dyDescent="0.3">
      <c r="A2668">
        <v>151966</v>
      </c>
      <c r="B2668" s="25" t="s">
        <v>5984</v>
      </c>
      <c r="C2668" t="s">
        <v>20</v>
      </c>
      <c r="D2668" t="s">
        <v>21</v>
      </c>
      <c r="E2668">
        <v>2222222</v>
      </c>
      <c r="F2668" s="8" t="s">
        <v>22</v>
      </c>
      <c r="G2668" s="2">
        <v>98</v>
      </c>
      <c r="H2668" t="s">
        <v>4286</v>
      </c>
      <c r="J2668" s="9" t="s">
        <v>5657</v>
      </c>
      <c r="K2668" t="s">
        <v>4919</v>
      </c>
      <c r="L2668" s="2">
        <v>1</v>
      </c>
      <c r="M2668" s="24" t="s">
        <v>5971</v>
      </c>
      <c r="N2668" s="2" t="s">
        <v>23</v>
      </c>
      <c r="O2668" s="18" t="s">
        <v>2109</v>
      </c>
      <c r="P2668" s="18" t="s">
        <v>0</v>
      </c>
      <c r="Q2668" s="6" t="s">
        <v>4475</v>
      </c>
      <c r="T2668" s="23">
        <v>46202</v>
      </c>
      <c r="U2668" s="23">
        <v>47667</v>
      </c>
      <c r="X2668" s="20">
        <v>5000</v>
      </c>
      <c r="Z2668" s="6" t="s">
        <v>5978</v>
      </c>
      <c r="AA2668" s="14">
        <f t="shared" si="338"/>
        <v>5.9999999999999995E-4</v>
      </c>
      <c r="AB2668">
        <v>2.9999999999999996</v>
      </c>
      <c r="AC2668">
        <v>3.1199999999999997</v>
      </c>
    </row>
    <row r="2669" spans="1:29" x14ac:dyDescent="0.3">
      <c r="A2669">
        <v>152027</v>
      </c>
      <c r="B2669" s="25" t="s">
        <v>5984</v>
      </c>
      <c r="C2669" t="s">
        <v>20</v>
      </c>
      <c r="D2669" t="s">
        <v>21</v>
      </c>
      <c r="E2669">
        <v>2222222</v>
      </c>
      <c r="F2669" s="8" t="s">
        <v>22</v>
      </c>
      <c r="G2669" s="2">
        <v>98</v>
      </c>
      <c r="H2669" t="s">
        <v>4286</v>
      </c>
      <c r="J2669" s="9" t="s">
        <v>5061</v>
      </c>
      <c r="K2669" t="s">
        <v>5197</v>
      </c>
      <c r="L2669" s="2">
        <v>1</v>
      </c>
      <c r="M2669" s="24" t="s">
        <v>5971</v>
      </c>
      <c r="N2669" s="2" t="s">
        <v>23</v>
      </c>
      <c r="O2669" s="18" t="s">
        <v>2110</v>
      </c>
      <c r="P2669" s="18" t="s">
        <v>0</v>
      </c>
      <c r="Q2669" s="6" t="s">
        <v>4475</v>
      </c>
      <c r="T2669" s="23">
        <v>46212</v>
      </c>
      <c r="U2669" s="23">
        <v>46943</v>
      </c>
      <c r="X2669" s="20">
        <v>11000</v>
      </c>
      <c r="Z2669" s="6" t="s">
        <v>5978</v>
      </c>
      <c r="AA2669" s="14">
        <f t="shared" si="338"/>
        <v>5.9999999999999995E-4</v>
      </c>
      <c r="AB2669">
        <v>6.6</v>
      </c>
      <c r="AC2669">
        <v>6.8639999999999999</v>
      </c>
    </row>
    <row r="2670" spans="1:29" x14ac:dyDescent="0.3">
      <c r="A2670">
        <v>152054</v>
      </c>
      <c r="B2670" s="25" t="s">
        <v>5984</v>
      </c>
      <c r="C2670" t="s">
        <v>20</v>
      </c>
      <c r="D2670" t="s">
        <v>21</v>
      </c>
      <c r="E2670">
        <v>2222222</v>
      </c>
      <c r="F2670" s="8" t="s">
        <v>22</v>
      </c>
      <c r="G2670" s="2">
        <v>98</v>
      </c>
      <c r="H2670" t="s">
        <v>4286</v>
      </c>
      <c r="J2670" s="9" t="s">
        <v>4939</v>
      </c>
      <c r="K2670" t="s">
        <v>5658</v>
      </c>
      <c r="L2670" s="2">
        <v>1</v>
      </c>
      <c r="M2670" s="24" t="s">
        <v>5971</v>
      </c>
      <c r="N2670" s="2" t="s">
        <v>23</v>
      </c>
      <c r="O2670" s="18" t="s">
        <v>2111</v>
      </c>
      <c r="P2670" s="18" t="s">
        <v>0</v>
      </c>
      <c r="Q2670" s="6" t="s">
        <v>4475</v>
      </c>
      <c r="T2670" s="23">
        <v>46208</v>
      </c>
      <c r="U2670" s="23">
        <v>46298</v>
      </c>
      <c r="X2670" s="20">
        <v>3100</v>
      </c>
      <c r="Z2670" s="6" t="s">
        <v>5978</v>
      </c>
      <c r="AA2670" s="14">
        <f t="shared" si="338"/>
        <v>5.9999999999999995E-4</v>
      </c>
      <c r="AB2670">
        <v>1.8599999999999999</v>
      </c>
      <c r="AC2670">
        <v>1.9343999999999999</v>
      </c>
    </row>
    <row r="2671" spans="1:29" x14ac:dyDescent="0.3">
      <c r="A2671">
        <v>152140</v>
      </c>
      <c r="B2671" s="25" t="s">
        <v>5984</v>
      </c>
      <c r="C2671" t="s">
        <v>20</v>
      </c>
      <c r="D2671" t="s">
        <v>21</v>
      </c>
      <c r="E2671">
        <v>2222222</v>
      </c>
      <c r="F2671" s="8" t="s">
        <v>22</v>
      </c>
      <c r="G2671" s="2">
        <v>98</v>
      </c>
      <c r="H2671" t="s">
        <v>4286</v>
      </c>
      <c r="J2671" s="9" t="s">
        <v>5112</v>
      </c>
      <c r="K2671" t="s">
        <v>5160</v>
      </c>
      <c r="L2671" s="2">
        <v>1</v>
      </c>
      <c r="M2671" s="24" t="s">
        <v>5971</v>
      </c>
      <c r="N2671" s="2" t="s">
        <v>23</v>
      </c>
      <c r="O2671" s="18" t="s">
        <v>2096</v>
      </c>
      <c r="P2671" s="18" t="s">
        <v>0</v>
      </c>
      <c r="Q2671" s="6" t="s">
        <v>4475</v>
      </c>
      <c r="T2671" s="23">
        <v>46214</v>
      </c>
      <c r="U2671" s="23">
        <v>46304</v>
      </c>
      <c r="X2671" s="20">
        <v>600</v>
      </c>
      <c r="Z2671" s="6" t="s">
        <v>5978</v>
      </c>
      <c r="AA2671" s="14">
        <f t="shared" si="338"/>
        <v>5.9999999999999995E-4</v>
      </c>
      <c r="AB2671">
        <v>0.36</v>
      </c>
      <c r="AC2671">
        <v>0.37440000000000001</v>
      </c>
    </row>
    <row r="2672" spans="1:29" x14ac:dyDescent="0.3">
      <c r="A2672">
        <v>152216</v>
      </c>
      <c r="B2672" s="25" t="s">
        <v>5984</v>
      </c>
      <c r="C2672" t="s">
        <v>20</v>
      </c>
      <c r="D2672" t="s">
        <v>21</v>
      </c>
      <c r="E2672">
        <v>2222222</v>
      </c>
      <c r="F2672" s="8" t="s">
        <v>22</v>
      </c>
      <c r="G2672" s="2">
        <v>98</v>
      </c>
      <c r="H2672" t="s">
        <v>4286</v>
      </c>
      <c r="J2672" s="9" t="s">
        <v>4838</v>
      </c>
      <c r="K2672" t="s">
        <v>4847</v>
      </c>
      <c r="L2672" s="2">
        <v>1</v>
      </c>
      <c r="M2672" s="24" t="s">
        <v>5971</v>
      </c>
      <c r="N2672" s="2" t="s">
        <v>23</v>
      </c>
      <c r="O2672" s="18" t="s">
        <v>2112</v>
      </c>
      <c r="P2672" s="18" t="s">
        <v>0</v>
      </c>
      <c r="Q2672" s="6" t="s">
        <v>4475</v>
      </c>
      <c r="T2672" s="23">
        <v>46223</v>
      </c>
      <c r="U2672" s="23">
        <v>47137</v>
      </c>
      <c r="X2672" s="20">
        <v>3610</v>
      </c>
      <c r="Z2672" s="6" t="s">
        <v>5978</v>
      </c>
      <c r="AA2672" s="14">
        <f t="shared" si="338"/>
        <v>5.9999999999999995E-4</v>
      </c>
      <c r="AB2672">
        <v>2.1659999999999999</v>
      </c>
      <c r="AC2672">
        <v>2.25264</v>
      </c>
    </row>
    <row r="2673" spans="1:29" x14ac:dyDescent="0.3">
      <c r="A2673">
        <v>152222</v>
      </c>
      <c r="B2673" s="25" t="s">
        <v>5984</v>
      </c>
      <c r="C2673" t="s">
        <v>20</v>
      </c>
      <c r="D2673" t="s">
        <v>21</v>
      </c>
      <c r="E2673">
        <v>2222222</v>
      </c>
      <c r="F2673" s="8" t="s">
        <v>22</v>
      </c>
      <c r="G2673" s="2">
        <v>98</v>
      </c>
      <c r="H2673" t="s">
        <v>4286</v>
      </c>
      <c r="J2673" s="9" t="s">
        <v>5096</v>
      </c>
      <c r="K2673" t="s">
        <v>5659</v>
      </c>
      <c r="L2673" s="2">
        <v>1</v>
      </c>
      <c r="M2673" s="24" t="s">
        <v>5971</v>
      </c>
      <c r="N2673" s="2" t="s">
        <v>23</v>
      </c>
      <c r="O2673" s="18" t="s">
        <v>2113</v>
      </c>
      <c r="P2673" s="18" t="s">
        <v>3781</v>
      </c>
      <c r="Q2673" s="6" t="s">
        <v>4475</v>
      </c>
      <c r="T2673" s="23">
        <v>46220</v>
      </c>
      <c r="U2673" s="23">
        <v>46310</v>
      </c>
      <c r="X2673" s="20">
        <v>1000</v>
      </c>
      <c r="Z2673" s="6" t="s">
        <v>5978</v>
      </c>
      <c r="AA2673" s="14">
        <f t="shared" si="338"/>
        <v>5.9999999999999995E-4</v>
      </c>
      <c r="AB2673">
        <v>0.6</v>
      </c>
      <c r="AC2673">
        <v>0.624</v>
      </c>
    </row>
    <row r="2674" spans="1:29" x14ac:dyDescent="0.3">
      <c r="A2674">
        <v>133391</v>
      </c>
      <c r="B2674" s="25" t="s">
        <v>5984</v>
      </c>
      <c r="C2674" t="s">
        <v>20</v>
      </c>
      <c r="D2674" t="s">
        <v>21</v>
      </c>
      <c r="E2674">
        <v>2222222</v>
      </c>
      <c r="F2674" s="8" t="s">
        <v>22</v>
      </c>
      <c r="G2674" s="2">
        <v>98</v>
      </c>
      <c r="H2674" t="s">
        <v>4287</v>
      </c>
      <c r="J2674" s="9" t="s">
        <v>4891</v>
      </c>
      <c r="K2674" t="s">
        <v>4941</v>
      </c>
      <c r="L2674" s="2">
        <v>1</v>
      </c>
      <c r="M2674" s="24" t="s">
        <v>5971</v>
      </c>
      <c r="N2674" s="2" t="s">
        <v>23</v>
      </c>
      <c r="O2674" s="18" t="s">
        <v>2114</v>
      </c>
      <c r="P2674" s="18" t="s">
        <v>3781</v>
      </c>
      <c r="Q2674" s="6" t="s">
        <v>4475</v>
      </c>
      <c r="T2674" s="23">
        <v>44993</v>
      </c>
      <c r="U2674" s="23">
        <v>46453</v>
      </c>
      <c r="X2674" s="20">
        <v>5000</v>
      </c>
      <c r="Z2674" s="6" t="s">
        <v>5978</v>
      </c>
      <c r="AA2674" s="13">
        <f t="shared" ref="AA2674:AA2675" si="339">+(0.56/1000)</f>
        <v>5.6000000000000006E-4</v>
      </c>
      <c r="AB2674">
        <v>0.62834240000000008</v>
      </c>
      <c r="AC2674">
        <v>0.65347609600000012</v>
      </c>
    </row>
    <row r="2675" spans="1:29" x14ac:dyDescent="0.3">
      <c r="A2675">
        <v>136526</v>
      </c>
      <c r="B2675" s="25" t="s">
        <v>5984</v>
      </c>
      <c r="C2675" t="s">
        <v>20</v>
      </c>
      <c r="D2675" t="s">
        <v>21</v>
      </c>
      <c r="E2675">
        <v>2222222</v>
      </c>
      <c r="F2675" s="8" t="s">
        <v>22</v>
      </c>
      <c r="G2675" s="2">
        <v>98</v>
      </c>
      <c r="H2675" t="s">
        <v>4287</v>
      </c>
      <c r="J2675" s="9" t="s">
        <v>4836</v>
      </c>
      <c r="K2675" t="s">
        <v>5047</v>
      </c>
      <c r="L2675" s="2">
        <v>1</v>
      </c>
      <c r="M2675" s="24" t="s">
        <v>5971</v>
      </c>
      <c r="N2675" s="2" t="s">
        <v>23</v>
      </c>
      <c r="O2675" s="18" t="s">
        <v>2115</v>
      </c>
      <c r="P2675" s="18" t="s">
        <v>3781</v>
      </c>
      <c r="Q2675" s="6" t="s">
        <v>4475</v>
      </c>
      <c r="T2675" s="23">
        <v>45176</v>
      </c>
      <c r="U2675" s="23">
        <v>46645</v>
      </c>
      <c r="X2675" s="20">
        <v>5000</v>
      </c>
      <c r="Z2675" s="6" t="s">
        <v>5978</v>
      </c>
      <c r="AA2675" s="13">
        <f t="shared" si="339"/>
        <v>5.6000000000000006E-4</v>
      </c>
      <c r="AB2675">
        <v>1.0476872000000002</v>
      </c>
      <c r="AC2675">
        <v>1.0895946880000003</v>
      </c>
    </row>
    <row r="2676" spans="1:29" x14ac:dyDescent="0.3">
      <c r="A2676">
        <v>144545</v>
      </c>
      <c r="B2676" s="25" t="s">
        <v>5984</v>
      </c>
      <c r="C2676" t="s">
        <v>20</v>
      </c>
      <c r="D2676" t="s">
        <v>21</v>
      </c>
      <c r="E2676">
        <v>2222222</v>
      </c>
      <c r="F2676" s="8" t="s">
        <v>22</v>
      </c>
      <c r="G2676" s="2">
        <v>98</v>
      </c>
      <c r="H2676" t="s">
        <v>4287</v>
      </c>
      <c r="J2676" s="9" t="s">
        <v>4913</v>
      </c>
      <c r="K2676" t="s">
        <v>4878</v>
      </c>
      <c r="L2676" s="2">
        <v>1</v>
      </c>
      <c r="M2676" s="24" t="s">
        <v>5971</v>
      </c>
      <c r="N2676" s="2" t="s">
        <v>23</v>
      </c>
      <c r="O2676" s="18" t="s">
        <v>2116</v>
      </c>
      <c r="P2676" s="18" t="s">
        <v>0</v>
      </c>
      <c r="Q2676" s="6" t="s">
        <v>4475</v>
      </c>
      <c r="T2676" s="23">
        <v>45671</v>
      </c>
      <c r="U2676" s="23">
        <v>47131</v>
      </c>
      <c r="X2676" s="20">
        <v>5000</v>
      </c>
      <c r="Z2676" s="6" t="s">
        <v>5978</v>
      </c>
      <c r="AA2676" s="14">
        <f t="shared" ref="AA2676:AA2679" si="340">+(0.6/1000)</f>
        <v>5.9999999999999995E-4</v>
      </c>
      <c r="AB2676">
        <v>2.1152279999999997</v>
      </c>
      <c r="AC2676">
        <v>2.1998371199999998</v>
      </c>
    </row>
    <row r="2677" spans="1:29" x14ac:dyDescent="0.3">
      <c r="A2677">
        <v>146569</v>
      </c>
      <c r="B2677" s="25" t="s">
        <v>5984</v>
      </c>
      <c r="C2677" t="s">
        <v>20</v>
      </c>
      <c r="D2677" t="s">
        <v>21</v>
      </c>
      <c r="E2677">
        <v>2222222</v>
      </c>
      <c r="F2677" s="8" t="s">
        <v>22</v>
      </c>
      <c r="G2677" s="2">
        <v>98</v>
      </c>
      <c r="H2677" t="s">
        <v>4287</v>
      </c>
      <c r="J2677" s="9" t="s">
        <v>5152</v>
      </c>
      <c r="K2677" t="s">
        <v>5179</v>
      </c>
      <c r="L2677" s="2">
        <v>1</v>
      </c>
      <c r="M2677" s="24" t="s">
        <v>5971</v>
      </c>
      <c r="N2677" s="2" t="s">
        <v>23</v>
      </c>
      <c r="O2677" s="18" t="s">
        <v>2117</v>
      </c>
      <c r="P2677" s="18" t="s">
        <v>3781</v>
      </c>
      <c r="Q2677" s="6" t="s">
        <v>4475</v>
      </c>
      <c r="T2677" s="23">
        <v>45826</v>
      </c>
      <c r="U2677" s="23">
        <v>47287</v>
      </c>
      <c r="X2677" s="20">
        <v>5000</v>
      </c>
      <c r="Z2677" s="6" t="s">
        <v>5978</v>
      </c>
      <c r="AA2677" s="14">
        <f t="shared" si="340"/>
        <v>5.9999999999999995E-4</v>
      </c>
      <c r="AB2677">
        <v>2.3882219999999998</v>
      </c>
      <c r="AC2677">
        <v>2.4837508800000001</v>
      </c>
    </row>
    <row r="2678" spans="1:29" x14ac:dyDescent="0.3">
      <c r="A2678">
        <v>150770</v>
      </c>
      <c r="B2678" s="25" t="s">
        <v>5984</v>
      </c>
      <c r="C2678" t="s">
        <v>20</v>
      </c>
      <c r="D2678" t="s">
        <v>21</v>
      </c>
      <c r="E2678">
        <v>2222222</v>
      </c>
      <c r="F2678" s="8" t="s">
        <v>22</v>
      </c>
      <c r="G2678" s="2">
        <v>98</v>
      </c>
      <c r="H2678" t="s">
        <v>4287</v>
      </c>
      <c r="J2678" s="9" t="s">
        <v>5063</v>
      </c>
      <c r="K2678" t="s">
        <v>5018</v>
      </c>
      <c r="L2678" s="2">
        <v>1</v>
      </c>
      <c r="M2678" s="24" t="s">
        <v>5971</v>
      </c>
      <c r="N2678" s="2" t="s">
        <v>23</v>
      </c>
      <c r="O2678" s="18" t="s">
        <v>2118</v>
      </c>
      <c r="P2678" s="18" t="s">
        <v>0</v>
      </c>
      <c r="Q2678" s="6" t="s">
        <v>4475</v>
      </c>
      <c r="T2678" s="23">
        <v>46120</v>
      </c>
      <c r="U2678" s="23">
        <v>51599</v>
      </c>
      <c r="X2678" s="20">
        <v>176000</v>
      </c>
      <c r="Z2678" s="6" t="s">
        <v>5978</v>
      </c>
      <c r="AA2678" s="14">
        <f t="shared" si="340"/>
        <v>5.9999999999999995E-4</v>
      </c>
      <c r="AB2678">
        <v>104.48525399999998</v>
      </c>
      <c r="AC2678">
        <v>108.66466415999999</v>
      </c>
    </row>
    <row r="2679" spans="1:29" x14ac:dyDescent="0.3">
      <c r="A2679">
        <v>152205</v>
      </c>
      <c r="B2679" s="25" t="s">
        <v>5984</v>
      </c>
      <c r="C2679" t="s">
        <v>20</v>
      </c>
      <c r="D2679" t="s">
        <v>21</v>
      </c>
      <c r="E2679">
        <v>2222222</v>
      </c>
      <c r="F2679" s="8" t="s">
        <v>22</v>
      </c>
      <c r="G2679" s="2">
        <v>98</v>
      </c>
      <c r="H2679" t="s">
        <v>4287</v>
      </c>
      <c r="J2679" s="9" t="s">
        <v>5660</v>
      </c>
      <c r="K2679" t="s">
        <v>5268</v>
      </c>
      <c r="L2679" s="2">
        <v>1</v>
      </c>
      <c r="M2679" s="24" t="s">
        <v>5971</v>
      </c>
      <c r="N2679" s="2" t="s">
        <v>23</v>
      </c>
      <c r="O2679" s="18" t="s">
        <v>2119</v>
      </c>
      <c r="P2679" s="18" t="s">
        <v>3781</v>
      </c>
      <c r="Q2679" s="6" t="s">
        <v>4475</v>
      </c>
      <c r="T2679" s="23">
        <v>46219</v>
      </c>
      <c r="U2679" s="23">
        <v>48044</v>
      </c>
      <c r="X2679" s="20">
        <v>2500</v>
      </c>
      <c r="Z2679" s="6" t="s">
        <v>5978</v>
      </c>
      <c r="AA2679" s="14">
        <f t="shared" si="340"/>
        <v>5.9999999999999995E-4</v>
      </c>
      <c r="AB2679">
        <v>1.4999999999999998</v>
      </c>
      <c r="AC2679">
        <v>1.5599999999999998</v>
      </c>
    </row>
    <row r="2680" spans="1:29" x14ac:dyDescent="0.3">
      <c r="A2680">
        <v>127146</v>
      </c>
      <c r="B2680" s="25" t="s">
        <v>5984</v>
      </c>
      <c r="C2680" t="s">
        <v>20</v>
      </c>
      <c r="D2680" t="s">
        <v>21</v>
      </c>
      <c r="E2680">
        <v>2222222</v>
      </c>
      <c r="F2680" s="8" t="s">
        <v>22</v>
      </c>
      <c r="G2680" s="2">
        <v>98</v>
      </c>
      <c r="H2680" t="s">
        <v>4288</v>
      </c>
      <c r="J2680" s="9" t="s">
        <v>4852</v>
      </c>
      <c r="K2680" t="s">
        <v>5638</v>
      </c>
      <c r="L2680" s="2">
        <v>1</v>
      </c>
      <c r="M2680" s="24" t="s">
        <v>5971</v>
      </c>
      <c r="N2680" s="2" t="s">
        <v>23</v>
      </c>
      <c r="O2680" s="18" t="s">
        <v>2120</v>
      </c>
      <c r="P2680" s="18" t="s">
        <v>0</v>
      </c>
      <c r="Q2680" s="6" t="s">
        <v>4475</v>
      </c>
      <c r="T2680" s="23">
        <v>44700</v>
      </c>
      <c r="U2680" s="23">
        <v>46892</v>
      </c>
      <c r="X2680" s="20">
        <v>20300</v>
      </c>
      <c r="Z2680" s="6" t="s">
        <v>5978</v>
      </c>
      <c r="AA2680" s="15">
        <f t="shared" ref="AA2680:AA2681" si="341">+(0.42/1000)</f>
        <v>4.1999999999999996E-4</v>
      </c>
      <c r="AB2680">
        <v>3.3987407999999997</v>
      </c>
      <c r="AC2680">
        <v>3.5346904319999997</v>
      </c>
    </row>
    <row r="2681" spans="1:29" x14ac:dyDescent="0.3">
      <c r="A2681">
        <v>129133</v>
      </c>
      <c r="B2681" s="25" t="s">
        <v>5984</v>
      </c>
      <c r="C2681" t="s">
        <v>20</v>
      </c>
      <c r="D2681" t="s">
        <v>21</v>
      </c>
      <c r="E2681">
        <v>2222222</v>
      </c>
      <c r="F2681" s="8" t="s">
        <v>22</v>
      </c>
      <c r="G2681" s="2">
        <v>98</v>
      </c>
      <c r="H2681" t="s">
        <v>4288</v>
      </c>
      <c r="J2681" s="9" t="s">
        <v>4838</v>
      </c>
      <c r="K2681" t="s">
        <v>4815</v>
      </c>
      <c r="L2681" s="2">
        <v>1</v>
      </c>
      <c r="M2681" s="24" t="s">
        <v>5971</v>
      </c>
      <c r="N2681" s="2" t="s">
        <v>23</v>
      </c>
      <c r="O2681" s="18" t="s">
        <v>2121</v>
      </c>
      <c r="P2681" s="18" t="s">
        <v>0</v>
      </c>
      <c r="Q2681" s="6" t="s">
        <v>4475</v>
      </c>
      <c r="T2681" s="23">
        <v>44764</v>
      </c>
      <c r="U2681" s="23">
        <v>44854</v>
      </c>
      <c r="X2681" s="20">
        <v>4495</v>
      </c>
      <c r="Z2681" s="6" t="s">
        <v>5978</v>
      </c>
      <c r="AA2681" s="15">
        <f t="shared" si="341"/>
        <v>4.1999999999999996E-4</v>
      </c>
      <c r="AB2681">
        <v>1.8878999999999999</v>
      </c>
      <c r="AC2681">
        <v>1.9634160000000001</v>
      </c>
    </row>
    <row r="2682" spans="1:29" x14ac:dyDescent="0.3">
      <c r="A2682">
        <v>137685</v>
      </c>
      <c r="B2682" s="25" t="s">
        <v>5984</v>
      </c>
      <c r="C2682" t="s">
        <v>20</v>
      </c>
      <c r="D2682" t="s">
        <v>21</v>
      </c>
      <c r="E2682">
        <v>2222222</v>
      </c>
      <c r="F2682" s="8" t="s">
        <v>22</v>
      </c>
      <c r="G2682" s="2">
        <v>98</v>
      </c>
      <c r="H2682" t="s">
        <v>4288</v>
      </c>
      <c r="J2682" s="9" t="s">
        <v>4855</v>
      </c>
      <c r="K2682" t="s">
        <v>5092</v>
      </c>
      <c r="L2682" s="2">
        <v>1</v>
      </c>
      <c r="M2682" s="24" t="s">
        <v>5971</v>
      </c>
      <c r="N2682" s="2" t="s">
        <v>23</v>
      </c>
      <c r="O2682" s="18" t="s">
        <v>2122</v>
      </c>
      <c r="P2682" s="18" t="s">
        <v>3781</v>
      </c>
      <c r="Q2682" s="6" t="s">
        <v>4475</v>
      </c>
      <c r="T2682" s="23">
        <v>45237</v>
      </c>
      <c r="U2682" s="23">
        <v>46698</v>
      </c>
      <c r="X2682" s="20">
        <v>3550</v>
      </c>
      <c r="Z2682" s="6" t="s">
        <v>5978</v>
      </c>
      <c r="AA2682" s="13">
        <f t="shared" ref="AA2682:AA2683" si="342">+(0.56/1000)</f>
        <v>5.6000000000000006E-4</v>
      </c>
      <c r="AB2682">
        <v>1.9880000000000002</v>
      </c>
      <c r="AC2682">
        <v>2.0675200000000005</v>
      </c>
    </row>
    <row r="2683" spans="1:29" x14ac:dyDescent="0.3">
      <c r="A2683">
        <v>139887</v>
      </c>
      <c r="B2683" s="25" t="s">
        <v>5984</v>
      </c>
      <c r="C2683" t="s">
        <v>20</v>
      </c>
      <c r="D2683" t="s">
        <v>21</v>
      </c>
      <c r="E2683">
        <v>2222222</v>
      </c>
      <c r="F2683" s="8" t="s">
        <v>22</v>
      </c>
      <c r="G2683" s="2">
        <v>98</v>
      </c>
      <c r="H2683" t="s">
        <v>4288</v>
      </c>
      <c r="J2683" s="9" t="s">
        <v>4852</v>
      </c>
      <c r="K2683" t="s">
        <v>5638</v>
      </c>
      <c r="L2683" s="2">
        <v>1</v>
      </c>
      <c r="M2683" s="24" t="s">
        <v>5971</v>
      </c>
      <c r="N2683" s="2" t="s">
        <v>23</v>
      </c>
      <c r="O2683" s="18" t="s">
        <v>2120</v>
      </c>
      <c r="P2683" s="18" t="s">
        <v>0</v>
      </c>
      <c r="Q2683" s="6" t="s">
        <v>4475</v>
      </c>
      <c r="T2683" s="23">
        <v>45365</v>
      </c>
      <c r="U2683" s="23">
        <v>46825</v>
      </c>
      <c r="X2683" s="20">
        <v>7500</v>
      </c>
      <c r="Z2683" s="6" t="s">
        <v>5978</v>
      </c>
      <c r="AA2683" s="13">
        <f t="shared" si="342"/>
        <v>5.6000000000000006E-4</v>
      </c>
      <c r="AB2683">
        <v>2.0504232</v>
      </c>
      <c r="AC2683">
        <v>2.1324401280000003</v>
      </c>
    </row>
    <row r="2684" spans="1:29" x14ac:dyDescent="0.3">
      <c r="A2684">
        <v>144048</v>
      </c>
      <c r="B2684" s="25" t="s">
        <v>5984</v>
      </c>
      <c r="C2684" t="s">
        <v>20</v>
      </c>
      <c r="D2684" t="s">
        <v>21</v>
      </c>
      <c r="E2684">
        <v>2222222</v>
      </c>
      <c r="F2684" s="8" t="s">
        <v>22</v>
      </c>
      <c r="G2684" s="2">
        <v>98</v>
      </c>
      <c r="H2684" t="s">
        <v>4288</v>
      </c>
      <c r="J2684" s="9" t="s">
        <v>5661</v>
      </c>
      <c r="K2684" t="s">
        <v>4876</v>
      </c>
      <c r="L2684" s="2">
        <v>1</v>
      </c>
      <c r="M2684" s="24" t="s">
        <v>5971</v>
      </c>
      <c r="N2684" s="2" t="s">
        <v>23</v>
      </c>
      <c r="O2684" s="18" t="s">
        <v>2123</v>
      </c>
      <c r="P2684" s="18" t="s">
        <v>0</v>
      </c>
      <c r="Q2684" s="6" t="s">
        <v>4475</v>
      </c>
      <c r="T2684" s="23">
        <v>45635</v>
      </c>
      <c r="U2684" s="23">
        <v>47185</v>
      </c>
      <c r="X2684" s="20">
        <v>4000</v>
      </c>
      <c r="Z2684" s="6" t="s">
        <v>5978</v>
      </c>
      <c r="AA2684" s="14">
        <f t="shared" ref="AA2684:AA2695" si="343">+(0.6/1000)</f>
        <v>5.9999999999999995E-4</v>
      </c>
      <c r="AB2684">
        <v>1.7815139999999998</v>
      </c>
      <c r="AC2684">
        <v>1.8527745599999998</v>
      </c>
    </row>
    <row r="2685" spans="1:29" x14ac:dyDescent="0.3">
      <c r="A2685">
        <v>145064</v>
      </c>
      <c r="B2685" s="25" t="s">
        <v>5984</v>
      </c>
      <c r="C2685" t="s">
        <v>20</v>
      </c>
      <c r="D2685" t="s">
        <v>21</v>
      </c>
      <c r="E2685">
        <v>2222222</v>
      </c>
      <c r="F2685" s="8" t="s">
        <v>22</v>
      </c>
      <c r="G2685" s="2">
        <v>98</v>
      </c>
      <c r="H2685" t="s">
        <v>4288</v>
      </c>
      <c r="J2685" s="9" t="s">
        <v>4836</v>
      </c>
      <c r="K2685" t="s">
        <v>5499</v>
      </c>
      <c r="L2685" s="2">
        <v>1</v>
      </c>
      <c r="M2685" s="24" t="s">
        <v>5971</v>
      </c>
      <c r="N2685" s="2" t="s">
        <v>23</v>
      </c>
      <c r="O2685" s="18" t="s">
        <v>1655</v>
      </c>
      <c r="P2685" s="18" t="s">
        <v>3781</v>
      </c>
      <c r="Q2685" s="6" t="s">
        <v>4475</v>
      </c>
      <c r="T2685" s="23">
        <v>45708</v>
      </c>
      <c r="U2685" s="23">
        <v>46805</v>
      </c>
      <c r="X2685" s="20">
        <v>4000</v>
      </c>
      <c r="Z2685" s="6" t="s">
        <v>5978</v>
      </c>
      <c r="AA2685" s="14">
        <f t="shared" si="343"/>
        <v>5.9999999999999995E-4</v>
      </c>
      <c r="AB2685">
        <v>1.4189339999999997</v>
      </c>
      <c r="AC2685">
        <v>1.4756913599999997</v>
      </c>
    </row>
    <row r="2686" spans="1:29" x14ac:dyDescent="0.3">
      <c r="A2686">
        <v>145495</v>
      </c>
      <c r="B2686" s="25" t="s">
        <v>5984</v>
      </c>
      <c r="C2686" t="s">
        <v>20</v>
      </c>
      <c r="D2686" t="s">
        <v>21</v>
      </c>
      <c r="E2686">
        <v>2222222</v>
      </c>
      <c r="F2686" s="8" t="s">
        <v>22</v>
      </c>
      <c r="G2686" s="2">
        <v>98</v>
      </c>
      <c r="H2686" t="s">
        <v>4288</v>
      </c>
      <c r="J2686" s="9" t="s">
        <v>4852</v>
      </c>
      <c r="K2686" t="s">
        <v>4853</v>
      </c>
      <c r="L2686" s="2">
        <v>1</v>
      </c>
      <c r="M2686" s="24" t="s">
        <v>5971</v>
      </c>
      <c r="N2686" s="2" t="s">
        <v>23</v>
      </c>
      <c r="O2686" s="18" t="s">
        <v>2124</v>
      </c>
      <c r="P2686" s="18" t="s">
        <v>0</v>
      </c>
      <c r="Q2686" s="6" t="s">
        <v>4475</v>
      </c>
      <c r="T2686" s="23">
        <v>45771</v>
      </c>
      <c r="U2686" s="23">
        <v>46501</v>
      </c>
      <c r="X2686" s="20">
        <v>3560</v>
      </c>
      <c r="Z2686" s="6" t="s">
        <v>5978</v>
      </c>
      <c r="AA2686" s="14">
        <f t="shared" si="343"/>
        <v>5.9999999999999995E-4</v>
      </c>
      <c r="AB2686">
        <v>1.9861979999999997</v>
      </c>
      <c r="AC2686">
        <v>2.0656459199999997</v>
      </c>
    </row>
    <row r="2687" spans="1:29" x14ac:dyDescent="0.3">
      <c r="A2687">
        <v>146026</v>
      </c>
      <c r="B2687" s="25" t="s">
        <v>5984</v>
      </c>
      <c r="C2687" t="s">
        <v>20</v>
      </c>
      <c r="D2687" t="s">
        <v>21</v>
      </c>
      <c r="E2687">
        <v>2222222</v>
      </c>
      <c r="F2687" s="8" t="s">
        <v>22</v>
      </c>
      <c r="G2687" s="2">
        <v>98</v>
      </c>
      <c r="H2687" t="s">
        <v>4288</v>
      </c>
      <c r="J2687" s="9" t="s">
        <v>4852</v>
      </c>
      <c r="K2687" t="s">
        <v>5638</v>
      </c>
      <c r="L2687" s="2">
        <v>1</v>
      </c>
      <c r="M2687" s="24" t="s">
        <v>5971</v>
      </c>
      <c r="N2687" s="2" t="s">
        <v>23</v>
      </c>
      <c r="O2687" s="18" t="s">
        <v>2120</v>
      </c>
      <c r="P2687" s="18" t="s">
        <v>0</v>
      </c>
      <c r="Q2687" s="6" t="s">
        <v>4475</v>
      </c>
      <c r="T2687" s="23">
        <v>45803</v>
      </c>
      <c r="U2687" s="23">
        <v>46898</v>
      </c>
      <c r="X2687" s="20">
        <v>10400</v>
      </c>
      <c r="Z2687" s="6" t="s">
        <v>5978</v>
      </c>
      <c r="AA2687" s="14">
        <f t="shared" si="343"/>
        <v>5.9999999999999995E-4</v>
      </c>
      <c r="AB2687">
        <v>4.1618879999999994</v>
      </c>
      <c r="AC2687">
        <v>4.3283635199999999</v>
      </c>
    </row>
    <row r="2688" spans="1:29" x14ac:dyDescent="0.3">
      <c r="A2688">
        <v>146183</v>
      </c>
      <c r="B2688" s="25" t="s">
        <v>5984</v>
      </c>
      <c r="C2688" t="s">
        <v>20</v>
      </c>
      <c r="D2688" t="s">
        <v>21</v>
      </c>
      <c r="E2688">
        <v>2222222</v>
      </c>
      <c r="F2688" s="8" t="s">
        <v>22</v>
      </c>
      <c r="G2688" s="2">
        <v>98</v>
      </c>
      <c r="H2688" t="s">
        <v>4288</v>
      </c>
      <c r="J2688" s="9" t="s">
        <v>4970</v>
      </c>
      <c r="K2688" t="s">
        <v>4863</v>
      </c>
      <c r="L2688" s="2">
        <v>1</v>
      </c>
      <c r="M2688" s="24" t="s">
        <v>5971</v>
      </c>
      <c r="N2688" s="2" t="s">
        <v>23</v>
      </c>
      <c r="O2688" s="18" t="s">
        <v>2125</v>
      </c>
      <c r="P2688" s="18" t="s">
        <v>3781</v>
      </c>
      <c r="Q2688" s="6" t="s">
        <v>4475</v>
      </c>
      <c r="T2688" s="23">
        <v>45797</v>
      </c>
      <c r="U2688" s="23">
        <v>46892</v>
      </c>
      <c r="X2688" s="20">
        <v>4000</v>
      </c>
      <c r="Z2688" s="6" t="s">
        <v>5978</v>
      </c>
      <c r="AA2688" s="14">
        <f t="shared" si="343"/>
        <v>5.9999999999999995E-4</v>
      </c>
      <c r="AB2688">
        <v>1.7919659999999999</v>
      </c>
      <c r="AC2688">
        <v>1.86364464</v>
      </c>
    </row>
    <row r="2689" spans="1:29" x14ac:dyDescent="0.3">
      <c r="A2689">
        <v>147716</v>
      </c>
      <c r="B2689" s="25" t="s">
        <v>5984</v>
      </c>
      <c r="C2689" t="s">
        <v>20</v>
      </c>
      <c r="D2689" t="s">
        <v>21</v>
      </c>
      <c r="E2689">
        <v>2222222</v>
      </c>
      <c r="F2689" s="8" t="s">
        <v>22</v>
      </c>
      <c r="G2689" s="2">
        <v>98</v>
      </c>
      <c r="H2689" t="s">
        <v>4288</v>
      </c>
      <c r="J2689" s="9" t="s">
        <v>5453</v>
      </c>
      <c r="K2689" t="s">
        <v>4993</v>
      </c>
      <c r="L2689" s="2">
        <v>1</v>
      </c>
      <c r="M2689" s="24" t="s">
        <v>5971</v>
      </c>
      <c r="N2689" s="2" t="s">
        <v>23</v>
      </c>
      <c r="O2689" s="18" t="s">
        <v>2126</v>
      </c>
      <c r="P2689" s="18" t="s">
        <v>3781</v>
      </c>
      <c r="Q2689" s="6" t="s">
        <v>4475</v>
      </c>
      <c r="T2689" s="23">
        <v>45908</v>
      </c>
      <c r="U2689" s="23">
        <v>46426</v>
      </c>
      <c r="X2689" s="20">
        <v>2660</v>
      </c>
      <c r="Z2689" s="6" t="s">
        <v>5978</v>
      </c>
      <c r="AA2689" s="14">
        <f t="shared" si="343"/>
        <v>5.9999999999999995E-4</v>
      </c>
      <c r="AB2689">
        <v>1.5959999999999999</v>
      </c>
      <c r="AC2689">
        <v>1.65984</v>
      </c>
    </row>
    <row r="2690" spans="1:29" x14ac:dyDescent="0.3">
      <c r="A2690">
        <v>149317</v>
      </c>
      <c r="B2690" s="25" t="s">
        <v>5984</v>
      </c>
      <c r="C2690" t="s">
        <v>20</v>
      </c>
      <c r="D2690" t="s">
        <v>21</v>
      </c>
      <c r="E2690">
        <v>2222222</v>
      </c>
      <c r="F2690" s="8" t="s">
        <v>22</v>
      </c>
      <c r="G2690" s="2">
        <v>98</v>
      </c>
      <c r="H2690" t="s">
        <v>4288</v>
      </c>
      <c r="J2690" s="9" t="s">
        <v>4836</v>
      </c>
      <c r="K2690" t="s">
        <v>5499</v>
      </c>
      <c r="L2690" s="2">
        <v>1</v>
      </c>
      <c r="M2690" s="24" t="s">
        <v>5971</v>
      </c>
      <c r="N2690" s="2" t="s">
        <v>23</v>
      </c>
      <c r="O2690" s="18" t="s">
        <v>1655</v>
      </c>
      <c r="P2690" s="18" t="s">
        <v>3781</v>
      </c>
      <c r="Q2690" s="6" t="s">
        <v>4475</v>
      </c>
      <c r="T2690" s="23">
        <v>46013</v>
      </c>
      <c r="U2690" s="23">
        <v>47476</v>
      </c>
      <c r="X2690" s="20">
        <v>5000</v>
      </c>
      <c r="Z2690" s="6" t="s">
        <v>5978</v>
      </c>
      <c r="AA2690" s="14">
        <f t="shared" si="343"/>
        <v>5.9999999999999995E-4</v>
      </c>
      <c r="AB2690">
        <v>2.6827320000000001</v>
      </c>
      <c r="AC2690">
        <v>2.7900412800000001</v>
      </c>
    </row>
    <row r="2691" spans="1:29" x14ac:dyDescent="0.3">
      <c r="A2691">
        <v>151127</v>
      </c>
      <c r="B2691" s="25" t="s">
        <v>5984</v>
      </c>
      <c r="C2691" t="s">
        <v>20</v>
      </c>
      <c r="D2691" t="s">
        <v>21</v>
      </c>
      <c r="E2691">
        <v>2222222</v>
      </c>
      <c r="F2691" s="8" t="s">
        <v>22</v>
      </c>
      <c r="G2691" s="2">
        <v>98</v>
      </c>
      <c r="H2691" t="s">
        <v>4288</v>
      </c>
      <c r="J2691" s="9" t="s">
        <v>4909</v>
      </c>
      <c r="K2691" t="s">
        <v>5030</v>
      </c>
      <c r="L2691" s="2">
        <v>1</v>
      </c>
      <c r="M2691" s="24" t="s">
        <v>5971</v>
      </c>
      <c r="N2691" s="2" t="s">
        <v>23</v>
      </c>
      <c r="O2691" s="18" t="s">
        <v>947</v>
      </c>
      <c r="P2691" s="18" t="s">
        <v>3781</v>
      </c>
      <c r="Q2691" s="6" t="s">
        <v>4475</v>
      </c>
      <c r="T2691" s="23">
        <v>46140</v>
      </c>
      <c r="U2691" s="23">
        <v>47239</v>
      </c>
      <c r="X2691" s="20">
        <v>1410</v>
      </c>
      <c r="Z2691" s="6" t="s">
        <v>5978</v>
      </c>
      <c r="AA2691" s="14">
        <f t="shared" si="343"/>
        <v>5.9999999999999995E-4</v>
      </c>
      <c r="AB2691">
        <v>0.82084199999999985</v>
      </c>
      <c r="AC2691">
        <v>0.85367567999999983</v>
      </c>
    </row>
    <row r="2692" spans="1:29" x14ac:dyDescent="0.3">
      <c r="A2692">
        <v>151236</v>
      </c>
      <c r="B2692" s="25" t="s">
        <v>5984</v>
      </c>
      <c r="C2692" t="s">
        <v>20</v>
      </c>
      <c r="D2692" t="s">
        <v>21</v>
      </c>
      <c r="E2692">
        <v>2222222</v>
      </c>
      <c r="F2692" s="8" t="s">
        <v>22</v>
      </c>
      <c r="G2692" s="2">
        <v>98</v>
      </c>
      <c r="H2692" t="s">
        <v>4288</v>
      </c>
      <c r="J2692" s="9" t="s">
        <v>5661</v>
      </c>
      <c r="K2692" t="s">
        <v>4876</v>
      </c>
      <c r="L2692" s="2">
        <v>1</v>
      </c>
      <c r="M2692" s="24" t="s">
        <v>5971</v>
      </c>
      <c r="N2692" s="2" t="s">
        <v>23</v>
      </c>
      <c r="O2692" s="18" t="s">
        <v>2123</v>
      </c>
      <c r="P2692" s="18" t="s">
        <v>0</v>
      </c>
      <c r="Q2692" s="6" t="s">
        <v>4475</v>
      </c>
      <c r="T2692" s="23">
        <v>46149</v>
      </c>
      <c r="U2692" s="23">
        <v>46241</v>
      </c>
      <c r="X2692" s="20">
        <v>3990</v>
      </c>
      <c r="Z2692" s="6" t="s">
        <v>5978</v>
      </c>
      <c r="AA2692" s="14">
        <f t="shared" si="343"/>
        <v>5.9999999999999995E-4</v>
      </c>
      <c r="AB2692">
        <v>2.3939999999999997</v>
      </c>
      <c r="AC2692">
        <v>2.48976</v>
      </c>
    </row>
    <row r="2693" spans="1:29" x14ac:dyDescent="0.3">
      <c r="A2693">
        <v>151840</v>
      </c>
      <c r="B2693" s="25" t="s">
        <v>5984</v>
      </c>
      <c r="C2693" t="s">
        <v>20</v>
      </c>
      <c r="D2693" t="s">
        <v>21</v>
      </c>
      <c r="E2693">
        <v>2222222</v>
      </c>
      <c r="F2693" s="8" t="s">
        <v>22</v>
      </c>
      <c r="G2693" s="2">
        <v>98</v>
      </c>
      <c r="H2693" t="s">
        <v>4288</v>
      </c>
      <c r="J2693" s="9" t="s">
        <v>4911</v>
      </c>
      <c r="K2693" t="s">
        <v>5004</v>
      </c>
      <c r="L2693" s="2">
        <v>1</v>
      </c>
      <c r="M2693" s="24" t="s">
        <v>5971</v>
      </c>
      <c r="N2693" s="2" t="s">
        <v>23</v>
      </c>
      <c r="O2693" s="18" t="s">
        <v>2127</v>
      </c>
      <c r="P2693" s="18" t="s">
        <v>3781</v>
      </c>
      <c r="Q2693" s="6" t="s">
        <v>4475</v>
      </c>
      <c r="T2693" s="23">
        <v>46191</v>
      </c>
      <c r="U2693" s="23">
        <v>47652</v>
      </c>
      <c r="X2693" s="20">
        <v>4850</v>
      </c>
      <c r="Z2693" s="6" t="s">
        <v>5978</v>
      </c>
      <c r="AA2693" s="14">
        <f t="shared" si="343"/>
        <v>5.9999999999999995E-4</v>
      </c>
      <c r="AB2693">
        <v>2.8677899999999994</v>
      </c>
      <c r="AC2693">
        <v>2.9825015999999995</v>
      </c>
    </row>
    <row r="2694" spans="1:29" x14ac:dyDescent="0.3">
      <c r="A2694">
        <v>152253</v>
      </c>
      <c r="B2694" s="25" t="s">
        <v>5984</v>
      </c>
      <c r="C2694" t="s">
        <v>20</v>
      </c>
      <c r="D2694" t="s">
        <v>21</v>
      </c>
      <c r="E2694">
        <v>2222222</v>
      </c>
      <c r="F2694" s="8" t="s">
        <v>22</v>
      </c>
      <c r="G2694" s="2">
        <v>98</v>
      </c>
      <c r="H2694" t="s">
        <v>4288</v>
      </c>
      <c r="J2694" s="9" t="s">
        <v>5008</v>
      </c>
      <c r="K2694" t="s">
        <v>5375</v>
      </c>
      <c r="L2694" s="2">
        <v>1</v>
      </c>
      <c r="M2694" s="24" t="s">
        <v>5971</v>
      </c>
      <c r="N2694" s="2" t="s">
        <v>23</v>
      </c>
      <c r="O2694" s="18" t="s">
        <v>2128</v>
      </c>
      <c r="P2694" s="18" t="s">
        <v>0</v>
      </c>
      <c r="Q2694" s="6" t="s">
        <v>4475</v>
      </c>
      <c r="T2694" s="23">
        <v>46223</v>
      </c>
      <c r="U2694" s="23">
        <v>46831</v>
      </c>
      <c r="X2694" s="20">
        <v>2310</v>
      </c>
      <c r="Z2694" s="6" t="s">
        <v>5978</v>
      </c>
      <c r="AA2694" s="14">
        <f t="shared" si="343"/>
        <v>5.9999999999999995E-4</v>
      </c>
      <c r="AB2694">
        <v>1.3859999999999999</v>
      </c>
      <c r="AC2694">
        <v>1.4414400000000001</v>
      </c>
    </row>
    <row r="2695" spans="1:29" x14ac:dyDescent="0.3">
      <c r="A2695">
        <v>147686</v>
      </c>
      <c r="B2695" s="25" t="s">
        <v>5984</v>
      </c>
      <c r="C2695" t="s">
        <v>20</v>
      </c>
      <c r="D2695" t="s">
        <v>21</v>
      </c>
      <c r="E2695">
        <v>2222222</v>
      </c>
      <c r="F2695" s="8" t="s">
        <v>22</v>
      </c>
      <c r="G2695" s="2">
        <v>98</v>
      </c>
      <c r="H2695" t="s">
        <v>4289</v>
      </c>
      <c r="J2695" s="9" t="s">
        <v>5178</v>
      </c>
      <c r="K2695" t="s">
        <v>5268</v>
      </c>
      <c r="L2695" s="2">
        <v>1</v>
      </c>
      <c r="M2695" s="24" t="s">
        <v>5971</v>
      </c>
      <c r="N2695" s="2" t="s">
        <v>23</v>
      </c>
      <c r="O2695" s="18" t="s">
        <v>2129</v>
      </c>
      <c r="P2695" s="18" t="s">
        <v>3781</v>
      </c>
      <c r="Q2695" s="6" t="s">
        <v>4475</v>
      </c>
      <c r="T2695" s="23">
        <v>45905</v>
      </c>
      <c r="U2695" s="23">
        <v>46451</v>
      </c>
      <c r="X2695" s="20">
        <v>1150</v>
      </c>
      <c r="Z2695" s="6" t="s">
        <v>5978</v>
      </c>
      <c r="AA2695" s="14">
        <f t="shared" si="343"/>
        <v>5.9999999999999995E-4</v>
      </c>
      <c r="AB2695">
        <v>0.51292799999999994</v>
      </c>
      <c r="AC2695">
        <v>0.53344511999999999</v>
      </c>
    </row>
    <row r="2696" spans="1:29" x14ac:dyDescent="0.3">
      <c r="A2696">
        <v>138107</v>
      </c>
      <c r="B2696" s="25" t="s">
        <v>5984</v>
      </c>
      <c r="C2696" t="s">
        <v>20</v>
      </c>
      <c r="D2696" t="s">
        <v>21</v>
      </c>
      <c r="E2696">
        <v>2222222</v>
      </c>
      <c r="F2696" s="8" t="s">
        <v>22</v>
      </c>
      <c r="G2696" s="2">
        <v>98</v>
      </c>
      <c r="H2696" t="s">
        <v>4290</v>
      </c>
      <c r="J2696" s="9" t="s">
        <v>5047</v>
      </c>
      <c r="K2696" t="s">
        <v>4999</v>
      </c>
      <c r="L2696" s="2">
        <v>1</v>
      </c>
      <c r="M2696" s="24" t="s">
        <v>5971</v>
      </c>
      <c r="N2696" s="2" t="s">
        <v>23</v>
      </c>
      <c r="O2696" s="18" t="s">
        <v>2130</v>
      </c>
      <c r="P2696" s="18" t="s">
        <v>3781</v>
      </c>
      <c r="Q2696" s="6" t="s">
        <v>4475</v>
      </c>
      <c r="T2696" s="23">
        <v>45260</v>
      </c>
      <c r="U2696" s="23">
        <v>46356</v>
      </c>
      <c r="X2696" s="20">
        <v>12500</v>
      </c>
      <c r="Z2696" s="6" t="s">
        <v>5978</v>
      </c>
      <c r="AA2696" s="13">
        <f>+(0.56/1000)</f>
        <v>5.6000000000000006E-4</v>
      </c>
      <c r="AB2696">
        <v>0.90356000000000014</v>
      </c>
      <c r="AC2696">
        <v>0.93970240000000016</v>
      </c>
    </row>
    <row r="2697" spans="1:29" x14ac:dyDescent="0.3">
      <c r="A2697">
        <v>148641</v>
      </c>
      <c r="B2697" s="25" t="s">
        <v>5984</v>
      </c>
      <c r="C2697" t="s">
        <v>20</v>
      </c>
      <c r="D2697" t="s">
        <v>21</v>
      </c>
      <c r="E2697">
        <v>2222222</v>
      </c>
      <c r="F2697" s="8" t="s">
        <v>22</v>
      </c>
      <c r="G2697" s="2">
        <v>98</v>
      </c>
      <c r="H2697" t="s">
        <v>4290</v>
      </c>
      <c r="J2697" s="9" t="s">
        <v>5047</v>
      </c>
      <c r="K2697" t="s">
        <v>4999</v>
      </c>
      <c r="L2697" s="2">
        <v>1</v>
      </c>
      <c r="M2697" s="24" t="s">
        <v>5971</v>
      </c>
      <c r="N2697" s="2" t="s">
        <v>23</v>
      </c>
      <c r="O2697" s="18" t="s">
        <v>2130</v>
      </c>
      <c r="P2697" s="18" t="s">
        <v>3781</v>
      </c>
      <c r="Q2697" s="6" t="s">
        <v>4475</v>
      </c>
      <c r="T2697" s="23">
        <v>45968</v>
      </c>
      <c r="U2697" s="23">
        <v>46302</v>
      </c>
      <c r="X2697" s="20">
        <v>6000</v>
      </c>
      <c r="Z2697" s="6" t="s">
        <v>5978</v>
      </c>
      <c r="AA2697" s="14">
        <f t="shared" ref="AA2697:AA2701" si="344">+(0.6/1000)</f>
        <v>5.9999999999999995E-4</v>
      </c>
      <c r="AB2697">
        <v>1.0206299999999999</v>
      </c>
      <c r="AC2697">
        <v>1.0614551999999999</v>
      </c>
    </row>
    <row r="2698" spans="1:29" x14ac:dyDescent="0.3">
      <c r="A2698">
        <v>141005</v>
      </c>
      <c r="B2698" s="25" t="s">
        <v>5984</v>
      </c>
      <c r="C2698" t="s">
        <v>20</v>
      </c>
      <c r="D2698" t="s">
        <v>21</v>
      </c>
      <c r="E2698">
        <v>2222222</v>
      </c>
      <c r="F2698" s="8" t="s">
        <v>22</v>
      </c>
      <c r="G2698" s="2">
        <v>98</v>
      </c>
      <c r="H2698" t="s">
        <v>4291</v>
      </c>
      <c r="J2698" s="9" t="s">
        <v>4876</v>
      </c>
      <c r="K2698" t="s">
        <v>4853</v>
      </c>
      <c r="L2698" s="2">
        <v>1</v>
      </c>
      <c r="M2698" s="24" t="s">
        <v>5971</v>
      </c>
      <c r="N2698" s="2" t="s">
        <v>23</v>
      </c>
      <c r="O2698" s="18" t="s">
        <v>1029</v>
      </c>
      <c r="P2698" s="18" t="s">
        <v>0</v>
      </c>
      <c r="Q2698" s="6" t="s">
        <v>4475</v>
      </c>
      <c r="T2698" s="23">
        <v>45434</v>
      </c>
      <c r="U2698" s="23">
        <v>47320</v>
      </c>
      <c r="X2698" s="20">
        <v>27000</v>
      </c>
      <c r="Z2698" s="6" t="s">
        <v>5978</v>
      </c>
      <c r="AA2698" s="14">
        <f t="shared" si="344"/>
        <v>5.9999999999999995E-4</v>
      </c>
      <c r="AB2698">
        <v>10.906158</v>
      </c>
      <c r="AC2698">
        <v>11.34240432</v>
      </c>
    </row>
    <row r="2699" spans="1:29" x14ac:dyDescent="0.3">
      <c r="A2699">
        <v>147684</v>
      </c>
      <c r="B2699" s="25" t="s">
        <v>5984</v>
      </c>
      <c r="C2699" t="s">
        <v>20</v>
      </c>
      <c r="D2699" t="s">
        <v>21</v>
      </c>
      <c r="E2699">
        <v>2222222</v>
      </c>
      <c r="F2699" s="8" t="s">
        <v>22</v>
      </c>
      <c r="G2699" s="2">
        <v>98</v>
      </c>
      <c r="H2699" t="s">
        <v>4291</v>
      </c>
      <c r="J2699" s="9" t="s">
        <v>4876</v>
      </c>
      <c r="K2699" t="s">
        <v>4853</v>
      </c>
      <c r="L2699" s="2">
        <v>1</v>
      </c>
      <c r="M2699" s="24" t="s">
        <v>5971</v>
      </c>
      <c r="N2699" s="2" t="s">
        <v>23</v>
      </c>
      <c r="O2699" s="18" t="s">
        <v>1029</v>
      </c>
      <c r="P2699" s="18" t="s">
        <v>0</v>
      </c>
      <c r="Q2699" s="6" t="s">
        <v>4475</v>
      </c>
      <c r="T2699" s="23">
        <v>45909</v>
      </c>
      <c r="U2699" s="23">
        <v>47370</v>
      </c>
      <c r="X2699" s="20">
        <v>6000</v>
      </c>
      <c r="Z2699" s="6" t="s">
        <v>5978</v>
      </c>
      <c r="AA2699" s="14">
        <f t="shared" si="344"/>
        <v>5.9999999999999995E-4</v>
      </c>
      <c r="AB2699">
        <v>2.9746139999999994</v>
      </c>
      <c r="AC2699">
        <v>3.0935985599999993</v>
      </c>
    </row>
    <row r="2700" spans="1:29" x14ac:dyDescent="0.3">
      <c r="A2700">
        <v>149457</v>
      </c>
      <c r="B2700" s="25" t="s">
        <v>5984</v>
      </c>
      <c r="C2700" t="s">
        <v>20</v>
      </c>
      <c r="D2700" t="s">
        <v>21</v>
      </c>
      <c r="E2700">
        <v>2222222</v>
      </c>
      <c r="F2700" s="8" t="s">
        <v>22</v>
      </c>
      <c r="G2700" s="2">
        <v>98</v>
      </c>
      <c r="H2700" t="s">
        <v>4291</v>
      </c>
      <c r="J2700" s="9" t="s">
        <v>4876</v>
      </c>
      <c r="K2700" t="s">
        <v>4853</v>
      </c>
      <c r="L2700" s="2">
        <v>1</v>
      </c>
      <c r="M2700" s="24" t="s">
        <v>5971</v>
      </c>
      <c r="N2700" s="2" t="s">
        <v>23</v>
      </c>
      <c r="O2700" s="18" t="s">
        <v>1029</v>
      </c>
      <c r="P2700" s="18" t="s">
        <v>0</v>
      </c>
      <c r="Q2700" s="6" t="s">
        <v>4475</v>
      </c>
      <c r="T2700" s="23">
        <v>46029</v>
      </c>
      <c r="U2700" s="23">
        <v>46759</v>
      </c>
      <c r="X2700" s="20">
        <v>5000</v>
      </c>
      <c r="Z2700" s="6" t="s">
        <v>5978</v>
      </c>
      <c r="AA2700" s="14">
        <f t="shared" si="344"/>
        <v>5.9999999999999995E-4</v>
      </c>
      <c r="AB2700">
        <v>2.3089499999999998</v>
      </c>
      <c r="AC2700">
        <v>2.4013079999999998</v>
      </c>
    </row>
    <row r="2701" spans="1:29" x14ac:dyDescent="0.3">
      <c r="A2701">
        <v>151231</v>
      </c>
      <c r="B2701" s="25" t="s">
        <v>5984</v>
      </c>
      <c r="C2701" t="s">
        <v>20</v>
      </c>
      <c r="D2701" t="s">
        <v>21</v>
      </c>
      <c r="E2701">
        <v>2222222</v>
      </c>
      <c r="F2701" s="8" t="s">
        <v>22</v>
      </c>
      <c r="G2701" s="2">
        <v>98</v>
      </c>
      <c r="H2701" t="s">
        <v>4291</v>
      </c>
      <c r="J2701" s="9" t="s">
        <v>4876</v>
      </c>
      <c r="K2701" t="s">
        <v>4853</v>
      </c>
      <c r="L2701" s="2">
        <v>1</v>
      </c>
      <c r="M2701" s="24" t="s">
        <v>5971</v>
      </c>
      <c r="N2701" s="2" t="s">
        <v>23</v>
      </c>
      <c r="O2701" s="18" t="s">
        <v>1029</v>
      </c>
      <c r="P2701" s="18" t="s">
        <v>0</v>
      </c>
      <c r="Q2701" s="6" t="s">
        <v>4475</v>
      </c>
      <c r="T2701" s="23">
        <v>46150</v>
      </c>
      <c r="U2701" s="23">
        <v>46240</v>
      </c>
      <c r="X2701" s="20">
        <v>1500</v>
      </c>
      <c r="Z2701" s="6" t="s">
        <v>5978</v>
      </c>
      <c r="AA2701" s="14">
        <f t="shared" si="344"/>
        <v>5.9999999999999995E-4</v>
      </c>
      <c r="AB2701">
        <v>0.89999999999999991</v>
      </c>
      <c r="AC2701">
        <v>0.93599999999999994</v>
      </c>
    </row>
    <row r="2702" spans="1:29" x14ac:dyDescent="0.3">
      <c r="A2702">
        <v>134626</v>
      </c>
      <c r="B2702" s="25" t="s">
        <v>5984</v>
      </c>
      <c r="C2702" t="s">
        <v>20</v>
      </c>
      <c r="D2702" t="s">
        <v>21</v>
      </c>
      <c r="E2702">
        <v>2222222</v>
      </c>
      <c r="F2702" s="8" t="s">
        <v>22</v>
      </c>
      <c r="G2702" s="2">
        <v>98</v>
      </c>
      <c r="H2702" t="s">
        <v>4292</v>
      </c>
      <c r="J2702" s="9" t="s">
        <v>4838</v>
      </c>
      <c r="K2702" t="s">
        <v>5190</v>
      </c>
      <c r="L2702" s="2">
        <v>1</v>
      </c>
      <c r="M2702" s="24" t="s">
        <v>5971</v>
      </c>
      <c r="N2702" s="2" t="s">
        <v>23</v>
      </c>
      <c r="O2702" s="18" t="s">
        <v>2131</v>
      </c>
      <c r="P2702" s="18" t="s">
        <v>0</v>
      </c>
      <c r="Q2702" s="6" t="s">
        <v>4475</v>
      </c>
      <c r="T2702" s="23">
        <v>45091</v>
      </c>
      <c r="U2702" s="23">
        <v>48744</v>
      </c>
      <c r="X2702" s="20">
        <v>30000</v>
      </c>
      <c r="Z2702" s="6" t="s">
        <v>5978</v>
      </c>
      <c r="AA2702" s="13">
        <f>+(0.56/1000)</f>
        <v>5.6000000000000006E-4</v>
      </c>
      <c r="AB2702">
        <v>14.113388800000001</v>
      </c>
      <c r="AC2702">
        <v>14.677924352000002</v>
      </c>
    </row>
    <row r="2703" spans="1:29" x14ac:dyDescent="0.3">
      <c r="A2703">
        <v>145127</v>
      </c>
      <c r="B2703" s="25" t="s">
        <v>5984</v>
      </c>
      <c r="C2703" t="s">
        <v>20</v>
      </c>
      <c r="D2703" t="s">
        <v>21</v>
      </c>
      <c r="E2703">
        <v>2222222</v>
      </c>
      <c r="F2703" s="8" t="s">
        <v>22</v>
      </c>
      <c r="G2703" s="2">
        <v>98</v>
      </c>
      <c r="H2703" t="s">
        <v>4292</v>
      </c>
      <c r="J2703" s="9" t="s">
        <v>4911</v>
      </c>
      <c r="K2703" t="s">
        <v>4941</v>
      </c>
      <c r="L2703" s="2">
        <v>1</v>
      </c>
      <c r="M2703" s="24" t="s">
        <v>5971</v>
      </c>
      <c r="N2703" s="2" t="s">
        <v>23</v>
      </c>
      <c r="O2703" s="18" t="s">
        <v>2132</v>
      </c>
      <c r="P2703" s="18" t="s">
        <v>3781</v>
      </c>
      <c r="Q2703" s="6" t="s">
        <v>4475</v>
      </c>
      <c r="T2703" s="23">
        <v>45737</v>
      </c>
      <c r="U2703" s="23">
        <v>46650</v>
      </c>
      <c r="X2703" s="20">
        <v>5600</v>
      </c>
      <c r="Z2703" s="6" t="s">
        <v>5978</v>
      </c>
      <c r="AA2703" s="14">
        <f>+(0.6/1000)</f>
        <v>5.9999999999999995E-4</v>
      </c>
      <c r="AB2703">
        <v>1.7152019999999999</v>
      </c>
      <c r="AC2703">
        <v>1.7838100799999999</v>
      </c>
    </row>
    <row r="2704" spans="1:29" x14ac:dyDescent="0.3">
      <c r="A2704">
        <v>130292</v>
      </c>
      <c r="B2704" s="25" t="s">
        <v>5984</v>
      </c>
      <c r="C2704" t="s">
        <v>20</v>
      </c>
      <c r="D2704" t="s">
        <v>21</v>
      </c>
      <c r="E2704">
        <v>2222222</v>
      </c>
      <c r="F2704" s="8" t="s">
        <v>22</v>
      </c>
      <c r="G2704" s="2">
        <v>98</v>
      </c>
      <c r="H2704" t="s">
        <v>4293</v>
      </c>
      <c r="J2704" s="9" t="s">
        <v>5095</v>
      </c>
      <c r="K2704" t="s">
        <v>4991</v>
      </c>
      <c r="L2704" s="2">
        <v>1</v>
      </c>
      <c r="M2704" s="24" t="s">
        <v>5971</v>
      </c>
      <c r="N2704" s="2" t="s">
        <v>23</v>
      </c>
      <c r="O2704" s="18" t="s">
        <v>2133</v>
      </c>
      <c r="P2704" s="18" t="s">
        <v>3781</v>
      </c>
      <c r="Q2704" s="6" t="s">
        <v>4475</v>
      </c>
      <c r="T2704" s="23">
        <v>44846</v>
      </c>
      <c r="U2704" s="23">
        <v>47037</v>
      </c>
      <c r="X2704" s="20">
        <v>14990</v>
      </c>
      <c r="Z2704" s="6" t="s">
        <v>5978</v>
      </c>
      <c r="AA2704" s="13">
        <f>+(0.56/1000)</f>
        <v>5.6000000000000006E-4</v>
      </c>
      <c r="AB2704">
        <v>3.9466280000000005</v>
      </c>
      <c r="AC2704">
        <v>4.1044931200000008</v>
      </c>
    </row>
    <row r="2705" spans="1:29" x14ac:dyDescent="0.3">
      <c r="A2705">
        <v>141847</v>
      </c>
      <c r="B2705" s="25" t="s">
        <v>5984</v>
      </c>
      <c r="C2705" t="s">
        <v>20</v>
      </c>
      <c r="D2705" t="s">
        <v>21</v>
      </c>
      <c r="E2705">
        <v>2222222</v>
      </c>
      <c r="F2705" s="8" t="s">
        <v>22</v>
      </c>
      <c r="G2705" s="2">
        <v>98</v>
      </c>
      <c r="H2705" t="s">
        <v>4293</v>
      </c>
      <c r="J2705" s="9" t="s">
        <v>4852</v>
      </c>
      <c r="K2705" t="s">
        <v>4827</v>
      </c>
      <c r="L2705" s="2">
        <v>1</v>
      </c>
      <c r="M2705" s="24" t="s">
        <v>5971</v>
      </c>
      <c r="N2705" s="2" t="s">
        <v>23</v>
      </c>
      <c r="O2705" s="18" t="s">
        <v>998</v>
      </c>
      <c r="P2705" s="18" t="s">
        <v>0</v>
      </c>
      <c r="Q2705" s="6" t="s">
        <v>4475</v>
      </c>
      <c r="T2705" s="23">
        <v>45482</v>
      </c>
      <c r="U2705" s="23">
        <v>46576</v>
      </c>
      <c r="X2705" s="20">
        <v>6600</v>
      </c>
      <c r="Z2705" s="6" t="s">
        <v>5978</v>
      </c>
      <c r="AA2705" s="14">
        <f t="shared" ref="AA2705:AA2708" si="345">+(0.6/1000)</f>
        <v>5.9999999999999995E-4</v>
      </c>
      <c r="AB2705">
        <v>1.5500219999999998</v>
      </c>
      <c r="AC2705">
        <v>1.6120228799999998</v>
      </c>
    </row>
    <row r="2706" spans="1:29" x14ac:dyDescent="0.3">
      <c r="A2706">
        <v>152352</v>
      </c>
      <c r="B2706" s="25" t="s">
        <v>5984</v>
      </c>
      <c r="C2706" t="s">
        <v>20</v>
      </c>
      <c r="D2706" t="s">
        <v>21</v>
      </c>
      <c r="E2706">
        <v>2222222</v>
      </c>
      <c r="F2706" s="8" t="s">
        <v>22</v>
      </c>
      <c r="G2706" s="2">
        <v>98</v>
      </c>
      <c r="H2706" t="s">
        <v>4293</v>
      </c>
      <c r="J2706" s="9" t="s">
        <v>4926</v>
      </c>
      <c r="K2706" t="s">
        <v>4980</v>
      </c>
      <c r="L2706" s="2">
        <v>1</v>
      </c>
      <c r="M2706" s="24" t="s">
        <v>5971</v>
      </c>
      <c r="N2706" s="2" t="s">
        <v>23</v>
      </c>
      <c r="O2706" s="18" t="s">
        <v>2134</v>
      </c>
      <c r="P2706" s="18" t="s">
        <v>3781</v>
      </c>
      <c r="Q2706" s="6" t="s">
        <v>4475</v>
      </c>
      <c r="T2706" s="23">
        <v>46231</v>
      </c>
      <c r="U2706" s="23">
        <v>46327</v>
      </c>
      <c r="X2706" s="20">
        <v>980</v>
      </c>
      <c r="Z2706" s="6" t="s">
        <v>5978</v>
      </c>
      <c r="AA2706" s="14">
        <f t="shared" si="345"/>
        <v>5.9999999999999995E-4</v>
      </c>
      <c r="AB2706">
        <v>0.58799999999999997</v>
      </c>
      <c r="AC2706">
        <v>0.61151999999999995</v>
      </c>
    </row>
    <row r="2707" spans="1:29" x14ac:dyDescent="0.3">
      <c r="A2707">
        <v>143618</v>
      </c>
      <c r="B2707" s="25" t="s">
        <v>5984</v>
      </c>
      <c r="C2707" t="s">
        <v>20</v>
      </c>
      <c r="D2707" t="s">
        <v>21</v>
      </c>
      <c r="E2707">
        <v>2222222</v>
      </c>
      <c r="F2707" s="8" t="s">
        <v>22</v>
      </c>
      <c r="G2707" s="2">
        <v>98</v>
      </c>
      <c r="H2707" t="s">
        <v>4294</v>
      </c>
      <c r="J2707" s="9" t="s">
        <v>5152</v>
      </c>
      <c r="K2707" t="s">
        <v>5179</v>
      </c>
      <c r="L2707" s="2">
        <v>1</v>
      </c>
      <c r="M2707" s="24" t="s">
        <v>5971</v>
      </c>
      <c r="N2707" s="2" t="s">
        <v>23</v>
      </c>
      <c r="O2707" s="18" t="s">
        <v>2135</v>
      </c>
      <c r="P2707" s="18" t="s">
        <v>3781</v>
      </c>
      <c r="Q2707" s="6" t="s">
        <v>4475</v>
      </c>
      <c r="T2707" s="23">
        <v>45604</v>
      </c>
      <c r="U2707" s="23">
        <v>47430</v>
      </c>
      <c r="X2707" s="20">
        <v>5000</v>
      </c>
      <c r="Z2707" s="6" t="s">
        <v>5978</v>
      </c>
      <c r="AA2707" s="14">
        <f t="shared" si="345"/>
        <v>5.9999999999999995E-4</v>
      </c>
      <c r="AB2707">
        <v>2.4204179999999997</v>
      </c>
      <c r="AC2707">
        <v>2.5172347199999998</v>
      </c>
    </row>
    <row r="2708" spans="1:29" x14ac:dyDescent="0.3">
      <c r="A2708">
        <v>148021</v>
      </c>
      <c r="B2708" s="25" t="s">
        <v>5984</v>
      </c>
      <c r="C2708" t="s">
        <v>20</v>
      </c>
      <c r="D2708" t="s">
        <v>21</v>
      </c>
      <c r="E2708">
        <v>2222222</v>
      </c>
      <c r="F2708" s="8" t="s">
        <v>22</v>
      </c>
      <c r="G2708" s="2">
        <v>98</v>
      </c>
      <c r="H2708" t="s">
        <v>4294</v>
      </c>
      <c r="J2708" s="9" t="s">
        <v>5152</v>
      </c>
      <c r="K2708" t="s">
        <v>5179</v>
      </c>
      <c r="L2708" s="2">
        <v>1</v>
      </c>
      <c r="M2708" s="24" t="s">
        <v>5971</v>
      </c>
      <c r="N2708" s="2" t="s">
        <v>23</v>
      </c>
      <c r="O2708" s="18" t="s">
        <v>2135</v>
      </c>
      <c r="P2708" s="18" t="s">
        <v>3781</v>
      </c>
      <c r="Q2708" s="6" t="s">
        <v>4475</v>
      </c>
      <c r="T2708" s="23">
        <v>45930</v>
      </c>
      <c r="U2708" s="23">
        <v>46023</v>
      </c>
      <c r="X2708" s="20">
        <v>1820</v>
      </c>
      <c r="Z2708" s="6" t="s">
        <v>5978</v>
      </c>
      <c r="AA2708" s="14">
        <f t="shared" si="345"/>
        <v>5.9999999999999995E-4</v>
      </c>
      <c r="AB2708">
        <v>1.0919999999999999</v>
      </c>
      <c r="AC2708">
        <v>1.1356799999999998</v>
      </c>
    </row>
    <row r="2709" spans="1:29" x14ac:dyDescent="0.3">
      <c r="A2709">
        <v>138285</v>
      </c>
      <c r="B2709" s="25" t="s">
        <v>5984</v>
      </c>
      <c r="C2709" t="s">
        <v>20</v>
      </c>
      <c r="D2709" t="s">
        <v>21</v>
      </c>
      <c r="E2709">
        <v>2222222</v>
      </c>
      <c r="F2709" s="8" t="s">
        <v>22</v>
      </c>
      <c r="G2709" s="2">
        <v>98</v>
      </c>
      <c r="H2709" t="s">
        <v>4295</v>
      </c>
      <c r="J2709" s="9" t="s">
        <v>4779</v>
      </c>
      <c r="K2709" t="s">
        <v>4853</v>
      </c>
      <c r="L2709" s="2">
        <v>1</v>
      </c>
      <c r="M2709" s="24" t="s">
        <v>5971</v>
      </c>
      <c r="N2709" s="2" t="s">
        <v>23</v>
      </c>
      <c r="O2709" s="18" t="s">
        <v>1510</v>
      </c>
      <c r="P2709" s="18" t="s">
        <v>0</v>
      </c>
      <c r="Q2709" s="6" t="s">
        <v>4475</v>
      </c>
      <c r="T2709" s="23">
        <v>45274</v>
      </c>
      <c r="U2709" s="23">
        <v>47190</v>
      </c>
      <c r="X2709" s="20">
        <v>16000</v>
      </c>
      <c r="Z2709" s="6" t="s">
        <v>5978</v>
      </c>
      <c r="AA2709" s="13">
        <f t="shared" ref="AA2709:AA2710" si="346">+(0.56/1000)</f>
        <v>5.6000000000000006E-4</v>
      </c>
      <c r="AB2709">
        <v>5.5755616000000012</v>
      </c>
      <c r="AC2709">
        <v>5.7985840640000017</v>
      </c>
    </row>
    <row r="2710" spans="1:29" x14ac:dyDescent="0.3">
      <c r="A2710">
        <v>140425</v>
      </c>
      <c r="B2710" s="25" t="s">
        <v>5984</v>
      </c>
      <c r="C2710" t="s">
        <v>20</v>
      </c>
      <c r="D2710" t="s">
        <v>21</v>
      </c>
      <c r="E2710">
        <v>2222222</v>
      </c>
      <c r="F2710" s="8" t="s">
        <v>22</v>
      </c>
      <c r="G2710" s="2">
        <v>98</v>
      </c>
      <c r="H2710" t="s">
        <v>4295</v>
      </c>
      <c r="J2710" s="9" t="s">
        <v>5017</v>
      </c>
      <c r="K2710" t="s">
        <v>5019</v>
      </c>
      <c r="L2710" s="2">
        <v>1</v>
      </c>
      <c r="M2710" s="24" t="s">
        <v>5971</v>
      </c>
      <c r="N2710" s="2" t="s">
        <v>23</v>
      </c>
      <c r="O2710" s="18" t="s">
        <v>2136</v>
      </c>
      <c r="P2710" s="18" t="s">
        <v>3781</v>
      </c>
      <c r="Q2710" s="6" t="s">
        <v>4475</v>
      </c>
      <c r="T2710" s="23">
        <v>45394</v>
      </c>
      <c r="U2710" s="23">
        <v>46489</v>
      </c>
      <c r="X2710" s="20">
        <v>8250</v>
      </c>
      <c r="Z2710" s="6" t="s">
        <v>5978</v>
      </c>
      <c r="AA2710" s="13">
        <f t="shared" si="346"/>
        <v>5.6000000000000006E-4</v>
      </c>
      <c r="AB2710">
        <v>1.3727616000000002</v>
      </c>
      <c r="AC2710">
        <v>1.4276720640000002</v>
      </c>
    </row>
    <row r="2711" spans="1:29" x14ac:dyDescent="0.3">
      <c r="A2711">
        <v>146037</v>
      </c>
      <c r="B2711" s="25" t="s">
        <v>5984</v>
      </c>
      <c r="C2711" t="s">
        <v>20</v>
      </c>
      <c r="D2711" t="s">
        <v>21</v>
      </c>
      <c r="E2711">
        <v>2222222</v>
      </c>
      <c r="F2711" s="8" t="s">
        <v>22</v>
      </c>
      <c r="G2711" s="2">
        <v>98</v>
      </c>
      <c r="H2711" t="s">
        <v>4295</v>
      </c>
      <c r="J2711" s="9" t="s">
        <v>4836</v>
      </c>
      <c r="K2711" t="s">
        <v>5081</v>
      </c>
      <c r="L2711" s="2">
        <v>1</v>
      </c>
      <c r="M2711" s="24" t="s">
        <v>5971</v>
      </c>
      <c r="N2711" s="2" t="s">
        <v>23</v>
      </c>
      <c r="O2711" s="18" t="s">
        <v>2137</v>
      </c>
      <c r="P2711" s="18" t="s">
        <v>3781</v>
      </c>
      <c r="Q2711" s="6" t="s">
        <v>4475</v>
      </c>
      <c r="T2711" s="23">
        <v>45784</v>
      </c>
      <c r="U2711" s="23">
        <v>47609</v>
      </c>
      <c r="X2711" s="20">
        <v>1720</v>
      </c>
      <c r="Z2711" s="6" t="s">
        <v>5978</v>
      </c>
      <c r="AA2711" s="14">
        <f t="shared" ref="AA2711:AA2716" si="347">+(0.6/1000)</f>
        <v>5.9999999999999995E-4</v>
      </c>
      <c r="AB2711">
        <v>0.85156799999999988</v>
      </c>
      <c r="AC2711">
        <v>0.88563071999999987</v>
      </c>
    </row>
    <row r="2712" spans="1:29" x14ac:dyDescent="0.3">
      <c r="A2712">
        <v>150892</v>
      </c>
      <c r="B2712" s="25" t="s">
        <v>5984</v>
      </c>
      <c r="C2712" t="s">
        <v>20</v>
      </c>
      <c r="D2712" t="s">
        <v>21</v>
      </c>
      <c r="E2712">
        <v>2222222</v>
      </c>
      <c r="F2712" s="8" t="s">
        <v>22</v>
      </c>
      <c r="G2712" s="2">
        <v>98</v>
      </c>
      <c r="H2712" t="s">
        <v>4295</v>
      </c>
      <c r="J2712" s="9" t="s">
        <v>4839</v>
      </c>
      <c r="K2712" t="s">
        <v>5035</v>
      </c>
      <c r="L2712" s="2">
        <v>1</v>
      </c>
      <c r="M2712" s="24" t="s">
        <v>5971</v>
      </c>
      <c r="N2712" s="2" t="s">
        <v>23</v>
      </c>
      <c r="O2712" s="18" t="s">
        <v>2138</v>
      </c>
      <c r="P2712" s="18" t="s">
        <v>0</v>
      </c>
      <c r="Q2712" s="6" t="s">
        <v>4475</v>
      </c>
      <c r="T2712" s="23">
        <v>46125</v>
      </c>
      <c r="U2712" s="23">
        <v>46856</v>
      </c>
      <c r="X2712" s="20">
        <v>5000</v>
      </c>
      <c r="Z2712" s="6" t="s">
        <v>5978</v>
      </c>
      <c r="AA2712" s="14">
        <f t="shared" si="347"/>
        <v>5.9999999999999995E-4</v>
      </c>
      <c r="AB2712">
        <v>2.6813159999999994</v>
      </c>
      <c r="AC2712">
        <v>2.7885686399999994</v>
      </c>
    </row>
    <row r="2713" spans="1:29" x14ac:dyDescent="0.3">
      <c r="A2713">
        <v>151117</v>
      </c>
      <c r="B2713" s="25" t="s">
        <v>5984</v>
      </c>
      <c r="C2713" t="s">
        <v>20</v>
      </c>
      <c r="D2713" t="s">
        <v>21</v>
      </c>
      <c r="E2713">
        <v>2222222</v>
      </c>
      <c r="F2713" s="8" t="s">
        <v>22</v>
      </c>
      <c r="G2713" s="2">
        <v>98</v>
      </c>
      <c r="H2713" t="s">
        <v>4295</v>
      </c>
      <c r="J2713" s="9" t="s">
        <v>4960</v>
      </c>
      <c r="K2713" t="s">
        <v>4932</v>
      </c>
      <c r="L2713" s="2">
        <v>1</v>
      </c>
      <c r="M2713" s="24" t="s">
        <v>5971</v>
      </c>
      <c r="N2713" s="2" t="s">
        <v>23</v>
      </c>
      <c r="O2713" s="18" t="s">
        <v>2139</v>
      </c>
      <c r="P2713" s="18" t="s">
        <v>3781</v>
      </c>
      <c r="Q2713" s="6" t="s">
        <v>4475</v>
      </c>
      <c r="T2713" s="23">
        <v>46140</v>
      </c>
      <c r="U2713" s="23">
        <v>47236</v>
      </c>
      <c r="X2713" s="20">
        <v>1100</v>
      </c>
      <c r="Z2713" s="6" t="s">
        <v>5978</v>
      </c>
      <c r="AA2713" s="14">
        <f t="shared" si="347"/>
        <v>5.9999999999999995E-4</v>
      </c>
      <c r="AB2713">
        <v>0.61691399999999996</v>
      </c>
      <c r="AC2713">
        <v>0.64159056000000003</v>
      </c>
    </row>
    <row r="2714" spans="1:29" x14ac:dyDescent="0.3">
      <c r="A2714">
        <v>152028</v>
      </c>
      <c r="B2714" s="25" t="s">
        <v>5984</v>
      </c>
      <c r="C2714" t="s">
        <v>20</v>
      </c>
      <c r="D2714" t="s">
        <v>21</v>
      </c>
      <c r="E2714">
        <v>2222222</v>
      </c>
      <c r="F2714" s="8" t="s">
        <v>22</v>
      </c>
      <c r="G2714" s="2">
        <v>98</v>
      </c>
      <c r="H2714" t="s">
        <v>4295</v>
      </c>
      <c r="J2714" s="9" t="s">
        <v>4779</v>
      </c>
      <c r="K2714" t="s">
        <v>4853</v>
      </c>
      <c r="L2714" s="2">
        <v>1</v>
      </c>
      <c r="M2714" s="24" t="s">
        <v>5971</v>
      </c>
      <c r="N2714" s="2" t="s">
        <v>23</v>
      </c>
      <c r="O2714" s="18" t="s">
        <v>1510</v>
      </c>
      <c r="P2714" s="18" t="s">
        <v>0</v>
      </c>
      <c r="Q2714" s="6" t="s">
        <v>4475</v>
      </c>
      <c r="T2714" s="23">
        <v>46209</v>
      </c>
      <c r="U2714" s="23">
        <v>46299</v>
      </c>
      <c r="X2714" s="20">
        <v>1500</v>
      </c>
      <c r="Z2714" s="6" t="s">
        <v>5978</v>
      </c>
      <c r="AA2714" s="14">
        <f t="shared" si="347"/>
        <v>5.9999999999999995E-4</v>
      </c>
      <c r="AB2714">
        <v>0.89999999999999991</v>
      </c>
      <c r="AC2714">
        <v>0.93599999999999994</v>
      </c>
    </row>
    <row r="2715" spans="1:29" x14ac:dyDescent="0.3">
      <c r="A2715">
        <v>152198</v>
      </c>
      <c r="B2715" s="25" t="s">
        <v>5984</v>
      </c>
      <c r="C2715" t="s">
        <v>20</v>
      </c>
      <c r="D2715" t="s">
        <v>21</v>
      </c>
      <c r="E2715">
        <v>2222222</v>
      </c>
      <c r="F2715" s="8" t="s">
        <v>22</v>
      </c>
      <c r="G2715" s="2">
        <v>98</v>
      </c>
      <c r="H2715" t="s">
        <v>4295</v>
      </c>
      <c r="J2715" s="9" t="s">
        <v>5662</v>
      </c>
      <c r="K2715" t="s">
        <v>5663</v>
      </c>
      <c r="L2715" s="2">
        <v>1</v>
      </c>
      <c r="M2715" s="24" t="s">
        <v>5971</v>
      </c>
      <c r="N2715" s="2" t="s">
        <v>23</v>
      </c>
      <c r="O2715" s="18" t="s">
        <v>2140</v>
      </c>
      <c r="P2715" s="18" t="s">
        <v>0</v>
      </c>
      <c r="Q2715" s="6" t="s">
        <v>4475</v>
      </c>
      <c r="T2715" s="23">
        <v>46218</v>
      </c>
      <c r="U2715" s="23">
        <v>46308</v>
      </c>
      <c r="X2715" s="20">
        <v>1000</v>
      </c>
      <c r="Z2715" s="6" t="s">
        <v>5978</v>
      </c>
      <c r="AA2715" s="14">
        <f t="shared" si="347"/>
        <v>5.9999999999999995E-4</v>
      </c>
      <c r="AB2715">
        <v>0.6</v>
      </c>
      <c r="AC2715">
        <v>0.624</v>
      </c>
    </row>
    <row r="2716" spans="1:29" x14ac:dyDescent="0.3">
      <c r="A2716">
        <v>146851</v>
      </c>
      <c r="B2716" s="25" t="s">
        <v>5984</v>
      </c>
      <c r="C2716" t="s">
        <v>20</v>
      </c>
      <c r="D2716" t="s">
        <v>21</v>
      </c>
      <c r="E2716">
        <v>2222222</v>
      </c>
      <c r="F2716" s="8" t="s">
        <v>22</v>
      </c>
      <c r="G2716" s="2">
        <v>98</v>
      </c>
      <c r="H2716" t="s">
        <v>4296</v>
      </c>
      <c r="J2716" s="9" t="s">
        <v>5141</v>
      </c>
      <c r="K2716" t="s">
        <v>4859</v>
      </c>
      <c r="L2716" s="2">
        <v>1</v>
      </c>
      <c r="M2716" s="24" t="s">
        <v>5971</v>
      </c>
      <c r="N2716" s="2" t="s">
        <v>23</v>
      </c>
      <c r="O2716" s="18" t="s">
        <v>2141</v>
      </c>
      <c r="P2716" s="18" t="s">
        <v>3781</v>
      </c>
      <c r="Q2716" s="6" t="s">
        <v>4475</v>
      </c>
      <c r="T2716" s="23">
        <v>45847</v>
      </c>
      <c r="U2716" s="23">
        <v>47307</v>
      </c>
      <c r="X2716" s="20">
        <v>3500</v>
      </c>
      <c r="Z2716" s="6" t="s">
        <v>5978</v>
      </c>
      <c r="AA2716" s="14">
        <f t="shared" si="347"/>
        <v>5.9999999999999995E-4</v>
      </c>
      <c r="AB2716">
        <v>1.70703</v>
      </c>
      <c r="AC2716">
        <v>1.7753112000000002</v>
      </c>
    </row>
    <row r="2717" spans="1:29" x14ac:dyDescent="0.3">
      <c r="A2717">
        <v>136292</v>
      </c>
      <c r="B2717" s="25" t="s">
        <v>5984</v>
      </c>
      <c r="C2717" t="s">
        <v>20</v>
      </c>
      <c r="D2717" t="s">
        <v>21</v>
      </c>
      <c r="E2717">
        <v>2222222</v>
      </c>
      <c r="F2717" s="8" t="s">
        <v>22</v>
      </c>
      <c r="G2717" s="2">
        <v>98</v>
      </c>
      <c r="H2717" t="s">
        <v>4297</v>
      </c>
      <c r="J2717" s="9" t="s">
        <v>5098</v>
      </c>
      <c r="K2717" t="s">
        <v>4899</v>
      </c>
      <c r="L2717" s="2">
        <v>1</v>
      </c>
      <c r="M2717" s="24" t="s">
        <v>5971</v>
      </c>
      <c r="N2717" s="2" t="s">
        <v>23</v>
      </c>
      <c r="O2717" s="18" t="s">
        <v>2142</v>
      </c>
      <c r="P2717" s="18" t="s">
        <v>3781</v>
      </c>
      <c r="Q2717" s="6" t="s">
        <v>4475</v>
      </c>
      <c r="T2717" s="23">
        <v>45172</v>
      </c>
      <c r="U2717" s="23">
        <v>47364</v>
      </c>
      <c r="X2717" s="20">
        <v>6300</v>
      </c>
      <c r="Z2717" s="6" t="s">
        <v>5978</v>
      </c>
      <c r="AA2717" s="13">
        <f>+(0.56/1000)</f>
        <v>5.6000000000000006E-4</v>
      </c>
      <c r="AB2717">
        <v>2.2756440000000002</v>
      </c>
      <c r="AC2717">
        <v>2.3666697600000002</v>
      </c>
    </row>
    <row r="2718" spans="1:29" x14ac:dyDescent="0.3">
      <c r="A2718">
        <v>151711</v>
      </c>
      <c r="B2718" s="25" t="s">
        <v>5984</v>
      </c>
      <c r="C2718" t="s">
        <v>20</v>
      </c>
      <c r="D2718" t="s">
        <v>21</v>
      </c>
      <c r="E2718">
        <v>2222222</v>
      </c>
      <c r="F2718" s="8" t="s">
        <v>22</v>
      </c>
      <c r="G2718" s="2">
        <v>98</v>
      </c>
      <c r="H2718" t="s">
        <v>4297</v>
      </c>
      <c r="J2718" s="9" t="s">
        <v>5098</v>
      </c>
      <c r="K2718" t="s">
        <v>4899</v>
      </c>
      <c r="L2718" s="2">
        <v>1</v>
      </c>
      <c r="M2718" s="24" t="s">
        <v>5971</v>
      </c>
      <c r="N2718" s="2" t="s">
        <v>23</v>
      </c>
      <c r="O2718" s="18" t="s">
        <v>2142</v>
      </c>
      <c r="P2718" s="18" t="s">
        <v>3781</v>
      </c>
      <c r="Q2718" s="6" t="s">
        <v>4475</v>
      </c>
      <c r="T2718" s="23">
        <v>46182</v>
      </c>
      <c r="U2718" s="23">
        <v>46272</v>
      </c>
      <c r="X2718" s="20">
        <v>5000</v>
      </c>
      <c r="Z2718" s="6" t="s">
        <v>5978</v>
      </c>
      <c r="AA2718" s="14">
        <f t="shared" ref="AA2718:AA2719" si="348">+(0.6/1000)</f>
        <v>5.9999999999999995E-4</v>
      </c>
      <c r="AB2718">
        <v>2.9999999999999996</v>
      </c>
      <c r="AC2718">
        <v>3.1199999999999997</v>
      </c>
    </row>
    <row r="2719" spans="1:29" x14ac:dyDescent="0.3">
      <c r="A2719">
        <v>141879</v>
      </c>
      <c r="B2719" s="25" t="s">
        <v>5984</v>
      </c>
      <c r="C2719" t="s">
        <v>20</v>
      </c>
      <c r="D2719" t="s">
        <v>21</v>
      </c>
      <c r="E2719">
        <v>2222222</v>
      </c>
      <c r="F2719" s="8" t="s">
        <v>22</v>
      </c>
      <c r="G2719" s="2">
        <v>98</v>
      </c>
      <c r="H2719" t="s">
        <v>4298</v>
      </c>
      <c r="J2719" s="9" t="s">
        <v>5237</v>
      </c>
      <c r="K2719" t="s">
        <v>5664</v>
      </c>
      <c r="L2719" s="2">
        <v>1</v>
      </c>
      <c r="M2719" s="24" t="s">
        <v>5971</v>
      </c>
      <c r="N2719" s="2" t="s">
        <v>23</v>
      </c>
      <c r="O2719" s="18" t="s">
        <v>2143</v>
      </c>
      <c r="P2719" s="18" t="s">
        <v>3781</v>
      </c>
      <c r="Q2719" s="6" t="s">
        <v>4475</v>
      </c>
      <c r="T2719" s="23">
        <v>45545</v>
      </c>
      <c r="U2719" s="23">
        <v>49197</v>
      </c>
      <c r="X2719" s="20">
        <v>30000</v>
      </c>
      <c r="Z2719" s="6" t="s">
        <v>5978</v>
      </c>
      <c r="AA2719" s="14">
        <f t="shared" si="348"/>
        <v>5.9999999999999995E-4</v>
      </c>
      <c r="AB2719">
        <v>15.603953999999998</v>
      </c>
      <c r="AC2719">
        <v>16.228112159999998</v>
      </c>
    </row>
    <row r="2720" spans="1:29" x14ac:dyDescent="0.3">
      <c r="A2720">
        <v>134587</v>
      </c>
      <c r="B2720" s="25" t="s">
        <v>5984</v>
      </c>
      <c r="C2720" t="s">
        <v>20</v>
      </c>
      <c r="D2720" t="s">
        <v>21</v>
      </c>
      <c r="E2720">
        <v>2222222</v>
      </c>
      <c r="F2720" s="8" t="s">
        <v>22</v>
      </c>
      <c r="G2720" s="2">
        <v>98</v>
      </c>
      <c r="H2720" t="s">
        <v>4299</v>
      </c>
      <c r="J2720" s="9" t="s">
        <v>4925</v>
      </c>
      <c r="K2720" t="s">
        <v>4909</v>
      </c>
      <c r="L2720" s="2">
        <v>1</v>
      </c>
      <c r="M2720" s="24" t="s">
        <v>5971</v>
      </c>
      <c r="N2720" s="2" t="s">
        <v>23</v>
      </c>
      <c r="O2720" s="18" t="s">
        <v>2144</v>
      </c>
      <c r="P2720" s="18" t="s">
        <v>3781</v>
      </c>
      <c r="Q2720" s="6" t="s">
        <v>4475</v>
      </c>
      <c r="T2720" s="23">
        <v>45064</v>
      </c>
      <c r="U2720" s="23">
        <v>47988</v>
      </c>
      <c r="X2720" s="20">
        <v>11350</v>
      </c>
      <c r="Z2720" s="6" t="s">
        <v>5978</v>
      </c>
      <c r="AA2720" s="13">
        <f>+(0.56/1000)</f>
        <v>5.6000000000000006E-4</v>
      </c>
      <c r="AB2720">
        <v>6.2878368000000009</v>
      </c>
      <c r="AC2720">
        <v>6.539350272000001</v>
      </c>
    </row>
    <row r="2721" spans="1:29" x14ac:dyDescent="0.3">
      <c r="A2721">
        <v>77234</v>
      </c>
      <c r="B2721" s="25" t="s">
        <v>5984</v>
      </c>
      <c r="C2721" t="s">
        <v>20</v>
      </c>
      <c r="D2721" t="s">
        <v>21</v>
      </c>
      <c r="E2721">
        <v>2222222</v>
      </c>
      <c r="F2721" s="8" t="s">
        <v>22</v>
      </c>
      <c r="G2721" s="2">
        <v>98</v>
      </c>
      <c r="H2721" t="s">
        <v>4300</v>
      </c>
      <c r="J2721" s="9" t="s">
        <v>4981</v>
      </c>
      <c r="K2721" t="s">
        <v>5665</v>
      </c>
      <c r="L2721" s="2">
        <v>1</v>
      </c>
      <c r="M2721" s="24" t="s">
        <v>5971</v>
      </c>
      <c r="N2721" s="2" t="s">
        <v>23</v>
      </c>
      <c r="O2721" s="18" t="s">
        <v>2145</v>
      </c>
      <c r="P2721" s="18" t="s">
        <v>3781</v>
      </c>
      <c r="Q2721" s="6" t="s">
        <v>4475</v>
      </c>
      <c r="T2721" s="23">
        <v>42685</v>
      </c>
      <c r="U2721" s="23">
        <v>43415</v>
      </c>
      <c r="X2721" s="20">
        <v>2800</v>
      </c>
      <c r="Z2721" s="6" t="s">
        <v>5978</v>
      </c>
      <c r="AA2721" s="15">
        <f t="shared" ref="AA2721:AA2722" si="349">+(0.42/1000)</f>
        <v>4.1999999999999996E-4</v>
      </c>
      <c r="AB2721">
        <v>0.38483759999999995</v>
      </c>
      <c r="AC2721">
        <v>0.40023110399999995</v>
      </c>
    </row>
    <row r="2722" spans="1:29" x14ac:dyDescent="0.3">
      <c r="A2722">
        <v>96658</v>
      </c>
      <c r="B2722" s="25" t="s">
        <v>5984</v>
      </c>
      <c r="C2722" t="s">
        <v>20</v>
      </c>
      <c r="D2722" t="s">
        <v>21</v>
      </c>
      <c r="E2722">
        <v>2222222</v>
      </c>
      <c r="F2722" s="8" t="s">
        <v>22</v>
      </c>
      <c r="G2722" s="2">
        <v>98</v>
      </c>
      <c r="H2722" t="s">
        <v>4300</v>
      </c>
      <c r="J2722" s="9" t="s">
        <v>5666</v>
      </c>
      <c r="K2722" t="s">
        <v>4949</v>
      </c>
      <c r="L2722" s="2">
        <v>1</v>
      </c>
      <c r="M2722" s="24" t="s">
        <v>5971</v>
      </c>
      <c r="N2722" s="2" t="s">
        <v>23</v>
      </c>
      <c r="O2722" s="18" t="s">
        <v>2146</v>
      </c>
      <c r="P2722" s="18" t="s">
        <v>0</v>
      </c>
      <c r="Q2722" s="6" t="s">
        <v>4475</v>
      </c>
      <c r="T2722" s="23">
        <v>43333</v>
      </c>
      <c r="U2722" s="23">
        <v>45163</v>
      </c>
      <c r="X2722" s="20">
        <v>20000</v>
      </c>
      <c r="Z2722" s="6" t="s">
        <v>5978</v>
      </c>
      <c r="AA2722" s="15">
        <f t="shared" si="349"/>
        <v>4.1999999999999996E-4</v>
      </c>
      <c r="AB2722">
        <v>4.1813477999999993</v>
      </c>
      <c r="AC2722">
        <v>4.3486017119999998</v>
      </c>
    </row>
    <row r="2723" spans="1:29" x14ac:dyDescent="0.3">
      <c r="A2723">
        <v>143416</v>
      </c>
      <c r="B2723" s="25" t="s">
        <v>5984</v>
      </c>
      <c r="C2723" t="s">
        <v>20</v>
      </c>
      <c r="D2723" t="s">
        <v>21</v>
      </c>
      <c r="E2723">
        <v>2222222</v>
      </c>
      <c r="F2723" s="8" t="s">
        <v>22</v>
      </c>
      <c r="G2723" s="2">
        <v>98</v>
      </c>
      <c r="H2723" t="s">
        <v>4300</v>
      </c>
      <c r="J2723" s="9" t="s">
        <v>5667</v>
      </c>
      <c r="K2723" t="s">
        <v>5411</v>
      </c>
      <c r="L2723" s="2">
        <v>1</v>
      </c>
      <c r="M2723" s="24" t="s">
        <v>5971</v>
      </c>
      <c r="N2723" s="2" t="s">
        <v>23</v>
      </c>
      <c r="O2723" s="18" t="s">
        <v>2147</v>
      </c>
      <c r="P2723" s="18" t="s">
        <v>3781</v>
      </c>
      <c r="Q2723" s="6" t="s">
        <v>4475</v>
      </c>
      <c r="T2723" s="23">
        <v>45593</v>
      </c>
      <c r="U2723" s="23">
        <v>48148</v>
      </c>
      <c r="X2723" s="20">
        <v>20000</v>
      </c>
      <c r="Z2723" s="6" t="s">
        <v>5978</v>
      </c>
      <c r="AA2723" s="14">
        <f t="shared" ref="AA2723:AA2727" si="350">+(0.6/1000)</f>
        <v>5.9999999999999995E-4</v>
      </c>
      <c r="AB2723">
        <v>9.9335400000000007</v>
      </c>
      <c r="AC2723">
        <v>10.330881600000001</v>
      </c>
    </row>
    <row r="2724" spans="1:29" x14ac:dyDescent="0.3">
      <c r="A2724">
        <v>146577</v>
      </c>
      <c r="B2724" s="25" t="s">
        <v>5984</v>
      </c>
      <c r="C2724" t="s">
        <v>20</v>
      </c>
      <c r="D2724" t="s">
        <v>21</v>
      </c>
      <c r="E2724">
        <v>2222222</v>
      </c>
      <c r="F2724" s="8" t="s">
        <v>22</v>
      </c>
      <c r="G2724" s="2">
        <v>98</v>
      </c>
      <c r="H2724" t="s">
        <v>4300</v>
      </c>
      <c r="J2724" s="9" t="s">
        <v>4903</v>
      </c>
      <c r="K2724" t="s">
        <v>5019</v>
      </c>
      <c r="L2724" s="2">
        <v>1</v>
      </c>
      <c r="M2724" s="24" t="s">
        <v>5971</v>
      </c>
      <c r="N2724" s="2" t="s">
        <v>23</v>
      </c>
      <c r="O2724" s="18" t="s">
        <v>2148</v>
      </c>
      <c r="P2724" s="18" t="s">
        <v>3781</v>
      </c>
      <c r="Q2724" s="6" t="s">
        <v>4475</v>
      </c>
      <c r="T2724" s="23">
        <v>45827</v>
      </c>
      <c r="U2724" s="23">
        <v>47288</v>
      </c>
      <c r="X2724" s="20">
        <v>5000</v>
      </c>
      <c r="Z2724" s="6" t="s">
        <v>5978</v>
      </c>
      <c r="AA2724" s="14">
        <f t="shared" si="350"/>
        <v>5.9999999999999995E-4</v>
      </c>
      <c r="AB2724">
        <v>2.3882219999999998</v>
      </c>
      <c r="AC2724">
        <v>2.4837508800000001</v>
      </c>
    </row>
    <row r="2725" spans="1:29" x14ac:dyDescent="0.3">
      <c r="A2725">
        <v>150922</v>
      </c>
      <c r="B2725" s="25" t="s">
        <v>5984</v>
      </c>
      <c r="C2725" t="s">
        <v>20</v>
      </c>
      <c r="D2725" t="s">
        <v>21</v>
      </c>
      <c r="E2725">
        <v>2222222</v>
      </c>
      <c r="F2725" s="8" t="s">
        <v>22</v>
      </c>
      <c r="G2725" s="2">
        <v>98</v>
      </c>
      <c r="H2725" t="s">
        <v>4300</v>
      </c>
      <c r="J2725" s="9" t="s">
        <v>4988</v>
      </c>
      <c r="K2725" t="s">
        <v>5351</v>
      </c>
      <c r="L2725" s="2">
        <v>1</v>
      </c>
      <c r="M2725" s="24" t="s">
        <v>5971</v>
      </c>
      <c r="N2725" s="2" t="s">
        <v>23</v>
      </c>
      <c r="O2725" s="18" t="s">
        <v>1342</v>
      </c>
      <c r="P2725" s="18" t="s">
        <v>0</v>
      </c>
      <c r="Q2725" s="6" t="s">
        <v>4475</v>
      </c>
      <c r="T2725" s="23">
        <v>46126</v>
      </c>
      <c r="U2725" s="23">
        <v>47587</v>
      </c>
      <c r="X2725" s="20">
        <v>4360</v>
      </c>
      <c r="Z2725" s="6" t="s">
        <v>5978</v>
      </c>
      <c r="AA2725" s="14">
        <f t="shared" si="350"/>
        <v>5.9999999999999995E-4</v>
      </c>
      <c r="AB2725">
        <v>2.4918959999999997</v>
      </c>
      <c r="AC2725">
        <v>2.5915718399999998</v>
      </c>
    </row>
    <row r="2726" spans="1:29" x14ac:dyDescent="0.3">
      <c r="A2726">
        <v>151403</v>
      </c>
      <c r="B2726" s="25" t="s">
        <v>5984</v>
      </c>
      <c r="C2726" t="s">
        <v>20</v>
      </c>
      <c r="D2726" t="s">
        <v>21</v>
      </c>
      <c r="E2726">
        <v>2222222</v>
      </c>
      <c r="F2726" s="8" t="s">
        <v>22</v>
      </c>
      <c r="G2726" s="2">
        <v>98</v>
      </c>
      <c r="H2726" t="s">
        <v>4300</v>
      </c>
      <c r="J2726" s="9" t="s">
        <v>5192</v>
      </c>
      <c r="K2726" t="s">
        <v>5310</v>
      </c>
      <c r="L2726" s="2">
        <v>1</v>
      </c>
      <c r="M2726" s="24" t="s">
        <v>5971</v>
      </c>
      <c r="N2726" s="2" t="s">
        <v>23</v>
      </c>
      <c r="O2726" s="18" t="s">
        <v>392</v>
      </c>
      <c r="P2726" s="18" t="s">
        <v>3781</v>
      </c>
      <c r="Q2726" s="6" t="s">
        <v>4475</v>
      </c>
      <c r="T2726" s="23">
        <v>46161</v>
      </c>
      <c r="U2726" s="23">
        <v>47256</v>
      </c>
      <c r="X2726" s="20">
        <v>5000</v>
      </c>
      <c r="Z2726" s="6" t="s">
        <v>5978</v>
      </c>
      <c r="AA2726" s="14">
        <f t="shared" si="350"/>
        <v>5.9999999999999995E-4</v>
      </c>
      <c r="AB2726">
        <v>2.8713719999999996</v>
      </c>
      <c r="AC2726">
        <v>2.9862268799999998</v>
      </c>
    </row>
    <row r="2727" spans="1:29" x14ac:dyDescent="0.3">
      <c r="A2727">
        <v>152379</v>
      </c>
      <c r="B2727" s="25" t="s">
        <v>5984</v>
      </c>
      <c r="C2727" t="s">
        <v>20</v>
      </c>
      <c r="D2727" t="s">
        <v>21</v>
      </c>
      <c r="E2727">
        <v>2222222</v>
      </c>
      <c r="F2727" s="8" t="s">
        <v>22</v>
      </c>
      <c r="G2727" s="2">
        <v>98</v>
      </c>
      <c r="H2727" t="s">
        <v>4300</v>
      </c>
      <c r="J2727" s="9" t="s">
        <v>4903</v>
      </c>
      <c r="K2727" t="s">
        <v>5019</v>
      </c>
      <c r="L2727" s="2">
        <v>1</v>
      </c>
      <c r="M2727" s="24" t="s">
        <v>5971</v>
      </c>
      <c r="N2727" s="2" t="s">
        <v>23</v>
      </c>
      <c r="O2727" s="18" t="s">
        <v>2148</v>
      </c>
      <c r="P2727" s="18" t="s">
        <v>3781</v>
      </c>
      <c r="Q2727" s="6" t="s">
        <v>4475</v>
      </c>
      <c r="T2727" s="23">
        <v>46234</v>
      </c>
      <c r="U2727" s="23">
        <v>47331</v>
      </c>
      <c r="X2727" s="20">
        <v>3300</v>
      </c>
      <c r="Z2727" s="6" t="s">
        <v>5978</v>
      </c>
      <c r="AA2727" s="14">
        <f t="shared" si="350"/>
        <v>5.9999999999999995E-4</v>
      </c>
      <c r="AB2727">
        <v>1.9799999999999998</v>
      </c>
      <c r="AC2727">
        <v>2.0591999999999997</v>
      </c>
    </row>
    <row r="2728" spans="1:29" x14ac:dyDescent="0.3">
      <c r="A2728">
        <v>135805</v>
      </c>
      <c r="B2728" s="25" t="s">
        <v>5984</v>
      </c>
      <c r="C2728" t="s">
        <v>20</v>
      </c>
      <c r="D2728" t="s">
        <v>21</v>
      </c>
      <c r="E2728">
        <v>2222222</v>
      </c>
      <c r="F2728" s="8" t="s">
        <v>22</v>
      </c>
      <c r="G2728" s="2">
        <v>98</v>
      </c>
      <c r="H2728" t="s">
        <v>4301</v>
      </c>
      <c r="J2728" s="9" t="s">
        <v>4836</v>
      </c>
      <c r="K2728" t="s">
        <v>4880</v>
      </c>
      <c r="L2728" s="2">
        <v>1</v>
      </c>
      <c r="M2728" s="24" t="s">
        <v>5971</v>
      </c>
      <c r="N2728" s="2" t="s">
        <v>23</v>
      </c>
      <c r="O2728" s="18" t="s">
        <v>2149</v>
      </c>
      <c r="P2728" s="18" t="s">
        <v>3781</v>
      </c>
      <c r="Q2728" s="6" t="s">
        <v>4475</v>
      </c>
      <c r="T2728" s="23">
        <v>45142</v>
      </c>
      <c r="U2728" s="23">
        <v>47337</v>
      </c>
      <c r="X2728" s="20">
        <v>10000</v>
      </c>
      <c r="Z2728" s="6" t="s">
        <v>5978</v>
      </c>
      <c r="AA2728" s="13">
        <f>+(0.56/1000)</f>
        <v>5.6000000000000006E-4</v>
      </c>
      <c r="AB2728">
        <v>4.5405304000000006</v>
      </c>
      <c r="AC2728">
        <v>4.7221516160000006</v>
      </c>
    </row>
    <row r="2729" spans="1:29" x14ac:dyDescent="0.3">
      <c r="A2729">
        <v>150011</v>
      </c>
      <c r="B2729" s="25" t="s">
        <v>5984</v>
      </c>
      <c r="C2729" t="s">
        <v>20</v>
      </c>
      <c r="D2729" t="s">
        <v>21</v>
      </c>
      <c r="E2729">
        <v>2222222</v>
      </c>
      <c r="F2729" s="8" t="s">
        <v>22</v>
      </c>
      <c r="G2729" s="2">
        <v>98</v>
      </c>
      <c r="H2729" t="s">
        <v>4301</v>
      </c>
      <c r="J2729" s="9" t="s">
        <v>4749</v>
      </c>
      <c r="K2729" t="s">
        <v>5224</v>
      </c>
      <c r="L2729" s="2">
        <v>1</v>
      </c>
      <c r="M2729" s="24" t="s">
        <v>5971</v>
      </c>
      <c r="N2729" s="2" t="s">
        <v>23</v>
      </c>
      <c r="O2729" s="18" t="s">
        <v>2150</v>
      </c>
      <c r="P2729" s="18" t="s">
        <v>0</v>
      </c>
      <c r="Q2729" s="6" t="s">
        <v>4475</v>
      </c>
      <c r="T2729" s="23">
        <v>46064</v>
      </c>
      <c r="U2729" s="23">
        <v>46796</v>
      </c>
      <c r="X2729" s="20">
        <v>1000</v>
      </c>
      <c r="Z2729" s="6" t="s">
        <v>5978</v>
      </c>
      <c r="AA2729" s="14">
        <f t="shared" ref="AA2729:AA2732" si="351">+(0.6/1000)</f>
        <v>5.9999999999999995E-4</v>
      </c>
      <c r="AB2729">
        <v>0.49130999999999997</v>
      </c>
      <c r="AC2729">
        <v>0.51096240000000004</v>
      </c>
    </row>
    <row r="2730" spans="1:29" x14ac:dyDescent="0.3">
      <c r="A2730">
        <v>151714</v>
      </c>
      <c r="B2730" s="25" t="s">
        <v>5984</v>
      </c>
      <c r="C2730" t="s">
        <v>20</v>
      </c>
      <c r="D2730" t="s">
        <v>21</v>
      </c>
      <c r="E2730">
        <v>2222222</v>
      </c>
      <c r="F2730" s="8" t="s">
        <v>22</v>
      </c>
      <c r="G2730" s="2">
        <v>98</v>
      </c>
      <c r="H2730" t="s">
        <v>4301</v>
      </c>
      <c r="J2730" s="9" t="s">
        <v>5120</v>
      </c>
      <c r="K2730" t="s">
        <v>4857</v>
      </c>
      <c r="L2730" s="2">
        <v>1</v>
      </c>
      <c r="M2730" s="24" t="s">
        <v>5971</v>
      </c>
      <c r="N2730" s="2" t="s">
        <v>23</v>
      </c>
      <c r="O2730" s="18" t="s">
        <v>2151</v>
      </c>
      <c r="P2730" s="18" t="s">
        <v>0</v>
      </c>
      <c r="Q2730" s="6" t="s">
        <v>4475</v>
      </c>
      <c r="T2730" s="23">
        <v>46182</v>
      </c>
      <c r="U2730" s="23">
        <v>47643</v>
      </c>
      <c r="X2730" s="20">
        <v>5000</v>
      </c>
      <c r="Z2730" s="6" t="s">
        <v>5978</v>
      </c>
      <c r="AA2730" s="14">
        <f t="shared" si="351"/>
        <v>5.9999999999999995E-4</v>
      </c>
      <c r="AB2730">
        <v>2.9564819999999998</v>
      </c>
      <c r="AC2730">
        <v>3.07474128</v>
      </c>
    </row>
    <row r="2731" spans="1:29" x14ac:dyDescent="0.3">
      <c r="A2731">
        <v>146785</v>
      </c>
      <c r="B2731" s="25" t="s">
        <v>5984</v>
      </c>
      <c r="C2731" t="s">
        <v>20</v>
      </c>
      <c r="D2731" t="s">
        <v>21</v>
      </c>
      <c r="E2731">
        <v>2222222</v>
      </c>
      <c r="F2731" s="8" t="s">
        <v>22</v>
      </c>
      <c r="G2731" s="2">
        <v>98</v>
      </c>
      <c r="H2731" t="s">
        <v>4302</v>
      </c>
      <c r="J2731" s="9" t="s">
        <v>5668</v>
      </c>
      <c r="K2731" t="s">
        <v>4910</v>
      </c>
      <c r="L2731" s="2">
        <v>1</v>
      </c>
      <c r="M2731" s="24" t="s">
        <v>5971</v>
      </c>
      <c r="N2731" s="2" t="s">
        <v>23</v>
      </c>
      <c r="O2731" s="18" t="s">
        <v>2152</v>
      </c>
      <c r="P2731" s="18" t="s">
        <v>3781</v>
      </c>
      <c r="Q2731" s="6" t="s">
        <v>4475</v>
      </c>
      <c r="T2731" s="23">
        <v>45842</v>
      </c>
      <c r="U2731" s="23">
        <v>46755</v>
      </c>
      <c r="X2731" s="20">
        <v>5000</v>
      </c>
      <c r="Z2731" s="6" t="s">
        <v>5978</v>
      </c>
      <c r="AA2731" s="14">
        <f t="shared" si="351"/>
        <v>5.9999999999999995E-4</v>
      </c>
      <c r="AB2731">
        <v>1.958718</v>
      </c>
      <c r="AC2731">
        <v>2.0370667199999999</v>
      </c>
    </row>
    <row r="2732" spans="1:29" x14ac:dyDescent="0.3">
      <c r="A2732">
        <v>150136</v>
      </c>
      <c r="B2732" s="25" t="s">
        <v>5984</v>
      </c>
      <c r="C2732" t="s">
        <v>20</v>
      </c>
      <c r="D2732" t="s">
        <v>21</v>
      </c>
      <c r="E2732">
        <v>2222222</v>
      </c>
      <c r="F2732" s="8" t="s">
        <v>22</v>
      </c>
      <c r="G2732" s="2">
        <v>98</v>
      </c>
      <c r="H2732" t="s">
        <v>4302</v>
      </c>
      <c r="J2732" s="9" t="s">
        <v>5668</v>
      </c>
      <c r="K2732" t="s">
        <v>4910</v>
      </c>
      <c r="L2732" s="2">
        <v>1</v>
      </c>
      <c r="M2732" s="24" t="s">
        <v>5971</v>
      </c>
      <c r="N2732" s="2" t="s">
        <v>23</v>
      </c>
      <c r="O2732" s="18" t="s">
        <v>2152</v>
      </c>
      <c r="P2732" s="18" t="s">
        <v>3781</v>
      </c>
      <c r="Q2732" s="6" t="s">
        <v>4475</v>
      </c>
      <c r="T2732" s="23">
        <v>46074</v>
      </c>
      <c r="U2732" s="23">
        <v>46622</v>
      </c>
      <c r="X2732" s="20">
        <v>1500</v>
      </c>
      <c r="Z2732" s="6" t="s">
        <v>5978</v>
      </c>
      <c r="AA2732" s="14">
        <f t="shared" si="351"/>
        <v>5.9999999999999995E-4</v>
      </c>
      <c r="AB2732">
        <v>0.7195919999999999</v>
      </c>
      <c r="AC2732">
        <v>0.74837567999999988</v>
      </c>
    </row>
    <row r="2733" spans="1:29" x14ac:dyDescent="0.3">
      <c r="A2733">
        <v>66446</v>
      </c>
      <c r="B2733" s="25" t="s">
        <v>5984</v>
      </c>
      <c r="C2733" t="s">
        <v>20</v>
      </c>
      <c r="D2733" t="s">
        <v>21</v>
      </c>
      <c r="E2733">
        <v>2222222</v>
      </c>
      <c r="F2733" s="8" t="s">
        <v>22</v>
      </c>
      <c r="G2733" s="2">
        <v>98</v>
      </c>
      <c r="H2733" t="s">
        <v>4303</v>
      </c>
      <c r="J2733" s="9" t="s">
        <v>4988</v>
      </c>
      <c r="K2733" t="s">
        <v>4961</v>
      </c>
      <c r="L2733" s="2">
        <v>1</v>
      </c>
      <c r="M2733" s="24" t="s">
        <v>5971</v>
      </c>
      <c r="N2733" s="2" t="s">
        <v>23</v>
      </c>
      <c r="O2733" s="18" t="s">
        <v>2153</v>
      </c>
      <c r="P2733" s="18" t="s">
        <v>0</v>
      </c>
      <c r="Q2733" s="6" t="s">
        <v>4475</v>
      </c>
      <c r="T2733" s="23">
        <v>42263</v>
      </c>
      <c r="U2733" s="23">
        <v>42354</v>
      </c>
      <c r="X2733" s="20">
        <v>477.75</v>
      </c>
      <c r="Z2733" s="6" t="s">
        <v>5978</v>
      </c>
      <c r="AA2733" s="15">
        <f>+(0.42/1000)</f>
        <v>4.1999999999999996E-4</v>
      </c>
      <c r="AB2733">
        <v>0.20065499999999997</v>
      </c>
      <c r="AC2733">
        <v>0.20868119999999998</v>
      </c>
    </row>
    <row r="2734" spans="1:29" x14ac:dyDescent="0.3">
      <c r="A2734">
        <v>147405</v>
      </c>
      <c r="B2734" s="25" t="s">
        <v>5984</v>
      </c>
      <c r="C2734" t="s">
        <v>20</v>
      </c>
      <c r="D2734" t="s">
        <v>21</v>
      </c>
      <c r="E2734">
        <v>2222222</v>
      </c>
      <c r="F2734" s="8" t="s">
        <v>22</v>
      </c>
      <c r="G2734" s="2">
        <v>98</v>
      </c>
      <c r="H2734" t="s">
        <v>4303</v>
      </c>
      <c r="J2734" s="9" t="s">
        <v>5153</v>
      </c>
      <c r="K2734" t="s">
        <v>4836</v>
      </c>
      <c r="L2734" s="2">
        <v>1</v>
      </c>
      <c r="M2734" s="24" t="s">
        <v>5971</v>
      </c>
      <c r="N2734" s="2" t="s">
        <v>23</v>
      </c>
      <c r="O2734" s="18" t="s">
        <v>1560</v>
      </c>
      <c r="P2734" s="18" t="s">
        <v>3781</v>
      </c>
      <c r="Q2734" s="6" t="s">
        <v>4475</v>
      </c>
      <c r="T2734" s="23">
        <v>45887</v>
      </c>
      <c r="U2734" s="23">
        <v>47347</v>
      </c>
      <c r="X2734" s="20">
        <v>5000</v>
      </c>
      <c r="Z2734" s="6" t="s">
        <v>5978</v>
      </c>
      <c r="AA2734" s="14">
        <f t="shared" ref="AA2734:AA2737" si="352">+(0.6/1000)</f>
        <v>5.9999999999999995E-4</v>
      </c>
      <c r="AB2734">
        <v>2.433252</v>
      </c>
      <c r="AC2734">
        <v>2.5305820799999998</v>
      </c>
    </row>
    <row r="2735" spans="1:29" x14ac:dyDescent="0.3">
      <c r="A2735">
        <v>149265</v>
      </c>
      <c r="B2735" s="25" t="s">
        <v>5984</v>
      </c>
      <c r="C2735" t="s">
        <v>20</v>
      </c>
      <c r="D2735" t="s">
        <v>21</v>
      </c>
      <c r="E2735">
        <v>2222222</v>
      </c>
      <c r="F2735" s="8" t="s">
        <v>22</v>
      </c>
      <c r="G2735" s="2">
        <v>98</v>
      </c>
      <c r="H2735" t="s">
        <v>4303</v>
      </c>
      <c r="J2735" s="9" t="s">
        <v>4953</v>
      </c>
      <c r="K2735" t="s">
        <v>4853</v>
      </c>
      <c r="L2735" s="2">
        <v>1</v>
      </c>
      <c r="M2735" s="24" t="s">
        <v>5971</v>
      </c>
      <c r="N2735" s="2" t="s">
        <v>23</v>
      </c>
      <c r="O2735" s="18" t="s">
        <v>2154</v>
      </c>
      <c r="P2735" s="18" t="s">
        <v>0</v>
      </c>
      <c r="Q2735" s="6" t="s">
        <v>4475</v>
      </c>
      <c r="T2735" s="23">
        <v>46106</v>
      </c>
      <c r="U2735" s="23">
        <v>49758</v>
      </c>
      <c r="X2735" s="20">
        <v>200000</v>
      </c>
      <c r="Z2735" s="6" t="s">
        <v>5978</v>
      </c>
      <c r="AA2735" s="14">
        <f t="shared" si="352"/>
        <v>5.9999999999999995E-4</v>
      </c>
      <c r="AB2735">
        <v>90.088787999999994</v>
      </c>
      <c r="AC2735">
        <v>93.69233951999999</v>
      </c>
    </row>
    <row r="2736" spans="1:29" x14ac:dyDescent="0.3">
      <c r="A2736">
        <v>147263</v>
      </c>
      <c r="B2736" s="25" t="s">
        <v>5984</v>
      </c>
      <c r="C2736" t="s">
        <v>20</v>
      </c>
      <c r="D2736" t="s">
        <v>21</v>
      </c>
      <c r="E2736">
        <v>2222222</v>
      </c>
      <c r="F2736" s="8" t="s">
        <v>22</v>
      </c>
      <c r="G2736" s="2">
        <v>98</v>
      </c>
      <c r="H2736" t="s">
        <v>4304</v>
      </c>
      <c r="J2736" s="9" t="s">
        <v>4836</v>
      </c>
      <c r="K2736" t="s">
        <v>5019</v>
      </c>
      <c r="L2736" s="2">
        <v>1</v>
      </c>
      <c r="M2736" s="24" t="s">
        <v>5971</v>
      </c>
      <c r="N2736" s="2" t="s">
        <v>23</v>
      </c>
      <c r="O2736" s="18" t="s">
        <v>2155</v>
      </c>
      <c r="P2736" s="18" t="s">
        <v>3781</v>
      </c>
      <c r="Q2736" s="6" t="s">
        <v>4475</v>
      </c>
      <c r="T2736" s="23">
        <v>45877</v>
      </c>
      <c r="U2736" s="23">
        <v>47337</v>
      </c>
      <c r="X2736" s="20">
        <v>5000</v>
      </c>
      <c r="Z2736" s="6" t="s">
        <v>5978</v>
      </c>
      <c r="AA2736" s="14">
        <f t="shared" si="352"/>
        <v>5.9999999999999995E-4</v>
      </c>
      <c r="AB2736">
        <v>2.6360579999999998</v>
      </c>
      <c r="AC2736">
        <v>2.7415003199999997</v>
      </c>
    </row>
    <row r="2737" spans="1:29" x14ac:dyDescent="0.3">
      <c r="A2737">
        <v>151191</v>
      </c>
      <c r="B2737" s="25" t="s">
        <v>5984</v>
      </c>
      <c r="C2737" t="s">
        <v>20</v>
      </c>
      <c r="D2737" t="s">
        <v>21</v>
      </c>
      <c r="E2737">
        <v>2222222</v>
      </c>
      <c r="F2737" s="8" t="s">
        <v>22</v>
      </c>
      <c r="G2737" s="2">
        <v>98</v>
      </c>
      <c r="H2737" t="s">
        <v>4304</v>
      </c>
      <c r="J2737" s="9" t="s">
        <v>5152</v>
      </c>
      <c r="K2737" t="s">
        <v>4863</v>
      </c>
      <c r="L2737" s="2">
        <v>1</v>
      </c>
      <c r="M2737" s="24" t="s">
        <v>5971</v>
      </c>
      <c r="N2737" s="2" t="s">
        <v>23</v>
      </c>
      <c r="O2737" s="18" t="s">
        <v>36</v>
      </c>
      <c r="P2737" s="18" t="s">
        <v>3781</v>
      </c>
      <c r="Q2737" s="6" t="s">
        <v>4475</v>
      </c>
      <c r="T2737" s="23">
        <v>46146</v>
      </c>
      <c r="U2737" s="23">
        <v>46421</v>
      </c>
      <c r="X2737" s="20">
        <v>630</v>
      </c>
      <c r="Z2737" s="6" t="s">
        <v>5978</v>
      </c>
      <c r="AA2737" s="14">
        <f t="shared" si="352"/>
        <v>5.9999999999999995E-4</v>
      </c>
      <c r="AB2737">
        <v>0.33788999999999997</v>
      </c>
      <c r="AC2737">
        <v>0.35140559999999998</v>
      </c>
    </row>
    <row r="2738" spans="1:29" x14ac:dyDescent="0.3">
      <c r="A2738">
        <v>139990</v>
      </c>
      <c r="B2738" s="25" t="s">
        <v>5984</v>
      </c>
      <c r="C2738" t="s">
        <v>20</v>
      </c>
      <c r="D2738" t="s">
        <v>21</v>
      </c>
      <c r="E2738">
        <v>2222222</v>
      </c>
      <c r="F2738" s="8" t="s">
        <v>22</v>
      </c>
      <c r="G2738" s="2">
        <v>98</v>
      </c>
      <c r="H2738" t="s">
        <v>4305</v>
      </c>
      <c r="J2738" s="9" t="s">
        <v>5322</v>
      </c>
      <c r="K2738" t="s">
        <v>5174</v>
      </c>
      <c r="L2738" s="2">
        <v>1</v>
      </c>
      <c r="M2738" s="24" t="s">
        <v>5971</v>
      </c>
      <c r="N2738" s="2" t="s">
        <v>23</v>
      </c>
      <c r="O2738" s="18" t="s">
        <v>2156</v>
      </c>
      <c r="P2738" s="18" t="s">
        <v>0</v>
      </c>
      <c r="Q2738" s="6" t="s">
        <v>4475</v>
      </c>
      <c r="T2738" s="23">
        <v>45365</v>
      </c>
      <c r="U2738" s="23">
        <v>46459</v>
      </c>
      <c r="X2738" s="20">
        <v>6500</v>
      </c>
      <c r="Z2738" s="6" t="s">
        <v>5978</v>
      </c>
      <c r="AA2738" s="13">
        <f>+(0.56/1000)</f>
        <v>5.6000000000000006E-4</v>
      </c>
      <c r="AB2738">
        <v>0.94658480000000012</v>
      </c>
      <c r="AC2738">
        <v>0.98444819200000011</v>
      </c>
    </row>
    <row r="2739" spans="1:29" x14ac:dyDescent="0.3">
      <c r="A2739">
        <v>141926</v>
      </c>
      <c r="B2739" s="25" t="s">
        <v>5984</v>
      </c>
      <c r="C2739" t="s">
        <v>20</v>
      </c>
      <c r="D2739" t="s">
        <v>21</v>
      </c>
      <c r="E2739">
        <v>2222222</v>
      </c>
      <c r="F2739" s="8" t="s">
        <v>22</v>
      </c>
      <c r="G2739" s="2">
        <v>98</v>
      </c>
      <c r="H2739" t="s">
        <v>4306</v>
      </c>
      <c r="J2739" s="9" t="s">
        <v>5669</v>
      </c>
      <c r="K2739" t="s">
        <v>5071</v>
      </c>
      <c r="L2739" s="2">
        <v>1</v>
      </c>
      <c r="M2739" s="24" t="s">
        <v>5971</v>
      </c>
      <c r="N2739" s="2" t="s">
        <v>23</v>
      </c>
      <c r="O2739" s="18" t="s">
        <v>2157</v>
      </c>
      <c r="P2739" s="18" t="s">
        <v>3781</v>
      </c>
      <c r="Q2739" s="6" t="s">
        <v>4475</v>
      </c>
      <c r="T2739" s="23">
        <v>45486</v>
      </c>
      <c r="U2739" s="23">
        <v>46946</v>
      </c>
      <c r="X2739" s="20">
        <v>5000</v>
      </c>
      <c r="Z2739" s="6" t="s">
        <v>5978</v>
      </c>
      <c r="AA2739" s="14">
        <f t="shared" ref="AA2739:AA2740" si="353">+(0.6/1000)</f>
        <v>5.9999999999999995E-4</v>
      </c>
      <c r="AB2739">
        <v>1.781892</v>
      </c>
      <c r="AC2739">
        <v>1.8531676800000001</v>
      </c>
    </row>
    <row r="2740" spans="1:29" x14ac:dyDescent="0.3">
      <c r="A2740">
        <v>151526</v>
      </c>
      <c r="B2740" s="25" t="s">
        <v>5984</v>
      </c>
      <c r="C2740" t="s">
        <v>20</v>
      </c>
      <c r="D2740" t="s">
        <v>21</v>
      </c>
      <c r="E2740">
        <v>2222222</v>
      </c>
      <c r="F2740" s="8" t="s">
        <v>22</v>
      </c>
      <c r="G2740" s="2">
        <v>98</v>
      </c>
      <c r="H2740" t="s">
        <v>4306</v>
      </c>
      <c r="J2740" s="9" t="s">
        <v>4998</v>
      </c>
      <c r="K2740" t="s">
        <v>4873</v>
      </c>
      <c r="L2740" s="2">
        <v>1</v>
      </c>
      <c r="M2740" s="24" t="s">
        <v>5971</v>
      </c>
      <c r="N2740" s="2" t="s">
        <v>23</v>
      </c>
      <c r="O2740" s="18" t="s">
        <v>2158</v>
      </c>
      <c r="P2740" s="18" t="s">
        <v>3781</v>
      </c>
      <c r="Q2740" s="6" t="s">
        <v>4475</v>
      </c>
      <c r="T2740" s="23">
        <v>46170</v>
      </c>
      <c r="U2740" s="23">
        <v>46292</v>
      </c>
      <c r="X2740" s="20">
        <v>500</v>
      </c>
      <c r="Z2740" s="6" t="s">
        <v>5978</v>
      </c>
      <c r="AA2740" s="14">
        <f t="shared" si="353"/>
        <v>5.9999999999999995E-4</v>
      </c>
      <c r="AB2740">
        <v>0.15203399999999997</v>
      </c>
      <c r="AC2740">
        <v>0.15811535999999998</v>
      </c>
    </row>
    <row r="2741" spans="1:29" x14ac:dyDescent="0.3">
      <c r="A2741">
        <v>137085</v>
      </c>
      <c r="B2741" s="25" t="s">
        <v>5984</v>
      </c>
      <c r="C2741" t="s">
        <v>20</v>
      </c>
      <c r="D2741" t="s">
        <v>21</v>
      </c>
      <c r="E2741">
        <v>2222222</v>
      </c>
      <c r="F2741" s="8" t="s">
        <v>22</v>
      </c>
      <c r="G2741" s="2">
        <v>98</v>
      </c>
      <c r="H2741" t="s">
        <v>4307</v>
      </c>
      <c r="J2741" s="9" t="s">
        <v>5625</v>
      </c>
      <c r="K2741" t="s">
        <v>4884</v>
      </c>
      <c r="L2741" s="2">
        <v>1</v>
      </c>
      <c r="M2741" s="24" t="s">
        <v>5971</v>
      </c>
      <c r="N2741" s="2" t="s">
        <v>23</v>
      </c>
      <c r="O2741" s="18" t="s">
        <v>2159</v>
      </c>
      <c r="P2741" s="18" t="s">
        <v>3781</v>
      </c>
      <c r="Q2741" s="6" t="s">
        <v>4475</v>
      </c>
      <c r="T2741" s="23">
        <v>45211</v>
      </c>
      <c r="U2741" s="23">
        <v>46033</v>
      </c>
      <c r="X2741" s="20">
        <v>3500</v>
      </c>
      <c r="Z2741" s="6" t="s">
        <v>5978</v>
      </c>
      <c r="AA2741" s="13">
        <f t="shared" ref="AA2741:AA2742" si="354">+(0.56/1000)</f>
        <v>5.6000000000000006E-4</v>
      </c>
      <c r="AB2741">
        <v>0.24558800000000003</v>
      </c>
      <c r="AC2741">
        <v>0.25541152000000006</v>
      </c>
    </row>
    <row r="2742" spans="1:29" x14ac:dyDescent="0.3">
      <c r="A2742">
        <v>136044</v>
      </c>
      <c r="B2742" s="25" t="s">
        <v>5984</v>
      </c>
      <c r="C2742" t="s">
        <v>20</v>
      </c>
      <c r="D2742" t="s">
        <v>21</v>
      </c>
      <c r="E2742">
        <v>2222222</v>
      </c>
      <c r="F2742" s="8" t="s">
        <v>22</v>
      </c>
      <c r="G2742" s="2">
        <v>98</v>
      </c>
      <c r="H2742" t="s">
        <v>4308</v>
      </c>
      <c r="J2742" s="9" t="s">
        <v>5670</v>
      </c>
      <c r="K2742" t="s">
        <v>5204</v>
      </c>
      <c r="L2742" s="2">
        <v>1</v>
      </c>
      <c r="M2742" s="24" t="s">
        <v>5971</v>
      </c>
      <c r="N2742" s="2" t="s">
        <v>23</v>
      </c>
      <c r="O2742" s="18" t="s">
        <v>2160</v>
      </c>
      <c r="P2742" s="18" t="s">
        <v>0</v>
      </c>
      <c r="Q2742" s="6" t="s">
        <v>4475</v>
      </c>
      <c r="T2742" s="23">
        <v>45152</v>
      </c>
      <c r="U2742" s="23">
        <v>47070</v>
      </c>
      <c r="X2742" s="20">
        <v>40000</v>
      </c>
      <c r="Z2742" s="6" t="s">
        <v>5978</v>
      </c>
      <c r="AA2742" s="13">
        <f t="shared" si="354"/>
        <v>5.6000000000000006E-4</v>
      </c>
      <c r="AB2742">
        <v>12.482041600000002</v>
      </c>
      <c r="AC2742">
        <v>12.981323264000002</v>
      </c>
    </row>
    <row r="2743" spans="1:29" x14ac:dyDescent="0.3">
      <c r="A2743">
        <v>151833</v>
      </c>
      <c r="B2743" s="25" t="s">
        <v>5984</v>
      </c>
      <c r="C2743" t="s">
        <v>20</v>
      </c>
      <c r="D2743" t="s">
        <v>21</v>
      </c>
      <c r="E2743">
        <v>2222222</v>
      </c>
      <c r="F2743" s="8" t="s">
        <v>22</v>
      </c>
      <c r="G2743" s="2">
        <v>98</v>
      </c>
      <c r="H2743" t="s">
        <v>4308</v>
      </c>
      <c r="J2743" s="9" t="s">
        <v>5670</v>
      </c>
      <c r="K2743" t="s">
        <v>5204</v>
      </c>
      <c r="L2743" s="2">
        <v>1</v>
      </c>
      <c r="M2743" s="24" t="s">
        <v>5971</v>
      </c>
      <c r="N2743" s="2" t="s">
        <v>23</v>
      </c>
      <c r="O2743" s="18" t="s">
        <v>2160</v>
      </c>
      <c r="P2743" s="18" t="s">
        <v>0</v>
      </c>
      <c r="Q2743" s="6" t="s">
        <v>4475</v>
      </c>
      <c r="T2743" s="23">
        <v>46190</v>
      </c>
      <c r="U2743" s="23">
        <v>46280</v>
      </c>
      <c r="X2743" s="20">
        <v>4965</v>
      </c>
      <c r="Z2743" s="6" t="s">
        <v>5978</v>
      </c>
      <c r="AA2743" s="14">
        <f>+(0.6/1000)</f>
        <v>5.9999999999999995E-4</v>
      </c>
      <c r="AB2743">
        <v>2.9789999999999996</v>
      </c>
      <c r="AC2743">
        <v>3.0981599999999996</v>
      </c>
    </row>
    <row r="2744" spans="1:29" x14ac:dyDescent="0.3">
      <c r="A2744">
        <v>139155</v>
      </c>
      <c r="B2744" s="25" t="s">
        <v>5984</v>
      </c>
      <c r="C2744" t="s">
        <v>20</v>
      </c>
      <c r="D2744" t="s">
        <v>21</v>
      </c>
      <c r="E2744">
        <v>2222222</v>
      </c>
      <c r="F2744" s="8" t="s">
        <v>22</v>
      </c>
      <c r="G2744" s="2">
        <v>98</v>
      </c>
      <c r="H2744" t="s">
        <v>4309</v>
      </c>
      <c r="J2744" s="9" t="s">
        <v>5671</v>
      </c>
      <c r="K2744" t="s">
        <v>4926</v>
      </c>
      <c r="L2744" s="2">
        <v>1</v>
      </c>
      <c r="M2744" s="24" t="s">
        <v>5971</v>
      </c>
      <c r="N2744" s="2" t="s">
        <v>23</v>
      </c>
      <c r="O2744" s="18" t="s">
        <v>2161</v>
      </c>
      <c r="P2744" s="18" t="s">
        <v>3781</v>
      </c>
      <c r="Q2744" s="6" t="s">
        <v>4475</v>
      </c>
      <c r="T2744" s="23">
        <v>45318</v>
      </c>
      <c r="U2744" s="23">
        <v>46413</v>
      </c>
      <c r="X2744" s="20">
        <v>5000</v>
      </c>
      <c r="Z2744" s="6" t="s">
        <v>5978</v>
      </c>
      <c r="AA2744" s="13">
        <f>+(0.56/1000)</f>
        <v>5.6000000000000006E-4</v>
      </c>
      <c r="AB2744">
        <v>0.55731760000000008</v>
      </c>
      <c r="AC2744">
        <v>0.57961030400000013</v>
      </c>
    </row>
    <row r="2745" spans="1:29" x14ac:dyDescent="0.3">
      <c r="A2745">
        <v>116177</v>
      </c>
      <c r="B2745" s="25" t="s">
        <v>5984</v>
      </c>
      <c r="C2745" t="s">
        <v>20</v>
      </c>
      <c r="D2745" t="s">
        <v>21</v>
      </c>
      <c r="E2745">
        <v>2222222</v>
      </c>
      <c r="F2745" s="8" t="s">
        <v>22</v>
      </c>
      <c r="G2745" s="2">
        <v>98</v>
      </c>
      <c r="H2745" t="s">
        <v>4310</v>
      </c>
      <c r="J2745" s="9" t="s">
        <v>5068</v>
      </c>
      <c r="K2745" t="s">
        <v>4848</v>
      </c>
      <c r="L2745" s="2">
        <v>1</v>
      </c>
      <c r="M2745" s="24" t="s">
        <v>5971</v>
      </c>
      <c r="N2745" s="2" t="s">
        <v>23</v>
      </c>
      <c r="O2745" s="18" t="s">
        <v>350</v>
      </c>
      <c r="P2745" s="18" t="s">
        <v>0</v>
      </c>
      <c r="Q2745" s="6" t="s">
        <v>4475</v>
      </c>
      <c r="T2745" s="23">
        <v>44124</v>
      </c>
      <c r="U2745" s="23">
        <v>46679</v>
      </c>
      <c r="X2745" s="20">
        <v>12465</v>
      </c>
      <c r="Z2745" s="6" t="s">
        <v>5978</v>
      </c>
      <c r="AA2745" s="15">
        <f t="shared" ref="AA2745:AA2746" si="355">+(0.42/1000)</f>
        <v>4.1999999999999996E-4</v>
      </c>
      <c r="AB2745">
        <v>4.650718799999999</v>
      </c>
      <c r="AC2745">
        <v>4.8367475519999994</v>
      </c>
    </row>
    <row r="2746" spans="1:29" x14ac:dyDescent="0.3">
      <c r="A2746">
        <v>128735</v>
      </c>
      <c r="B2746" s="25" t="s">
        <v>5984</v>
      </c>
      <c r="C2746" t="s">
        <v>20</v>
      </c>
      <c r="D2746" t="s">
        <v>21</v>
      </c>
      <c r="E2746">
        <v>2222222</v>
      </c>
      <c r="F2746" s="8" t="s">
        <v>22</v>
      </c>
      <c r="G2746" s="2">
        <v>98</v>
      </c>
      <c r="H2746" t="s">
        <v>4310</v>
      </c>
      <c r="J2746" s="9" t="s">
        <v>4852</v>
      </c>
      <c r="K2746" t="s">
        <v>4961</v>
      </c>
      <c r="L2746" s="2">
        <v>1</v>
      </c>
      <c r="M2746" s="24" t="s">
        <v>5971</v>
      </c>
      <c r="N2746" s="2" t="s">
        <v>23</v>
      </c>
      <c r="O2746" s="18" t="s">
        <v>2162</v>
      </c>
      <c r="P2746" s="18" t="s">
        <v>0</v>
      </c>
      <c r="Q2746" s="6" t="s">
        <v>4475</v>
      </c>
      <c r="T2746" s="23">
        <v>44741</v>
      </c>
      <c r="U2746" s="23">
        <v>44831</v>
      </c>
      <c r="X2746" s="20">
        <v>2235</v>
      </c>
      <c r="Z2746" s="6" t="s">
        <v>5978</v>
      </c>
      <c r="AA2746" s="15">
        <f t="shared" si="355"/>
        <v>4.1999999999999996E-4</v>
      </c>
      <c r="AB2746">
        <v>0.93869999999999987</v>
      </c>
      <c r="AC2746">
        <v>0.97624799999999989</v>
      </c>
    </row>
    <row r="2747" spans="1:29" x14ac:dyDescent="0.3">
      <c r="A2747">
        <v>134732</v>
      </c>
      <c r="B2747" s="25" t="s">
        <v>5984</v>
      </c>
      <c r="C2747" t="s">
        <v>20</v>
      </c>
      <c r="D2747" t="s">
        <v>21</v>
      </c>
      <c r="E2747">
        <v>2222222</v>
      </c>
      <c r="F2747" s="8" t="s">
        <v>22</v>
      </c>
      <c r="G2747" s="2">
        <v>98</v>
      </c>
      <c r="H2747" t="s">
        <v>4310</v>
      </c>
      <c r="J2747" s="9" t="s">
        <v>4981</v>
      </c>
      <c r="K2747" t="s">
        <v>4884</v>
      </c>
      <c r="L2747" s="2">
        <v>1</v>
      </c>
      <c r="M2747" s="24" t="s">
        <v>5971</v>
      </c>
      <c r="N2747" s="2" t="s">
        <v>23</v>
      </c>
      <c r="O2747" s="18" t="s">
        <v>2163</v>
      </c>
      <c r="P2747" s="18" t="s">
        <v>3781</v>
      </c>
      <c r="Q2747" s="6" t="s">
        <v>4475</v>
      </c>
      <c r="T2747" s="23">
        <v>45071</v>
      </c>
      <c r="U2747" s="23">
        <v>46897</v>
      </c>
      <c r="X2747" s="20">
        <v>4575</v>
      </c>
      <c r="Z2747" s="6" t="s">
        <v>5978</v>
      </c>
      <c r="AA2747" s="13">
        <f>+(0.56/1000)</f>
        <v>5.6000000000000006E-4</v>
      </c>
      <c r="AB2747">
        <v>2.4731616000000001</v>
      </c>
      <c r="AC2747">
        <v>2.5720880640000003</v>
      </c>
    </row>
    <row r="2748" spans="1:29" x14ac:dyDescent="0.3">
      <c r="A2748">
        <v>148474</v>
      </c>
      <c r="B2748" s="25" t="s">
        <v>5984</v>
      </c>
      <c r="C2748" t="s">
        <v>20</v>
      </c>
      <c r="D2748" t="s">
        <v>21</v>
      </c>
      <c r="E2748">
        <v>2222222</v>
      </c>
      <c r="F2748" s="8" t="s">
        <v>22</v>
      </c>
      <c r="G2748" s="2">
        <v>98</v>
      </c>
      <c r="H2748" t="s">
        <v>4311</v>
      </c>
      <c r="J2748" s="9" t="s">
        <v>5039</v>
      </c>
      <c r="K2748" t="s">
        <v>4904</v>
      </c>
      <c r="L2748" s="2">
        <v>1</v>
      </c>
      <c r="M2748" s="24" t="s">
        <v>5971</v>
      </c>
      <c r="N2748" s="2" t="s">
        <v>23</v>
      </c>
      <c r="O2748" s="18" t="s">
        <v>2164</v>
      </c>
      <c r="P2748" s="18" t="s">
        <v>3781</v>
      </c>
      <c r="Q2748" s="6" t="s">
        <v>4475</v>
      </c>
      <c r="T2748" s="23">
        <v>45966</v>
      </c>
      <c r="U2748" s="23">
        <v>46512</v>
      </c>
      <c r="X2748" s="20">
        <v>2900</v>
      </c>
      <c r="Z2748" s="6" t="s">
        <v>5978</v>
      </c>
      <c r="AA2748" s="14">
        <f t="shared" ref="AA2748:AA2750" si="356">+(0.6/1000)</f>
        <v>5.9999999999999995E-4</v>
      </c>
      <c r="AB2748">
        <v>1.0205340000000001</v>
      </c>
      <c r="AC2748">
        <v>1.0613553600000001</v>
      </c>
    </row>
    <row r="2749" spans="1:29" x14ac:dyDescent="0.3">
      <c r="A2749">
        <v>148972</v>
      </c>
      <c r="B2749" s="25" t="s">
        <v>5984</v>
      </c>
      <c r="C2749" t="s">
        <v>20</v>
      </c>
      <c r="D2749" t="s">
        <v>21</v>
      </c>
      <c r="E2749">
        <v>2222222</v>
      </c>
      <c r="F2749" s="8" t="s">
        <v>22</v>
      </c>
      <c r="G2749" s="2">
        <v>98</v>
      </c>
      <c r="H2749" t="s">
        <v>4312</v>
      </c>
      <c r="J2749" s="9" t="s">
        <v>5112</v>
      </c>
      <c r="K2749" t="s">
        <v>5351</v>
      </c>
      <c r="L2749" s="2">
        <v>1</v>
      </c>
      <c r="M2749" s="24" t="s">
        <v>5971</v>
      </c>
      <c r="N2749" s="2" t="s">
        <v>23</v>
      </c>
      <c r="O2749" s="18" t="s">
        <v>2165</v>
      </c>
      <c r="P2749" s="18" t="s">
        <v>0</v>
      </c>
      <c r="Q2749" s="6" t="s">
        <v>4475</v>
      </c>
      <c r="T2749" s="23">
        <v>46120</v>
      </c>
      <c r="U2749" s="23">
        <v>49773</v>
      </c>
      <c r="X2749" s="20">
        <v>6510</v>
      </c>
      <c r="Z2749" s="6" t="s">
        <v>5978</v>
      </c>
      <c r="AA2749" s="14">
        <f t="shared" si="356"/>
        <v>5.9999999999999995E-4</v>
      </c>
      <c r="AB2749">
        <v>3.8547120000000001</v>
      </c>
      <c r="AC2749">
        <v>4.0089004800000003</v>
      </c>
    </row>
    <row r="2750" spans="1:29" x14ac:dyDescent="0.3">
      <c r="A2750">
        <v>151525</v>
      </c>
      <c r="B2750" s="25" t="s">
        <v>5984</v>
      </c>
      <c r="C2750" t="s">
        <v>20</v>
      </c>
      <c r="D2750" t="s">
        <v>21</v>
      </c>
      <c r="E2750">
        <v>2222222</v>
      </c>
      <c r="F2750" s="8" t="s">
        <v>22</v>
      </c>
      <c r="G2750" s="2">
        <v>98</v>
      </c>
      <c r="H2750" t="s">
        <v>4312</v>
      </c>
      <c r="J2750" s="9" t="s">
        <v>5672</v>
      </c>
      <c r="K2750" t="s">
        <v>5212</v>
      </c>
      <c r="L2750" s="2">
        <v>1</v>
      </c>
      <c r="M2750" s="24" t="s">
        <v>5971</v>
      </c>
      <c r="N2750" s="2" t="s">
        <v>23</v>
      </c>
      <c r="O2750" s="18" t="s">
        <v>2166</v>
      </c>
      <c r="P2750" s="18" t="s">
        <v>0</v>
      </c>
      <c r="Q2750" s="6" t="s">
        <v>4475</v>
      </c>
      <c r="T2750" s="23">
        <v>46183</v>
      </c>
      <c r="U2750" s="23">
        <v>49836</v>
      </c>
      <c r="X2750" s="20">
        <v>40000</v>
      </c>
      <c r="Z2750" s="6" t="s">
        <v>5978</v>
      </c>
      <c r="AA2750" s="14">
        <f t="shared" si="356"/>
        <v>5.9999999999999995E-4</v>
      </c>
      <c r="AB2750">
        <v>23.90973</v>
      </c>
      <c r="AC2750">
        <v>24.8661192</v>
      </c>
    </row>
    <row r="2751" spans="1:29" x14ac:dyDescent="0.3">
      <c r="A2751">
        <v>135650</v>
      </c>
      <c r="B2751" s="25" t="s">
        <v>5984</v>
      </c>
      <c r="C2751" t="s">
        <v>20</v>
      </c>
      <c r="D2751" t="s">
        <v>21</v>
      </c>
      <c r="E2751">
        <v>2222222</v>
      </c>
      <c r="F2751" s="8" t="s">
        <v>22</v>
      </c>
      <c r="G2751" s="2">
        <v>98</v>
      </c>
      <c r="H2751" t="s">
        <v>4313</v>
      </c>
      <c r="J2751" s="9" t="s">
        <v>5096</v>
      </c>
      <c r="K2751" t="s">
        <v>5093</v>
      </c>
      <c r="L2751" s="2">
        <v>1</v>
      </c>
      <c r="M2751" s="24" t="s">
        <v>5971</v>
      </c>
      <c r="N2751" s="2" t="s">
        <v>23</v>
      </c>
      <c r="O2751" s="18" t="s">
        <v>2167</v>
      </c>
      <c r="P2751" s="18" t="s">
        <v>3781</v>
      </c>
      <c r="Q2751" s="6" t="s">
        <v>4475</v>
      </c>
      <c r="T2751" s="23">
        <v>45132</v>
      </c>
      <c r="U2751" s="23">
        <v>52528</v>
      </c>
      <c r="X2751" s="20">
        <v>91390</v>
      </c>
      <c r="Z2751" s="6" t="s">
        <v>5978</v>
      </c>
      <c r="AA2751" s="13">
        <f>+(0.56/1000)</f>
        <v>5.6000000000000006E-4</v>
      </c>
      <c r="AB2751">
        <v>48.639371200000006</v>
      </c>
      <c r="AC2751">
        <v>50.584946048000006</v>
      </c>
    </row>
    <row r="2752" spans="1:29" x14ac:dyDescent="0.3">
      <c r="A2752">
        <v>149563</v>
      </c>
      <c r="B2752" s="25" t="s">
        <v>5984</v>
      </c>
      <c r="C2752" t="s">
        <v>20</v>
      </c>
      <c r="D2752" t="s">
        <v>21</v>
      </c>
      <c r="E2752">
        <v>2222222</v>
      </c>
      <c r="F2752" s="8" t="s">
        <v>22</v>
      </c>
      <c r="G2752" s="2">
        <v>98</v>
      </c>
      <c r="H2752" t="s">
        <v>4314</v>
      </c>
      <c r="J2752" s="9" t="s">
        <v>4836</v>
      </c>
      <c r="K2752" t="s">
        <v>5673</v>
      </c>
      <c r="L2752" s="2">
        <v>1</v>
      </c>
      <c r="M2752" s="24" t="s">
        <v>5971</v>
      </c>
      <c r="N2752" s="2" t="s">
        <v>23</v>
      </c>
      <c r="O2752" s="18" t="s">
        <v>2168</v>
      </c>
      <c r="P2752" s="18" t="s">
        <v>3781</v>
      </c>
      <c r="Q2752" s="6" t="s">
        <v>4475</v>
      </c>
      <c r="T2752" s="23">
        <v>46034</v>
      </c>
      <c r="U2752" s="23">
        <v>47129</v>
      </c>
      <c r="X2752" s="20">
        <v>3560</v>
      </c>
      <c r="Z2752" s="6" t="s">
        <v>5978</v>
      </c>
      <c r="AA2752" s="14">
        <f>+(0.6/1000)</f>
        <v>5.9999999999999995E-4</v>
      </c>
      <c r="AB2752">
        <v>1.8489899999999999</v>
      </c>
      <c r="AC2752">
        <v>1.9229495999999999</v>
      </c>
    </row>
    <row r="2753" spans="1:29" x14ac:dyDescent="0.3">
      <c r="A2753">
        <v>130185</v>
      </c>
      <c r="B2753" s="25" t="s">
        <v>5984</v>
      </c>
      <c r="C2753" t="s">
        <v>20</v>
      </c>
      <c r="D2753" t="s">
        <v>21</v>
      </c>
      <c r="E2753">
        <v>2222222</v>
      </c>
      <c r="F2753" s="8" t="s">
        <v>22</v>
      </c>
      <c r="G2753" s="2">
        <v>98</v>
      </c>
      <c r="H2753" t="s">
        <v>4315</v>
      </c>
      <c r="J2753" s="9" t="s">
        <v>5336</v>
      </c>
      <c r="K2753" t="s">
        <v>4939</v>
      </c>
      <c r="L2753" s="2">
        <v>1</v>
      </c>
      <c r="M2753" s="24" t="s">
        <v>5971</v>
      </c>
      <c r="N2753" s="2" t="s">
        <v>23</v>
      </c>
      <c r="O2753" s="18" t="s">
        <v>2169</v>
      </c>
      <c r="P2753" s="18" t="s">
        <v>0</v>
      </c>
      <c r="Q2753" s="6" t="s">
        <v>4475</v>
      </c>
      <c r="T2753" s="23">
        <v>44824</v>
      </c>
      <c r="U2753" s="23">
        <v>46650</v>
      </c>
      <c r="X2753" s="20">
        <v>10000</v>
      </c>
      <c r="Z2753" s="6" t="s">
        <v>5978</v>
      </c>
      <c r="AA2753" s="13">
        <f t="shared" ref="AA2753:AA2754" si="357">+(0.56/1000)</f>
        <v>5.6000000000000006E-4</v>
      </c>
      <c r="AB2753">
        <v>0.49596960000000001</v>
      </c>
      <c r="AC2753">
        <v>0.51580838400000006</v>
      </c>
    </row>
    <row r="2754" spans="1:29" x14ac:dyDescent="0.3">
      <c r="A2754">
        <v>140243</v>
      </c>
      <c r="B2754" s="25" t="s">
        <v>5984</v>
      </c>
      <c r="C2754" t="s">
        <v>20</v>
      </c>
      <c r="D2754" t="s">
        <v>21</v>
      </c>
      <c r="E2754">
        <v>2222222</v>
      </c>
      <c r="F2754" s="8" t="s">
        <v>22</v>
      </c>
      <c r="G2754" s="2">
        <v>98</v>
      </c>
      <c r="H2754" t="s">
        <v>4315</v>
      </c>
      <c r="J2754" s="9" t="s">
        <v>4917</v>
      </c>
      <c r="K2754" t="s">
        <v>5461</v>
      </c>
      <c r="L2754" s="2">
        <v>1</v>
      </c>
      <c r="M2754" s="24" t="s">
        <v>5971</v>
      </c>
      <c r="N2754" s="2" t="s">
        <v>23</v>
      </c>
      <c r="O2754" s="18" t="s">
        <v>2170</v>
      </c>
      <c r="P2754" s="18" t="s">
        <v>3781</v>
      </c>
      <c r="Q2754" s="6" t="s">
        <v>4475</v>
      </c>
      <c r="T2754" s="23">
        <v>45376</v>
      </c>
      <c r="U2754" s="23">
        <v>47293</v>
      </c>
      <c r="X2754" s="20">
        <v>2590</v>
      </c>
      <c r="Z2754" s="6" t="s">
        <v>5978</v>
      </c>
      <c r="AA2754" s="13">
        <f t="shared" si="357"/>
        <v>5.6000000000000006E-4</v>
      </c>
      <c r="AB2754">
        <v>0.97483120000000012</v>
      </c>
      <c r="AC2754">
        <v>1.0138244480000003</v>
      </c>
    </row>
    <row r="2755" spans="1:29" x14ac:dyDescent="0.3">
      <c r="A2755">
        <v>144174</v>
      </c>
      <c r="B2755" s="25" t="s">
        <v>5984</v>
      </c>
      <c r="C2755" t="s">
        <v>20</v>
      </c>
      <c r="D2755" t="s">
        <v>21</v>
      </c>
      <c r="E2755">
        <v>2222222</v>
      </c>
      <c r="F2755" s="8" t="s">
        <v>22</v>
      </c>
      <c r="G2755" s="2">
        <v>98</v>
      </c>
      <c r="H2755" t="s">
        <v>4315</v>
      </c>
      <c r="J2755" s="9" t="s">
        <v>5260</v>
      </c>
      <c r="K2755" t="s">
        <v>4861</v>
      </c>
      <c r="L2755" s="2">
        <v>1</v>
      </c>
      <c r="M2755" s="24" t="s">
        <v>5971</v>
      </c>
      <c r="N2755" s="2" t="s">
        <v>23</v>
      </c>
      <c r="O2755" s="18" t="s">
        <v>1555</v>
      </c>
      <c r="P2755" s="18" t="s">
        <v>3781</v>
      </c>
      <c r="Q2755" s="6" t="s">
        <v>4475</v>
      </c>
      <c r="T2755" s="23">
        <v>45678</v>
      </c>
      <c r="U2755" s="23">
        <v>48599</v>
      </c>
      <c r="X2755" s="20">
        <v>50000</v>
      </c>
      <c r="Z2755" s="6" t="s">
        <v>5978</v>
      </c>
      <c r="AA2755" s="14">
        <f t="shared" ref="AA2755:AA2760" si="358">+(0.6/1000)</f>
        <v>5.9999999999999995E-4</v>
      </c>
      <c r="AB2755">
        <v>26.453303999999996</v>
      </c>
      <c r="AC2755">
        <v>27.511436159999995</v>
      </c>
    </row>
    <row r="2756" spans="1:29" x14ac:dyDescent="0.3">
      <c r="A2756">
        <v>147458</v>
      </c>
      <c r="B2756" s="25" t="s">
        <v>5984</v>
      </c>
      <c r="C2756" t="s">
        <v>20</v>
      </c>
      <c r="D2756" t="s">
        <v>21</v>
      </c>
      <c r="E2756">
        <v>2222222</v>
      </c>
      <c r="F2756" s="8" t="s">
        <v>22</v>
      </c>
      <c r="G2756" s="2">
        <v>98</v>
      </c>
      <c r="H2756" t="s">
        <v>4315</v>
      </c>
      <c r="J2756" s="9" t="s">
        <v>5142</v>
      </c>
      <c r="K2756" t="s">
        <v>4893</v>
      </c>
      <c r="L2756" s="2">
        <v>1</v>
      </c>
      <c r="M2756" s="24" t="s">
        <v>5971</v>
      </c>
      <c r="N2756" s="2" t="s">
        <v>23</v>
      </c>
      <c r="O2756" s="18" t="s">
        <v>2171</v>
      </c>
      <c r="P2756" s="18" t="s">
        <v>3781</v>
      </c>
      <c r="Q2756" s="6" t="s">
        <v>4475</v>
      </c>
      <c r="T2756" s="23">
        <v>45890</v>
      </c>
      <c r="U2756" s="23">
        <v>46254</v>
      </c>
      <c r="X2756" s="20">
        <v>800</v>
      </c>
      <c r="Z2756" s="6" t="s">
        <v>5978</v>
      </c>
      <c r="AA2756" s="14">
        <f t="shared" si="358"/>
        <v>5.9999999999999995E-4</v>
      </c>
      <c r="AB2756">
        <v>4.2473999999999998E-2</v>
      </c>
      <c r="AC2756">
        <v>4.4172959999999997E-2</v>
      </c>
    </row>
    <row r="2757" spans="1:29" x14ac:dyDescent="0.3">
      <c r="A2757">
        <v>150400</v>
      </c>
      <c r="B2757" s="25" t="s">
        <v>5984</v>
      </c>
      <c r="C2757" t="s">
        <v>20</v>
      </c>
      <c r="D2757" t="s">
        <v>21</v>
      </c>
      <c r="E2757">
        <v>2222222</v>
      </c>
      <c r="F2757" s="8" t="s">
        <v>22</v>
      </c>
      <c r="G2757" s="2">
        <v>98</v>
      </c>
      <c r="H2757" t="s">
        <v>4315</v>
      </c>
      <c r="J2757" s="9" t="s">
        <v>5142</v>
      </c>
      <c r="K2757" t="s">
        <v>4893</v>
      </c>
      <c r="L2757" s="2">
        <v>1</v>
      </c>
      <c r="M2757" s="24" t="s">
        <v>5971</v>
      </c>
      <c r="N2757" s="2" t="s">
        <v>23</v>
      </c>
      <c r="O2757" s="18" t="s">
        <v>2171</v>
      </c>
      <c r="P2757" s="18" t="s">
        <v>3781</v>
      </c>
      <c r="Q2757" s="6" t="s">
        <v>4475</v>
      </c>
      <c r="T2757" s="23">
        <v>46091</v>
      </c>
      <c r="U2757" s="23">
        <v>46274</v>
      </c>
      <c r="X2757" s="20">
        <v>300</v>
      </c>
      <c r="Z2757" s="6" t="s">
        <v>5978</v>
      </c>
      <c r="AA2757" s="14">
        <f t="shared" si="358"/>
        <v>5.9999999999999995E-4</v>
      </c>
      <c r="AB2757">
        <v>6.1373999999999998E-2</v>
      </c>
      <c r="AC2757">
        <v>6.3828960000000004E-2</v>
      </c>
    </row>
    <row r="2758" spans="1:29" x14ac:dyDescent="0.3">
      <c r="A2758">
        <v>150447</v>
      </c>
      <c r="B2758" s="25" t="s">
        <v>5984</v>
      </c>
      <c r="C2758" t="s">
        <v>20</v>
      </c>
      <c r="D2758" t="s">
        <v>21</v>
      </c>
      <c r="E2758">
        <v>2222222</v>
      </c>
      <c r="F2758" s="8" t="s">
        <v>22</v>
      </c>
      <c r="G2758" s="2">
        <v>98</v>
      </c>
      <c r="H2758" t="s">
        <v>4315</v>
      </c>
      <c r="J2758" s="9" t="s">
        <v>5098</v>
      </c>
      <c r="K2758" t="s">
        <v>4836</v>
      </c>
      <c r="L2758" s="2">
        <v>1</v>
      </c>
      <c r="M2758" s="24" t="s">
        <v>5971</v>
      </c>
      <c r="N2758" s="2" t="s">
        <v>23</v>
      </c>
      <c r="O2758" s="18" t="s">
        <v>2172</v>
      </c>
      <c r="P2758" s="18" t="s">
        <v>3781</v>
      </c>
      <c r="Q2758" s="6" t="s">
        <v>4475</v>
      </c>
      <c r="T2758" s="23">
        <v>46094</v>
      </c>
      <c r="U2758" s="23">
        <v>47189</v>
      </c>
      <c r="X2758" s="20">
        <v>5000</v>
      </c>
      <c r="Z2758" s="6" t="s">
        <v>5978</v>
      </c>
      <c r="AA2758" s="14">
        <f t="shared" si="358"/>
        <v>5.9999999999999995E-4</v>
      </c>
      <c r="AB2758">
        <v>2.7403199999999996</v>
      </c>
      <c r="AC2758">
        <v>2.8499327999999999</v>
      </c>
    </row>
    <row r="2759" spans="1:29" x14ac:dyDescent="0.3">
      <c r="A2759">
        <v>150720</v>
      </c>
      <c r="B2759" s="25" t="s">
        <v>5984</v>
      </c>
      <c r="C2759" t="s">
        <v>20</v>
      </c>
      <c r="D2759" t="s">
        <v>21</v>
      </c>
      <c r="E2759">
        <v>2222222</v>
      </c>
      <c r="F2759" s="8" t="s">
        <v>22</v>
      </c>
      <c r="G2759" s="2">
        <v>98</v>
      </c>
      <c r="H2759" t="s">
        <v>4315</v>
      </c>
      <c r="J2759" s="9" t="s">
        <v>4852</v>
      </c>
      <c r="K2759" t="s">
        <v>4982</v>
      </c>
      <c r="L2759" s="2">
        <v>1</v>
      </c>
      <c r="M2759" s="24" t="s">
        <v>5971</v>
      </c>
      <c r="N2759" s="2" t="s">
        <v>23</v>
      </c>
      <c r="O2759" s="18" t="s">
        <v>2173</v>
      </c>
      <c r="P2759" s="18" t="s">
        <v>0</v>
      </c>
      <c r="Q2759" s="6" t="s">
        <v>4475</v>
      </c>
      <c r="T2759" s="23">
        <v>46112</v>
      </c>
      <c r="U2759" s="23">
        <v>49764</v>
      </c>
      <c r="X2759" s="20">
        <v>8500</v>
      </c>
      <c r="Z2759" s="6" t="s">
        <v>5978</v>
      </c>
      <c r="AA2759" s="14">
        <f t="shared" si="358"/>
        <v>5.9999999999999995E-4</v>
      </c>
      <c r="AB2759">
        <v>5.0999999999999996</v>
      </c>
      <c r="AC2759">
        <v>5.3039999999999994</v>
      </c>
    </row>
    <row r="2760" spans="1:29" x14ac:dyDescent="0.3">
      <c r="A2760">
        <v>150864</v>
      </c>
      <c r="B2760" s="25" t="s">
        <v>5984</v>
      </c>
      <c r="C2760" t="s">
        <v>20</v>
      </c>
      <c r="D2760" t="s">
        <v>21</v>
      </c>
      <c r="E2760">
        <v>2222222</v>
      </c>
      <c r="F2760" s="8" t="s">
        <v>22</v>
      </c>
      <c r="G2760" s="2">
        <v>98</v>
      </c>
      <c r="H2760" t="s">
        <v>4315</v>
      </c>
      <c r="J2760" s="9" t="s">
        <v>4916</v>
      </c>
      <c r="K2760" t="s">
        <v>5495</v>
      </c>
      <c r="L2760" s="2">
        <v>1</v>
      </c>
      <c r="M2760" s="24" t="s">
        <v>5971</v>
      </c>
      <c r="N2760" s="2" t="s">
        <v>23</v>
      </c>
      <c r="O2760" s="18" t="s">
        <v>2174</v>
      </c>
      <c r="P2760" s="18" t="s">
        <v>3781</v>
      </c>
      <c r="Q2760" s="6" t="s">
        <v>4475</v>
      </c>
      <c r="T2760" s="23">
        <v>46122</v>
      </c>
      <c r="U2760" s="23">
        <v>47588</v>
      </c>
      <c r="X2760" s="20">
        <v>5000</v>
      </c>
      <c r="Z2760" s="6" t="s">
        <v>5978</v>
      </c>
      <c r="AA2760" s="14">
        <f t="shared" si="358"/>
        <v>5.9999999999999995E-4</v>
      </c>
      <c r="AB2760">
        <v>2.8689779999999998</v>
      </c>
      <c r="AC2760">
        <v>2.9837371199999998</v>
      </c>
    </row>
    <row r="2761" spans="1:29" x14ac:dyDescent="0.3">
      <c r="A2761">
        <v>123926</v>
      </c>
      <c r="B2761" s="25" t="s">
        <v>5984</v>
      </c>
      <c r="C2761" t="s">
        <v>20</v>
      </c>
      <c r="D2761" t="s">
        <v>21</v>
      </c>
      <c r="E2761">
        <v>2222222</v>
      </c>
      <c r="F2761" s="8" t="s">
        <v>22</v>
      </c>
      <c r="G2761" s="2">
        <v>98</v>
      </c>
      <c r="H2761" t="s">
        <v>4316</v>
      </c>
      <c r="J2761" s="9" t="s">
        <v>5674</v>
      </c>
      <c r="K2761" t="s">
        <v>4829</v>
      </c>
      <c r="L2761" s="2">
        <v>1</v>
      </c>
      <c r="M2761" s="24" t="s">
        <v>5971</v>
      </c>
      <c r="N2761" s="2" t="s">
        <v>23</v>
      </c>
      <c r="O2761" s="18" t="s">
        <v>2175</v>
      </c>
      <c r="P2761" s="18" t="s">
        <v>3781</v>
      </c>
      <c r="Q2761" s="6" t="s">
        <v>4475</v>
      </c>
      <c r="T2761" s="23">
        <v>44497</v>
      </c>
      <c r="U2761" s="23">
        <v>46338</v>
      </c>
      <c r="X2761" s="20">
        <v>15000</v>
      </c>
      <c r="Z2761" s="6" t="s">
        <v>5978</v>
      </c>
      <c r="AA2761" s="15">
        <f>+(0.42/1000)</f>
        <v>4.1999999999999996E-4</v>
      </c>
      <c r="AB2761">
        <v>0.59439239999999993</v>
      </c>
      <c r="AC2761">
        <v>0.618168096</v>
      </c>
    </row>
    <row r="2762" spans="1:29" x14ac:dyDescent="0.3">
      <c r="A2762">
        <v>139997</v>
      </c>
      <c r="B2762" s="25" t="s">
        <v>5984</v>
      </c>
      <c r="C2762" t="s">
        <v>20</v>
      </c>
      <c r="D2762" t="s">
        <v>21</v>
      </c>
      <c r="E2762">
        <v>2222222</v>
      </c>
      <c r="F2762" s="8" t="s">
        <v>22</v>
      </c>
      <c r="G2762" s="2">
        <v>98</v>
      </c>
      <c r="H2762" t="s">
        <v>4316</v>
      </c>
      <c r="J2762" s="9" t="s">
        <v>5675</v>
      </c>
      <c r="K2762" t="s">
        <v>4836</v>
      </c>
      <c r="L2762" s="2">
        <v>1</v>
      </c>
      <c r="M2762" s="24" t="s">
        <v>5971</v>
      </c>
      <c r="N2762" s="2" t="s">
        <v>23</v>
      </c>
      <c r="O2762" s="18" t="s">
        <v>2176</v>
      </c>
      <c r="P2762" s="18" t="s">
        <v>3781</v>
      </c>
      <c r="Q2762" s="6" t="s">
        <v>4475</v>
      </c>
      <c r="T2762" s="23">
        <v>45369</v>
      </c>
      <c r="U2762" s="23">
        <v>49112</v>
      </c>
      <c r="X2762" s="20">
        <v>22750</v>
      </c>
      <c r="Z2762" s="6" t="s">
        <v>5978</v>
      </c>
      <c r="AA2762" s="13">
        <f>+(0.56/1000)</f>
        <v>5.6000000000000006E-4</v>
      </c>
      <c r="AB2762">
        <v>11.224572800000002</v>
      </c>
      <c r="AC2762">
        <v>11.673555712000002</v>
      </c>
    </row>
    <row r="2763" spans="1:29" x14ac:dyDescent="0.3">
      <c r="A2763">
        <v>141485</v>
      </c>
      <c r="B2763" s="25" t="s">
        <v>5984</v>
      </c>
      <c r="C2763" t="s">
        <v>20</v>
      </c>
      <c r="D2763" t="s">
        <v>21</v>
      </c>
      <c r="E2763">
        <v>2222222</v>
      </c>
      <c r="F2763" s="8" t="s">
        <v>22</v>
      </c>
      <c r="G2763" s="2">
        <v>98</v>
      </c>
      <c r="H2763" t="s">
        <v>4316</v>
      </c>
      <c r="J2763" s="9" t="s">
        <v>4884</v>
      </c>
      <c r="K2763" t="s">
        <v>5030</v>
      </c>
      <c r="L2763" s="2">
        <v>1</v>
      </c>
      <c r="M2763" s="24" t="s">
        <v>5971</v>
      </c>
      <c r="N2763" s="2" t="s">
        <v>23</v>
      </c>
      <c r="O2763" s="18" t="s">
        <v>2177</v>
      </c>
      <c r="P2763" s="18" t="s">
        <v>3781</v>
      </c>
      <c r="Q2763" s="6" t="s">
        <v>4475</v>
      </c>
      <c r="T2763" s="23">
        <v>45471</v>
      </c>
      <c r="U2763" s="23">
        <v>46566</v>
      </c>
      <c r="X2763" s="20">
        <v>4000</v>
      </c>
      <c r="Z2763" s="6" t="s">
        <v>5978</v>
      </c>
      <c r="AA2763" s="14">
        <f t="shared" ref="AA2763:AA2765" si="359">+(0.6/1000)</f>
        <v>5.9999999999999995E-4</v>
      </c>
      <c r="AB2763">
        <v>0.87600599999999995</v>
      </c>
      <c r="AC2763">
        <v>0.91104624000000001</v>
      </c>
    </row>
    <row r="2764" spans="1:29" x14ac:dyDescent="0.3">
      <c r="A2764">
        <v>149672</v>
      </c>
      <c r="B2764" s="25" t="s">
        <v>5984</v>
      </c>
      <c r="C2764" t="s">
        <v>20</v>
      </c>
      <c r="D2764" t="s">
        <v>21</v>
      </c>
      <c r="E2764">
        <v>2222222</v>
      </c>
      <c r="F2764" s="8" t="s">
        <v>22</v>
      </c>
      <c r="G2764" s="2">
        <v>98</v>
      </c>
      <c r="H2764" t="s">
        <v>4316</v>
      </c>
      <c r="J2764" s="9" t="s">
        <v>5674</v>
      </c>
      <c r="K2764" t="s">
        <v>4829</v>
      </c>
      <c r="L2764" s="2">
        <v>1</v>
      </c>
      <c r="M2764" s="24" t="s">
        <v>5971</v>
      </c>
      <c r="N2764" s="2" t="s">
        <v>23</v>
      </c>
      <c r="O2764" s="18" t="s">
        <v>2175</v>
      </c>
      <c r="P2764" s="18" t="s">
        <v>3781</v>
      </c>
      <c r="Q2764" s="6" t="s">
        <v>4475</v>
      </c>
      <c r="T2764" s="23">
        <v>46041</v>
      </c>
      <c r="U2764" s="23">
        <v>47137</v>
      </c>
      <c r="X2764" s="20">
        <v>5000</v>
      </c>
      <c r="Z2764" s="6" t="s">
        <v>5978</v>
      </c>
      <c r="AA2764" s="14">
        <f t="shared" si="359"/>
        <v>5.9999999999999995E-4</v>
      </c>
      <c r="AB2764">
        <v>2.6021100000000001</v>
      </c>
      <c r="AC2764">
        <v>2.7061944000000002</v>
      </c>
    </row>
    <row r="2765" spans="1:29" x14ac:dyDescent="0.3">
      <c r="A2765">
        <v>151243</v>
      </c>
      <c r="B2765" s="25" t="s">
        <v>5984</v>
      </c>
      <c r="C2765" t="s">
        <v>20</v>
      </c>
      <c r="D2765" t="s">
        <v>21</v>
      </c>
      <c r="E2765">
        <v>2222222</v>
      </c>
      <c r="F2765" s="8" t="s">
        <v>22</v>
      </c>
      <c r="G2765" s="2">
        <v>98</v>
      </c>
      <c r="H2765" t="s">
        <v>4316</v>
      </c>
      <c r="J2765" s="9" t="s">
        <v>4884</v>
      </c>
      <c r="K2765" t="s">
        <v>5030</v>
      </c>
      <c r="L2765" s="2">
        <v>1</v>
      </c>
      <c r="M2765" s="24" t="s">
        <v>5971</v>
      </c>
      <c r="N2765" s="2" t="s">
        <v>23</v>
      </c>
      <c r="O2765" s="18" t="s">
        <v>2177</v>
      </c>
      <c r="P2765" s="18" t="s">
        <v>3781</v>
      </c>
      <c r="Q2765" s="6" t="s">
        <v>4475</v>
      </c>
      <c r="T2765" s="23">
        <v>46150</v>
      </c>
      <c r="U2765" s="23">
        <v>47245</v>
      </c>
      <c r="X2765" s="20">
        <v>5000</v>
      </c>
      <c r="Z2765" s="6" t="s">
        <v>5978</v>
      </c>
      <c r="AA2765" s="14">
        <f t="shared" si="359"/>
        <v>5.9999999999999995E-4</v>
      </c>
      <c r="AB2765">
        <v>2.8713719999999996</v>
      </c>
      <c r="AC2765">
        <v>2.9862268799999998</v>
      </c>
    </row>
    <row r="2766" spans="1:29" x14ac:dyDescent="0.3">
      <c r="A2766">
        <v>132652</v>
      </c>
      <c r="B2766" s="25" t="s">
        <v>5984</v>
      </c>
      <c r="C2766" t="s">
        <v>20</v>
      </c>
      <c r="D2766" t="s">
        <v>21</v>
      </c>
      <c r="E2766">
        <v>2222222</v>
      </c>
      <c r="F2766" s="8" t="s">
        <v>22</v>
      </c>
      <c r="G2766" s="2">
        <v>98</v>
      </c>
      <c r="H2766" t="s">
        <v>4317</v>
      </c>
      <c r="J2766" s="9" t="s">
        <v>4836</v>
      </c>
      <c r="K2766" t="s">
        <v>5268</v>
      </c>
      <c r="L2766" s="2">
        <v>1</v>
      </c>
      <c r="M2766" s="24" t="s">
        <v>5971</v>
      </c>
      <c r="N2766" s="2" t="s">
        <v>23</v>
      </c>
      <c r="O2766" s="18" t="s">
        <v>2178</v>
      </c>
      <c r="P2766" s="18" t="s">
        <v>3781</v>
      </c>
      <c r="Q2766" s="6" t="s">
        <v>4475</v>
      </c>
      <c r="T2766" s="23">
        <v>44951</v>
      </c>
      <c r="U2766" s="23">
        <v>46411</v>
      </c>
      <c r="X2766" s="20">
        <v>5000</v>
      </c>
      <c r="Z2766" s="6" t="s">
        <v>5978</v>
      </c>
      <c r="AA2766" s="13">
        <f>+(0.56/1000)</f>
        <v>5.6000000000000006E-4</v>
      </c>
      <c r="AB2766">
        <v>2.4660776000000002</v>
      </c>
      <c r="AC2766">
        <v>2.5647207040000004</v>
      </c>
    </row>
    <row r="2767" spans="1:29" x14ac:dyDescent="0.3">
      <c r="A2767">
        <v>142190</v>
      </c>
      <c r="B2767" s="25" t="s">
        <v>5984</v>
      </c>
      <c r="C2767" t="s">
        <v>20</v>
      </c>
      <c r="D2767" t="s">
        <v>21</v>
      </c>
      <c r="E2767">
        <v>2222222</v>
      </c>
      <c r="F2767" s="8" t="s">
        <v>22</v>
      </c>
      <c r="G2767" s="2">
        <v>98</v>
      </c>
      <c r="H2767" t="s">
        <v>4317</v>
      </c>
      <c r="J2767" s="9" t="s">
        <v>5351</v>
      </c>
      <c r="K2767" t="s">
        <v>5297</v>
      </c>
      <c r="L2767" s="2">
        <v>1</v>
      </c>
      <c r="M2767" s="24" t="s">
        <v>5971</v>
      </c>
      <c r="N2767" s="2" t="s">
        <v>23</v>
      </c>
      <c r="O2767" s="18" t="s">
        <v>2179</v>
      </c>
      <c r="P2767" s="18" t="s">
        <v>0</v>
      </c>
      <c r="Q2767" s="6" t="s">
        <v>4475</v>
      </c>
      <c r="T2767" s="23">
        <v>45502</v>
      </c>
      <c r="U2767" s="23">
        <v>47327</v>
      </c>
      <c r="X2767" s="20">
        <v>4850</v>
      </c>
      <c r="Z2767" s="6" t="s">
        <v>5978</v>
      </c>
      <c r="AA2767" s="14">
        <f t="shared" ref="AA2767:AA2772" si="360">+(0.6/1000)</f>
        <v>5.9999999999999995E-4</v>
      </c>
      <c r="AB2767">
        <v>2.3566319999999998</v>
      </c>
      <c r="AC2767">
        <v>2.45089728</v>
      </c>
    </row>
    <row r="2768" spans="1:29" x14ac:dyDescent="0.3">
      <c r="A2768">
        <v>144304</v>
      </c>
      <c r="B2768" s="25" t="s">
        <v>5984</v>
      </c>
      <c r="C2768" t="s">
        <v>20</v>
      </c>
      <c r="D2768" t="s">
        <v>21</v>
      </c>
      <c r="E2768">
        <v>2222222</v>
      </c>
      <c r="F2768" s="8" t="s">
        <v>22</v>
      </c>
      <c r="G2768" s="2">
        <v>98</v>
      </c>
      <c r="H2768" t="s">
        <v>4317</v>
      </c>
      <c r="J2768" s="9" t="s">
        <v>5516</v>
      </c>
      <c r="K2768" t="s">
        <v>4932</v>
      </c>
      <c r="L2768" s="2">
        <v>1</v>
      </c>
      <c r="M2768" s="24" t="s">
        <v>5971</v>
      </c>
      <c r="N2768" s="2" t="s">
        <v>23</v>
      </c>
      <c r="O2768" s="18" t="s">
        <v>2180</v>
      </c>
      <c r="P2768" s="18" t="s">
        <v>3781</v>
      </c>
      <c r="Q2768" s="6" t="s">
        <v>4475</v>
      </c>
      <c r="T2768" s="23">
        <v>45654</v>
      </c>
      <c r="U2768" s="23">
        <v>47569</v>
      </c>
      <c r="X2768" s="20">
        <v>4190</v>
      </c>
      <c r="Z2768" s="6" t="s">
        <v>5978</v>
      </c>
      <c r="AA2768" s="14">
        <f t="shared" si="360"/>
        <v>5.9999999999999995E-4</v>
      </c>
      <c r="AB2768">
        <v>2.3942339999999995</v>
      </c>
      <c r="AC2768">
        <v>2.4900033599999998</v>
      </c>
    </row>
    <row r="2769" spans="1:29" x14ac:dyDescent="0.3">
      <c r="A2769">
        <v>144879</v>
      </c>
      <c r="B2769" s="25" t="s">
        <v>5984</v>
      </c>
      <c r="C2769" t="s">
        <v>20</v>
      </c>
      <c r="D2769" t="s">
        <v>21</v>
      </c>
      <c r="E2769">
        <v>2222222</v>
      </c>
      <c r="F2769" s="8" t="s">
        <v>22</v>
      </c>
      <c r="G2769" s="2">
        <v>98</v>
      </c>
      <c r="H2769" t="s">
        <v>4317</v>
      </c>
      <c r="J2769" s="9" t="s">
        <v>5073</v>
      </c>
      <c r="K2769" t="s">
        <v>4845</v>
      </c>
      <c r="L2769" s="2">
        <v>1</v>
      </c>
      <c r="M2769" s="24" t="s">
        <v>5971</v>
      </c>
      <c r="N2769" s="2" t="s">
        <v>23</v>
      </c>
      <c r="O2769" s="18" t="s">
        <v>2181</v>
      </c>
      <c r="P2769" s="18" t="s">
        <v>3781</v>
      </c>
      <c r="Q2769" s="6" t="s">
        <v>4475</v>
      </c>
      <c r="T2769" s="23">
        <v>45694</v>
      </c>
      <c r="U2769" s="23">
        <v>46242</v>
      </c>
      <c r="X2769" s="20">
        <v>1425</v>
      </c>
      <c r="Z2769" s="6" t="s">
        <v>5978</v>
      </c>
      <c r="AA2769" s="14">
        <f t="shared" si="360"/>
        <v>5.9999999999999995E-4</v>
      </c>
      <c r="AB2769">
        <v>0.31014599999999998</v>
      </c>
      <c r="AC2769">
        <v>0.32255183999999998</v>
      </c>
    </row>
    <row r="2770" spans="1:29" x14ac:dyDescent="0.3">
      <c r="A2770">
        <v>146307</v>
      </c>
      <c r="B2770" s="25" t="s">
        <v>5984</v>
      </c>
      <c r="C2770" t="s">
        <v>20</v>
      </c>
      <c r="D2770" t="s">
        <v>21</v>
      </c>
      <c r="E2770">
        <v>2222222</v>
      </c>
      <c r="F2770" s="8" t="s">
        <v>22</v>
      </c>
      <c r="G2770" s="2">
        <v>98</v>
      </c>
      <c r="H2770" t="s">
        <v>4317</v>
      </c>
      <c r="J2770" s="9" t="s">
        <v>5351</v>
      </c>
      <c r="K2770" t="s">
        <v>5297</v>
      </c>
      <c r="L2770" s="2">
        <v>1</v>
      </c>
      <c r="M2770" s="24" t="s">
        <v>5971</v>
      </c>
      <c r="N2770" s="2" t="s">
        <v>23</v>
      </c>
      <c r="O2770" s="18" t="s">
        <v>2179</v>
      </c>
      <c r="P2770" s="18" t="s">
        <v>0</v>
      </c>
      <c r="Q2770" s="6" t="s">
        <v>4475</v>
      </c>
      <c r="T2770" s="23">
        <v>45808</v>
      </c>
      <c r="U2770" s="23">
        <v>46357</v>
      </c>
      <c r="X2770" s="20">
        <v>1100</v>
      </c>
      <c r="Z2770" s="6" t="s">
        <v>5978</v>
      </c>
      <c r="AA2770" s="14">
        <f t="shared" si="360"/>
        <v>5.9999999999999995E-4</v>
      </c>
      <c r="AB2770">
        <v>0.52769999999999995</v>
      </c>
      <c r="AC2770">
        <v>0.54880799999999996</v>
      </c>
    </row>
    <row r="2771" spans="1:29" x14ac:dyDescent="0.3">
      <c r="A2771">
        <v>146998</v>
      </c>
      <c r="B2771" s="25" t="s">
        <v>5984</v>
      </c>
      <c r="C2771" t="s">
        <v>20</v>
      </c>
      <c r="D2771" t="s">
        <v>21</v>
      </c>
      <c r="E2771">
        <v>2222222</v>
      </c>
      <c r="F2771" s="8" t="s">
        <v>22</v>
      </c>
      <c r="G2771" s="2">
        <v>98</v>
      </c>
      <c r="H2771" t="s">
        <v>4317</v>
      </c>
      <c r="J2771" s="9" t="s">
        <v>4898</v>
      </c>
      <c r="K2771" t="s">
        <v>5074</v>
      </c>
      <c r="L2771" s="2">
        <v>1</v>
      </c>
      <c r="M2771" s="24" t="s">
        <v>5971</v>
      </c>
      <c r="N2771" s="2" t="s">
        <v>23</v>
      </c>
      <c r="O2771" s="18" t="s">
        <v>2182</v>
      </c>
      <c r="P2771" s="18" t="s">
        <v>3781</v>
      </c>
      <c r="Q2771" s="6" t="s">
        <v>4475</v>
      </c>
      <c r="T2771" s="23">
        <v>45867</v>
      </c>
      <c r="U2771" s="23">
        <v>49526</v>
      </c>
      <c r="X2771" s="20">
        <v>30000</v>
      </c>
      <c r="Z2771" s="6" t="s">
        <v>5978</v>
      </c>
      <c r="AA2771" s="14">
        <f t="shared" si="360"/>
        <v>5.9999999999999995E-4</v>
      </c>
      <c r="AB2771">
        <v>15.794603999999998</v>
      </c>
      <c r="AC2771">
        <v>16.426388159999998</v>
      </c>
    </row>
    <row r="2772" spans="1:29" x14ac:dyDescent="0.3">
      <c r="A2772">
        <v>149466</v>
      </c>
      <c r="B2772" s="25" t="s">
        <v>5984</v>
      </c>
      <c r="C2772" t="s">
        <v>20</v>
      </c>
      <c r="D2772" t="s">
        <v>21</v>
      </c>
      <c r="E2772">
        <v>2222222</v>
      </c>
      <c r="F2772" s="8" t="s">
        <v>22</v>
      </c>
      <c r="G2772" s="2">
        <v>98</v>
      </c>
      <c r="H2772" t="s">
        <v>4317</v>
      </c>
      <c r="J2772" s="9" t="s">
        <v>5247</v>
      </c>
      <c r="K2772" t="s">
        <v>4876</v>
      </c>
      <c r="L2772" s="2">
        <v>1</v>
      </c>
      <c r="M2772" s="24" t="s">
        <v>5971</v>
      </c>
      <c r="N2772" s="2" t="s">
        <v>23</v>
      </c>
      <c r="O2772" s="18" t="s">
        <v>2183</v>
      </c>
      <c r="P2772" s="18" t="s">
        <v>0</v>
      </c>
      <c r="Q2772" s="6" t="s">
        <v>4475</v>
      </c>
      <c r="T2772" s="23">
        <v>46028</v>
      </c>
      <c r="U2772" s="23">
        <v>47669</v>
      </c>
      <c r="X2772" s="20">
        <v>1580</v>
      </c>
      <c r="Z2772" s="6" t="s">
        <v>5978</v>
      </c>
      <c r="AA2772" s="14">
        <f t="shared" si="360"/>
        <v>5.9999999999999995E-4</v>
      </c>
      <c r="AB2772">
        <v>0.88246799999999992</v>
      </c>
      <c r="AC2772">
        <v>0.91776671999999992</v>
      </c>
    </row>
    <row r="2773" spans="1:29" x14ac:dyDescent="0.3">
      <c r="A2773">
        <v>117104</v>
      </c>
      <c r="B2773" s="25" t="s">
        <v>5984</v>
      </c>
      <c r="C2773" t="s">
        <v>20</v>
      </c>
      <c r="D2773" t="s">
        <v>21</v>
      </c>
      <c r="E2773">
        <v>2222222</v>
      </c>
      <c r="F2773" s="8" t="s">
        <v>22</v>
      </c>
      <c r="G2773" s="2">
        <v>98</v>
      </c>
      <c r="H2773" t="s">
        <v>4318</v>
      </c>
      <c r="J2773" s="9" t="s">
        <v>4911</v>
      </c>
      <c r="K2773" t="s">
        <v>4897</v>
      </c>
      <c r="L2773" s="2">
        <v>1</v>
      </c>
      <c r="M2773" s="24" t="s">
        <v>5971</v>
      </c>
      <c r="N2773" s="2" t="s">
        <v>23</v>
      </c>
      <c r="O2773" s="18" t="s">
        <v>2184</v>
      </c>
      <c r="P2773" s="18" t="s">
        <v>3781</v>
      </c>
      <c r="Q2773" s="6" t="s">
        <v>4475</v>
      </c>
      <c r="T2773" s="23">
        <v>44173</v>
      </c>
      <c r="U2773" s="23">
        <v>46364</v>
      </c>
      <c r="X2773" s="20">
        <v>10000</v>
      </c>
      <c r="Z2773" s="6" t="s">
        <v>5978</v>
      </c>
      <c r="AA2773" s="15">
        <f>+(0.42/1000)</f>
        <v>4.1999999999999996E-4</v>
      </c>
      <c r="AB2773">
        <v>1.8846533999999999</v>
      </c>
      <c r="AC2773">
        <v>1.960039536</v>
      </c>
    </row>
    <row r="2774" spans="1:29" x14ac:dyDescent="0.3">
      <c r="A2774">
        <v>130964</v>
      </c>
      <c r="B2774" s="25" t="s">
        <v>5984</v>
      </c>
      <c r="C2774" t="s">
        <v>20</v>
      </c>
      <c r="D2774" t="s">
        <v>21</v>
      </c>
      <c r="E2774">
        <v>2222222</v>
      </c>
      <c r="F2774" s="8" t="s">
        <v>22</v>
      </c>
      <c r="G2774" s="2">
        <v>98</v>
      </c>
      <c r="H2774" t="s">
        <v>4318</v>
      </c>
      <c r="J2774" s="9" t="s">
        <v>5676</v>
      </c>
      <c r="K2774" t="s">
        <v>4966</v>
      </c>
      <c r="L2774" s="2">
        <v>1</v>
      </c>
      <c r="M2774" s="24" t="s">
        <v>5971</v>
      </c>
      <c r="N2774" s="2" t="s">
        <v>23</v>
      </c>
      <c r="O2774" s="18" t="s">
        <v>2185</v>
      </c>
      <c r="P2774" s="18" t="s">
        <v>0</v>
      </c>
      <c r="Q2774" s="6" t="s">
        <v>4475</v>
      </c>
      <c r="T2774" s="23">
        <v>44872</v>
      </c>
      <c r="U2774" s="23">
        <v>47429</v>
      </c>
      <c r="X2774" s="20">
        <v>35000</v>
      </c>
      <c r="Z2774" s="6" t="s">
        <v>5978</v>
      </c>
      <c r="AA2774" s="13">
        <f>+(0.56/1000)</f>
        <v>5.6000000000000006E-4</v>
      </c>
      <c r="AB2774">
        <v>12.041321600000002</v>
      </c>
      <c r="AC2774">
        <v>12.522974464000002</v>
      </c>
    </row>
    <row r="2775" spans="1:29" x14ac:dyDescent="0.3">
      <c r="A2775">
        <v>141916</v>
      </c>
      <c r="B2775" s="25" t="s">
        <v>5984</v>
      </c>
      <c r="C2775" t="s">
        <v>20</v>
      </c>
      <c r="D2775" t="s">
        <v>21</v>
      </c>
      <c r="E2775">
        <v>2222222</v>
      </c>
      <c r="F2775" s="8" t="s">
        <v>22</v>
      </c>
      <c r="G2775" s="2">
        <v>98</v>
      </c>
      <c r="H2775" t="s">
        <v>4318</v>
      </c>
      <c r="J2775" s="9" t="s">
        <v>5677</v>
      </c>
      <c r="K2775" t="s">
        <v>4859</v>
      </c>
      <c r="L2775" s="2">
        <v>1</v>
      </c>
      <c r="M2775" s="24" t="s">
        <v>5971</v>
      </c>
      <c r="N2775" s="2" t="s">
        <v>23</v>
      </c>
      <c r="O2775" s="18" t="s">
        <v>1853</v>
      </c>
      <c r="P2775" s="18" t="s">
        <v>3781</v>
      </c>
      <c r="Q2775" s="6" t="s">
        <v>4475</v>
      </c>
      <c r="T2775" s="23">
        <v>45484</v>
      </c>
      <c r="U2775" s="23">
        <v>47309</v>
      </c>
      <c r="X2775" s="20">
        <v>3350</v>
      </c>
      <c r="Z2775" s="6" t="s">
        <v>5978</v>
      </c>
      <c r="AA2775" s="14">
        <f t="shared" ref="AA2775:AA2779" si="361">+(0.6/1000)</f>
        <v>5.9999999999999995E-4</v>
      </c>
      <c r="AB2775">
        <v>1.9412459999999998</v>
      </c>
      <c r="AC2775">
        <v>2.0188958399999999</v>
      </c>
    </row>
    <row r="2776" spans="1:29" x14ac:dyDescent="0.3">
      <c r="A2776">
        <v>145630</v>
      </c>
      <c r="B2776" s="25" t="s">
        <v>5984</v>
      </c>
      <c r="C2776" t="s">
        <v>20</v>
      </c>
      <c r="D2776" t="s">
        <v>21</v>
      </c>
      <c r="E2776">
        <v>2222222</v>
      </c>
      <c r="F2776" s="8" t="s">
        <v>22</v>
      </c>
      <c r="G2776" s="2">
        <v>98</v>
      </c>
      <c r="H2776" t="s">
        <v>4318</v>
      </c>
      <c r="J2776" s="9" t="s">
        <v>5450</v>
      </c>
      <c r="K2776" t="s">
        <v>5174</v>
      </c>
      <c r="L2776" s="2">
        <v>1</v>
      </c>
      <c r="M2776" s="24" t="s">
        <v>5971</v>
      </c>
      <c r="N2776" s="2" t="s">
        <v>23</v>
      </c>
      <c r="O2776" s="18" t="s">
        <v>2186</v>
      </c>
      <c r="P2776" s="18" t="s">
        <v>0</v>
      </c>
      <c r="Q2776" s="6" t="s">
        <v>4475</v>
      </c>
      <c r="T2776" s="23">
        <v>45761</v>
      </c>
      <c r="U2776" s="23">
        <v>47222</v>
      </c>
      <c r="X2776" s="20">
        <v>8000</v>
      </c>
      <c r="Z2776" s="6" t="s">
        <v>5978</v>
      </c>
      <c r="AA2776" s="14">
        <f t="shared" si="361"/>
        <v>5.9999999999999995E-4</v>
      </c>
      <c r="AB2776">
        <v>4.6559819999999998</v>
      </c>
      <c r="AC2776">
        <v>4.8422212800000004</v>
      </c>
    </row>
    <row r="2777" spans="1:29" x14ac:dyDescent="0.3">
      <c r="A2777">
        <v>152292</v>
      </c>
      <c r="B2777" s="25" t="s">
        <v>5984</v>
      </c>
      <c r="C2777" t="s">
        <v>20</v>
      </c>
      <c r="D2777" t="s">
        <v>21</v>
      </c>
      <c r="E2777">
        <v>2222222</v>
      </c>
      <c r="F2777" s="8" t="s">
        <v>22</v>
      </c>
      <c r="G2777" s="2">
        <v>98</v>
      </c>
      <c r="H2777" t="s">
        <v>4318</v>
      </c>
      <c r="J2777" s="9" t="s">
        <v>4838</v>
      </c>
      <c r="K2777" t="s">
        <v>4847</v>
      </c>
      <c r="L2777" s="2">
        <v>1</v>
      </c>
      <c r="M2777" s="24" t="s">
        <v>5971</v>
      </c>
      <c r="N2777" s="2" t="s">
        <v>23</v>
      </c>
      <c r="O2777" s="18" t="s">
        <v>2187</v>
      </c>
      <c r="P2777" s="18" t="s">
        <v>0</v>
      </c>
      <c r="Q2777" s="6" t="s">
        <v>4475</v>
      </c>
      <c r="T2777" s="23">
        <v>46230</v>
      </c>
      <c r="U2777" s="23">
        <v>48055</v>
      </c>
      <c r="X2777" s="20">
        <v>10000</v>
      </c>
      <c r="Z2777" s="6" t="s">
        <v>5978</v>
      </c>
      <c r="AA2777" s="14">
        <f t="shared" si="361"/>
        <v>5.9999999999999995E-4</v>
      </c>
      <c r="AB2777">
        <v>5.9999999999999991</v>
      </c>
      <c r="AC2777">
        <v>6.2399999999999993</v>
      </c>
    </row>
    <row r="2778" spans="1:29" x14ac:dyDescent="0.3">
      <c r="A2778">
        <v>152346</v>
      </c>
      <c r="B2778" s="25" t="s">
        <v>5984</v>
      </c>
      <c r="C2778" t="s">
        <v>20</v>
      </c>
      <c r="D2778" t="s">
        <v>21</v>
      </c>
      <c r="E2778">
        <v>2222222</v>
      </c>
      <c r="F2778" s="8" t="s">
        <v>22</v>
      </c>
      <c r="G2778" s="2">
        <v>98</v>
      </c>
      <c r="H2778" t="s">
        <v>4318</v>
      </c>
      <c r="J2778" s="9" t="s">
        <v>5676</v>
      </c>
      <c r="K2778" t="s">
        <v>4966</v>
      </c>
      <c r="L2778" s="2">
        <v>1</v>
      </c>
      <c r="M2778" s="24" t="s">
        <v>5971</v>
      </c>
      <c r="N2778" s="2" t="s">
        <v>23</v>
      </c>
      <c r="O2778" s="18" t="s">
        <v>2185</v>
      </c>
      <c r="P2778" s="18" t="s">
        <v>0</v>
      </c>
      <c r="Q2778" s="6" t="s">
        <v>4475</v>
      </c>
      <c r="T2778" s="23">
        <v>46231</v>
      </c>
      <c r="U2778" s="23">
        <v>47332</v>
      </c>
      <c r="X2778" s="20">
        <v>2500</v>
      </c>
      <c r="Z2778" s="6" t="s">
        <v>5978</v>
      </c>
      <c r="AA2778" s="14">
        <f t="shared" si="361"/>
        <v>5.9999999999999995E-4</v>
      </c>
      <c r="AB2778">
        <v>1.4999999999999998</v>
      </c>
      <c r="AC2778">
        <v>1.5599999999999998</v>
      </c>
    </row>
    <row r="2779" spans="1:29" x14ac:dyDescent="0.3">
      <c r="A2779">
        <v>149802</v>
      </c>
      <c r="B2779" s="25" t="s">
        <v>5984</v>
      </c>
      <c r="C2779" t="s">
        <v>20</v>
      </c>
      <c r="D2779" t="s">
        <v>21</v>
      </c>
      <c r="E2779">
        <v>2222222</v>
      </c>
      <c r="F2779" s="8" t="s">
        <v>22</v>
      </c>
      <c r="G2779" s="2">
        <v>98</v>
      </c>
      <c r="H2779" t="s">
        <v>4319</v>
      </c>
      <c r="J2779" s="9" t="s">
        <v>4852</v>
      </c>
      <c r="K2779" t="s">
        <v>5089</v>
      </c>
      <c r="L2779" s="2">
        <v>1</v>
      </c>
      <c r="M2779" s="24" t="s">
        <v>5971</v>
      </c>
      <c r="N2779" s="2" t="s">
        <v>23</v>
      </c>
      <c r="O2779" s="18" t="s">
        <v>2188</v>
      </c>
      <c r="P2779" s="18" t="s">
        <v>0</v>
      </c>
      <c r="Q2779" s="6" t="s">
        <v>4475</v>
      </c>
      <c r="T2779" s="23">
        <v>46051</v>
      </c>
      <c r="U2779" s="23">
        <v>47146</v>
      </c>
      <c r="X2779" s="20">
        <v>5000</v>
      </c>
      <c r="Z2779" s="6" t="s">
        <v>5978</v>
      </c>
      <c r="AA2779" s="14">
        <f t="shared" si="361"/>
        <v>5.9999999999999995E-4</v>
      </c>
      <c r="AB2779">
        <v>2.6021100000000001</v>
      </c>
      <c r="AC2779">
        <v>2.7061944000000002</v>
      </c>
    </row>
    <row r="2780" spans="1:29" x14ac:dyDescent="0.3">
      <c r="A2780">
        <v>133181</v>
      </c>
      <c r="B2780" s="25" t="s">
        <v>5984</v>
      </c>
      <c r="C2780" t="s">
        <v>20</v>
      </c>
      <c r="D2780" t="s">
        <v>21</v>
      </c>
      <c r="E2780">
        <v>2222222</v>
      </c>
      <c r="F2780" s="8" t="s">
        <v>22</v>
      </c>
      <c r="G2780" s="2">
        <v>98</v>
      </c>
      <c r="H2780" t="s">
        <v>4320</v>
      </c>
      <c r="J2780" s="9" t="s">
        <v>5007</v>
      </c>
      <c r="K2780" t="s">
        <v>5089</v>
      </c>
      <c r="L2780" s="2">
        <v>1</v>
      </c>
      <c r="M2780" s="24" t="s">
        <v>5971</v>
      </c>
      <c r="N2780" s="2" t="s">
        <v>23</v>
      </c>
      <c r="O2780" s="18" t="s">
        <v>1680</v>
      </c>
      <c r="P2780" s="18" t="s">
        <v>0</v>
      </c>
      <c r="Q2780" s="6" t="s">
        <v>4475</v>
      </c>
      <c r="T2780" s="23">
        <v>44986</v>
      </c>
      <c r="U2780" s="23">
        <v>46447</v>
      </c>
      <c r="X2780" s="20">
        <v>5000</v>
      </c>
      <c r="Z2780" s="6" t="s">
        <v>5978</v>
      </c>
      <c r="AA2780" s="13">
        <f>+(0.56/1000)</f>
        <v>5.6000000000000006E-4</v>
      </c>
      <c r="AB2780">
        <v>2.5975824000000003</v>
      </c>
      <c r="AC2780">
        <v>2.7014856960000002</v>
      </c>
    </row>
    <row r="2781" spans="1:29" x14ac:dyDescent="0.3">
      <c r="A2781">
        <v>141788</v>
      </c>
      <c r="B2781" s="25" t="s">
        <v>5984</v>
      </c>
      <c r="C2781" t="s">
        <v>20</v>
      </c>
      <c r="D2781" t="s">
        <v>21</v>
      </c>
      <c r="E2781">
        <v>2222222</v>
      </c>
      <c r="F2781" s="8" t="s">
        <v>22</v>
      </c>
      <c r="G2781" s="2">
        <v>98</v>
      </c>
      <c r="H2781" t="s">
        <v>4321</v>
      </c>
      <c r="J2781" s="9" t="s">
        <v>5111</v>
      </c>
      <c r="K2781" t="s">
        <v>4856</v>
      </c>
      <c r="L2781" s="2">
        <v>1</v>
      </c>
      <c r="M2781" s="24" t="s">
        <v>5971</v>
      </c>
      <c r="N2781" s="2" t="s">
        <v>23</v>
      </c>
      <c r="O2781" s="18" t="s">
        <v>1030</v>
      </c>
      <c r="P2781" s="18" t="s">
        <v>0</v>
      </c>
      <c r="Q2781" s="6" t="s">
        <v>4475</v>
      </c>
      <c r="T2781" s="23">
        <v>45475</v>
      </c>
      <c r="U2781" s="23">
        <v>46661</v>
      </c>
      <c r="X2781" s="20">
        <v>3500</v>
      </c>
      <c r="Z2781" s="6" t="s">
        <v>5978</v>
      </c>
      <c r="AA2781" s="14">
        <f t="shared" ref="AA2781:AA2782" si="362">+(0.6/1000)</f>
        <v>5.9999999999999995E-4</v>
      </c>
      <c r="AB2781">
        <v>1.2563879999999998</v>
      </c>
      <c r="AC2781">
        <v>1.3066435199999999</v>
      </c>
    </row>
    <row r="2782" spans="1:29" x14ac:dyDescent="0.3">
      <c r="A2782">
        <v>147595</v>
      </c>
      <c r="B2782" s="25" t="s">
        <v>5984</v>
      </c>
      <c r="C2782" t="s">
        <v>20</v>
      </c>
      <c r="D2782" t="s">
        <v>21</v>
      </c>
      <c r="E2782">
        <v>2222222</v>
      </c>
      <c r="F2782" s="8" t="s">
        <v>22</v>
      </c>
      <c r="G2782" s="2">
        <v>98</v>
      </c>
      <c r="H2782" t="s">
        <v>4321</v>
      </c>
      <c r="J2782" s="9" t="s">
        <v>5111</v>
      </c>
      <c r="K2782" t="s">
        <v>4856</v>
      </c>
      <c r="L2782" s="2">
        <v>1</v>
      </c>
      <c r="M2782" s="24" t="s">
        <v>5971</v>
      </c>
      <c r="N2782" s="2" t="s">
        <v>23</v>
      </c>
      <c r="O2782" s="18" t="s">
        <v>1030</v>
      </c>
      <c r="P2782" s="18" t="s">
        <v>0</v>
      </c>
      <c r="Q2782" s="6" t="s">
        <v>4475</v>
      </c>
      <c r="T2782" s="23">
        <v>45900</v>
      </c>
      <c r="U2782" s="23">
        <v>47362</v>
      </c>
      <c r="X2782" s="20">
        <v>5000</v>
      </c>
      <c r="Z2782" s="6" t="s">
        <v>5978</v>
      </c>
      <c r="AA2782" s="14">
        <f t="shared" si="362"/>
        <v>5.9999999999999995E-4</v>
      </c>
      <c r="AB2782">
        <v>2.7802019999999996</v>
      </c>
      <c r="AC2782">
        <v>2.8914100799999995</v>
      </c>
    </row>
    <row r="2783" spans="1:29" x14ac:dyDescent="0.3">
      <c r="A2783">
        <v>139922</v>
      </c>
      <c r="B2783" s="25" t="s">
        <v>5984</v>
      </c>
      <c r="C2783" t="s">
        <v>20</v>
      </c>
      <c r="D2783" t="s">
        <v>21</v>
      </c>
      <c r="E2783">
        <v>2222222</v>
      </c>
      <c r="F2783" s="8" t="s">
        <v>22</v>
      </c>
      <c r="G2783" s="2">
        <v>98</v>
      </c>
      <c r="H2783" t="s">
        <v>4322</v>
      </c>
      <c r="J2783" s="9" t="s">
        <v>4867</v>
      </c>
      <c r="K2783" t="s">
        <v>5678</v>
      </c>
      <c r="L2783" s="2">
        <v>1</v>
      </c>
      <c r="M2783" s="24" t="s">
        <v>5971</v>
      </c>
      <c r="N2783" s="2" t="s">
        <v>23</v>
      </c>
      <c r="O2783" s="18" t="s">
        <v>2189</v>
      </c>
      <c r="P2783" s="18" t="s">
        <v>3781</v>
      </c>
      <c r="Q2783" s="6" t="s">
        <v>4475</v>
      </c>
      <c r="T2783" s="23">
        <v>45355</v>
      </c>
      <c r="U2783" s="23">
        <v>46449</v>
      </c>
      <c r="X2783" s="20">
        <v>5000</v>
      </c>
      <c r="Z2783" s="6" t="s">
        <v>5978</v>
      </c>
      <c r="AA2783" s="13">
        <f>+(0.56/1000)</f>
        <v>5.6000000000000006E-4</v>
      </c>
      <c r="AB2783">
        <v>0.76722240000000008</v>
      </c>
      <c r="AC2783">
        <v>0.7979112960000001</v>
      </c>
    </row>
    <row r="2784" spans="1:29" x14ac:dyDescent="0.3">
      <c r="A2784">
        <v>143474</v>
      </c>
      <c r="B2784" s="25" t="s">
        <v>5984</v>
      </c>
      <c r="C2784" t="s">
        <v>20</v>
      </c>
      <c r="D2784" t="s">
        <v>21</v>
      </c>
      <c r="E2784">
        <v>2222222</v>
      </c>
      <c r="F2784" s="8" t="s">
        <v>22</v>
      </c>
      <c r="G2784" s="2">
        <v>98</v>
      </c>
      <c r="H2784" t="s">
        <v>4322</v>
      </c>
      <c r="J2784" s="9" t="s">
        <v>5166</v>
      </c>
      <c r="K2784" t="s">
        <v>4972</v>
      </c>
      <c r="L2784" s="2">
        <v>1</v>
      </c>
      <c r="M2784" s="24" t="s">
        <v>5971</v>
      </c>
      <c r="N2784" s="2" t="s">
        <v>23</v>
      </c>
      <c r="O2784" s="18" t="s">
        <v>2190</v>
      </c>
      <c r="P2784" s="18" t="s">
        <v>3781</v>
      </c>
      <c r="Q2784" s="6" t="s">
        <v>4475</v>
      </c>
      <c r="T2784" s="23">
        <v>45599</v>
      </c>
      <c r="U2784" s="23">
        <v>46329</v>
      </c>
      <c r="X2784" s="20">
        <v>2000</v>
      </c>
      <c r="Z2784" s="6" t="s">
        <v>5978</v>
      </c>
      <c r="AA2784" s="14">
        <f t="shared" ref="AA2784:AA2791" si="363">+(0.6/1000)</f>
        <v>5.9999999999999995E-4</v>
      </c>
      <c r="AB2784">
        <v>0.23254799999999998</v>
      </c>
      <c r="AC2784">
        <v>0.24184992</v>
      </c>
    </row>
    <row r="2785" spans="1:29" x14ac:dyDescent="0.3">
      <c r="A2785">
        <v>145235</v>
      </c>
      <c r="B2785" s="25" t="s">
        <v>5984</v>
      </c>
      <c r="C2785" t="s">
        <v>20</v>
      </c>
      <c r="D2785" t="s">
        <v>21</v>
      </c>
      <c r="E2785">
        <v>2222222</v>
      </c>
      <c r="F2785" s="8" t="s">
        <v>22</v>
      </c>
      <c r="G2785" s="2">
        <v>98</v>
      </c>
      <c r="H2785" t="s">
        <v>4322</v>
      </c>
      <c r="J2785" s="9" t="s">
        <v>5201</v>
      </c>
      <c r="K2785" t="s">
        <v>4964</v>
      </c>
      <c r="L2785" s="2">
        <v>1</v>
      </c>
      <c r="M2785" s="24" t="s">
        <v>5971</v>
      </c>
      <c r="N2785" s="2" t="s">
        <v>23</v>
      </c>
      <c r="O2785" s="18" t="s">
        <v>2191</v>
      </c>
      <c r="P2785" s="18" t="s">
        <v>0</v>
      </c>
      <c r="Q2785" s="6" t="s">
        <v>4475</v>
      </c>
      <c r="T2785" s="23">
        <v>45754</v>
      </c>
      <c r="U2785" s="23">
        <v>47215</v>
      </c>
      <c r="X2785" s="20">
        <v>100000</v>
      </c>
      <c r="Z2785" s="6" t="s">
        <v>5978</v>
      </c>
      <c r="AA2785" s="14">
        <f t="shared" si="363"/>
        <v>5.9999999999999995E-4</v>
      </c>
      <c r="AB2785">
        <v>38.719793999999993</v>
      </c>
      <c r="AC2785">
        <v>40.268585759999993</v>
      </c>
    </row>
    <row r="2786" spans="1:29" x14ac:dyDescent="0.3">
      <c r="A2786">
        <v>150870</v>
      </c>
      <c r="B2786" s="25" t="s">
        <v>5984</v>
      </c>
      <c r="C2786" t="s">
        <v>20</v>
      </c>
      <c r="D2786" t="s">
        <v>21</v>
      </c>
      <c r="E2786">
        <v>2222222</v>
      </c>
      <c r="F2786" s="8" t="s">
        <v>22</v>
      </c>
      <c r="G2786" s="2">
        <v>98</v>
      </c>
      <c r="H2786" t="s">
        <v>4322</v>
      </c>
      <c r="J2786" s="9" t="s">
        <v>5063</v>
      </c>
      <c r="K2786" t="s">
        <v>5189</v>
      </c>
      <c r="L2786" s="2">
        <v>1</v>
      </c>
      <c r="M2786" s="24" t="s">
        <v>5971</v>
      </c>
      <c r="N2786" s="2" t="s">
        <v>23</v>
      </c>
      <c r="O2786" s="18" t="s">
        <v>2192</v>
      </c>
      <c r="P2786" s="18" t="s">
        <v>0</v>
      </c>
      <c r="Q2786" s="6" t="s">
        <v>4475</v>
      </c>
      <c r="T2786" s="23">
        <v>46122</v>
      </c>
      <c r="U2786" s="23">
        <v>47218</v>
      </c>
      <c r="X2786" s="20">
        <v>4800</v>
      </c>
      <c r="Z2786" s="6" t="s">
        <v>5978</v>
      </c>
      <c r="AA2786" s="14">
        <f t="shared" si="363"/>
        <v>5.9999999999999995E-4</v>
      </c>
      <c r="AB2786">
        <v>2.6948279999999998</v>
      </c>
      <c r="AC2786">
        <v>2.80262112</v>
      </c>
    </row>
    <row r="2787" spans="1:29" x14ac:dyDescent="0.3">
      <c r="A2787">
        <v>151723</v>
      </c>
      <c r="B2787" s="25" t="s">
        <v>5984</v>
      </c>
      <c r="C2787" t="s">
        <v>20</v>
      </c>
      <c r="D2787" t="s">
        <v>21</v>
      </c>
      <c r="E2787">
        <v>2222222</v>
      </c>
      <c r="F2787" s="8" t="s">
        <v>22</v>
      </c>
      <c r="G2787" s="2">
        <v>98</v>
      </c>
      <c r="H2787" t="s">
        <v>4322</v>
      </c>
      <c r="J2787" s="9" t="s">
        <v>5679</v>
      </c>
      <c r="K2787" t="s">
        <v>5033</v>
      </c>
      <c r="L2787" s="2">
        <v>1</v>
      </c>
      <c r="M2787" s="24" t="s">
        <v>5971</v>
      </c>
      <c r="N2787" s="2" t="s">
        <v>23</v>
      </c>
      <c r="O2787" s="18" t="s">
        <v>2193</v>
      </c>
      <c r="P2787" s="18" t="s">
        <v>3781</v>
      </c>
      <c r="Q2787" s="6" t="s">
        <v>4475</v>
      </c>
      <c r="T2787" s="23">
        <v>46183</v>
      </c>
      <c r="U2787" s="23">
        <v>46273</v>
      </c>
      <c r="X2787" s="20">
        <v>3500</v>
      </c>
      <c r="Z2787" s="6" t="s">
        <v>5978</v>
      </c>
      <c r="AA2787" s="14">
        <f t="shared" si="363"/>
        <v>5.9999999999999995E-4</v>
      </c>
      <c r="AB2787">
        <v>2.0999999999999996</v>
      </c>
      <c r="AC2787">
        <v>2.1839999999999997</v>
      </c>
    </row>
    <row r="2788" spans="1:29" x14ac:dyDescent="0.3">
      <c r="A2788">
        <v>152112</v>
      </c>
      <c r="B2788" s="25" t="s">
        <v>5984</v>
      </c>
      <c r="C2788" t="s">
        <v>20</v>
      </c>
      <c r="D2788" t="s">
        <v>21</v>
      </c>
      <c r="E2788">
        <v>2222222</v>
      </c>
      <c r="F2788" s="8" t="s">
        <v>22</v>
      </c>
      <c r="G2788" s="2">
        <v>98</v>
      </c>
      <c r="H2788" t="s">
        <v>4322</v>
      </c>
      <c r="J2788" s="9" t="s">
        <v>5063</v>
      </c>
      <c r="K2788" t="s">
        <v>5189</v>
      </c>
      <c r="L2788" s="2">
        <v>1</v>
      </c>
      <c r="M2788" s="24" t="s">
        <v>5971</v>
      </c>
      <c r="N2788" s="2" t="s">
        <v>23</v>
      </c>
      <c r="O2788" s="18" t="s">
        <v>2192</v>
      </c>
      <c r="P2788" s="18" t="s">
        <v>0</v>
      </c>
      <c r="Q2788" s="6" t="s">
        <v>4475</v>
      </c>
      <c r="T2788" s="23">
        <v>46212</v>
      </c>
      <c r="U2788" s="23">
        <v>46302</v>
      </c>
      <c r="X2788" s="20">
        <v>1820</v>
      </c>
      <c r="Z2788" s="6" t="s">
        <v>5978</v>
      </c>
      <c r="AA2788" s="14">
        <f t="shared" si="363"/>
        <v>5.9999999999999995E-4</v>
      </c>
      <c r="AB2788">
        <v>1.0919999999999999</v>
      </c>
      <c r="AC2788">
        <v>1.1356799999999998</v>
      </c>
    </row>
    <row r="2789" spans="1:29" x14ac:dyDescent="0.3">
      <c r="A2789">
        <v>152370</v>
      </c>
      <c r="B2789" s="25" t="s">
        <v>5984</v>
      </c>
      <c r="C2789" t="s">
        <v>20</v>
      </c>
      <c r="D2789" t="s">
        <v>21</v>
      </c>
      <c r="E2789">
        <v>2222222</v>
      </c>
      <c r="F2789" s="8" t="s">
        <v>22</v>
      </c>
      <c r="G2789" s="2">
        <v>98</v>
      </c>
      <c r="H2789" t="s">
        <v>4322</v>
      </c>
      <c r="J2789" s="9" t="s">
        <v>5679</v>
      </c>
      <c r="K2789" t="s">
        <v>5033</v>
      </c>
      <c r="L2789" s="2">
        <v>1</v>
      </c>
      <c r="M2789" s="24" t="s">
        <v>5971</v>
      </c>
      <c r="N2789" s="2" t="s">
        <v>23</v>
      </c>
      <c r="O2789" s="18" t="s">
        <v>2193</v>
      </c>
      <c r="P2789" s="18" t="s">
        <v>3781</v>
      </c>
      <c r="Q2789" s="6" t="s">
        <v>4475</v>
      </c>
      <c r="T2789" s="23">
        <v>46233</v>
      </c>
      <c r="U2789" s="23">
        <v>46323</v>
      </c>
      <c r="X2789" s="20">
        <v>1080</v>
      </c>
      <c r="Z2789" s="6" t="s">
        <v>5978</v>
      </c>
      <c r="AA2789" s="14">
        <f t="shared" si="363"/>
        <v>5.9999999999999995E-4</v>
      </c>
      <c r="AB2789">
        <v>0.64799999999999991</v>
      </c>
      <c r="AC2789">
        <v>0.67391999999999996</v>
      </c>
    </row>
    <row r="2790" spans="1:29" x14ac:dyDescent="0.3">
      <c r="A2790">
        <v>142981</v>
      </c>
      <c r="B2790" s="25" t="s">
        <v>5984</v>
      </c>
      <c r="C2790" t="s">
        <v>20</v>
      </c>
      <c r="D2790" t="s">
        <v>21</v>
      </c>
      <c r="E2790">
        <v>2222222</v>
      </c>
      <c r="F2790" s="8" t="s">
        <v>22</v>
      </c>
      <c r="G2790" s="2">
        <v>98</v>
      </c>
      <c r="H2790" t="s">
        <v>4323</v>
      </c>
      <c r="J2790" s="9" t="s">
        <v>5430</v>
      </c>
      <c r="K2790" t="s">
        <v>5064</v>
      </c>
      <c r="L2790" s="2">
        <v>1</v>
      </c>
      <c r="M2790" s="24" t="s">
        <v>5971</v>
      </c>
      <c r="N2790" s="2" t="s">
        <v>23</v>
      </c>
      <c r="O2790" s="18" t="s">
        <v>2194</v>
      </c>
      <c r="P2790" s="18" t="s">
        <v>0</v>
      </c>
      <c r="Q2790" s="6" t="s">
        <v>4475</v>
      </c>
      <c r="T2790" s="23">
        <v>45560</v>
      </c>
      <c r="U2790" s="23">
        <v>47021</v>
      </c>
      <c r="X2790" s="20">
        <v>5000</v>
      </c>
      <c r="Z2790" s="6" t="s">
        <v>5978</v>
      </c>
      <c r="AA2790" s="14">
        <f t="shared" si="363"/>
        <v>5.9999999999999995E-4</v>
      </c>
      <c r="AB2790">
        <v>1.7206859999999997</v>
      </c>
      <c r="AC2790">
        <v>1.7895134399999997</v>
      </c>
    </row>
    <row r="2791" spans="1:29" x14ac:dyDescent="0.3">
      <c r="A2791">
        <v>146726</v>
      </c>
      <c r="B2791" s="25" t="s">
        <v>5984</v>
      </c>
      <c r="C2791" t="s">
        <v>20</v>
      </c>
      <c r="D2791" t="s">
        <v>21</v>
      </c>
      <c r="E2791">
        <v>2222222</v>
      </c>
      <c r="F2791" s="8" t="s">
        <v>22</v>
      </c>
      <c r="G2791" s="2">
        <v>98</v>
      </c>
      <c r="H2791" t="s">
        <v>4323</v>
      </c>
      <c r="J2791" s="9" t="s">
        <v>5430</v>
      </c>
      <c r="K2791" t="s">
        <v>5064</v>
      </c>
      <c r="L2791" s="2">
        <v>1</v>
      </c>
      <c r="M2791" s="24" t="s">
        <v>5971</v>
      </c>
      <c r="N2791" s="2" t="s">
        <v>23</v>
      </c>
      <c r="O2791" s="18" t="s">
        <v>2194</v>
      </c>
      <c r="P2791" s="18" t="s">
        <v>0</v>
      </c>
      <c r="Q2791" s="6" t="s">
        <v>4475</v>
      </c>
      <c r="T2791" s="23">
        <v>45839</v>
      </c>
      <c r="U2791" s="23">
        <v>46934</v>
      </c>
      <c r="X2791" s="20">
        <v>4000</v>
      </c>
      <c r="Z2791" s="6" t="s">
        <v>5978</v>
      </c>
      <c r="AA2791" s="14">
        <f t="shared" si="363"/>
        <v>5.9999999999999995E-4</v>
      </c>
      <c r="AB2791">
        <v>1.6709219999999998</v>
      </c>
      <c r="AC2791">
        <v>1.7377588799999999</v>
      </c>
    </row>
    <row r="2792" spans="1:29" x14ac:dyDescent="0.3">
      <c r="A2792">
        <v>129002</v>
      </c>
      <c r="B2792" s="25" t="s">
        <v>5984</v>
      </c>
      <c r="C2792" t="s">
        <v>20</v>
      </c>
      <c r="D2792" t="s">
        <v>21</v>
      </c>
      <c r="E2792">
        <v>2222222</v>
      </c>
      <c r="F2792" s="8" t="s">
        <v>22</v>
      </c>
      <c r="G2792" s="2">
        <v>98</v>
      </c>
      <c r="H2792" t="s">
        <v>4324</v>
      </c>
      <c r="J2792" s="9" t="s">
        <v>5680</v>
      </c>
      <c r="K2792" t="s">
        <v>5681</v>
      </c>
      <c r="L2792" s="2">
        <v>1</v>
      </c>
      <c r="M2792" s="24" t="s">
        <v>5971</v>
      </c>
      <c r="N2792" s="2" t="s">
        <v>23</v>
      </c>
      <c r="O2792" s="18" t="s">
        <v>2195</v>
      </c>
      <c r="P2792" s="18" t="s">
        <v>3781</v>
      </c>
      <c r="Q2792" s="6" t="s">
        <v>4475</v>
      </c>
      <c r="T2792" s="23">
        <v>44761</v>
      </c>
      <c r="U2792" s="23">
        <v>46586</v>
      </c>
      <c r="X2792" s="20">
        <v>10000</v>
      </c>
      <c r="Z2792" s="6" t="s">
        <v>5978</v>
      </c>
      <c r="AA2792" s="15">
        <f>+(0.42/1000)</f>
        <v>4.1999999999999996E-4</v>
      </c>
      <c r="AB2792">
        <v>3.4985579999999996</v>
      </c>
      <c r="AC2792">
        <v>3.6385003199999999</v>
      </c>
    </row>
    <row r="2793" spans="1:29" x14ac:dyDescent="0.3">
      <c r="A2793">
        <v>137942</v>
      </c>
      <c r="B2793" s="25" t="s">
        <v>5984</v>
      </c>
      <c r="C2793" t="s">
        <v>20</v>
      </c>
      <c r="D2793" t="s">
        <v>21</v>
      </c>
      <c r="E2793">
        <v>2222222</v>
      </c>
      <c r="F2793" s="8" t="s">
        <v>22</v>
      </c>
      <c r="G2793" s="2">
        <v>98</v>
      </c>
      <c r="H2793" t="s">
        <v>4324</v>
      </c>
      <c r="J2793" s="9" t="s">
        <v>4894</v>
      </c>
      <c r="K2793" t="s">
        <v>4827</v>
      </c>
      <c r="L2793" s="2">
        <v>1</v>
      </c>
      <c r="M2793" s="24" t="s">
        <v>5971</v>
      </c>
      <c r="N2793" s="2" t="s">
        <v>23</v>
      </c>
      <c r="O2793" s="18" t="s">
        <v>2196</v>
      </c>
      <c r="P2793" s="18" t="s">
        <v>0</v>
      </c>
      <c r="Q2793" s="6" t="s">
        <v>4475</v>
      </c>
      <c r="T2793" s="23">
        <v>45272</v>
      </c>
      <c r="U2793" s="23">
        <v>47463</v>
      </c>
      <c r="X2793" s="20">
        <v>14000</v>
      </c>
      <c r="Z2793" s="6" t="s">
        <v>5978</v>
      </c>
      <c r="AA2793" s="13">
        <f t="shared" ref="AA2793:AA2796" si="364">+(0.56/1000)</f>
        <v>5.6000000000000006E-4</v>
      </c>
      <c r="AB2793">
        <v>5.3530120000000005</v>
      </c>
      <c r="AC2793">
        <v>5.5671324800000006</v>
      </c>
    </row>
    <row r="2794" spans="1:29" x14ac:dyDescent="0.3">
      <c r="A2794">
        <v>133675</v>
      </c>
      <c r="B2794" s="25" t="s">
        <v>5984</v>
      </c>
      <c r="C2794" t="s">
        <v>20</v>
      </c>
      <c r="D2794" t="s">
        <v>21</v>
      </c>
      <c r="E2794">
        <v>2222222</v>
      </c>
      <c r="F2794" s="8" t="s">
        <v>22</v>
      </c>
      <c r="G2794" s="2">
        <v>98</v>
      </c>
      <c r="H2794" t="s">
        <v>4325</v>
      </c>
      <c r="J2794" s="9" t="s">
        <v>4917</v>
      </c>
      <c r="K2794" t="s">
        <v>5096</v>
      </c>
      <c r="L2794" s="2">
        <v>1</v>
      </c>
      <c r="M2794" s="24" t="s">
        <v>5971</v>
      </c>
      <c r="N2794" s="2" t="s">
        <v>23</v>
      </c>
      <c r="O2794" s="18" t="s">
        <v>1961</v>
      </c>
      <c r="P2794" s="18" t="s">
        <v>3781</v>
      </c>
      <c r="Q2794" s="6" t="s">
        <v>4475</v>
      </c>
      <c r="T2794" s="23">
        <v>45013</v>
      </c>
      <c r="U2794" s="23">
        <v>46839</v>
      </c>
      <c r="X2794" s="20">
        <v>10000</v>
      </c>
      <c r="Z2794" s="6" t="s">
        <v>5978</v>
      </c>
      <c r="AA2794" s="13">
        <f t="shared" si="364"/>
        <v>5.6000000000000006E-4</v>
      </c>
      <c r="AB2794">
        <v>2.3865688</v>
      </c>
      <c r="AC2794">
        <v>2.482031552</v>
      </c>
    </row>
    <row r="2795" spans="1:29" x14ac:dyDescent="0.3">
      <c r="A2795">
        <v>136655</v>
      </c>
      <c r="B2795" s="25" t="s">
        <v>5984</v>
      </c>
      <c r="C2795" t="s">
        <v>20</v>
      </c>
      <c r="D2795" t="s">
        <v>21</v>
      </c>
      <c r="E2795">
        <v>2222222</v>
      </c>
      <c r="F2795" s="8" t="s">
        <v>22</v>
      </c>
      <c r="G2795" s="2">
        <v>98</v>
      </c>
      <c r="H2795" t="s">
        <v>4325</v>
      </c>
      <c r="J2795" s="9" t="s">
        <v>5011</v>
      </c>
      <c r="K2795" t="s">
        <v>5030</v>
      </c>
      <c r="L2795" s="2">
        <v>1</v>
      </c>
      <c r="M2795" s="24" t="s">
        <v>5971</v>
      </c>
      <c r="N2795" s="2" t="s">
        <v>23</v>
      </c>
      <c r="O2795" s="18" t="s">
        <v>2197</v>
      </c>
      <c r="P2795" s="18" t="s">
        <v>3781</v>
      </c>
      <c r="Q2795" s="6" t="s">
        <v>4475</v>
      </c>
      <c r="T2795" s="23">
        <v>45188</v>
      </c>
      <c r="U2795" s="23">
        <v>47380</v>
      </c>
      <c r="X2795" s="20">
        <v>17000</v>
      </c>
      <c r="Z2795" s="6" t="s">
        <v>5978</v>
      </c>
      <c r="AA2795" s="13">
        <f t="shared" si="364"/>
        <v>5.6000000000000006E-4</v>
      </c>
      <c r="AB2795">
        <v>6.1407192000000004</v>
      </c>
      <c r="AC2795">
        <v>6.3863479680000008</v>
      </c>
    </row>
    <row r="2796" spans="1:29" x14ac:dyDescent="0.3">
      <c r="A2796">
        <v>138210</v>
      </c>
      <c r="B2796" s="25" t="s">
        <v>5984</v>
      </c>
      <c r="C2796" t="s">
        <v>20</v>
      </c>
      <c r="D2796" t="s">
        <v>21</v>
      </c>
      <c r="E2796">
        <v>2222222</v>
      </c>
      <c r="F2796" s="8" t="s">
        <v>22</v>
      </c>
      <c r="G2796" s="2">
        <v>98</v>
      </c>
      <c r="H2796" t="s">
        <v>4325</v>
      </c>
      <c r="J2796" s="9" t="s">
        <v>5237</v>
      </c>
      <c r="K2796" t="s">
        <v>4972</v>
      </c>
      <c r="L2796" s="2">
        <v>1</v>
      </c>
      <c r="M2796" s="24" t="s">
        <v>5971</v>
      </c>
      <c r="N2796" s="2" t="s">
        <v>23</v>
      </c>
      <c r="O2796" s="18" t="s">
        <v>2198</v>
      </c>
      <c r="P2796" s="18" t="s">
        <v>3781</v>
      </c>
      <c r="Q2796" s="6" t="s">
        <v>4475</v>
      </c>
      <c r="T2796" s="23">
        <v>45267</v>
      </c>
      <c r="U2796" s="23">
        <v>46362</v>
      </c>
      <c r="X2796" s="20">
        <v>3000</v>
      </c>
      <c r="Z2796" s="6" t="s">
        <v>5978</v>
      </c>
      <c r="AA2796" s="13">
        <f t="shared" si="364"/>
        <v>5.6000000000000006E-4</v>
      </c>
      <c r="AB2796">
        <v>0.29412320000000003</v>
      </c>
      <c r="AC2796">
        <v>0.30588812800000004</v>
      </c>
    </row>
    <row r="2797" spans="1:29" x14ac:dyDescent="0.3">
      <c r="A2797">
        <v>140930</v>
      </c>
      <c r="B2797" s="25" t="s">
        <v>5984</v>
      </c>
      <c r="C2797" t="s">
        <v>20</v>
      </c>
      <c r="D2797" t="s">
        <v>21</v>
      </c>
      <c r="E2797">
        <v>2222222</v>
      </c>
      <c r="F2797" s="8" t="s">
        <v>22</v>
      </c>
      <c r="G2797" s="2">
        <v>98</v>
      </c>
      <c r="H2797" t="s">
        <v>4325</v>
      </c>
      <c r="J2797" s="9" t="s">
        <v>5232</v>
      </c>
      <c r="K2797" t="s">
        <v>4924</v>
      </c>
      <c r="L2797" s="2">
        <v>1</v>
      </c>
      <c r="M2797" s="24" t="s">
        <v>5971</v>
      </c>
      <c r="N2797" s="2" t="s">
        <v>23</v>
      </c>
      <c r="O2797" s="18" t="s">
        <v>2199</v>
      </c>
      <c r="P2797" s="18" t="s">
        <v>3781</v>
      </c>
      <c r="Q2797" s="6" t="s">
        <v>4475</v>
      </c>
      <c r="T2797" s="23">
        <v>45426</v>
      </c>
      <c r="U2797" s="23">
        <v>48408</v>
      </c>
      <c r="X2797" s="20">
        <v>40000</v>
      </c>
      <c r="Z2797" s="6" t="s">
        <v>5978</v>
      </c>
      <c r="AA2797" s="14">
        <f t="shared" ref="AA2797:AA2805" si="365">+(0.6/1000)</f>
        <v>5.9999999999999995E-4</v>
      </c>
      <c r="AB2797">
        <v>11.233307999999999</v>
      </c>
      <c r="AC2797">
        <v>11.682640319999999</v>
      </c>
    </row>
    <row r="2798" spans="1:29" x14ac:dyDescent="0.3">
      <c r="A2798">
        <v>141772</v>
      </c>
      <c r="B2798" s="25" t="s">
        <v>5984</v>
      </c>
      <c r="C2798" t="s">
        <v>20</v>
      </c>
      <c r="D2798" t="s">
        <v>21</v>
      </c>
      <c r="E2798">
        <v>2222222</v>
      </c>
      <c r="F2798" s="8" t="s">
        <v>22</v>
      </c>
      <c r="G2798" s="2">
        <v>98</v>
      </c>
      <c r="H2798" t="s">
        <v>4325</v>
      </c>
      <c r="J2798" s="9" t="s">
        <v>4939</v>
      </c>
      <c r="K2798" t="s">
        <v>5189</v>
      </c>
      <c r="L2798" s="2">
        <v>1</v>
      </c>
      <c r="M2798" s="24" t="s">
        <v>5971</v>
      </c>
      <c r="N2798" s="2" t="s">
        <v>23</v>
      </c>
      <c r="O2798" s="18" t="s">
        <v>2200</v>
      </c>
      <c r="P2798" s="18" t="s">
        <v>0</v>
      </c>
      <c r="Q2798" s="6" t="s">
        <v>4475</v>
      </c>
      <c r="T2798" s="23">
        <v>45474</v>
      </c>
      <c r="U2798" s="23">
        <v>47392</v>
      </c>
      <c r="X2798" s="20">
        <v>4640</v>
      </c>
      <c r="Z2798" s="6" t="s">
        <v>5978</v>
      </c>
      <c r="AA2798" s="14">
        <f t="shared" si="365"/>
        <v>5.9999999999999995E-4</v>
      </c>
      <c r="AB2798">
        <v>2.0367299999999999</v>
      </c>
      <c r="AC2798">
        <v>2.1181991999999998</v>
      </c>
    </row>
    <row r="2799" spans="1:29" x14ac:dyDescent="0.3">
      <c r="A2799">
        <v>143755</v>
      </c>
      <c r="B2799" s="25" t="s">
        <v>5984</v>
      </c>
      <c r="C2799" t="s">
        <v>20</v>
      </c>
      <c r="D2799" t="s">
        <v>21</v>
      </c>
      <c r="E2799">
        <v>2222222</v>
      </c>
      <c r="F2799" s="8" t="s">
        <v>22</v>
      </c>
      <c r="G2799" s="2">
        <v>98</v>
      </c>
      <c r="H2799" t="s">
        <v>4325</v>
      </c>
      <c r="J2799" s="9" t="s">
        <v>5197</v>
      </c>
      <c r="K2799" t="s">
        <v>5189</v>
      </c>
      <c r="L2799" s="2">
        <v>1</v>
      </c>
      <c r="M2799" s="24" t="s">
        <v>5971</v>
      </c>
      <c r="N2799" s="2" t="s">
        <v>23</v>
      </c>
      <c r="O2799" s="18" t="s">
        <v>2201</v>
      </c>
      <c r="P2799" s="18" t="s">
        <v>0</v>
      </c>
      <c r="Q2799" s="6" t="s">
        <v>4475</v>
      </c>
      <c r="T2799" s="23">
        <v>45618</v>
      </c>
      <c r="U2799" s="23">
        <v>48174</v>
      </c>
      <c r="X2799" s="20">
        <v>32700</v>
      </c>
      <c r="Z2799" s="6" t="s">
        <v>5978</v>
      </c>
      <c r="AA2799" s="14">
        <f t="shared" si="365"/>
        <v>5.9999999999999995E-4</v>
      </c>
      <c r="AB2799">
        <v>16.714469999999999</v>
      </c>
      <c r="AC2799">
        <v>17.383048799999997</v>
      </c>
    </row>
    <row r="2800" spans="1:29" x14ac:dyDescent="0.3">
      <c r="A2800">
        <v>149555</v>
      </c>
      <c r="B2800" s="25" t="s">
        <v>5984</v>
      </c>
      <c r="C2800" t="s">
        <v>20</v>
      </c>
      <c r="D2800" t="s">
        <v>21</v>
      </c>
      <c r="E2800">
        <v>2222222</v>
      </c>
      <c r="F2800" s="8" t="s">
        <v>22</v>
      </c>
      <c r="G2800" s="2">
        <v>98</v>
      </c>
      <c r="H2800" t="s">
        <v>4325</v>
      </c>
      <c r="J2800" s="9" t="s">
        <v>4981</v>
      </c>
      <c r="K2800" t="s">
        <v>4863</v>
      </c>
      <c r="L2800" s="2">
        <v>1</v>
      </c>
      <c r="M2800" s="24" t="s">
        <v>5971</v>
      </c>
      <c r="N2800" s="2" t="s">
        <v>23</v>
      </c>
      <c r="O2800" s="18" t="s">
        <v>2202</v>
      </c>
      <c r="P2800" s="18" t="s">
        <v>3781</v>
      </c>
      <c r="Q2800" s="6" t="s">
        <v>4475</v>
      </c>
      <c r="T2800" s="23">
        <v>46034</v>
      </c>
      <c r="U2800" s="23">
        <v>46763</v>
      </c>
      <c r="X2800" s="20">
        <v>5000</v>
      </c>
      <c r="Z2800" s="6" t="s">
        <v>5978</v>
      </c>
      <c r="AA2800" s="14">
        <f t="shared" si="365"/>
        <v>5.9999999999999995E-4</v>
      </c>
      <c r="AB2800">
        <v>2.3447639999999996</v>
      </c>
      <c r="AC2800">
        <v>2.4385545599999996</v>
      </c>
    </row>
    <row r="2801" spans="1:29" x14ac:dyDescent="0.3">
      <c r="A2801">
        <v>150951</v>
      </c>
      <c r="B2801" s="25" t="s">
        <v>5984</v>
      </c>
      <c r="C2801" t="s">
        <v>20</v>
      </c>
      <c r="D2801" t="s">
        <v>21</v>
      </c>
      <c r="E2801">
        <v>2222222</v>
      </c>
      <c r="F2801" s="8" t="s">
        <v>22</v>
      </c>
      <c r="G2801" s="2">
        <v>98</v>
      </c>
      <c r="H2801" t="s">
        <v>4325</v>
      </c>
      <c r="J2801" s="9" t="s">
        <v>4951</v>
      </c>
      <c r="K2801" t="s">
        <v>4961</v>
      </c>
      <c r="L2801" s="2">
        <v>1</v>
      </c>
      <c r="M2801" s="24" t="s">
        <v>5971</v>
      </c>
      <c r="N2801" s="2" t="s">
        <v>23</v>
      </c>
      <c r="O2801" s="18" t="s">
        <v>2203</v>
      </c>
      <c r="P2801" s="18" t="s">
        <v>0</v>
      </c>
      <c r="Q2801" s="6" t="s">
        <v>4475</v>
      </c>
      <c r="T2801" s="23">
        <v>46136</v>
      </c>
      <c r="U2801" s="23">
        <v>47962</v>
      </c>
      <c r="X2801" s="20">
        <v>7000</v>
      </c>
      <c r="Z2801" s="6" t="s">
        <v>5978</v>
      </c>
      <c r="AA2801" s="14">
        <f t="shared" si="365"/>
        <v>5.9999999999999995E-4</v>
      </c>
      <c r="AB2801">
        <v>4.052465999999999</v>
      </c>
      <c r="AC2801">
        <v>4.214564639999999</v>
      </c>
    </row>
    <row r="2802" spans="1:29" x14ac:dyDescent="0.3">
      <c r="A2802">
        <v>151781</v>
      </c>
      <c r="B2802" s="25" t="s">
        <v>5984</v>
      </c>
      <c r="C2802" t="s">
        <v>20</v>
      </c>
      <c r="D2802" t="s">
        <v>21</v>
      </c>
      <c r="E2802">
        <v>2222222</v>
      </c>
      <c r="F2802" s="8" t="s">
        <v>22</v>
      </c>
      <c r="G2802" s="2">
        <v>98</v>
      </c>
      <c r="H2802" t="s">
        <v>4325</v>
      </c>
      <c r="J2802" s="9" t="s">
        <v>5280</v>
      </c>
      <c r="K2802" t="s">
        <v>5682</v>
      </c>
      <c r="L2802" s="2">
        <v>1</v>
      </c>
      <c r="M2802" s="24" t="s">
        <v>5971</v>
      </c>
      <c r="N2802" s="2" t="s">
        <v>23</v>
      </c>
      <c r="O2802" s="18" t="s">
        <v>2204</v>
      </c>
      <c r="P2802" s="18" t="s">
        <v>3781</v>
      </c>
      <c r="Q2802" s="6" t="s">
        <v>4475</v>
      </c>
      <c r="T2802" s="23">
        <v>46188</v>
      </c>
      <c r="U2802" s="23">
        <v>47102</v>
      </c>
      <c r="X2802" s="20">
        <v>5000</v>
      </c>
      <c r="Z2802" s="6" t="s">
        <v>5978</v>
      </c>
      <c r="AA2802" s="14">
        <f t="shared" si="365"/>
        <v>5.9999999999999995E-4</v>
      </c>
      <c r="AB2802">
        <v>2.9197139999999995</v>
      </c>
      <c r="AC2802">
        <v>3.0365025599999997</v>
      </c>
    </row>
    <row r="2803" spans="1:29" x14ac:dyDescent="0.3">
      <c r="A2803">
        <v>151866</v>
      </c>
      <c r="B2803" s="25" t="s">
        <v>5984</v>
      </c>
      <c r="C2803" t="s">
        <v>20</v>
      </c>
      <c r="D2803" t="s">
        <v>21</v>
      </c>
      <c r="E2803">
        <v>2222222</v>
      </c>
      <c r="F2803" s="8" t="s">
        <v>22</v>
      </c>
      <c r="G2803" s="2">
        <v>98</v>
      </c>
      <c r="H2803" t="s">
        <v>4325</v>
      </c>
      <c r="J2803" s="9" t="s">
        <v>4836</v>
      </c>
      <c r="K2803" t="s">
        <v>4873</v>
      </c>
      <c r="L2803" s="2">
        <v>1</v>
      </c>
      <c r="M2803" s="24" t="s">
        <v>5971</v>
      </c>
      <c r="N2803" s="2" t="s">
        <v>23</v>
      </c>
      <c r="O2803" s="18" t="s">
        <v>2205</v>
      </c>
      <c r="P2803" s="18" t="s">
        <v>3781</v>
      </c>
      <c r="Q2803" s="6" t="s">
        <v>4475</v>
      </c>
      <c r="T2803" s="23">
        <v>46192</v>
      </c>
      <c r="U2803" s="23">
        <v>48018</v>
      </c>
      <c r="X2803" s="20">
        <v>5000</v>
      </c>
      <c r="Z2803" s="6" t="s">
        <v>5978</v>
      </c>
      <c r="AA2803" s="14">
        <f t="shared" si="365"/>
        <v>5.9999999999999995E-4</v>
      </c>
      <c r="AB2803">
        <v>2.96841</v>
      </c>
      <c r="AC2803">
        <v>3.0871464</v>
      </c>
    </row>
    <row r="2804" spans="1:29" x14ac:dyDescent="0.3">
      <c r="A2804">
        <v>152244</v>
      </c>
      <c r="B2804" s="25" t="s">
        <v>5984</v>
      </c>
      <c r="C2804" t="s">
        <v>20</v>
      </c>
      <c r="D2804" t="s">
        <v>21</v>
      </c>
      <c r="E2804">
        <v>2222222</v>
      </c>
      <c r="F2804" s="8" t="s">
        <v>22</v>
      </c>
      <c r="G2804" s="2">
        <v>98</v>
      </c>
      <c r="H2804" t="s">
        <v>4325</v>
      </c>
      <c r="J2804" s="9" t="s">
        <v>5232</v>
      </c>
      <c r="K2804" t="s">
        <v>4924</v>
      </c>
      <c r="L2804" s="2">
        <v>1</v>
      </c>
      <c r="M2804" s="24" t="s">
        <v>5971</v>
      </c>
      <c r="N2804" s="2" t="s">
        <v>23</v>
      </c>
      <c r="O2804" s="18" t="s">
        <v>2199</v>
      </c>
      <c r="P2804" s="18" t="s">
        <v>3781</v>
      </c>
      <c r="Q2804" s="6" t="s">
        <v>4475</v>
      </c>
      <c r="T2804" s="23">
        <v>46223</v>
      </c>
      <c r="U2804" s="23">
        <v>46313</v>
      </c>
      <c r="X2804" s="20">
        <v>1960</v>
      </c>
      <c r="Z2804" s="6" t="s">
        <v>5978</v>
      </c>
      <c r="AA2804" s="14">
        <f t="shared" si="365"/>
        <v>5.9999999999999995E-4</v>
      </c>
      <c r="AB2804">
        <v>1.1759999999999999</v>
      </c>
      <c r="AC2804">
        <v>1.2230399999999999</v>
      </c>
    </row>
    <row r="2805" spans="1:29" x14ac:dyDescent="0.3">
      <c r="A2805">
        <v>145676</v>
      </c>
      <c r="B2805" s="25" t="s">
        <v>5984</v>
      </c>
      <c r="C2805" t="s">
        <v>20</v>
      </c>
      <c r="D2805" t="s">
        <v>21</v>
      </c>
      <c r="E2805">
        <v>2222222</v>
      </c>
      <c r="F2805" s="8" t="s">
        <v>22</v>
      </c>
      <c r="G2805" s="2">
        <v>98</v>
      </c>
      <c r="H2805" t="s">
        <v>4326</v>
      </c>
      <c r="J2805" s="9" t="s">
        <v>5295</v>
      </c>
      <c r="K2805" t="s">
        <v>5683</v>
      </c>
      <c r="L2805" s="2">
        <v>1</v>
      </c>
      <c r="M2805" s="24" t="s">
        <v>5971</v>
      </c>
      <c r="N2805" s="2" t="s">
        <v>23</v>
      </c>
      <c r="O2805" s="18" t="s">
        <v>2206</v>
      </c>
      <c r="P2805" s="18" t="s">
        <v>3781</v>
      </c>
      <c r="Q2805" s="6" t="s">
        <v>4475</v>
      </c>
      <c r="T2805" s="23">
        <v>45759</v>
      </c>
      <c r="U2805" s="23">
        <v>47585</v>
      </c>
      <c r="X2805" s="20">
        <v>20000</v>
      </c>
      <c r="Z2805" s="6" t="s">
        <v>5978</v>
      </c>
      <c r="AA2805" s="14">
        <f t="shared" si="365"/>
        <v>5.9999999999999995E-4</v>
      </c>
      <c r="AB2805">
        <v>9.8370660000000001</v>
      </c>
      <c r="AC2805">
        <v>10.23054864</v>
      </c>
    </row>
    <row r="2806" spans="1:29" x14ac:dyDescent="0.3">
      <c r="A2806">
        <v>148512</v>
      </c>
      <c r="B2806" s="25" t="s">
        <v>5984</v>
      </c>
      <c r="C2806" t="s">
        <v>20</v>
      </c>
      <c r="D2806" t="s">
        <v>21</v>
      </c>
      <c r="E2806">
        <v>2222222</v>
      </c>
      <c r="F2806" s="8" t="s">
        <v>22</v>
      </c>
      <c r="G2806" s="2">
        <v>98</v>
      </c>
      <c r="H2806" t="s">
        <v>4326</v>
      </c>
      <c r="J2806" s="9" t="s">
        <v>5351</v>
      </c>
      <c r="K2806" t="s">
        <v>4949</v>
      </c>
      <c r="L2806" s="2">
        <v>1</v>
      </c>
      <c r="M2806" s="24" t="s">
        <v>5971</v>
      </c>
      <c r="N2806" s="2" t="s">
        <v>23</v>
      </c>
      <c r="O2806" s="18" t="s">
        <v>2207</v>
      </c>
      <c r="P2806" s="18" t="s">
        <v>0</v>
      </c>
      <c r="Q2806" s="6" t="s">
        <v>4475</v>
      </c>
      <c r="T2806" s="23">
        <v>44348</v>
      </c>
      <c r="U2806" s="23">
        <v>47999</v>
      </c>
      <c r="X2806" s="20">
        <v>28900</v>
      </c>
      <c r="Z2806" s="6" t="s">
        <v>5978</v>
      </c>
      <c r="AA2806" s="15">
        <f>+(0.42/1000)</f>
        <v>4.1999999999999996E-4</v>
      </c>
      <c r="AB2806">
        <v>6.5972675999999995</v>
      </c>
      <c r="AC2806">
        <v>6.8611583039999999</v>
      </c>
    </row>
    <row r="2807" spans="1:29" x14ac:dyDescent="0.3">
      <c r="A2807">
        <v>145175</v>
      </c>
      <c r="B2807" s="25" t="s">
        <v>5984</v>
      </c>
      <c r="C2807" t="s">
        <v>20</v>
      </c>
      <c r="D2807" t="s">
        <v>21</v>
      </c>
      <c r="E2807">
        <v>2222222</v>
      </c>
      <c r="F2807" s="8" t="s">
        <v>22</v>
      </c>
      <c r="G2807" s="2">
        <v>98</v>
      </c>
      <c r="H2807" t="s">
        <v>4327</v>
      </c>
      <c r="J2807" s="9" t="s">
        <v>4852</v>
      </c>
      <c r="K2807" t="s">
        <v>5089</v>
      </c>
      <c r="L2807" s="2">
        <v>1</v>
      </c>
      <c r="M2807" s="24" t="s">
        <v>5971</v>
      </c>
      <c r="N2807" s="2" t="s">
        <v>23</v>
      </c>
      <c r="O2807" s="18" t="s">
        <v>2208</v>
      </c>
      <c r="P2807" s="18" t="s">
        <v>0</v>
      </c>
      <c r="Q2807" s="6" t="s">
        <v>4475</v>
      </c>
      <c r="T2807" s="23">
        <v>45716</v>
      </c>
      <c r="U2807" s="23">
        <v>46812</v>
      </c>
      <c r="X2807" s="20">
        <v>15000</v>
      </c>
      <c r="Z2807" s="6" t="s">
        <v>5978</v>
      </c>
      <c r="AA2807" s="14">
        <f t="shared" ref="AA2807:AA2814" si="366">+(0.6/1000)</f>
        <v>5.9999999999999995E-4</v>
      </c>
      <c r="AB2807">
        <v>5.5314240000000003</v>
      </c>
      <c r="AC2807">
        <v>5.7526809600000002</v>
      </c>
    </row>
    <row r="2808" spans="1:29" x14ac:dyDescent="0.3">
      <c r="A2808">
        <v>147251</v>
      </c>
      <c r="B2808" s="25" t="s">
        <v>5984</v>
      </c>
      <c r="C2808" t="s">
        <v>20</v>
      </c>
      <c r="D2808" t="s">
        <v>21</v>
      </c>
      <c r="E2808">
        <v>2222222</v>
      </c>
      <c r="F2808" s="8" t="s">
        <v>22</v>
      </c>
      <c r="G2808" s="2">
        <v>98</v>
      </c>
      <c r="H2808" t="s">
        <v>4327</v>
      </c>
      <c r="J2808" s="9" t="s">
        <v>4843</v>
      </c>
      <c r="K2808" t="s">
        <v>5315</v>
      </c>
      <c r="L2808" s="2">
        <v>1</v>
      </c>
      <c r="M2808" s="24" t="s">
        <v>5971</v>
      </c>
      <c r="N2808" s="2" t="s">
        <v>23</v>
      </c>
      <c r="O2808" s="18" t="s">
        <v>2209</v>
      </c>
      <c r="P2808" s="18" t="s">
        <v>0</v>
      </c>
      <c r="Q2808" s="6" t="s">
        <v>4475</v>
      </c>
      <c r="T2808" s="23">
        <v>45875</v>
      </c>
      <c r="U2808" s="23">
        <v>46970</v>
      </c>
      <c r="X2808" s="20">
        <v>5000</v>
      </c>
      <c r="Z2808" s="6" t="s">
        <v>5978</v>
      </c>
      <c r="AA2808" s="14">
        <f t="shared" si="366"/>
        <v>5.9999999999999995E-4</v>
      </c>
      <c r="AB2808">
        <v>2.2470539999999999</v>
      </c>
      <c r="AC2808">
        <v>2.33693616</v>
      </c>
    </row>
    <row r="2809" spans="1:29" x14ac:dyDescent="0.3">
      <c r="A2809">
        <v>147328</v>
      </c>
      <c r="B2809" s="25" t="s">
        <v>5984</v>
      </c>
      <c r="C2809" t="s">
        <v>20</v>
      </c>
      <c r="D2809" t="s">
        <v>21</v>
      </c>
      <c r="E2809">
        <v>2222222</v>
      </c>
      <c r="F2809" s="8" t="s">
        <v>22</v>
      </c>
      <c r="G2809" s="2">
        <v>98</v>
      </c>
      <c r="H2809" t="s">
        <v>4327</v>
      </c>
      <c r="J2809" s="9" t="s">
        <v>4872</v>
      </c>
      <c r="K2809" t="s">
        <v>4837</v>
      </c>
      <c r="L2809" s="2">
        <v>1</v>
      </c>
      <c r="M2809" s="24" t="s">
        <v>5971</v>
      </c>
      <c r="N2809" s="2" t="s">
        <v>23</v>
      </c>
      <c r="O2809" s="18" t="s">
        <v>2210</v>
      </c>
      <c r="P2809" s="18" t="s">
        <v>3781</v>
      </c>
      <c r="Q2809" s="6" t="s">
        <v>4475</v>
      </c>
      <c r="T2809" s="23">
        <v>45884</v>
      </c>
      <c r="U2809" s="23">
        <v>47709</v>
      </c>
      <c r="X2809" s="20">
        <v>8300</v>
      </c>
      <c r="Z2809" s="6" t="s">
        <v>5978</v>
      </c>
      <c r="AA2809" s="14">
        <f t="shared" si="366"/>
        <v>5.9999999999999995E-4</v>
      </c>
      <c r="AB2809">
        <v>4.3060259999999992</v>
      </c>
      <c r="AC2809">
        <v>4.4782670399999995</v>
      </c>
    </row>
    <row r="2810" spans="1:29" x14ac:dyDescent="0.3">
      <c r="A2810">
        <v>149324</v>
      </c>
      <c r="B2810" s="25" t="s">
        <v>5984</v>
      </c>
      <c r="C2810" t="s">
        <v>20</v>
      </c>
      <c r="D2810" t="s">
        <v>21</v>
      </c>
      <c r="E2810">
        <v>2222222</v>
      </c>
      <c r="F2810" s="8" t="s">
        <v>22</v>
      </c>
      <c r="G2810" s="2">
        <v>98</v>
      </c>
      <c r="H2810" t="s">
        <v>4327</v>
      </c>
      <c r="J2810" s="9" t="s">
        <v>4836</v>
      </c>
      <c r="K2810" t="s">
        <v>5558</v>
      </c>
      <c r="L2810" s="2">
        <v>1</v>
      </c>
      <c r="M2810" s="24" t="s">
        <v>5971</v>
      </c>
      <c r="N2810" s="2" t="s">
        <v>23</v>
      </c>
      <c r="O2810" s="18" t="s">
        <v>2211</v>
      </c>
      <c r="P2810" s="18" t="s">
        <v>3781</v>
      </c>
      <c r="Q2810" s="6" t="s">
        <v>4475</v>
      </c>
      <c r="T2810" s="23">
        <v>46013</v>
      </c>
      <c r="U2810" s="23">
        <v>46651</v>
      </c>
      <c r="X2810" s="20">
        <v>2500</v>
      </c>
      <c r="Z2810" s="6" t="s">
        <v>5978</v>
      </c>
      <c r="AA2810" s="14">
        <f t="shared" si="366"/>
        <v>5.9999999999999995E-4</v>
      </c>
      <c r="AB2810">
        <v>1.0476840000000001</v>
      </c>
      <c r="AC2810">
        <v>1.08959136</v>
      </c>
    </row>
    <row r="2811" spans="1:29" x14ac:dyDescent="0.3">
      <c r="A2811">
        <v>151583</v>
      </c>
      <c r="B2811" s="25" t="s">
        <v>5984</v>
      </c>
      <c r="C2811" t="s">
        <v>20</v>
      </c>
      <c r="D2811" t="s">
        <v>21</v>
      </c>
      <c r="E2811">
        <v>2222222</v>
      </c>
      <c r="F2811" s="8" t="s">
        <v>22</v>
      </c>
      <c r="G2811" s="2">
        <v>98</v>
      </c>
      <c r="H2811" t="s">
        <v>4327</v>
      </c>
      <c r="J2811" s="9" t="s">
        <v>4836</v>
      </c>
      <c r="K2811" t="s">
        <v>5558</v>
      </c>
      <c r="L2811" s="2">
        <v>1</v>
      </c>
      <c r="M2811" s="24" t="s">
        <v>5971</v>
      </c>
      <c r="N2811" s="2" t="s">
        <v>23</v>
      </c>
      <c r="O2811" s="18" t="s">
        <v>2211</v>
      </c>
      <c r="P2811" s="18" t="s">
        <v>3781</v>
      </c>
      <c r="Q2811" s="6" t="s">
        <v>4475</v>
      </c>
      <c r="T2811" s="23">
        <v>46174</v>
      </c>
      <c r="U2811" s="23">
        <v>47178</v>
      </c>
      <c r="X2811" s="20">
        <v>4050</v>
      </c>
      <c r="Z2811" s="6" t="s">
        <v>5978</v>
      </c>
      <c r="AA2811" s="14">
        <f t="shared" si="366"/>
        <v>5.9999999999999995E-4</v>
      </c>
      <c r="AB2811">
        <v>2.3722499999999997</v>
      </c>
      <c r="AC2811">
        <v>2.4671399999999997</v>
      </c>
    </row>
    <row r="2812" spans="1:29" x14ac:dyDescent="0.3">
      <c r="A2812">
        <v>151896</v>
      </c>
      <c r="B2812" s="25" t="s">
        <v>5984</v>
      </c>
      <c r="C2812" t="s">
        <v>20</v>
      </c>
      <c r="D2812" t="s">
        <v>21</v>
      </c>
      <c r="E2812">
        <v>2222222</v>
      </c>
      <c r="F2812" s="8" t="s">
        <v>22</v>
      </c>
      <c r="G2812" s="2">
        <v>98</v>
      </c>
      <c r="H2812" t="s">
        <v>4327</v>
      </c>
      <c r="J2812" s="9" t="s">
        <v>4852</v>
      </c>
      <c r="K2812" t="s">
        <v>5089</v>
      </c>
      <c r="L2812" s="2">
        <v>1</v>
      </c>
      <c r="M2812" s="24" t="s">
        <v>5971</v>
      </c>
      <c r="N2812" s="2" t="s">
        <v>23</v>
      </c>
      <c r="O2812" s="18" t="s">
        <v>2208</v>
      </c>
      <c r="P2812" s="18" t="s">
        <v>0</v>
      </c>
      <c r="Q2812" s="6" t="s">
        <v>4475</v>
      </c>
      <c r="T2812" s="23">
        <v>46196</v>
      </c>
      <c r="U2812" s="23">
        <v>46286</v>
      </c>
      <c r="X2812" s="20">
        <v>2630</v>
      </c>
      <c r="Z2812" s="6" t="s">
        <v>5978</v>
      </c>
      <c r="AA2812" s="14">
        <f t="shared" si="366"/>
        <v>5.9999999999999995E-4</v>
      </c>
      <c r="AB2812">
        <v>1.5779999999999998</v>
      </c>
      <c r="AC2812">
        <v>1.6411199999999999</v>
      </c>
    </row>
    <row r="2813" spans="1:29" x14ac:dyDescent="0.3">
      <c r="A2813">
        <v>152214</v>
      </c>
      <c r="B2813" s="25" t="s">
        <v>5984</v>
      </c>
      <c r="C2813" t="s">
        <v>20</v>
      </c>
      <c r="D2813" t="s">
        <v>21</v>
      </c>
      <c r="E2813">
        <v>2222222</v>
      </c>
      <c r="F2813" s="8" t="s">
        <v>22</v>
      </c>
      <c r="G2813" s="2">
        <v>98</v>
      </c>
      <c r="H2813" t="s">
        <v>4327</v>
      </c>
      <c r="J2813" s="9" t="s">
        <v>5684</v>
      </c>
      <c r="K2813" t="s">
        <v>4953</v>
      </c>
      <c r="L2813" s="2">
        <v>1</v>
      </c>
      <c r="M2813" s="24" t="s">
        <v>5971</v>
      </c>
      <c r="N2813" s="2" t="s">
        <v>23</v>
      </c>
      <c r="O2813" s="18" t="s">
        <v>2212</v>
      </c>
      <c r="P2813" s="18" t="s">
        <v>0</v>
      </c>
      <c r="Q2813" s="6" t="s">
        <v>4475</v>
      </c>
      <c r="T2813" s="23">
        <v>46225</v>
      </c>
      <c r="U2813" s="23">
        <v>46955</v>
      </c>
      <c r="X2813" s="20">
        <v>3610</v>
      </c>
      <c r="Z2813" s="6" t="s">
        <v>5978</v>
      </c>
      <c r="AA2813" s="14">
        <f t="shared" si="366"/>
        <v>5.9999999999999995E-4</v>
      </c>
      <c r="AB2813">
        <v>2.1659999999999999</v>
      </c>
      <c r="AC2813">
        <v>2.25264</v>
      </c>
    </row>
    <row r="2814" spans="1:29" x14ac:dyDescent="0.3">
      <c r="A2814">
        <v>148767</v>
      </c>
      <c r="B2814" s="25" t="s">
        <v>5984</v>
      </c>
      <c r="C2814" t="s">
        <v>20</v>
      </c>
      <c r="D2814" t="s">
        <v>21</v>
      </c>
      <c r="E2814">
        <v>2222222</v>
      </c>
      <c r="F2814" s="8" t="s">
        <v>22</v>
      </c>
      <c r="G2814" s="2">
        <v>98</v>
      </c>
      <c r="H2814" t="s">
        <v>4328</v>
      </c>
      <c r="J2814" s="9" t="s">
        <v>5356</v>
      </c>
      <c r="K2814" t="s">
        <v>5685</v>
      </c>
      <c r="L2814" s="2">
        <v>1</v>
      </c>
      <c r="M2814" s="24" t="s">
        <v>5971</v>
      </c>
      <c r="N2814" s="2" t="s">
        <v>23</v>
      </c>
      <c r="O2814" s="18" t="s">
        <v>2213</v>
      </c>
      <c r="P2814" s="18" t="s">
        <v>3781</v>
      </c>
      <c r="Q2814" s="6" t="s">
        <v>4475</v>
      </c>
      <c r="T2814" s="23">
        <v>45979</v>
      </c>
      <c r="U2814" s="23">
        <v>47440</v>
      </c>
      <c r="X2814" s="20">
        <v>4960</v>
      </c>
      <c r="Z2814" s="6" t="s">
        <v>5978</v>
      </c>
      <c r="AA2814" s="14">
        <f t="shared" si="366"/>
        <v>5.9999999999999995E-4</v>
      </c>
      <c r="AB2814">
        <v>2.7995219999999996</v>
      </c>
      <c r="AC2814">
        <v>2.9115028799999996</v>
      </c>
    </row>
    <row r="2815" spans="1:29" x14ac:dyDescent="0.3">
      <c r="A2815">
        <v>56095</v>
      </c>
      <c r="B2815" s="25" t="s">
        <v>5984</v>
      </c>
      <c r="C2815" t="s">
        <v>20</v>
      </c>
      <c r="D2815" t="s">
        <v>21</v>
      </c>
      <c r="E2815">
        <v>2222222</v>
      </c>
      <c r="F2815" s="8" t="s">
        <v>22</v>
      </c>
      <c r="G2815" s="2">
        <v>98</v>
      </c>
      <c r="H2815" t="s">
        <v>4329</v>
      </c>
      <c r="J2815" s="9" t="s">
        <v>4830</v>
      </c>
      <c r="K2815" t="s">
        <v>4942</v>
      </c>
      <c r="L2815" s="2">
        <v>1</v>
      </c>
      <c r="M2815" s="24" t="s">
        <v>5971</v>
      </c>
      <c r="N2815" s="2" t="s">
        <v>23</v>
      </c>
      <c r="O2815" s="18" t="s">
        <v>2214</v>
      </c>
      <c r="P2815" s="18" t="s">
        <v>3781</v>
      </c>
      <c r="Q2815" s="6" t="s">
        <v>4475</v>
      </c>
      <c r="T2815" s="23">
        <v>41688</v>
      </c>
      <c r="U2815" s="23">
        <v>45340</v>
      </c>
      <c r="X2815" s="20">
        <v>7241.26</v>
      </c>
      <c r="Z2815" s="6" t="s">
        <v>5978</v>
      </c>
      <c r="AA2815" s="16">
        <f>+(0.36/1000)</f>
        <v>3.5999999999999997E-4</v>
      </c>
      <c r="AB2815">
        <v>2.6068536</v>
      </c>
      <c r="AC2815">
        <v>2.7111277440000001</v>
      </c>
    </row>
    <row r="2816" spans="1:29" x14ac:dyDescent="0.3">
      <c r="A2816">
        <v>147420</v>
      </c>
      <c r="B2816" s="25" t="s">
        <v>5984</v>
      </c>
      <c r="C2816" t="s">
        <v>20</v>
      </c>
      <c r="D2816" t="s">
        <v>21</v>
      </c>
      <c r="E2816">
        <v>2222222</v>
      </c>
      <c r="F2816" s="8" t="s">
        <v>22</v>
      </c>
      <c r="G2816" s="2">
        <v>98</v>
      </c>
      <c r="H2816" t="s">
        <v>4329</v>
      </c>
      <c r="J2816" s="9" t="s">
        <v>4903</v>
      </c>
      <c r="K2816" t="s">
        <v>4893</v>
      </c>
      <c r="L2816" s="2">
        <v>1</v>
      </c>
      <c r="M2816" s="24" t="s">
        <v>5971</v>
      </c>
      <c r="N2816" s="2" t="s">
        <v>23</v>
      </c>
      <c r="O2816" s="18" t="s">
        <v>2215</v>
      </c>
      <c r="P2816" s="18" t="s">
        <v>3781</v>
      </c>
      <c r="Q2816" s="6" t="s">
        <v>4475</v>
      </c>
      <c r="T2816" s="23">
        <v>45888</v>
      </c>
      <c r="U2816" s="23">
        <v>47348</v>
      </c>
      <c r="X2816" s="20">
        <v>4040</v>
      </c>
      <c r="Z2816" s="6" t="s">
        <v>5978</v>
      </c>
      <c r="AA2816" s="14">
        <f t="shared" ref="AA2816:AA2821" si="367">+(0.6/1000)</f>
        <v>5.9999999999999995E-4</v>
      </c>
      <c r="AB2816">
        <v>2.4239999999999999</v>
      </c>
      <c r="AC2816">
        <v>2.5209600000000001</v>
      </c>
    </row>
    <row r="2817" spans="1:29" x14ac:dyDescent="0.3">
      <c r="A2817">
        <v>149091</v>
      </c>
      <c r="B2817" s="25" t="s">
        <v>5984</v>
      </c>
      <c r="C2817" t="s">
        <v>20</v>
      </c>
      <c r="D2817" t="s">
        <v>21</v>
      </c>
      <c r="E2817">
        <v>2222222</v>
      </c>
      <c r="F2817" s="8" t="s">
        <v>22</v>
      </c>
      <c r="G2817" s="2">
        <v>98</v>
      </c>
      <c r="H2817" t="s">
        <v>4329</v>
      </c>
      <c r="J2817" s="9" t="s">
        <v>5669</v>
      </c>
      <c r="K2817" t="s">
        <v>5686</v>
      </c>
      <c r="L2817" s="2">
        <v>1</v>
      </c>
      <c r="M2817" s="24" t="s">
        <v>5971</v>
      </c>
      <c r="N2817" s="2" t="s">
        <v>23</v>
      </c>
      <c r="O2817" s="18" t="s">
        <v>2216</v>
      </c>
      <c r="P2817" s="18" t="s">
        <v>3781</v>
      </c>
      <c r="Q2817" s="6" t="s">
        <v>4475</v>
      </c>
      <c r="T2817" s="23">
        <v>46000</v>
      </c>
      <c r="U2817" s="23">
        <v>46729</v>
      </c>
      <c r="X2817" s="20">
        <v>3100</v>
      </c>
      <c r="Z2817" s="6" t="s">
        <v>5978</v>
      </c>
      <c r="AA2817" s="14">
        <f t="shared" si="367"/>
        <v>5.9999999999999995E-4</v>
      </c>
      <c r="AB2817">
        <v>1.379928</v>
      </c>
      <c r="AC2817">
        <v>1.4351251200000001</v>
      </c>
    </row>
    <row r="2818" spans="1:29" x14ac:dyDescent="0.3">
      <c r="A2818">
        <v>150259</v>
      </c>
      <c r="B2818" s="25" t="s">
        <v>5984</v>
      </c>
      <c r="C2818" t="s">
        <v>20</v>
      </c>
      <c r="D2818" t="s">
        <v>21</v>
      </c>
      <c r="E2818">
        <v>2222222</v>
      </c>
      <c r="F2818" s="8" t="s">
        <v>22</v>
      </c>
      <c r="G2818" s="2">
        <v>98</v>
      </c>
      <c r="H2818" t="s">
        <v>4329</v>
      </c>
      <c r="J2818" s="9" t="s">
        <v>4848</v>
      </c>
      <c r="K2818" t="s">
        <v>4870</v>
      </c>
      <c r="L2818" s="2">
        <v>1</v>
      </c>
      <c r="M2818" s="24" t="s">
        <v>5971</v>
      </c>
      <c r="N2818" s="2" t="s">
        <v>23</v>
      </c>
      <c r="O2818" s="18" t="s">
        <v>1262</v>
      </c>
      <c r="P2818" s="18" t="s">
        <v>0</v>
      </c>
      <c r="Q2818" s="6" t="s">
        <v>4475</v>
      </c>
      <c r="T2818" s="23">
        <v>46084</v>
      </c>
      <c r="U2818" s="23">
        <v>49736</v>
      </c>
      <c r="X2818" s="20">
        <v>40000</v>
      </c>
      <c r="Z2818" s="6" t="s">
        <v>5978</v>
      </c>
      <c r="AA2818" s="14">
        <f t="shared" si="367"/>
        <v>5.9999999999999995E-4</v>
      </c>
      <c r="AB2818">
        <v>23.200007999999997</v>
      </c>
      <c r="AC2818">
        <v>24.128008319999999</v>
      </c>
    </row>
    <row r="2819" spans="1:29" x14ac:dyDescent="0.3">
      <c r="A2819">
        <v>150502</v>
      </c>
      <c r="B2819" s="25" t="s">
        <v>5984</v>
      </c>
      <c r="C2819" t="s">
        <v>20</v>
      </c>
      <c r="D2819" t="s">
        <v>21</v>
      </c>
      <c r="E2819">
        <v>2222222</v>
      </c>
      <c r="F2819" s="8" t="s">
        <v>22</v>
      </c>
      <c r="G2819" s="2">
        <v>98</v>
      </c>
      <c r="H2819" t="s">
        <v>4329</v>
      </c>
      <c r="J2819" s="9" t="s">
        <v>4870</v>
      </c>
      <c r="K2819" t="s">
        <v>4031</v>
      </c>
      <c r="L2819" s="2">
        <v>1</v>
      </c>
      <c r="M2819" s="24" t="s">
        <v>5971</v>
      </c>
      <c r="N2819" s="2" t="s">
        <v>23</v>
      </c>
      <c r="O2819" s="18" t="s">
        <v>2217</v>
      </c>
      <c r="P2819" s="18" t="s">
        <v>0</v>
      </c>
      <c r="Q2819" s="6" t="s">
        <v>4475</v>
      </c>
      <c r="T2819" s="23">
        <v>46098</v>
      </c>
      <c r="U2819" s="23">
        <v>46403</v>
      </c>
      <c r="X2819" s="20">
        <v>1000</v>
      </c>
      <c r="Z2819" s="6" t="s">
        <v>5978</v>
      </c>
      <c r="AA2819" s="14">
        <f t="shared" si="367"/>
        <v>5.9999999999999995E-4</v>
      </c>
      <c r="AB2819">
        <v>0.37003199999999997</v>
      </c>
      <c r="AC2819">
        <v>0.38483328</v>
      </c>
    </row>
    <row r="2820" spans="1:29" x14ac:dyDescent="0.3">
      <c r="A2820">
        <v>152281</v>
      </c>
      <c r="B2820" s="25" t="s">
        <v>5984</v>
      </c>
      <c r="C2820" t="s">
        <v>20</v>
      </c>
      <c r="D2820" t="s">
        <v>21</v>
      </c>
      <c r="E2820">
        <v>2222222</v>
      </c>
      <c r="F2820" s="8" t="s">
        <v>22</v>
      </c>
      <c r="G2820" s="2">
        <v>98</v>
      </c>
      <c r="H2820" t="s">
        <v>4329</v>
      </c>
      <c r="J2820" s="9" t="s">
        <v>4848</v>
      </c>
      <c r="K2820" t="s">
        <v>4870</v>
      </c>
      <c r="L2820" s="2">
        <v>1</v>
      </c>
      <c r="M2820" s="24" t="s">
        <v>5971</v>
      </c>
      <c r="N2820" s="2" t="s">
        <v>23</v>
      </c>
      <c r="O2820" s="18" t="s">
        <v>1262</v>
      </c>
      <c r="P2820" s="18" t="s">
        <v>0</v>
      </c>
      <c r="Q2820" s="6" t="s">
        <v>4475</v>
      </c>
      <c r="T2820" s="23">
        <v>46230</v>
      </c>
      <c r="U2820" s="23">
        <v>49887</v>
      </c>
      <c r="X2820" s="20">
        <v>10000</v>
      </c>
      <c r="Z2820" s="6" t="s">
        <v>5978</v>
      </c>
      <c r="AA2820" s="14">
        <f t="shared" si="367"/>
        <v>5.9999999999999995E-4</v>
      </c>
      <c r="AB2820">
        <v>5.9999999999999991</v>
      </c>
      <c r="AC2820">
        <v>6.2399999999999993</v>
      </c>
    </row>
    <row r="2821" spans="1:29" x14ac:dyDescent="0.3">
      <c r="A2821">
        <v>141056</v>
      </c>
      <c r="B2821" s="25" t="s">
        <v>5984</v>
      </c>
      <c r="C2821" t="s">
        <v>20</v>
      </c>
      <c r="D2821" t="s">
        <v>21</v>
      </c>
      <c r="E2821">
        <v>2222222</v>
      </c>
      <c r="F2821" s="8" t="s">
        <v>22</v>
      </c>
      <c r="G2821" s="2">
        <v>98</v>
      </c>
      <c r="H2821" t="s">
        <v>4330</v>
      </c>
      <c r="J2821" s="9" t="s">
        <v>5687</v>
      </c>
      <c r="K2821" t="s">
        <v>5688</v>
      </c>
      <c r="L2821" s="2">
        <v>1</v>
      </c>
      <c r="M2821" s="24" t="s">
        <v>5971</v>
      </c>
      <c r="N2821" s="2" t="s">
        <v>23</v>
      </c>
      <c r="O2821" s="18" t="s">
        <v>2218</v>
      </c>
      <c r="P2821" s="18" t="s">
        <v>0</v>
      </c>
      <c r="Q2821" s="6" t="s">
        <v>4475</v>
      </c>
      <c r="T2821" s="23">
        <v>45430</v>
      </c>
      <c r="U2821" s="23">
        <v>47347</v>
      </c>
      <c r="X2821" s="20">
        <v>9350</v>
      </c>
      <c r="Z2821" s="6" t="s">
        <v>5978</v>
      </c>
      <c r="AA2821" s="14">
        <f t="shared" si="367"/>
        <v>5.9999999999999995E-4</v>
      </c>
      <c r="AB2821">
        <v>3.9693899999999993</v>
      </c>
      <c r="AC2821">
        <v>4.1281655999999991</v>
      </c>
    </row>
    <row r="2822" spans="1:29" x14ac:dyDescent="0.3">
      <c r="A2822">
        <v>129380</v>
      </c>
      <c r="B2822" s="25" t="s">
        <v>5984</v>
      </c>
      <c r="C2822" t="s">
        <v>20</v>
      </c>
      <c r="D2822" t="s">
        <v>21</v>
      </c>
      <c r="E2822">
        <v>2222222</v>
      </c>
      <c r="F2822" s="8" t="s">
        <v>22</v>
      </c>
      <c r="G2822" s="2">
        <v>98</v>
      </c>
      <c r="H2822" t="s">
        <v>4331</v>
      </c>
      <c r="J2822" s="9" t="s">
        <v>4871</v>
      </c>
      <c r="K2822" t="s">
        <v>4853</v>
      </c>
      <c r="L2822" s="2">
        <v>1</v>
      </c>
      <c r="M2822" s="24" t="s">
        <v>5971</v>
      </c>
      <c r="N2822" s="2" t="s">
        <v>23</v>
      </c>
      <c r="O2822" s="18" t="s">
        <v>2219</v>
      </c>
      <c r="P2822" s="18" t="s">
        <v>0</v>
      </c>
      <c r="Q2822" s="6" t="s">
        <v>4475</v>
      </c>
      <c r="T2822" s="23">
        <v>44776</v>
      </c>
      <c r="U2822" s="23">
        <v>46238</v>
      </c>
      <c r="X2822" s="20">
        <v>5000</v>
      </c>
      <c r="Z2822" s="6" t="s">
        <v>5978</v>
      </c>
      <c r="AA2822" s="13">
        <f t="shared" ref="AA2822:AA2825" si="368">+(0.56/1000)</f>
        <v>5.6000000000000006E-4</v>
      </c>
      <c r="AB2822">
        <v>8.1670400000000004E-2</v>
      </c>
      <c r="AC2822">
        <v>8.493721600000001E-2</v>
      </c>
    </row>
    <row r="2823" spans="1:29" x14ac:dyDescent="0.3">
      <c r="A2823">
        <v>130627</v>
      </c>
      <c r="B2823" s="25" t="s">
        <v>5984</v>
      </c>
      <c r="C2823" t="s">
        <v>20</v>
      </c>
      <c r="D2823" t="s">
        <v>21</v>
      </c>
      <c r="E2823">
        <v>2222222</v>
      </c>
      <c r="F2823" s="8" t="s">
        <v>22</v>
      </c>
      <c r="G2823" s="2">
        <v>98</v>
      </c>
      <c r="H2823" t="s">
        <v>4331</v>
      </c>
      <c r="J2823" s="9" t="s">
        <v>5689</v>
      </c>
      <c r="K2823" t="s">
        <v>5090</v>
      </c>
      <c r="L2823" s="2">
        <v>1</v>
      </c>
      <c r="M2823" s="24" t="s">
        <v>5971</v>
      </c>
      <c r="N2823" s="2" t="s">
        <v>23</v>
      </c>
      <c r="O2823" s="18" t="s">
        <v>2220</v>
      </c>
      <c r="P2823" s="18" t="s">
        <v>3781</v>
      </c>
      <c r="Q2823" s="6" t="s">
        <v>4475</v>
      </c>
      <c r="T2823" s="23">
        <v>44846</v>
      </c>
      <c r="U2823" s="23">
        <v>47402</v>
      </c>
      <c r="X2823" s="20">
        <v>31200</v>
      </c>
      <c r="Z2823" s="6" t="s">
        <v>5978</v>
      </c>
      <c r="AA2823" s="13">
        <f t="shared" si="368"/>
        <v>5.6000000000000006E-4</v>
      </c>
      <c r="AB2823">
        <v>10.219574400000003</v>
      </c>
      <c r="AC2823">
        <v>10.628357376000004</v>
      </c>
    </row>
    <row r="2824" spans="1:29" x14ac:dyDescent="0.3">
      <c r="A2824">
        <v>137947</v>
      </c>
      <c r="B2824" s="25" t="s">
        <v>5984</v>
      </c>
      <c r="C2824" t="s">
        <v>20</v>
      </c>
      <c r="D2824" t="s">
        <v>21</v>
      </c>
      <c r="E2824">
        <v>2222222</v>
      </c>
      <c r="F2824" s="8" t="s">
        <v>22</v>
      </c>
      <c r="G2824" s="2">
        <v>98</v>
      </c>
      <c r="H2824" t="s">
        <v>4331</v>
      </c>
      <c r="J2824" s="9" t="s">
        <v>4872</v>
      </c>
      <c r="K2824" t="s">
        <v>4932</v>
      </c>
      <c r="L2824" s="2">
        <v>1</v>
      </c>
      <c r="M2824" s="24" t="s">
        <v>5971</v>
      </c>
      <c r="N2824" s="2" t="s">
        <v>23</v>
      </c>
      <c r="O2824" s="18" t="s">
        <v>181</v>
      </c>
      <c r="P2824" s="18" t="s">
        <v>3781</v>
      </c>
      <c r="Q2824" s="6" t="s">
        <v>4475</v>
      </c>
      <c r="T2824" s="23">
        <v>45250</v>
      </c>
      <c r="U2824" s="23">
        <v>46713</v>
      </c>
      <c r="X2824" s="20">
        <v>5000</v>
      </c>
      <c r="Z2824" s="6" t="s">
        <v>5978</v>
      </c>
      <c r="AA2824" s="13">
        <f t="shared" si="368"/>
        <v>5.6000000000000006E-4</v>
      </c>
      <c r="AB2824">
        <v>1.884792</v>
      </c>
      <c r="AC2824">
        <v>1.9601836800000001</v>
      </c>
    </row>
    <row r="2825" spans="1:29" x14ac:dyDescent="0.3">
      <c r="A2825">
        <v>139351</v>
      </c>
      <c r="B2825" s="25" t="s">
        <v>5984</v>
      </c>
      <c r="C2825" t="s">
        <v>20</v>
      </c>
      <c r="D2825" t="s">
        <v>21</v>
      </c>
      <c r="E2825">
        <v>2222222</v>
      </c>
      <c r="F2825" s="8" t="s">
        <v>22</v>
      </c>
      <c r="G2825" s="2">
        <v>98</v>
      </c>
      <c r="H2825" t="s">
        <v>4331</v>
      </c>
      <c r="J2825" s="9" t="s">
        <v>4872</v>
      </c>
      <c r="K2825" t="s">
        <v>4932</v>
      </c>
      <c r="L2825" s="2">
        <v>1</v>
      </c>
      <c r="M2825" s="24" t="s">
        <v>5971</v>
      </c>
      <c r="N2825" s="2" t="s">
        <v>23</v>
      </c>
      <c r="O2825" s="18" t="s">
        <v>181</v>
      </c>
      <c r="P2825" s="18" t="s">
        <v>3781</v>
      </c>
      <c r="Q2825" s="6" t="s">
        <v>4475</v>
      </c>
      <c r="T2825" s="23">
        <v>45324</v>
      </c>
      <c r="U2825" s="23">
        <v>46786</v>
      </c>
      <c r="X2825" s="20">
        <v>5000</v>
      </c>
      <c r="Z2825" s="6" t="s">
        <v>5978</v>
      </c>
      <c r="AA2825" s="13">
        <f t="shared" si="368"/>
        <v>5.6000000000000006E-4</v>
      </c>
      <c r="AB2825">
        <v>1.8895912000000001</v>
      </c>
      <c r="AC2825">
        <v>1.9651748480000002</v>
      </c>
    </row>
    <row r="2826" spans="1:29" x14ac:dyDescent="0.3">
      <c r="A2826">
        <v>142785</v>
      </c>
      <c r="B2826" s="25" t="s">
        <v>5984</v>
      </c>
      <c r="C2826" t="s">
        <v>20</v>
      </c>
      <c r="D2826" t="s">
        <v>21</v>
      </c>
      <c r="E2826">
        <v>2222222</v>
      </c>
      <c r="F2826" s="8" t="s">
        <v>22</v>
      </c>
      <c r="G2826" s="2">
        <v>98</v>
      </c>
      <c r="H2826" t="s">
        <v>4331</v>
      </c>
      <c r="J2826" s="9" t="s">
        <v>4872</v>
      </c>
      <c r="K2826" t="s">
        <v>4932</v>
      </c>
      <c r="L2826" s="2">
        <v>1</v>
      </c>
      <c r="M2826" s="24" t="s">
        <v>5971</v>
      </c>
      <c r="N2826" s="2" t="s">
        <v>23</v>
      </c>
      <c r="O2826" s="18" t="s">
        <v>181</v>
      </c>
      <c r="P2826" s="18" t="s">
        <v>3781</v>
      </c>
      <c r="Q2826" s="6" t="s">
        <v>4475</v>
      </c>
      <c r="T2826" s="23">
        <v>45553</v>
      </c>
      <c r="U2826" s="23">
        <v>47744</v>
      </c>
      <c r="X2826" s="20">
        <v>20000</v>
      </c>
      <c r="Z2826" s="6" t="s">
        <v>5978</v>
      </c>
      <c r="AA2826" s="14">
        <f t="shared" ref="AA2826:AA2838" si="369">+(0.6/1000)</f>
        <v>5.9999999999999995E-4</v>
      </c>
      <c r="AB2826">
        <v>10.520358</v>
      </c>
      <c r="AC2826">
        <v>10.94117232</v>
      </c>
    </row>
    <row r="2827" spans="1:29" x14ac:dyDescent="0.3">
      <c r="A2827">
        <v>143727</v>
      </c>
      <c r="B2827" s="25" t="s">
        <v>5984</v>
      </c>
      <c r="C2827" t="s">
        <v>20</v>
      </c>
      <c r="D2827" t="s">
        <v>21</v>
      </c>
      <c r="E2827">
        <v>2222222</v>
      </c>
      <c r="F2827" s="8" t="s">
        <v>22</v>
      </c>
      <c r="G2827" s="2">
        <v>98</v>
      </c>
      <c r="H2827" t="s">
        <v>4331</v>
      </c>
      <c r="J2827" s="9" t="s">
        <v>5690</v>
      </c>
      <c r="K2827" t="s">
        <v>4875</v>
      </c>
      <c r="L2827" s="2">
        <v>1</v>
      </c>
      <c r="M2827" s="24" t="s">
        <v>5971</v>
      </c>
      <c r="N2827" s="2" t="s">
        <v>23</v>
      </c>
      <c r="O2827" s="18" t="s">
        <v>2221</v>
      </c>
      <c r="P2827" s="18" t="s">
        <v>0</v>
      </c>
      <c r="Q2827" s="6" t="s">
        <v>4475</v>
      </c>
      <c r="T2827" s="23">
        <v>45616</v>
      </c>
      <c r="U2827" s="23">
        <v>46346</v>
      </c>
      <c r="X2827" s="20">
        <v>5000</v>
      </c>
      <c r="Z2827" s="6" t="s">
        <v>5978</v>
      </c>
      <c r="AA2827" s="14">
        <f t="shared" si="369"/>
        <v>5.9999999999999995E-4</v>
      </c>
      <c r="AB2827">
        <v>0.58130399999999993</v>
      </c>
      <c r="AC2827">
        <v>0.6045561599999999</v>
      </c>
    </row>
    <row r="2828" spans="1:29" x14ac:dyDescent="0.3">
      <c r="A2828">
        <v>144413</v>
      </c>
      <c r="B2828" s="25" t="s">
        <v>5984</v>
      </c>
      <c r="C2828" t="s">
        <v>20</v>
      </c>
      <c r="D2828" t="s">
        <v>21</v>
      </c>
      <c r="E2828">
        <v>2222222</v>
      </c>
      <c r="F2828" s="8" t="s">
        <v>22</v>
      </c>
      <c r="G2828" s="2">
        <v>98</v>
      </c>
      <c r="H2828" t="s">
        <v>4331</v>
      </c>
      <c r="J2828" s="9" t="s">
        <v>4871</v>
      </c>
      <c r="K2828" t="s">
        <v>5375</v>
      </c>
      <c r="L2828" s="2">
        <v>1</v>
      </c>
      <c r="M2828" s="24" t="s">
        <v>5971</v>
      </c>
      <c r="N2828" s="2" t="s">
        <v>23</v>
      </c>
      <c r="O2828" s="18" t="s">
        <v>2222</v>
      </c>
      <c r="P2828" s="18" t="s">
        <v>0</v>
      </c>
      <c r="Q2828" s="6" t="s">
        <v>4475</v>
      </c>
      <c r="T2828" s="23">
        <v>45671</v>
      </c>
      <c r="U2828" s="23">
        <v>46581</v>
      </c>
      <c r="X2828" s="20">
        <v>7500</v>
      </c>
      <c r="Z2828" s="6" t="s">
        <v>5978</v>
      </c>
      <c r="AA2828" s="14">
        <f t="shared" si="369"/>
        <v>5.9999999999999995E-4</v>
      </c>
      <c r="AB2828">
        <v>2.2931819999999998</v>
      </c>
      <c r="AC2828">
        <v>2.38490928</v>
      </c>
    </row>
    <row r="2829" spans="1:29" x14ac:dyDescent="0.3">
      <c r="A2829">
        <v>147074</v>
      </c>
      <c r="B2829" s="25" t="s">
        <v>5984</v>
      </c>
      <c r="C2829" t="s">
        <v>20</v>
      </c>
      <c r="D2829" t="s">
        <v>21</v>
      </c>
      <c r="E2829">
        <v>2222222</v>
      </c>
      <c r="F2829" s="8" t="s">
        <v>22</v>
      </c>
      <c r="G2829" s="2">
        <v>98</v>
      </c>
      <c r="H2829" t="s">
        <v>4331</v>
      </c>
      <c r="J2829" s="9" t="s">
        <v>5096</v>
      </c>
      <c r="K2829" t="s">
        <v>4994</v>
      </c>
      <c r="L2829" s="2">
        <v>1</v>
      </c>
      <c r="M2829" s="24" t="s">
        <v>5971</v>
      </c>
      <c r="N2829" s="2" t="s">
        <v>23</v>
      </c>
      <c r="O2829" s="18" t="s">
        <v>2223</v>
      </c>
      <c r="P2829" s="18" t="s">
        <v>3781</v>
      </c>
      <c r="Q2829" s="6" t="s">
        <v>4475</v>
      </c>
      <c r="T2829" s="23">
        <v>45862</v>
      </c>
      <c r="U2829" s="23">
        <v>46410</v>
      </c>
      <c r="X2829" s="20">
        <v>2000</v>
      </c>
      <c r="Z2829" s="6" t="s">
        <v>5978</v>
      </c>
      <c r="AA2829" s="14">
        <f t="shared" si="369"/>
        <v>5.9999999999999995E-4</v>
      </c>
      <c r="AB2829">
        <v>0.43437599999999998</v>
      </c>
      <c r="AC2829">
        <v>0.45175103999999999</v>
      </c>
    </row>
    <row r="2830" spans="1:29" x14ac:dyDescent="0.3">
      <c r="A2830">
        <v>147527</v>
      </c>
      <c r="B2830" s="25" t="s">
        <v>5984</v>
      </c>
      <c r="C2830" t="s">
        <v>20</v>
      </c>
      <c r="D2830" t="s">
        <v>21</v>
      </c>
      <c r="E2830">
        <v>2222222</v>
      </c>
      <c r="F2830" s="8" t="s">
        <v>22</v>
      </c>
      <c r="G2830" s="2">
        <v>98</v>
      </c>
      <c r="H2830" t="s">
        <v>4331</v>
      </c>
      <c r="J2830" s="9" t="s">
        <v>5691</v>
      </c>
      <c r="K2830" t="s">
        <v>4947</v>
      </c>
      <c r="L2830" s="2">
        <v>1</v>
      </c>
      <c r="M2830" s="24" t="s">
        <v>5971</v>
      </c>
      <c r="N2830" s="2" t="s">
        <v>23</v>
      </c>
      <c r="O2830" s="18" t="s">
        <v>2224</v>
      </c>
      <c r="P2830" s="18" t="s">
        <v>3781</v>
      </c>
      <c r="Q2830" s="6" t="s">
        <v>4475</v>
      </c>
      <c r="T2830" s="23">
        <v>45901</v>
      </c>
      <c r="U2830" s="23">
        <v>46266</v>
      </c>
      <c r="X2830" s="20">
        <v>3100</v>
      </c>
      <c r="Z2830" s="6" t="s">
        <v>5978</v>
      </c>
      <c r="AA2830" s="14">
        <f t="shared" si="369"/>
        <v>5.9999999999999995E-4</v>
      </c>
      <c r="AB2830">
        <v>0.33194399999999996</v>
      </c>
      <c r="AC2830">
        <v>0.34522175999999999</v>
      </c>
    </row>
    <row r="2831" spans="1:29" x14ac:dyDescent="0.3">
      <c r="A2831">
        <v>148503</v>
      </c>
      <c r="B2831" s="25" t="s">
        <v>5984</v>
      </c>
      <c r="C2831" t="s">
        <v>20</v>
      </c>
      <c r="D2831" t="s">
        <v>21</v>
      </c>
      <c r="E2831">
        <v>2222222</v>
      </c>
      <c r="F2831" s="8" t="s">
        <v>22</v>
      </c>
      <c r="G2831" s="2">
        <v>98</v>
      </c>
      <c r="H2831" t="s">
        <v>4331</v>
      </c>
      <c r="J2831" s="9" t="s">
        <v>4950</v>
      </c>
      <c r="K2831" t="s">
        <v>5061</v>
      </c>
      <c r="L2831" s="2">
        <v>1</v>
      </c>
      <c r="M2831" s="24" t="s">
        <v>5971</v>
      </c>
      <c r="N2831" s="2" t="s">
        <v>23</v>
      </c>
      <c r="O2831" s="18" t="s">
        <v>2225</v>
      </c>
      <c r="P2831" s="18" t="s">
        <v>0</v>
      </c>
      <c r="Q2831" s="6" t="s">
        <v>4475</v>
      </c>
      <c r="T2831" s="23">
        <v>45842</v>
      </c>
      <c r="U2831" s="23">
        <v>48397</v>
      </c>
      <c r="X2831" s="20">
        <v>30000</v>
      </c>
      <c r="Z2831" s="6" t="s">
        <v>5978</v>
      </c>
      <c r="AA2831" s="14">
        <f t="shared" si="369"/>
        <v>5.9999999999999995E-4</v>
      </c>
      <c r="AB2831">
        <v>16.472237999999997</v>
      </c>
      <c r="AC2831">
        <v>17.131127519999996</v>
      </c>
    </row>
    <row r="2832" spans="1:29" x14ac:dyDescent="0.3">
      <c r="A2832">
        <v>148562</v>
      </c>
      <c r="B2832" s="25" t="s">
        <v>5984</v>
      </c>
      <c r="C2832" t="s">
        <v>20</v>
      </c>
      <c r="D2832" t="s">
        <v>21</v>
      </c>
      <c r="E2832">
        <v>2222222</v>
      </c>
      <c r="F2832" s="8" t="s">
        <v>22</v>
      </c>
      <c r="G2832" s="2">
        <v>98</v>
      </c>
      <c r="H2832" t="s">
        <v>4331</v>
      </c>
      <c r="J2832" s="9" t="s">
        <v>4836</v>
      </c>
      <c r="K2832" t="s">
        <v>5692</v>
      </c>
      <c r="L2832" s="2">
        <v>1</v>
      </c>
      <c r="M2832" s="24" t="s">
        <v>5971</v>
      </c>
      <c r="N2832" s="2" t="s">
        <v>23</v>
      </c>
      <c r="O2832" s="18" t="s">
        <v>2226</v>
      </c>
      <c r="P2832" s="18" t="s">
        <v>3781</v>
      </c>
      <c r="Q2832" s="6" t="s">
        <v>4475</v>
      </c>
      <c r="T2832" s="23">
        <v>45680</v>
      </c>
      <c r="U2832" s="23">
        <v>46757</v>
      </c>
      <c r="X2832" s="20">
        <v>5000</v>
      </c>
      <c r="Z2832" s="6" t="s">
        <v>5978</v>
      </c>
      <c r="AA2832" s="14">
        <f t="shared" si="369"/>
        <v>5.9999999999999995E-4</v>
      </c>
      <c r="AB2832">
        <v>1.649454</v>
      </c>
      <c r="AC2832">
        <v>1.71543216</v>
      </c>
    </row>
    <row r="2833" spans="1:29" x14ac:dyDescent="0.3">
      <c r="A2833">
        <v>148580</v>
      </c>
      <c r="B2833" s="25" t="s">
        <v>5984</v>
      </c>
      <c r="C2833" t="s">
        <v>20</v>
      </c>
      <c r="D2833" t="s">
        <v>21</v>
      </c>
      <c r="E2833">
        <v>2222222</v>
      </c>
      <c r="F2833" s="8" t="s">
        <v>22</v>
      </c>
      <c r="G2833" s="2">
        <v>98</v>
      </c>
      <c r="H2833" t="s">
        <v>4331</v>
      </c>
      <c r="J2833" s="9" t="s">
        <v>4836</v>
      </c>
      <c r="K2833" t="s">
        <v>5165</v>
      </c>
      <c r="L2833" s="2">
        <v>1</v>
      </c>
      <c r="M2833" s="24" t="s">
        <v>5971</v>
      </c>
      <c r="N2833" s="2" t="s">
        <v>23</v>
      </c>
      <c r="O2833" s="18" t="s">
        <v>2227</v>
      </c>
      <c r="P2833" s="18" t="s">
        <v>3781</v>
      </c>
      <c r="Q2833" s="6" t="s">
        <v>4475</v>
      </c>
      <c r="T2833" s="23">
        <v>45750</v>
      </c>
      <c r="U2833" s="23">
        <v>46662</v>
      </c>
      <c r="X2833" s="20">
        <v>2120</v>
      </c>
      <c r="Z2833" s="6" t="s">
        <v>5978</v>
      </c>
      <c r="AA2833" s="14">
        <f t="shared" si="369"/>
        <v>5.9999999999999995E-4</v>
      </c>
      <c r="AB2833">
        <v>0.69901799999999992</v>
      </c>
      <c r="AC2833">
        <v>0.72697871999999997</v>
      </c>
    </row>
    <row r="2834" spans="1:29" x14ac:dyDescent="0.3">
      <c r="A2834">
        <v>148642</v>
      </c>
      <c r="B2834" s="25" t="s">
        <v>5984</v>
      </c>
      <c r="C2834" t="s">
        <v>20</v>
      </c>
      <c r="D2834" t="s">
        <v>21</v>
      </c>
      <c r="E2834">
        <v>2222222</v>
      </c>
      <c r="F2834" s="8" t="s">
        <v>22</v>
      </c>
      <c r="G2834" s="2">
        <v>98</v>
      </c>
      <c r="H2834" t="s">
        <v>4331</v>
      </c>
      <c r="J2834" s="9" t="s">
        <v>5693</v>
      </c>
      <c r="K2834" t="s">
        <v>5340</v>
      </c>
      <c r="L2834" s="2">
        <v>1</v>
      </c>
      <c r="M2834" s="24" t="s">
        <v>5971</v>
      </c>
      <c r="N2834" s="2" t="s">
        <v>23</v>
      </c>
      <c r="O2834" s="18" t="s">
        <v>774</v>
      </c>
      <c r="P2834" s="18" t="s">
        <v>3781</v>
      </c>
      <c r="Q2834" s="6" t="s">
        <v>4475</v>
      </c>
      <c r="T2834" s="23">
        <v>45968</v>
      </c>
      <c r="U2834" s="23">
        <v>48159</v>
      </c>
      <c r="X2834" s="20">
        <v>4800</v>
      </c>
      <c r="Z2834" s="6" t="s">
        <v>5978</v>
      </c>
      <c r="AA2834" s="14">
        <f t="shared" si="369"/>
        <v>5.9999999999999995E-4</v>
      </c>
      <c r="AB2834">
        <v>2.8522439999999998</v>
      </c>
      <c r="AC2834">
        <v>2.9663337599999999</v>
      </c>
    </row>
    <row r="2835" spans="1:29" x14ac:dyDescent="0.3">
      <c r="A2835">
        <v>148757</v>
      </c>
      <c r="B2835" s="25" t="s">
        <v>5984</v>
      </c>
      <c r="C2835" t="s">
        <v>20</v>
      </c>
      <c r="D2835" t="s">
        <v>21</v>
      </c>
      <c r="E2835">
        <v>2222222</v>
      </c>
      <c r="F2835" s="8" t="s">
        <v>22</v>
      </c>
      <c r="G2835" s="2">
        <v>98</v>
      </c>
      <c r="H2835" t="s">
        <v>4331</v>
      </c>
      <c r="J2835" s="9" t="s">
        <v>4889</v>
      </c>
      <c r="K2835" t="s">
        <v>5153</v>
      </c>
      <c r="L2835" s="2">
        <v>1</v>
      </c>
      <c r="M2835" s="24" t="s">
        <v>5971</v>
      </c>
      <c r="N2835" s="2" t="s">
        <v>23</v>
      </c>
      <c r="O2835" s="18" t="s">
        <v>2228</v>
      </c>
      <c r="P2835" s="18" t="s">
        <v>3781</v>
      </c>
      <c r="Q2835" s="6" t="s">
        <v>4475</v>
      </c>
      <c r="T2835" s="23">
        <v>45978</v>
      </c>
      <c r="U2835" s="23">
        <v>46895</v>
      </c>
      <c r="X2835" s="20">
        <v>3600</v>
      </c>
      <c r="Z2835" s="6" t="s">
        <v>5978</v>
      </c>
      <c r="AA2835" s="14">
        <f t="shared" si="369"/>
        <v>5.9999999999999995E-4</v>
      </c>
      <c r="AB2835">
        <v>1.669818</v>
      </c>
      <c r="AC2835">
        <v>1.7366107200000001</v>
      </c>
    </row>
    <row r="2836" spans="1:29" x14ac:dyDescent="0.3">
      <c r="A2836">
        <v>152050</v>
      </c>
      <c r="B2836" s="25" t="s">
        <v>5984</v>
      </c>
      <c r="C2836" t="s">
        <v>20</v>
      </c>
      <c r="D2836" t="s">
        <v>21</v>
      </c>
      <c r="E2836">
        <v>2222222</v>
      </c>
      <c r="F2836" s="8" t="s">
        <v>22</v>
      </c>
      <c r="G2836" s="2">
        <v>98</v>
      </c>
      <c r="H2836" t="s">
        <v>4331</v>
      </c>
      <c r="J2836" s="9" t="s">
        <v>5204</v>
      </c>
      <c r="K2836" t="s">
        <v>4901</v>
      </c>
      <c r="L2836" s="2">
        <v>1</v>
      </c>
      <c r="M2836" s="24" t="s">
        <v>5971</v>
      </c>
      <c r="N2836" s="2" t="s">
        <v>23</v>
      </c>
      <c r="O2836" s="18" t="s">
        <v>2229</v>
      </c>
      <c r="P2836" s="18" t="s">
        <v>0</v>
      </c>
      <c r="Q2836" s="6" t="s">
        <v>4475</v>
      </c>
      <c r="T2836" s="23">
        <v>46207</v>
      </c>
      <c r="U2836" s="23">
        <v>46297</v>
      </c>
      <c r="X2836" s="20">
        <v>1155</v>
      </c>
      <c r="Z2836" s="6" t="s">
        <v>5978</v>
      </c>
      <c r="AA2836" s="14">
        <f t="shared" si="369"/>
        <v>5.9999999999999995E-4</v>
      </c>
      <c r="AB2836">
        <v>0.69299999999999995</v>
      </c>
      <c r="AC2836">
        <v>0.72072000000000003</v>
      </c>
    </row>
    <row r="2837" spans="1:29" x14ac:dyDescent="0.3">
      <c r="A2837">
        <v>152065</v>
      </c>
      <c r="B2837" s="25" t="s">
        <v>5984</v>
      </c>
      <c r="C2837" t="s">
        <v>20</v>
      </c>
      <c r="D2837" t="s">
        <v>21</v>
      </c>
      <c r="E2837">
        <v>2222222</v>
      </c>
      <c r="F2837" s="8" t="s">
        <v>22</v>
      </c>
      <c r="G2837" s="2">
        <v>98</v>
      </c>
      <c r="H2837" t="s">
        <v>4331</v>
      </c>
      <c r="J2837" s="9" t="s">
        <v>5007</v>
      </c>
      <c r="K2837" t="s">
        <v>4982</v>
      </c>
      <c r="L2837" s="2">
        <v>1</v>
      </c>
      <c r="M2837" s="24" t="s">
        <v>5971</v>
      </c>
      <c r="N2837" s="2" t="s">
        <v>23</v>
      </c>
      <c r="O2837" s="18" t="s">
        <v>2230</v>
      </c>
      <c r="P2837" s="18" t="s">
        <v>0</v>
      </c>
      <c r="Q2837" s="6" t="s">
        <v>4475</v>
      </c>
      <c r="T2837" s="23">
        <v>46209</v>
      </c>
      <c r="U2837" s="23">
        <v>46573</v>
      </c>
      <c r="X2837" s="20">
        <v>1200</v>
      </c>
      <c r="Z2837" s="6" t="s">
        <v>5978</v>
      </c>
      <c r="AA2837" s="14">
        <f t="shared" si="369"/>
        <v>5.9999999999999995E-4</v>
      </c>
      <c r="AB2837">
        <v>0.72</v>
      </c>
      <c r="AC2837">
        <v>0.74880000000000002</v>
      </c>
    </row>
    <row r="2838" spans="1:29" x14ac:dyDescent="0.3">
      <c r="A2838">
        <v>152068</v>
      </c>
      <c r="B2838" s="25" t="s">
        <v>5984</v>
      </c>
      <c r="C2838" t="s">
        <v>20</v>
      </c>
      <c r="D2838" t="s">
        <v>21</v>
      </c>
      <c r="E2838">
        <v>2222222</v>
      </c>
      <c r="F2838" s="8" t="s">
        <v>22</v>
      </c>
      <c r="G2838" s="2">
        <v>98</v>
      </c>
      <c r="H2838" t="s">
        <v>4331</v>
      </c>
      <c r="J2838" s="9" t="s">
        <v>4182</v>
      </c>
      <c r="K2838" t="s">
        <v>4815</v>
      </c>
      <c r="L2838" s="2">
        <v>1</v>
      </c>
      <c r="M2838" s="24" t="s">
        <v>5971</v>
      </c>
      <c r="N2838" s="2" t="s">
        <v>23</v>
      </c>
      <c r="O2838" s="18" t="s">
        <v>2231</v>
      </c>
      <c r="P2838" s="18" t="s">
        <v>0</v>
      </c>
      <c r="Q2838" s="6" t="s">
        <v>4475</v>
      </c>
      <c r="T2838" s="23">
        <v>46209</v>
      </c>
      <c r="U2838" s="23">
        <v>47307</v>
      </c>
      <c r="X2838" s="20">
        <v>2420</v>
      </c>
      <c r="Z2838" s="6" t="s">
        <v>5978</v>
      </c>
      <c r="AA2838" s="14">
        <f t="shared" si="369"/>
        <v>5.9999999999999995E-4</v>
      </c>
      <c r="AB2838">
        <v>1.452</v>
      </c>
      <c r="AC2838">
        <v>1.5100800000000001</v>
      </c>
    </row>
    <row r="2839" spans="1:29" x14ac:dyDescent="0.3">
      <c r="A2839">
        <v>127023</v>
      </c>
      <c r="B2839" s="25" t="s">
        <v>5984</v>
      </c>
      <c r="C2839" t="s">
        <v>20</v>
      </c>
      <c r="D2839" t="s">
        <v>21</v>
      </c>
      <c r="E2839">
        <v>2222222</v>
      </c>
      <c r="F2839" s="8" t="s">
        <v>22</v>
      </c>
      <c r="G2839" s="2">
        <v>98</v>
      </c>
      <c r="H2839" t="s">
        <v>4332</v>
      </c>
      <c r="J2839" s="9" t="s">
        <v>5161</v>
      </c>
      <c r="K2839" t="s">
        <v>4891</v>
      </c>
      <c r="L2839" s="2">
        <v>1</v>
      </c>
      <c r="M2839" s="24" t="s">
        <v>5971</v>
      </c>
      <c r="N2839" s="2" t="s">
        <v>23</v>
      </c>
      <c r="O2839" s="18" t="s">
        <v>2232</v>
      </c>
      <c r="P2839" s="18" t="s">
        <v>3781</v>
      </c>
      <c r="Q2839" s="6" t="s">
        <v>4475</v>
      </c>
      <c r="T2839" s="23">
        <v>44656</v>
      </c>
      <c r="U2839" s="23">
        <v>46482</v>
      </c>
      <c r="X2839" s="20">
        <v>13300</v>
      </c>
      <c r="Z2839" s="6" t="s">
        <v>5978</v>
      </c>
      <c r="AA2839" s="15">
        <f>+(0.42/1000)</f>
        <v>4.1999999999999996E-4</v>
      </c>
      <c r="AB2839">
        <v>5.2621547999999994</v>
      </c>
      <c r="AC2839">
        <v>5.4726409919999996</v>
      </c>
    </row>
    <row r="2840" spans="1:29" x14ac:dyDescent="0.3">
      <c r="A2840">
        <v>137269</v>
      </c>
      <c r="B2840" s="25" t="s">
        <v>5984</v>
      </c>
      <c r="C2840" t="s">
        <v>20</v>
      </c>
      <c r="D2840" t="s">
        <v>21</v>
      </c>
      <c r="E2840">
        <v>2222222</v>
      </c>
      <c r="F2840" s="8" t="s">
        <v>22</v>
      </c>
      <c r="G2840" s="2">
        <v>98</v>
      </c>
      <c r="H2840" t="s">
        <v>4332</v>
      </c>
      <c r="J2840" s="9" t="s">
        <v>5098</v>
      </c>
      <c r="K2840" t="s">
        <v>4893</v>
      </c>
      <c r="L2840" s="2">
        <v>1</v>
      </c>
      <c r="M2840" s="24" t="s">
        <v>5971</v>
      </c>
      <c r="N2840" s="2" t="s">
        <v>23</v>
      </c>
      <c r="O2840" s="18" t="s">
        <v>2233</v>
      </c>
      <c r="P2840" s="18" t="s">
        <v>3781</v>
      </c>
      <c r="Q2840" s="6" t="s">
        <v>4475</v>
      </c>
      <c r="T2840" s="23">
        <v>45212</v>
      </c>
      <c r="U2840" s="23">
        <v>46307</v>
      </c>
      <c r="X2840" s="20">
        <v>3070</v>
      </c>
      <c r="Z2840" s="6" t="s">
        <v>5978</v>
      </c>
      <c r="AA2840" s="13">
        <f>+(0.56/1000)</f>
        <v>5.6000000000000006E-4</v>
      </c>
      <c r="AB2840">
        <v>0.1801856</v>
      </c>
      <c r="AC2840">
        <v>0.18739302400000002</v>
      </c>
    </row>
    <row r="2841" spans="1:29" x14ac:dyDescent="0.3">
      <c r="A2841">
        <v>141249</v>
      </c>
      <c r="B2841" s="25" t="s">
        <v>5984</v>
      </c>
      <c r="C2841" t="s">
        <v>20</v>
      </c>
      <c r="D2841" t="s">
        <v>21</v>
      </c>
      <c r="E2841">
        <v>2222222</v>
      </c>
      <c r="F2841" s="8" t="s">
        <v>22</v>
      </c>
      <c r="G2841" s="2">
        <v>98</v>
      </c>
      <c r="H2841" t="s">
        <v>4332</v>
      </c>
      <c r="J2841" s="9" t="s">
        <v>4945</v>
      </c>
      <c r="K2841" t="s">
        <v>4968</v>
      </c>
      <c r="L2841" s="2">
        <v>1</v>
      </c>
      <c r="M2841" s="24" t="s">
        <v>5971</v>
      </c>
      <c r="N2841" s="2" t="s">
        <v>23</v>
      </c>
      <c r="O2841" s="18" t="s">
        <v>2234</v>
      </c>
      <c r="P2841" s="18" t="s">
        <v>0</v>
      </c>
      <c r="Q2841" s="6" t="s">
        <v>4475</v>
      </c>
      <c r="T2841" s="23">
        <v>45443</v>
      </c>
      <c r="U2841" s="23">
        <v>47270</v>
      </c>
      <c r="X2841" s="20">
        <v>35000</v>
      </c>
      <c r="Z2841" s="6" t="s">
        <v>5978</v>
      </c>
      <c r="AA2841" s="14">
        <f t="shared" ref="AA2841:AA2843" si="370">+(0.6/1000)</f>
        <v>5.9999999999999995E-4</v>
      </c>
      <c r="AB2841">
        <v>17.335259999999998</v>
      </c>
      <c r="AC2841">
        <v>18.028670399999999</v>
      </c>
    </row>
    <row r="2842" spans="1:29" x14ac:dyDescent="0.3">
      <c r="A2842">
        <v>147296</v>
      </c>
      <c r="B2842" s="25" t="s">
        <v>5984</v>
      </c>
      <c r="C2842" t="s">
        <v>20</v>
      </c>
      <c r="D2842" t="s">
        <v>21</v>
      </c>
      <c r="E2842">
        <v>2222222</v>
      </c>
      <c r="F2842" s="8" t="s">
        <v>22</v>
      </c>
      <c r="G2842" s="2">
        <v>98</v>
      </c>
      <c r="H2842" t="s">
        <v>4333</v>
      </c>
      <c r="J2842" s="9" t="s">
        <v>4826</v>
      </c>
      <c r="K2842" t="s">
        <v>5193</v>
      </c>
      <c r="L2842" s="2">
        <v>1</v>
      </c>
      <c r="M2842" s="24" t="s">
        <v>5971</v>
      </c>
      <c r="N2842" s="2" t="s">
        <v>23</v>
      </c>
      <c r="O2842" s="18" t="s">
        <v>2235</v>
      </c>
      <c r="P2842" s="18" t="s">
        <v>0</v>
      </c>
      <c r="Q2842" s="6" t="s">
        <v>4475</v>
      </c>
      <c r="T2842" s="23">
        <v>45879</v>
      </c>
      <c r="U2842" s="23">
        <v>46669</v>
      </c>
      <c r="X2842" s="20">
        <v>4260</v>
      </c>
      <c r="Z2842" s="6" t="s">
        <v>5978</v>
      </c>
      <c r="AA2842" s="14">
        <f t="shared" si="370"/>
        <v>5.9999999999999995E-4</v>
      </c>
      <c r="AB2842">
        <v>1.5676739999999998</v>
      </c>
      <c r="AC2842">
        <v>1.6303809599999999</v>
      </c>
    </row>
    <row r="2843" spans="1:29" x14ac:dyDescent="0.3">
      <c r="A2843">
        <v>150953</v>
      </c>
      <c r="B2843" s="25" t="s">
        <v>5984</v>
      </c>
      <c r="C2843" t="s">
        <v>20</v>
      </c>
      <c r="D2843" t="s">
        <v>21</v>
      </c>
      <c r="E2843">
        <v>2222222</v>
      </c>
      <c r="F2843" s="8" t="s">
        <v>22</v>
      </c>
      <c r="G2843" s="2">
        <v>98</v>
      </c>
      <c r="H2843" t="s">
        <v>4333</v>
      </c>
      <c r="J2843" s="9" t="s">
        <v>4826</v>
      </c>
      <c r="K2843" t="s">
        <v>5193</v>
      </c>
      <c r="L2843" s="2">
        <v>1</v>
      </c>
      <c r="M2843" s="24" t="s">
        <v>5971</v>
      </c>
      <c r="N2843" s="2" t="s">
        <v>23</v>
      </c>
      <c r="O2843" s="18" t="s">
        <v>2235</v>
      </c>
      <c r="P2843" s="18" t="s">
        <v>0</v>
      </c>
      <c r="Q2843" s="6" t="s">
        <v>4475</v>
      </c>
      <c r="T2843" s="23">
        <v>46129</v>
      </c>
      <c r="U2843" s="23">
        <v>46219</v>
      </c>
      <c r="X2843" s="20">
        <v>3100</v>
      </c>
      <c r="Z2843" s="6" t="s">
        <v>5978</v>
      </c>
      <c r="AA2843" s="14">
        <f t="shared" si="370"/>
        <v>5.9999999999999995E-4</v>
      </c>
      <c r="AB2843">
        <v>1.8599999999999999</v>
      </c>
      <c r="AC2843">
        <v>1.9343999999999999</v>
      </c>
    </row>
    <row r="2844" spans="1:29" x14ac:dyDescent="0.3">
      <c r="A2844">
        <v>127051</v>
      </c>
      <c r="B2844" s="25" t="s">
        <v>5984</v>
      </c>
      <c r="C2844" t="s">
        <v>20</v>
      </c>
      <c r="D2844" t="s">
        <v>21</v>
      </c>
      <c r="E2844">
        <v>2222222</v>
      </c>
      <c r="F2844" s="8" t="s">
        <v>22</v>
      </c>
      <c r="G2844" s="2">
        <v>98</v>
      </c>
      <c r="H2844" t="s">
        <v>4334</v>
      </c>
      <c r="J2844" s="9" t="s">
        <v>4815</v>
      </c>
      <c r="K2844" t="s">
        <v>5010</v>
      </c>
      <c r="L2844" s="2">
        <v>1</v>
      </c>
      <c r="M2844" s="24" t="s">
        <v>5971</v>
      </c>
      <c r="N2844" s="2" t="s">
        <v>23</v>
      </c>
      <c r="O2844" s="18" t="s">
        <v>2236</v>
      </c>
      <c r="P2844" s="18" t="s">
        <v>0</v>
      </c>
      <c r="Q2844" s="6" t="s">
        <v>4475</v>
      </c>
      <c r="T2844" s="23">
        <v>44650</v>
      </c>
      <c r="U2844" s="23">
        <v>50128</v>
      </c>
      <c r="X2844" s="20">
        <v>31600</v>
      </c>
      <c r="Z2844" s="6" t="s">
        <v>5978</v>
      </c>
      <c r="AA2844" s="15">
        <f>+(0.42/1000)</f>
        <v>4.1999999999999996E-4</v>
      </c>
      <c r="AB2844">
        <v>12.8532894</v>
      </c>
      <c r="AC2844">
        <v>13.367420976</v>
      </c>
    </row>
    <row r="2845" spans="1:29" x14ac:dyDescent="0.3">
      <c r="A2845">
        <v>138918</v>
      </c>
      <c r="B2845" s="25" t="s">
        <v>5984</v>
      </c>
      <c r="C2845" t="s">
        <v>20</v>
      </c>
      <c r="D2845" t="s">
        <v>21</v>
      </c>
      <c r="E2845">
        <v>2222222</v>
      </c>
      <c r="F2845" s="8" t="s">
        <v>22</v>
      </c>
      <c r="G2845" s="2">
        <v>98</v>
      </c>
      <c r="H2845" t="s">
        <v>4334</v>
      </c>
      <c r="J2845" s="9" t="s">
        <v>5055</v>
      </c>
      <c r="K2845" t="s">
        <v>5602</v>
      </c>
      <c r="L2845" s="2">
        <v>1</v>
      </c>
      <c r="M2845" s="24" t="s">
        <v>5971</v>
      </c>
      <c r="N2845" s="2" t="s">
        <v>23</v>
      </c>
      <c r="O2845" s="18" t="s">
        <v>749</v>
      </c>
      <c r="P2845" s="18" t="s">
        <v>3781</v>
      </c>
      <c r="Q2845" s="6" t="s">
        <v>4475</v>
      </c>
      <c r="T2845" s="23">
        <v>45323</v>
      </c>
      <c r="U2845" s="23">
        <v>46241</v>
      </c>
      <c r="X2845" s="20">
        <v>7000</v>
      </c>
      <c r="Z2845" s="6" t="s">
        <v>5978</v>
      </c>
      <c r="AA2845" s="13">
        <f>+(0.56/1000)</f>
        <v>5.6000000000000006E-4</v>
      </c>
      <c r="AB2845">
        <v>0.15892240000000002</v>
      </c>
      <c r="AC2845">
        <v>0.16527929600000002</v>
      </c>
    </row>
    <row r="2846" spans="1:29" x14ac:dyDescent="0.3">
      <c r="A2846">
        <v>144528</v>
      </c>
      <c r="B2846" s="25" t="s">
        <v>5984</v>
      </c>
      <c r="C2846" t="s">
        <v>20</v>
      </c>
      <c r="D2846" t="s">
        <v>21</v>
      </c>
      <c r="E2846">
        <v>2222222</v>
      </c>
      <c r="F2846" s="8" t="s">
        <v>22</v>
      </c>
      <c r="G2846" s="2">
        <v>98</v>
      </c>
      <c r="H2846" t="s">
        <v>4334</v>
      </c>
      <c r="J2846" s="9" t="s">
        <v>4956</v>
      </c>
      <c r="K2846" t="s">
        <v>4980</v>
      </c>
      <c r="L2846" s="2">
        <v>1</v>
      </c>
      <c r="M2846" s="24" t="s">
        <v>5971</v>
      </c>
      <c r="N2846" s="2" t="s">
        <v>23</v>
      </c>
      <c r="O2846" s="18" t="s">
        <v>2237</v>
      </c>
      <c r="P2846" s="18" t="s">
        <v>3781</v>
      </c>
      <c r="Q2846" s="6" t="s">
        <v>4475</v>
      </c>
      <c r="T2846" s="23">
        <v>45670</v>
      </c>
      <c r="U2846" s="23">
        <v>47220</v>
      </c>
      <c r="X2846" s="20">
        <v>4600</v>
      </c>
      <c r="Z2846" s="6" t="s">
        <v>5978</v>
      </c>
      <c r="AA2846" s="14">
        <f t="shared" ref="AA2846:AA2850" si="371">+(0.6/1000)</f>
        <v>5.9999999999999995E-4</v>
      </c>
      <c r="AB2846">
        <v>2.0971499999999996</v>
      </c>
      <c r="AC2846">
        <v>2.1810359999999998</v>
      </c>
    </row>
    <row r="2847" spans="1:29" x14ac:dyDescent="0.3">
      <c r="A2847">
        <v>151158</v>
      </c>
      <c r="B2847" s="25" t="s">
        <v>5984</v>
      </c>
      <c r="C2847" t="s">
        <v>20</v>
      </c>
      <c r="D2847" t="s">
        <v>21</v>
      </c>
      <c r="E2847">
        <v>2222222</v>
      </c>
      <c r="F2847" s="8" t="s">
        <v>22</v>
      </c>
      <c r="G2847" s="2">
        <v>98</v>
      </c>
      <c r="H2847" t="s">
        <v>4334</v>
      </c>
      <c r="J2847" s="9" t="s">
        <v>4908</v>
      </c>
      <c r="K2847" t="s">
        <v>5426</v>
      </c>
      <c r="L2847" s="2">
        <v>1</v>
      </c>
      <c r="M2847" s="24" t="s">
        <v>5971</v>
      </c>
      <c r="N2847" s="2" t="s">
        <v>23</v>
      </c>
      <c r="O2847" s="18" t="s">
        <v>2238</v>
      </c>
      <c r="P2847" s="18" t="s">
        <v>0</v>
      </c>
      <c r="Q2847" s="6" t="s">
        <v>4475</v>
      </c>
      <c r="T2847" s="23">
        <v>46141</v>
      </c>
      <c r="U2847" s="23">
        <v>47237</v>
      </c>
      <c r="X2847" s="20">
        <v>1500</v>
      </c>
      <c r="Z2847" s="6" t="s">
        <v>5978</v>
      </c>
      <c r="AA2847" s="14">
        <f t="shared" si="371"/>
        <v>5.9999999999999995E-4</v>
      </c>
      <c r="AB2847">
        <v>0.84124799999999988</v>
      </c>
      <c r="AC2847">
        <v>0.87489791999999988</v>
      </c>
    </row>
    <row r="2848" spans="1:29" x14ac:dyDescent="0.3">
      <c r="A2848">
        <v>151283</v>
      </c>
      <c r="B2848" s="25" t="s">
        <v>5984</v>
      </c>
      <c r="C2848" t="s">
        <v>20</v>
      </c>
      <c r="D2848" t="s">
        <v>21</v>
      </c>
      <c r="E2848">
        <v>2222222</v>
      </c>
      <c r="F2848" s="8" t="s">
        <v>22</v>
      </c>
      <c r="G2848" s="2">
        <v>98</v>
      </c>
      <c r="H2848" t="s">
        <v>4334</v>
      </c>
      <c r="J2848" s="9" t="s">
        <v>4914</v>
      </c>
      <c r="K2848" t="s">
        <v>5019</v>
      </c>
      <c r="L2848" s="2">
        <v>1</v>
      </c>
      <c r="M2848" s="24" t="s">
        <v>5971</v>
      </c>
      <c r="N2848" s="2" t="s">
        <v>23</v>
      </c>
      <c r="O2848" s="18" t="s">
        <v>2239</v>
      </c>
      <c r="P2848" s="18" t="s">
        <v>3781</v>
      </c>
      <c r="Q2848" s="6" t="s">
        <v>4475</v>
      </c>
      <c r="T2848" s="23">
        <v>46153</v>
      </c>
      <c r="U2848" s="23">
        <v>46243</v>
      </c>
      <c r="X2848" s="20">
        <v>2600</v>
      </c>
      <c r="Z2848" s="6" t="s">
        <v>5978</v>
      </c>
      <c r="AA2848" s="14">
        <f t="shared" si="371"/>
        <v>5.9999999999999995E-4</v>
      </c>
      <c r="AB2848">
        <v>1.5599999999999998</v>
      </c>
      <c r="AC2848">
        <v>1.6223999999999998</v>
      </c>
    </row>
    <row r="2849" spans="1:29" x14ac:dyDescent="0.3">
      <c r="A2849">
        <v>151625</v>
      </c>
      <c r="B2849" s="25" t="s">
        <v>5984</v>
      </c>
      <c r="C2849" t="s">
        <v>20</v>
      </c>
      <c r="D2849" t="s">
        <v>21</v>
      </c>
      <c r="E2849">
        <v>2222222</v>
      </c>
      <c r="F2849" s="8" t="s">
        <v>22</v>
      </c>
      <c r="G2849" s="2">
        <v>98</v>
      </c>
      <c r="H2849" t="s">
        <v>4334</v>
      </c>
      <c r="J2849" s="9" t="s">
        <v>5055</v>
      </c>
      <c r="K2849" t="s">
        <v>5602</v>
      </c>
      <c r="L2849" s="2">
        <v>1</v>
      </c>
      <c r="M2849" s="24" t="s">
        <v>5971</v>
      </c>
      <c r="N2849" s="2" t="s">
        <v>23</v>
      </c>
      <c r="O2849" s="18" t="s">
        <v>749</v>
      </c>
      <c r="P2849" s="18" t="s">
        <v>3781</v>
      </c>
      <c r="Q2849" s="6" t="s">
        <v>4475</v>
      </c>
      <c r="T2849" s="23">
        <v>46176</v>
      </c>
      <c r="U2849" s="23">
        <v>46266</v>
      </c>
      <c r="X2849" s="20">
        <v>2000</v>
      </c>
      <c r="Z2849" s="6" t="s">
        <v>5978</v>
      </c>
      <c r="AA2849" s="14">
        <f t="shared" si="371"/>
        <v>5.9999999999999995E-4</v>
      </c>
      <c r="AB2849">
        <v>1.2</v>
      </c>
      <c r="AC2849">
        <v>1.248</v>
      </c>
    </row>
    <row r="2850" spans="1:29" x14ac:dyDescent="0.3">
      <c r="A2850">
        <v>151899</v>
      </c>
      <c r="B2850" s="25" t="s">
        <v>5984</v>
      </c>
      <c r="C2850" t="s">
        <v>20</v>
      </c>
      <c r="D2850" t="s">
        <v>21</v>
      </c>
      <c r="E2850">
        <v>2222222</v>
      </c>
      <c r="F2850" s="8" t="s">
        <v>22</v>
      </c>
      <c r="G2850" s="2">
        <v>98</v>
      </c>
      <c r="H2850" t="s">
        <v>4334</v>
      </c>
      <c r="J2850" s="9" t="s">
        <v>4852</v>
      </c>
      <c r="K2850" t="s">
        <v>5197</v>
      </c>
      <c r="L2850" s="2">
        <v>1</v>
      </c>
      <c r="M2850" s="24" t="s">
        <v>5971</v>
      </c>
      <c r="N2850" s="2" t="s">
        <v>23</v>
      </c>
      <c r="O2850" s="18" t="s">
        <v>2240</v>
      </c>
      <c r="P2850" s="18" t="s">
        <v>0</v>
      </c>
      <c r="Q2850" s="6" t="s">
        <v>4475</v>
      </c>
      <c r="T2850" s="23">
        <v>46196</v>
      </c>
      <c r="U2850" s="23">
        <v>46286</v>
      </c>
      <c r="X2850" s="20">
        <v>5000</v>
      </c>
      <c r="Z2850" s="6" t="s">
        <v>5978</v>
      </c>
      <c r="AA2850" s="14">
        <f t="shared" si="371"/>
        <v>5.9999999999999995E-4</v>
      </c>
      <c r="AB2850">
        <v>2.9999999999999996</v>
      </c>
      <c r="AC2850">
        <v>3.1199999999999997</v>
      </c>
    </row>
    <row r="2851" spans="1:29" x14ac:dyDescent="0.3">
      <c r="A2851">
        <v>134164</v>
      </c>
      <c r="B2851" s="25" t="s">
        <v>5984</v>
      </c>
      <c r="C2851" t="s">
        <v>20</v>
      </c>
      <c r="D2851" t="s">
        <v>21</v>
      </c>
      <c r="E2851">
        <v>2222222</v>
      </c>
      <c r="F2851" s="8" t="s">
        <v>22</v>
      </c>
      <c r="G2851" s="2">
        <v>98</v>
      </c>
      <c r="H2851" t="s">
        <v>4335</v>
      </c>
      <c r="J2851" s="9" t="s">
        <v>4916</v>
      </c>
      <c r="K2851" t="s">
        <v>5245</v>
      </c>
      <c r="L2851" s="2">
        <v>1</v>
      </c>
      <c r="M2851" s="24" t="s">
        <v>5971</v>
      </c>
      <c r="N2851" s="2" t="s">
        <v>23</v>
      </c>
      <c r="O2851" s="18" t="s">
        <v>2241</v>
      </c>
      <c r="P2851" s="18" t="s">
        <v>3781</v>
      </c>
      <c r="Q2851" s="6" t="s">
        <v>4475</v>
      </c>
      <c r="T2851" s="23">
        <v>45043</v>
      </c>
      <c r="U2851" s="23">
        <v>46966</v>
      </c>
      <c r="X2851" s="20">
        <v>14000</v>
      </c>
      <c r="Z2851" s="6" t="s">
        <v>5978</v>
      </c>
      <c r="AA2851" s="13">
        <f>+(0.56/1000)</f>
        <v>5.6000000000000006E-4</v>
      </c>
      <c r="AB2851">
        <v>4.3159816000000006</v>
      </c>
      <c r="AC2851">
        <v>4.4886208640000005</v>
      </c>
    </row>
    <row r="2852" spans="1:29" x14ac:dyDescent="0.3">
      <c r="A2852">
        <v>152094</v>
      </c>
      <c r="B2852" s="25" t="s">
        <v>5984</v>
      </c>
      <c r="C2852" t="s">
        <v>20</v>
      </c>
      <c r="D2852" t="s">
        <v>21</v>
      </c>
      <c r="E2852">
        <v>2222222</v>
      </c>
      <c r="F2852" s="8" t="s">
        <v>22</v>
      </c>
      <c r="G2852" s="2">
        <v>98</v>
      </c>
      <c r="H2852" t="s">
        <v>4335</v>
      </c>
      <c r="J2852" s="9" t="s">
        <v>5694</v>
      </c>
      <c r="K2852" t="s">
        <v>4887</v>
      </c>
      <c r="L2852" s="2">
        <v>1</v>
      </c>
      <c r="M2852" s="24" t="s">
        <v>5971</v>
      </c>
      <c r="N2852" s="2" t="s">
        <v>23</v>
      </c>
      <c r="O2852" s="18" t="s">
        <v>2242</v>
      </c>
      <c r="P2852" s="18" t="s">
        <v>3781</v>
      </c>
      <c r="Q2852" s="6" t="s">
        <v>4475</v>
      </c>
      <c r="T2852" s="23">
        <v>46211</v>
      </c>
      <c r="U2852" s="23">
        <v>46575</v>
      </c>
      <c r="X2852" s="20">
        <v>500</v>
      </c>
      <c r="Z2852" s="6" t="s">
        <v>5978</v>
      </c>
      <c r="AA2852" s="14">
        <f t="shared" ref="AA2852:AA2862" si="372">+(0.6/1000)</f>
        <v>5.9999999999999995E-4</v>
      </c>
      <c r="AB2852">
        <v>0.3</v>
      </c>
      <c r="AC2852">
        <v>0.312</v>
      </c>
    </row>
    <row r="2853" spans="1:29" x14ac:dyDescent="0.3">
      <c r="A2853">
        <v>151470</v>
      </c>
      <c r="B2853" s="25" t="s">
        <v>5984</v>
      </c>
      <c r="C2853" t="s">
        <v>20</v>
      </c>
      <c r="D2853" t="s">
        <v>21</v>
      </c>
      <c r="E2853">
        <v>2222222</v>
      </c>
      <c r="F2853" s="8" t="s">
        <v>22</v>
      </c>
      <c r="G2853" s="2">
        <v>98</v>
      </c>
      <c r="H2853" t="s">
        <v>4336</v>
      </c>
      <c r="J2853" s="9" t="s">
        <v>5099</v>
      </c>
      <c r="K2853" t="s">
        <v>4512</v>
      </c>
      <c r="L2853" s="2">
        <v>1</v>
      </c>
      <c r="M2853" s="24" t="s">
        <v>5971</v>
      </c>
      <c r="N2853" s="2" t="s">
        <v>23</v>
      </c>
      <c r="O2853" s="18" t="s">
        <v>2243</v>
      </c>
      <c r="P2853" s="18" t="s">
        <v>0</v>
      </c>
      <c r="Q2853" s="6" t="s">
        <v>4475</v>
      </c>
      <c r="T2853" s="23">
        <v>46168</v>
      </c>
      <c r="U2853" s="23">
        <v>46258</v>
      </c>
      <c r="X2853" s="20">
        <v>600</v>
      </c>
      <c r="Z2853" s="6" t="s">
        <v>5978</v>
      </c>
      <c r="AA2853" s="14">
        <f t="shared" si="372"/>
        <v>5.9999999999999995E-4</v>
      </c>
      <c r="AB2853">
        <v>0.36</v>
      </c>
      <c r="AC2853">
        <v>0.37440000000000001</v>
      </c>
    </row>
    <row r="2854" spans="1:29" x14ac:dyDescent="0.3">
      <c r="A2854">
        <v>145806</v>
      </c>
      <c r="B2854" s="25" t="s">
        <v>5984</v>
      </c>
      <c r="C2854" t="s">
        <v>20</v>
      </c>
      <c r="D2854" t="s">
        <v>21</v>
      </c>
      <c r="E2854">
        <v>2222222</v>
      </c>
      <c r="F2854" s="8" t="s">
        <v>22</v>
      </c>
      <c r="G2854" s="2">
        <v>98</v>
      </c>
      <c r="H2854" t="s">
        <v>4337</v>
      </c>
      <c r="J2854" s="9" t="s">
        <v>4836</v>
      </c>
      <c r="K2854" t="s">
        <v>5153</v>
      </c>
      <c r="L2854" s="2">
        <v>1</v>
      </c>
      <c r="M2854" s="24" t="s">
        <v>5971</v>
      </c>
      <c r="N2854" s="2" t="s">
        <v>23</v>
      </c>
      <c r="O2854" s="18" t="s">
        <v>2244</v>
      </c>
      <c r="P2854" s="18" t="s">
        <v>3781</v>
      </c>
      <c r="Q2854" s="6" t="s">
        <v>4475</v>
      </c>
      <c r="T2854" s="23">
        <v>45782</v>
      </c>
      <c r="U2854" s="23">
        <v>49433</v>
      </c>
      <c r="X2854" s="20">
        <v>50000</v>
      </c>
      <c r="Z2854" s="6" t="s">
        <v>5978</v>
      </c>
      <c r="AA2854" s="14">
        <f t="shared" si="372"/>
        <v>5.9999999999999995E-4</v>
      </c>
      <c r="AB2854">
        <v>28.352141999999997</v>
      </c>
      <c r="AC2854">
        <v>29.486227679999999</v>
      </c>
    </row>
    <row r="2855" spans="1:29" x14ac:dyDescent="0.3">
      <c r="A2855">
        <v>151878</v>
      </c>
      <c r="B2855" s="25" t="s">
        <v>5984</v>
      </c>
      <c r="C2855" t="s">
        <v>20</v>
      </c>
      <c r="D2855" t="s">
        <v>21</v>
      </c>
      <c r="E2855">
        <v>2222222</v>
      </c>
      <c r="F2855" s="8" t="s">
        <v>22</v>
      </c>
      <c r="G2855" s="2">
        <v>98</v>
      </c>
      <c r="H2855" t="s">
        <v>4337</v>
      </c>
      <c r="J2855" s="9" t="s">
        <v>4836</v>
      </c>
      <c r="K2855" t="s">
        <v>5153</v>
      </c>
      <c r="L2855" s="2">
        <v>1</v>
      </c>
      <c r="M2855" s="24" t="s">
        <v>5971</v>
      </c>
      <c r="N2855" s="2" t="s">
        <v>23</v>
      </c>
      <c r="O2855" s="18" t="s">
        <v>2244</v>
      </c>
      <c r="P2855" s="18" t="s">
        <v>3781</v>
      </c>
      <c r="Q2855" s="6" t="s">
        <v>4475</v>
      </c>
      <c r="T2855" s="23">
        <v>46193</v>
      </c>
      <c r="U2855" s="23">
        <v>46283</v>
      </c>
      <c r="X2855" s="20">
        <v>1700</v>
      </c>
      <c r="Z2855" s="6" t="s">
        <v>5978</v>
      </c>
      <c r="AA2855" s="14">
        <f t="shared" si="372"/>
        <v>5.9999999999999995E-4</v>
      </c>
      <c r="AB2855">
        <v>1.02</v>
      </c>
      <c r="AC2855">
        <v>1.0608</v>
      </c>
    </row>
    <row r="2856" spans="1:29" x14ac:dyDescent="0.3">
      <c r="A2856">
        <v>143212</v>
      </c>
      <c r="B2856" s="25" t="s">
        <v>5984</v>
      </c>
      <c r="C2856" t="s">
        <v>20</v>
      </c>
      <c r="D2856" t="s">
        <v>21</v>
      </c>
      <c r="E2856">
        <v>2222222</v>
      </c>
      <c r="F2856" s="8" t="s">
        <v>22</v>
      </c>
      <c r="G2856" s="2">
        <v>98</v>
      </c>
      <c r="H2856" t="s">
        <v>4338</v>
      </c>
      <c r="J2856" s="9" t="s">
        <v>4836</v>
      </c>
      <c r="K2856" t="s">
        <v>4872</v>
      </c>
      <c r="L2856" s="2">
        <v>1</v>
      </c>
      <c r="M2856" s="24" t="s">
        <v>5971</v>
      </c>
      <c r="N2856" s="2" t="s">
        <v>23</v>
      </c>
      <c r="O2856" s="18" t="s">
        <v>2245</v>
      </c>
      <c r="P2856" s="18" t="s">
        <v>3781</v>
      </c>
      <c r="Q2856" s="6" t="s">
        <v>4475</v>
      </c>
      <c r="T2856" s="23">
        <v>45580</v>
      </c>
      <c r="U2856" s="23">
        <v>46309</v>
      </c>
      <c r="X2856" s="20">
        <v>1650</v>
      </c>
      <c r="Z2856" s="6" t="s">
        <v>5978</v>
      </c>
      <c r="AA2856" s="14">
        <f t="shared" si="372"/>
        <v>5.9999999999999995E-4</v>
      </c>
      <c r="AB2856">
        <v>0.91810199999999997</v>
      </c>
      <c r="AC2856">
        <v>0.95482608000000002</v>
      </c>
    </row>
    <row r="2857" spans="1:29" x14ac:dyDescent="0.3">
      <c r="A2857">
        <v>147681</v>
      </c>
      <c r="B2857" s="25" t="s">
        <v>5984</v>
      </c>
      <c r="C2857" t="s">
        <v>20</v>
      </c>
      <c r="D2857" t="s">
        <v>21</v>
      </c>
      <c r="E2857">
        <v>2222222</v>
      </c>
      <c r="F2857" s="8" t="s">
        <v>22</v>
      </c>
      <c r="G2857" s="2">
        <v>98</v>
      </c>
      <c r="H2857" t="s">
        <v>4338</v>
      </c>
      <c r="J2857" s="9" t="s">
        <v>4815</v>
      </c>
      <c r="K2857" t="s">
        <v>5064</v>
      </c>
      <c r="L2857" s="2">
        <v>1</v>
      </c>
      <c r="M2857" s="24" t="s">
        <v>5971</v>
      </c>
      <c r="N2857" s="2" t="s">
        <v>23</v>
      </c>
      <c r="O2857" s="18" t="s">
        <v>999</v>
      </c>
      <c r="P2857" s="18" t="s">
        <v>0</v>
      </c>
      <c r="Q2857" s="6" t="s">
        <v>4475</v>
      </c>
      <c r="T2857" s="23">
        <v>45910</v>
      </c>
      <c r="U2857" s="23">
        <v>49562</v>
      </c>
      <c r="X2857" s="20">
        <v>20000</v>
      </c>
      <c r="Z2857" s="6" t="s">
        <v>5978</v>
      </c>
      <c r="AA2857" s="14">
        <f t="shared" si="372"/>
        <v>5.9999999999999995E-4</v>
      </c>
      <c r="AB2857">
        <v>11.512721999999998</v>
      </c>
      <c r="AC2857">
        <v>11.973230879999999</v>
      </c>
    </row>
    <row r="2858" spans="1:29" x14ac:dyDescent="0.3">
      <c r="A2858">
        <v>149323</v>
      </c>
      <c r="B2858" s="25" t="s">
        <v>5984</v>
      </c>
      <c r="C2858" t="s">
        <v>20</v>
      </c>
      <c r="D2858" t="s">
        <v>21</v>
      </c>
      <c r="E2858">
        <v>2222222</v>
      </c>
      <c r="F2858" s="8" t="s">
        <v>22</v>
      </c>
      <c r="G2858" s="2">
        <v>98</v>
      </c>
      <c r="H2858" t="s">
        <v>4338</v>
      </c>
      <c r="J2858" s="9" t="s">
        <v>4900</v>
      </c>
      <c r="K2858" t="s">
        <v>4961</v>
      </c>
      <c r="L2858" s="2">
        <v>1</v>
      </c>
      <c r="M2858" s="24" t="s">
        <v>5971</v>
      </c>
      <c r="N2858" s="2" t="s">
        <v>23</v>
      </c>
      <c r="O2858" s="18" t="s">
        <v>402</v>
      </c>
      <c r="P2858" s="18" t="s">
        <v>0</v>
      </c>
      <c r="Q2858" s="6" t="s">
        <v>4475</v>
      </c>
      <c r="T2858" s="23">
        <v>46013</v>
      </c>
      <c r="U2858" s="23">
        <v>46378</v>
      </c>
      <c r="X2858" s="20">
        <v>1000</v>
      </c>
      <c r="Z2858" s="6" t="s">
        <v>5978</v>
      </c>
      <c r="AA2858" s="14">
        <f t="shared" si="372"/>
        <v>5.9999999999999995E-4</v>
      </c>
      <c r="AB2858">
        <v>0.26203199999999999</v>
      </c>
      <c r="AC2858">
        <v>0.27251327999999997</v>
      </c>
    </row>
    <row r="2859" spans="1:29" x14ac:dyDescent="0.3">
      <c r="A2859">
        <v>150124</v>
      </c>
      <c r="B2859" s="25" t="s">
        <v>5984</v>
      </c>
      <c r="C2859" t="s">
        <v>20</v>
      </c>
      <c r="D2859" t="s">
        <v>21</v>
      </c>
      <c r="E2859">
        <v>2222222</v>
      </c>
      <c r="F2859" s="8" t="s">
        <v>22</v>
      </c>
      <c r="G2859" s="2">
        <v>98</v>
      </c>
      <c r="H2859" t="s">
        <v>4338</v>
      </c>
      <c r="J2859" s="9" t="s">
        <v>4856</v>
      </c>
      <c r="K2859" t="s">
        <v>4853</v>
      </c>
      <c r="L2859" s="2">
        <v>1</v>
      </c>
      <c r="M2859" s="24" t="s">
        <v>5971</v>
      </c>
      <c r="N2859" s="2" t="s">
        <v>23</v>
      </c>
      <c r="O2859" s="18" t="s">
        <v>2246</v>
      </c>
      <c r="P2859" s="18" t="s">
        <v>0</v>
      </c>
      <c r="Q2859" s="6" t="s">
        <v>4475</v>
      </c>
      <c r="T2859" s="23">
        <v>46073</v>
      </c>
      <c r="U2859" s="23">
        <v>47171</v>
      </c>
      <c r="X2859" s="20">
        <v>5000</v>
      </c>
      <c r="Z2859" s="6" t="s">
        <v>5978</v>
      </c>
      <c r="AA2859" s="14">
        <f t="shared" si="372"/>
        <v>5.9999999999999995E-4</v>
      </c>
      <c r="AB2859">
        <v>2.6740679999999997</v>
      </c>
      <c r="AC2859">
        <v>2.78103072</v>
      </c>
    </row>
    <row r="2860" spans="1:29" x14ac:dyDescent="0.3">
      <c r="A2860">
        <v>150999</v>
      </c>
      <c r="B2860" s="25" t="s">
        <v>5984</v>
      </c>
      <c r="C2860" t="s">
        <v>20</v>
      </c>
      <c r="D2860" t="s">
        <v>21</v>
      </c>
      <c r="E2860">
        <v>2222222</v>
      </c>
      <c r="F2860" s="8" t="s">
        <v>22</v>
      </c>
      <c r="G2860" s="2">
        <v>98</v>
      </c>
      <c r="H2860" t="s">
        <v>4338</v>
      </c>
      <c r="J2860" s="9" t="s">
        <v>4988</v>
      </c>
      <c r="K2860" t="s">
        <v>5018</v>
      </c>
      <c r="L2860" s="2">
        <v>1</v>
      </c>
      <c r="M2860" s="24" t="s">
        <v>5971</v>
      </c>
      <c r="N2860" s="2" t="s">
        <v>23</v>
      </c>
      <c r="O2860" s="18" t="s">
        <v>629</v>
      </c>
      <c r="P2860" s="18" t="s">
        <v>0</v>
      </c>
      <c r="Q2860" s="6" t="s">
        <v>4475</v>
      </c>
      <c r="T2860" s="23">
        <v>46132</v>
      </c>
      <c r="U2860" s="23">
        <v>46497</v>
      </c>
      <c r="X2860" s="20">
        <v>3000</v>
      </c>
      <c r="Z2860" s="6" t="s">
        <v>5978</v>
      </c>
      <c r="AA2860" s="14">
        <f t="shared" si="372"/>
        <v>5.9999999999999995E-4</v>
      </c>
      <c r="AB2860">
        <v>1.3798739999999998</v>
      </c>
      <c r="AC2860">
        <v>1.4350689599999999</v>
      </c>
    </row>
    <row r="2861" spans="1:29" x14ac:dyDescent="0.3">
      <c r="A2861">
        <v>151424</v>
      </c>
      <c r="B2861" s="25" t="s">
        <v>5984</v>
      </c>
      <c r="C2861" t="s">
        <v>20</v>
      </c>
      <c r="D2861" t="s">
        <v>21</v>
      </c>
      <c r="E2861">
        <v>2222222</v>
      </c>
      <c r="F2861" s="8" t="s">
        <v>22</v>
      </c>
      <c r="G2861" s="2">
        <v>98</v>
      </c>
      <c r="H2861" t="s">
        <v>4338</v>
      </c>
      <c r="J2861" s="9" t="s">
        <v>4882</v>
      </c>
      <c r="K2861" t="s">
        <v>5663</v>
      </c>
      <c r="L2861" s="2">
        <v>1</v>
      </c>
      <c r="M2861" s="24" t="s">
        <v>5971</v>
      </c>
      <c r="N2861" s="2" t="s">
        <v>23</v>
      </c>
      <c r="O2861" s="18" t="s">
        <v>2247</v>
      </c>
      <c r="P2861" s="18" t="s">
        <v>0</v>
      </c>
      <c r="Q2861" s="6" t="s">
        <v>4475</v>
      </c>
      <c r="T2861" s="23">
        <v>46198</v>
      </c>
      <c r="U2861" s="23">
        <v>51677</v>
      </c>
      <c r="X2861" s="20">
        <v>100000</v>
      </c>
      <c r="Z2861" s="6" t="s">
        <v>5978</v>
      </c>
      <c r="AA2861" s="14">
        <f t="shared" si="372"/>
        <v>5.9999999999999995E-4</v>
      </c>
      <c r="AB2861">
        <v>59.852639999999994</v>
      </c>
      <c r="AC2861">
        <v>62.246745599999997</v>
      </c>
    </row>
    <row r="2862" spans="1:29" x14ac:dyDescent="0.3">
      <c r="A2862">
        <v>152344</v>
      </c>
      <c r="B2862" s="25" t="s">
        <v>5984</v>
      </c>
      <c r="C2862" t="s">
        <v>20</v>
      </c>
      <c r="D2862" t="s">
        <v>21</v>
      </c>
      <c r="E2862">
        <v>2222222</v>
      </c>
      <c r="F2862" s="8" t="s">
        <v>22</v>
      </c>
      <c r="G2862" s="2">
        <v>98</v>
      </c>
      <c r="H2862" t="s">
        <v>4338</v>
      </c>
      <c r="J2862" s="9" t="s">
        <v>5508</v>
      </c>
      <c r="K2862" t="s">
        <v>4966</v>
      </c>
      <c r="L2862" s="2">
        <v>1</v>
      </c>
      <c r="M2862" s="24" t="s">
        <v>5971</v>
      </c>
      <c r="N2862" s="2" t="s">
        <v>23</v>
      </c>
      <c r="O2862" s="18" t="s">
        <v>2248</v>
      </c>
      <c r="P2862" s="18" t="s">
        <v>0</v>
      </c>
      <c r="Q2862" s="6" t="s">
        <v>4475</v>
      </c>
      <c r="T2862" s="23">
        <v>46232</v>
      </c>
      <c r="U2862" s="23">
        <v>46790</v>
      </c>
      <c r="X2862" s="20">
        <v>5000</v>
      </c>
      <c r="Z2862" s="6" t="s">
        <v>5978</v>
      </c>
      <c r="AA2862" s="14">
        <f t="shared" si="372"/>
        <v>5.9999999999999995E-4</v>
      </c>
      <c r="AB2862">
        <v>2.9999999999999996</v>
      </c>
      <c r="AC2862">
        <v>3.1199999999999997</v>
      </c>
    </row>
    <row r="2863" spans="1:29" x14ac:dyDescent="0.3">
      <c r="A2863">
        <v>113433</v>
      </c>
      <c r="B2863" s="25" t="s">
        <v>5984</v>
      </c>
      <c r="C2863" t="s">
        <v>20</v>
      </c>
      <c r="D2863" t="s">
        <v>21</v>
      </c>
      <c r="E2863">
        <v>2222222</v>
      </c>
      <c r="F2863" s="8" t="s">
        <v>22</v>
      </c>
      <c r="G2863" s="2">
        <v>98</v>
      </c>
      <c r="H2863" t="s">
        <v>4339</v>
      </c>
      <c r="J2863" s="9" t="s">
        <v>5021</v>
      </c>
      <c r="K2863" t="s">
        <v>4859</v>
      </c>
      <c r="L2863" s="2">
        <v>1</v>
      </c>
      <c r="M2863" s="24" t="s">
        <v>5971</v>
      </c>
      <c r="N2863" s="2" t="s">
        <v>23</v>
      </c>
      <c r="O2863" s="18" t="s">
        <v>395</v>
      </c>
      <c r="P2863" s="18" t="s">
        <v>3781</v>
      </c>
      <c r="Q2863" s="6" t="s">
        <v>4475</v>
      </c>
      <c r="T2863" s="23">
        <v>44009</v>
      </c>
      <c r="U2863" s="23">
        <v>46569</v>
      </c>
      <c r="X2863" s="20">
        <v>25000</v>
      </c>
      <c r="Z2863" s="6" t="s">
        <v>5978</v>
      </c>
      <c r="AA2863" s="15">
        <f>+(0.42/1000)</f>
        <v>4.1999999999999996E-4</v>
      </c>
      <c r="AB2863">
        <v>2.5150313999999998</v>
      </c>
      <c r="AC2863">
        <v>2.6156326559999998</v>
      </c>
    </row>
    <row r="2864" spans="1:29" x14ac:dyDescent="0.3">
      <c r="A2864">
        <v>138801</v>
      </c>
      <c r="B2864" s="25" t="s">
        <v>5984</v>
      </c>
      <c r="C2864" t="s">
        <v>20</v>
      </c>
      <c r="D2864" t="s">
        <v>21</v>
      </c>
      <c r="E2864">
        <v>2222222</v>
      </c>
      <c r="F2864" s="8" t="s">
        <v>22</v>
      </c>
      <c r="G2864" s="2">
        <v>98</v>
      </c>
      <c r="H2864" t="s">
        <v>4339</v>
      </c>
      <c r="J2864" s="9" t="s">
        <v>5076</v>
      </c>
      <c r="K2864" t="s">
        <v>5048</v>
      </c>
      <c r="L2864" s="2">
        <v>1</v>
      </c>
      <c r="M2864" s="24" t="s">
        <v>5971</v>
      </c>
      <c r="N2864" s="2" t="s">
        <v>23</v>
      </c>
      <c r="O2864" s="18" t="s">
        <v>2249</v>
      </c>
      <c r="P2864" s="18" t="s">
        <v>3781</v>
      </c>
      <c r="Q2864" s="6" t="s">
        <v>4475</v>
      </c>
      <c r="T2864" s="23">
        <v>45310</v>
      </c>
      <c r="U2864" s="23">
        <v>47591</v>
      </c>
      <c r="X2864" s="20">
        <v>17000</v>
      </c>
      <c r="Z2864" s="6" t="s">
        <v>5978</v>
      </c>
      <c r="AA2864" s="13">
        <f>+(0.56/1000)</f>
        <v>5.6000000000000006E-4</v>
      </c>
      <c r="AB2864">
        <v>6.960760800000001</v>
      </c>
      <c r="AC2864">
        <v>7.2391912320000014</v>
      </c>
    </row>
    <row r="2865" spans="1:29" x14ac:dyDescent="0.3">
      <c r="A2865">
        <v>144378</v>
      </c>
      <c r="B2865" s="25" t="s">
        <v>5984</v>
      </c>
      <c r="C2865" t="s">
        <v>20</v>
      </c>
      <c r="D2865" t="s">
        <v>21</v>
      </c>
      <c r="E2865">
        <v>2222222</v>
      </c>
      <c r="F2865" s="8" t="s">
        <v>22</v>
      </c>
      <c r="G2865" s="2">
        <v>98</v>
      </c>
      <c r="H2865" t="s">
        <v>4339</v>
      </c>
      <c r="J2865" s="9" t="s">
        <v>5021</v>
      </c>
      <c r="K2865" t="s">
        <v>4859</v>
      </c>
      <c r="L2865" s="2">
        <v>1</v>
      </c>
      <c r="M2865" s="24" t="s">
        <v>5971</v>
      </c>
      <c r="N2865" s="2" t="s">
        <v>23</v>
      </c>
      <c r="O2865" s="18" t="s">
        <v>395</v>
      </c>
      <c r="P2865" s="18" t="s">
        <v>3781</v>
      </c>
      <c r="Q2865" s="6" t="s">
        <v>4475</v>
      </c>
      <c r="T2865" s="23">
        <v>45657</v>
      </c>
      <c r="U2865" s="23">
        <v>46766</v>
      </c>
      <c r="X2865" s="20">
        <v>7250</v>
      </c>
      <c r="Z2865" s="6" t="s">
        <v>5978</v>
      </c>
      <c r="AA2865" s="14">
        <f t="shared" ref="AA2865:AA2869" si="373">+(0.6/1000)</f>
        <v>5.9999999999999995E-4</v>
      </c>
      <c r="AB2865">
        <v>2.3682059999999998</v>
      </c>
      <c r="AC2865">
        <v>2.4629342400000001</v>
      </c>
    </row>
    <row r="2866" spans="1:29" x14ac:dyDescent="0.3">
      <c r="A2866">
        <v>147436</v>
      </c>
      <c r="B2866" s="25" t="s">
        <v>5984</v>
      </c>
      <c r="C2866" t="s">
        <v>20</v>
      </c>
      <c r="D2866" t="s">
        <v>21</v>
      </c>
      <c r="E2866">
        <v>2222222</v>
      </c>
      <c r="F2866" s="8" t="s">
        <v>22</v>
      </c>
      <c r="G2866" s="2">
        <v>98</v>
      </c>
      <c r="H2866" t="s">
        <v>4339</v>
      </c>
      <c r="J2866" s="9" t="s">
        <v>5076</v>
      </c>
      <c r="K2866" t="s">
        <v>5048</v>
      </c>
      <c r="L2866" s="2">
        <v>1</v>
      </c>
      <c r="M2866" s="24" t="s">
        <v>5971</v>
      </c>
      <c r="N2866" s="2" t="s">
        <v>23</v>
      </c>
      <c r="O2866" s="18" t="s">
        <v>2249</v>
      </c>
      <c r="P2866" s="18" t="s">
        <v>3781</v>
      </c>
      <c r="Q2866" s="6" t="s">
        <v>4475</v>
      </c>
      <c r="T2866" s="23">
        <v>45888</v>
      </c>
      <c r="U2866" s="23">
        <v>46617</v>
      </c>
      <c r="X2866" s="20">
        <v>2800</v>
      </c>
      <c r="Z2866" s="6" t="s">
        <v>5978</v>
      </c>
      <c r="AA2866" s="14">
        <f t="shared" si="373"/>
        <v>5.9999999999999995E-4</v>
      </c>
      <c r="AB2866">
        <v>0.97972799999999993</v>
      </c>
      <c r="AC2866">
        <v>1.01891712</v>
      </c>
    </row>
    <row r="2867" spans="1:29" x14ac:dyDescent="0.3">
      <c r="A2867">
        <v>151743</v>
      </c>
      <c r="B2867" s="25" t="s">
        <v>5984</v>
      </c>
      <c r="C2867" t="s">
        <v>20</v>
      </c>
      <c r="D2867" t="s">
        <v>21</v>
      </c>
      <c r="E2867">
        <v>2222222</v>
      </c>
      <c r="F2867" s="8" t="s">
        <v>22</v>
      </c>
      <c r="G2867" s="2">
        <v>98</v>
      </c>
      <c r="H2867" t="s">
        <v>4339</v>
      </c>
      <c r="J2867" s="9" t="s">
        <v>4836</v>
      </c>
      <c r="K2867" t="s">
        <v>5372</v>
      </c>
      <c r="L2867" s="2">
        <v>1</v>
      </c>
      <c r="M2867" s="24" t="s">
        <v>5971</v>
      </c>
      <c r="N2867" s="2" t="s">
        <v>23</v>
      </c>
      <c r="O2867" s="18" t="s">
        <v>2250</v>
      </c>
      <c r="P2867" s="18" t="s">
        <v>3781</v>
      </c>
      <c r="Q2867" s="6" t="s">
        <v>4475</v>
      </c>
      <c r="T2867" s="23">
        <v>46184</v>
      </c>
      <c r="U2867" s="23">
        <v>46915</v>
      </c>
      <c r="X2867" s="20">
        <v>4000</v>
      </c>
      <c r="Z2867" s="6" t="s">
        <v>5978</v>
      </c>
      <c r="AA2867" s="14">
        <f t="shared" si="373"/>
        <v>5.9999999999999995E-4</v>
      </c>
      <c r="AB2867">
        <v>2.3158919999999998</v>
      </c>
      <c r="AC2867">
        <v>2.4085276799999997</v>
      </c>
    </row>
    <row r="2868" spans="1:29" x14ac:dyDescent="0.3">
      <c r="A2868">
        <v>143673</v>
      </c>
      <c r="B2868" s="25" t="s">
        <v>5984</v>
      </c>
      <c r="C2868" t="s">
        <v>20</v>
      </c>
      <c r="D2868" t="s">
        <v>21</v>
      </c>
      <c r="E2868">
        <v>2222222</v>
      </c>
      <c r="F2868" s="8" t="s">
        <v>22</v>
      </c>
      <c r="G2868" s="2">
        <v>98</v>
      </c>
      <c r="H2868" t="s">
        <v>4340</v>
      </c>
      <c r="J2868" s="9" t="s">
        <v>5233</v>
      </c>
      <c r="K2868" t="s">
        <v>4839</v>
      </c>
      <c r="L2868" s="2">
        <v>1</v>
      </c>
      <c r="M2868" s="24" t="s">
        <v>5971</v>
      </c>
      <c r="N2868" s="2" t="s">
        <v>23</v>
      </c>
      <c r="O2868" s="18" t="s">
        <v>2251</v>
      </c>
      <c r="P2868" s="18" t="s">
        <v>0</v>
      </c>
      <c r="Q2868" s="6" t="s">
        <v>4475</v>
      </c>
      <c r="T2868" s="23">
        <v>45621</v>
      </c>
      <c r="U2868" s="23">
        <v>46716</v>
      </c>
      <c r="X2868" s="20">
        <v>10000</v>
      </c>
      <c r="Z2868" s="6" t="s">
        <v>5978</v>
      </c>
      <c r="AA2868" s="14">
        <f t="shared" si="373"/>
        <v>5.9999999999999995E-4</v>
      </c>
      <c r="AB2868">
        <v>3.0010139999999996</v>
      </c>
      <c r="AC2868">
        <v>3.1210545599999997</v>
      </c>
    </row>
    <row r="2869" spans="1:29" x14ac:dyDescent="0.3">
      <c r="A2869">
        <v>147465</v>
      </c>
      <c r="B2869" s="25" t="s">
        <v>5984</v>
      </c>
      <c r="C2869" t="s">
        <v>20</v>
      </c>
      <c r="D2869" t="s">
        <v>21</v>
      </c>
      <c r="E2869">
        <v>2222222</v>
      </c>
      <c r="F2869" s="8" t="s">
        <v>22</v>
      </c>
      <c r="G2869" s="2">
        <v>98</v>
      </c>
      <c r="H2869" t="s">
        <v>4340</v>
      </c>
      <c r="J2869" s="9" t="s">
        <v>5695</v>
      </c>
      <c r="K2869" t="s">
        <v>4893</v>
      </c>
      <c r="L2869" s="2">
        <v>1</v>
      </c>
      <c r="M2869" s="24" t="s">
        <v>5971</v>
      </c>
      <c r="N2869" s="2" t="s">
        <v>23</v>
      </c>
      <c r="O2869" s="18" t="s">
        <v>2252</v>
      </c>
      <c r="P2869" s="18" t="s">
        <v>3781</v>
      </c>
      <c r="Q2869" s="6" t="s">
        <v>4475</v>
      </c>
      <c r="T2869" s="23">
        <v>45894</v>
      </c>
      <c r="U2869" s="23">
        <v>47719</v>
      </c>
      <c r="X2869" s="20">
        <v>19000</v>
      </c>
      <c r="Z2869" s="6" t="s">
        <v>5978</v>
      </c>
      <c r="AA2869" s="14">
        <f t="shared" si="373"/>
        <v>5.9999999999999995E-4</v>
      </c>
      <c r="AB2869">
        <v>9.78552</v>
      </c>
      <c r="AC2869">
        <v>10.176940800000001</v>
      </c>
    </row>
    <row r="2870" spans="1:29" x14ac:dyDescent="0.3">
      <c r="A2870">
        <v>131097</v>
      </c>
      <c r="B2870" s="25" t="s">
        <v>5984</v>
      </c>
      <c r="C2870" t="s">
        <v>20</v>
      </c>
      <c r="D2870" t="s">
        <v>21</v>
      </c>
      <c r="E2870">
        <v>2222222</v>
      </c>
      <c r="F2870" s="8" t="s">
        <v>22</v>
      </c>
      <c r="G2870" s="2">
        <v>98</v>
      </c>
      <c r="H2870" t="s">
        <v>4341</v>
      </c>
      <c r="J2870" s="9" t="s">
        <v>5204</v>
      </c>
      <c r="K2870" t="s">
        <v>4838</v>
      </c>
      <c r="L2870" s="2">
        <v>1</v>
      </c>
      <c r="M2870" s="24" t="s">
        <v>5971</v>
      </c>
      <c r="N2870" s="2" t="s">
        <v>23</v>
      </c>
      <c r="O2870" s="18" t="s">
        <v>2253</v>
      </c>
      <c r="P2870" s="18" t="s">
        <v>0</v>
      </c>
      <c r="Q2870" s="6" t="s">
        <v>4475</v>
      </c>
      <c r="T2870" s="23">
        <v>44873</v>
      </c>
      <c r="U2870" s="23">
        <v>46334</v>
      </c>
      <c r="X2870" s="20">
        <v>5000</v>
      </c>
      <c r="Z2870" s="6" t="s">
        <v>5978</v>
      </c>
      <c r="AA2870" s="13">
        <f t="shared" ref="AA2870:AA2872" si="374">+(0.56/1000)</f>
        <v>5.6000000000000006E-4</v>
      </c>
      <c r="AB2870">
        <v>0.32306400000000002</v>
      </c>
      <c r="AC2870">
        <v>0.33598656000000005</v>
      </c>
    </row>
    <row r="2871" spans="1:29" x14ac:dyDescent="0.3">
      <c r="A2871">
        <v>136380</v>
      </c>
      <c r="B2871" s="25" t="s">
        <v>5984</v>
      </c>
      <c r="C2871" t="s">
        <v>20</v>
      </c>
      <c r="D2871" t="s">
        <v>21</v>
      </c>
      <c r="E2871">
        <v>2222222</v>
      </c>
      <c r="F2871" s="8" t="s">
        <v>22</v>
      </c>
      <c r="G2871" s="2">
        <v>98</v>
      </c>
      <c r="H2871" t="s">
        <v>4341</v>
      </c>
      <c r="J2871" s="9" t="s">
        <v>4898</v>
      </c>
      <c r="K2871" t="s">
        <v>5075</v>
      </c>
      <c r="L2871" s="2">
        <v>1</v>
      </c>
      <c r="M2871" s="24" t="s">
        <v>5971</v>
      </c>
      <c r="N2871" s="2" t="s">
        <v>23</v>
      </c>
      <c r="O2871" s="18" t="s">
        <v>1537</v>
      </c>
      <c r="P2871" s="18" t="s">
        <v>3781</v>
      </c>
      <c r="Q2871" s="6" t="s">
        <v>4475</v>
      </c>
      <c r="T2871" s="23">
        <v>45177</v>
      </c>
      <c r="U2871" s="23">
        <v>47369</v>
      </c>
      <c r="X2871" s="20">
        <v>8000</v>
      </c>
      <c r="Z2871" s="6" t="s">
        <v>5978</v>
      </c>
      <c r="AA2871" s="13">
        <f t="shared" si="374"/>
        <v>5.6000000000000006E-4</v>
      </c>
      <c r="AB2871">
        <v>2.8898296000000001</v>
      </c>
      <c r="AC2871">
        <v>3.0054227840000003</v>
      </c>
    </row>
    <row r="2872" spans="1:29" x14ac:dyDescent="0.3">
      <c r="A2872">
        <v>139005</v>
      </c>
      <c r="B2872" s="25" t="s">
        <v>5984</v>
      </c>
      <c r="C2872" t="s">
        <v>20</v>
      </c>
      <c r="D2872" t="s">
        <v>21</v>
      </c>
      <c r="E2872">
        <v>2222222</v>
      </c>
      <c r="F2872" s="8" t="s">
        <v>22</v>
      </c>
      <c r="G2872" s="2">
        <v>98</v>
      </c>
      <c r="H2872" t="s">
        <v>4341</v>
      </c>
      <c r="J2872" s="9" t="s">
        <v>5247</v>
      </c>
      <c r="K2872" t="s">
        <v>5696</v>
      </c>
      <c r="L2872" s="2">
        <v>1</v>
      </c>
      <c r="M2872" s="24" t="s">
        <v>5971</v>
      </c>
      <c r="N2872" s="2" t="s">
        <v>23</v>
      </c>
      <c r="O2872" s="18" t="s">
        <v>2254</v>
      </c>
      <c r="P2872" s="18" t="s">
        <v>0</v>
      </c>
      <c r="Q2872" s="6" t="s">
        <v>4475</v>
      </c>
      <c r="T2872" s="23">
        <v>45310</v>
      </c>
      <c r="U2872" s="23">
        <v>46770</v>
      </c>
      <c r="X2872" s="20">
        <v>5000</v>
      </c>
      <c r="Z2872" s="6" t="s">
        <v>5978</v>
      </c>
      <c r="AA2872" s="13">
        <f t="shared" si="374"/>
        <v>5.6000000000000006E-4</v>
      </c>
      <c r="AB2872">
        <v>1.3033048</v>
      </c>
      <c r="AC2872">
        <v>1.355436992</v>
      </c>
    </row>
    <row r="2873" spans="1:29" x14ac:dyDescent="0.3">
      <c r="A2873">
        <v>142621</v>
      </c>
      <c r="B2873" s="25" t="s">
        <v>5984</v>
      </c>
      <c r="C2873" t="s">
        <v>20</v>
      </c>
      <c r="D2873" t="s">
        <v>21</v>
      </c>
      <c r="E2873">
        <v>2222222</v>
      </c>
      <c r="F2873" s="8" t="s">
        <v>22</v>
      </c>
      <c r="G2873" s="2">
        <v>98</v>
      </c>
      <c r="H2873" t="s">
        <v>4341</v>
      </c>
      <c r="J2873" s="9" t="s">
        <v>5050</v>
      </c>
      <c r="K2873" t="s">
        <v>5031</v>
      </c>
      <c r="L2873" s="2">
        <v>1</v>
      </c>
      <c r="M2873" s="24" t="s">
        <v>5971</v>
      </c>
      <c r="N2873" s="2" t="s">
        <v>23</v>
      </c>
      <c r="O2873" s="18" t="s">
        <v>1725</v>
      </c>
      <c r="P2873" s="18" t="s">
        <v>3781</v>
      </c>
      <c r="Q2873" s="6" t="s">
        <v>4475</v>
      </c>
      <c r="T2873" s="23">
        <v>45533</v>
      </c>
      <c r="U2873" s="23">
        <v>46719</v>
      </c>
      <c r="X2873" s="20">
        <v>10000</v>
      </c>
      <c r="Z2873" s="6" t="s">
        <v>5978</v>
      </c>
      <c r="AA2873" s="14">
        <f t="shared" ref="AA2873:AA2884" si="375">+(0.6/1000)</f>
        <v>5.9999999999999995E-4</v>
      </c>
      <c r="AB2873">
        <v>3.00081</v>
      </c>
      <c r="AC2873">
        <v>3.1208423999999999</v>
      </c>
    </row>
    <row r="2874" spans="1:29" x14ac:dyDescent="0.3">
      <c r="A2874">
        <v>144061</v>
      </c>
      <c r="B2874" s="25" t="s">
        <v>5984</v>
      </c>
      <c r="C2874" t="s">
        <v>20</v>
      </c>
      <c r="D2874" t="s">
        <v>21</v>
      </c>
      <c r="E2874">
        <v>2222222</v>
      </c>
      <c r="F2874" s="8" t="s">
        <v>22</v>
      </c>
      <c r="G2874" s="2">
        <v>98</v>
      </c>
      <c r="H2874" t="s">
        <v>4341</v>
      </c>
      <c r="J2874" s="9" t="s">
        <v>4836</v>
      </c>
      <c r="K2874" t="s">
        <v>4941</v>
      </c>
      <c r="L2874" s="2">
        <v>1</v>
      </c>
      <c r="M2874" s="24" t="s">
        <v>5971</v>
      </c>
      <c r="N2874" s="2" t="s">
        <v>23</v>
      </c>
      <c r="O2874" s="18" t="s">
        <v>2255</v>
      </c>
      <c r="P2874" s="18" t="s">
        <v>3781</v>
      </c>
      <c r="Q2874" s="6" t="s">
        <v>4475</v>
      </c>
      <c r="T2874" s="23">
        <v>45635</v>
      </c>
      <c r="U2874" s="23">
        <v>46729</v>
      </c>
      <c r="X2874" s="20">
        <v>3400</v>
      </c>
      <c r="Z2874" s="6" t="s">
        <v>5978</v>
      </c>
      <c r="AA2874" s="14">
        <f t="shared" si="375"/>
        <v>5.9999999999999995E-4</v>
      </c>
      <c r="AB2874">
        <v>1.126182</v>
      </c>
      <c r="AC2874">
        <v>1.1712292800000002</v>
      </c>
    </row>
    <row r="2875" spans="1:29" x14ac:dyDescent="0.3">
      <c r="A2875">
        <v>145494</v>
      </c>
      <c r="B2875" s="25" t="s">
        <v>5984</v>
      </c>
      <c r="C2875" t="s">
        <v>20</v>
      </c>
      <c r="D2875" t="s">
        <v>21</v>
      </c>
      <c r="E2875">
        <v>2222222</v>
      </c>
      <c r="F2875" s="8" t="s">
        <v>22</v>
      </c>
      <c r="G2875" s="2">
        <v>98</v>
      </c>
      <c r="H2875" t="s">
        <v>4341</v>
      </c>
      <c r="J2875" s="9" t="s">
        <v>4903</v>
      </c>
      <c r="K2875" t="s">
        <v>4893</v>
      </c>
      <c r="L2875" s="2">
        <v>1</v>
      </c>
      <c r="M2875" s="24" t="s">
        <v>5971</v>
      </c>
      <c r="N2875" s="2" t="s">
        <v>23</v>
      </c>
      <c r="O2875" s="18" t="s">
        <v>2256</v>
      </c>
      <c r="P2875" s="18" t="s">
        <v>3781</v>
      </c>
      <c r="Q2875" s="6" t="s">
        <v>4475</v>
      </c>
      <c r="T2875" s="23">
        <v>45748</v>
      </c>
      <c r="U2875" s="23">
        <v>46844</v>
      </c>
      <c r="X2875" s="20">
        <v>5000</v>
      </c>
      <c r="Z2875" s="6" t="s">
        <v>5978</v>
      </c>
      <c r="AA2875" s="14">
        <f t="shared" si="375"/>
        <v>5.9999999999999995E-4</v>
      </c>
      <c r="AB2875">
        <v>1.8411659999999999</v>
      </c>
      <c r="AC2875">
        <v>1.9148126399999998</v>
      </c>
    </row>
    <row r="2876" spans="1:29" x14ac:dyDescent="0.3">
      <c r="A2876">
        <v>146856</v>
      </c>
      <c r="B2876" s="25" t="s">
        <v>5984</v>
      </c>
      <c r="C2876" t="s">
        <v>20</v>
      </c>
      <c r="D2876" t="s">
        <v>21</v>
      </c>
      <c r="E2876">
        <v>2222222</v>
      </c>
      <c r="F2876" s="8" t="s">
        <v>22</v>
      </c>
      <c r="G2876" s="2">
        <v>98</v>
      </c>
      <c r="H2876" t="s">
        <v>4341</v>
      </c>
      <c r="J2876" s="9" t="s">
        <v>5143</v>
      </c>
      <c r="K2876" t="s">
        <v>5685</v>
      </c>
      <c r="L2876" s="2">
        <v>1</v>
      </c>
      <c r="M2876" s="24" t="s">
        <v>5971</v>
      </c>
      <c r="N2876" s="2" t="s">
        <v>23</v>
      </c>
      <c r="O2876" s="18" t="s">
        <v>2257</v>
      </c>
      <c r="P2876" s="18" t="s">
        <v>3781</v>
      </c>
      <c r="Q2876" s="6" t="s">
        <v>4475</v>
      </c>
      <c r="T2876" s="23">
        <v>45852</v>
      </c>
      <c r="U2876" s="23">
        <v>51330</v>
      </c>
      <c r="X2876" s="20">
        <v>29000</v>
      </c>
      <c r="Z2876" s="6" t="s">
        <v>5978</v>
      </c>
      <c r="AA2876" s="14">
        <f t="shared" si="375"/>
        <v>5.9999999999999995E-4</v>
      </c>
      <c r="AB2876">
        <v>16.938911999999998</v>
      </c>
      <c r="AC2876">
        <v>17.616468479999998</v>
      </c>
    </row>
    <row r="2877" spans="1:29" x14ac:dyDescent="0.3">
      <c r="A2877">
        <v>148645</v>
      </c>
      <c r="B2877" s="25" t="s">
        <v>5984</v>
      </c>
      <c r="C2877" t="s">
        <v>20</v>
      </c>
      <c r="D2877" t="s">
        <v>21</v>
      </c>
      <c r="E2877">
        <v>2222222</v>
      </c>
      <c r="F2877" s="8" t="s">
        <v>22</v>
      </c>
      <c r="G2877" s="2">
        <v>98</v>
      </c>
      <c r="H2877" t="s">
        <v>4341</v>
      </c>
      <c r="J2877" s="9" t="s">
        <v>4903</v>
      </c>
      <c r="K2877" t="s">
        <v>4893</v>
      </c>
      <c r="L2877" s="2">
        <v>1</v>
      </c>
      <c r="M2877" s="24" t="s">
        <v>5971</v>
      </c>
      <c r="N2877" s="2" t="s">
        <v>23</v>
      </c>
      <c r="O2877" s="18" t="s">
        <v>2258</v>
      </c>
      <c r="P2877" s="18" t="s">
        <v>3781</v>
      </c>
      <c r="Q2877" s="6" t="s">
        <v>4475</v>
      </c>
      <c r="T2877" s="23">
        <v>45970</v>
      </c>
      <c r="U2877" s="23">
        <v>47066</v>
      </c>
      <c r="X2877" s="20">
        <v>1500</v>
      </c>
      <c r="Z2877" s="6" t="s">
        <v>5978</v>
      </c>
      <c r="AA2877" s="14">
        <f t="shared" si="375"/>
        <v>5.9999999999999995E-4</v>
      </c>
      <c r="AB2877">
        <v>0.73732199999999992</v>
      </c>
      <c r="AC2877">
        <v>0.76681487999999998</v>
      </c>
    </row>
    <row r="2878" spans="1:29" x14ac:dyDescent="0.3">
      <c r="A2878">
        <v>148651</v>
      </c>
      <c r="B2878" s="25" t="s">
        <v>5984</v>
      </c>
      <c r="C2878" t="s">
        <v>20</v>
      </c>
      <c r="D2878" t="s">
        <v>21</v>
      </c>
      <c r="E2878">
        <v>2222222</v>
      </c>
      <c r="F2878" s="8" t="s">
        <v>22</v>
      </c>
      <c r="G2878" s="2">
        <v>98</v>
      </c>
      <c r="H2878" t="s">
        <v>4341</v>
      </c>
      <c r="J2878" s="9" t="s">
        <v>5112</v>
      </c>
      <c r="K2878" t="s">
        <v>4841</v>
      </c>
      <c r="L2878" s="2">
        <v>1</v>
      </c>
      <c r="M2878" s="24" t="s">
        <v>5971</v>
      </c>
      <c r="N2878" s="2" t="s">
        <v>23</v>
      </c>
      <c r="O2878" s="18" t="s">
        <v>2259</v>
      </c>
      <c r="P2878" s="18" t="s">
        <v>0</v>
      </c>
      <c r="Q2878" s="6" t="s">
        <v>4475</v>
      </c>
      <c r="T2878" s="23">
        <v>45971</v>
      </c>
      <c r="U2878" s="23">
        <v>47432</v>
      </c>
      <c r="X2878" s="20">
        <v>4000</v>
      </c>
      <c r="Z2878" s="6" t="s">
        <v>5978</v>
      </c>
      <c r="AA2878" s="14">
        <f t="shared" si="375"/>
        <v>5.9999999999999995E-4</v>
      </c>
      <c r="AB2878">
        <v>2.108838</v>
      </c>
      <c r="AC2878">
        <v>2.1931915200000001</v>
      </c>
    </row>
    <row r="2879" spans="1:29" x14ac:dyDescent="0.3">
      <c r="A2879">
        <v>149190</v>
      </c>
      <c r="B2879" s="25" t="s">
        <v>5984</v>
      </c>
      <c r="C2879" t="s">
        <v>20</v>
      </c>
      <c r="D2879" t="s">
        <v>21</v>
      </c>
      <c r="E2879">
        <v>2222222</v>
      </c>
      <c r="F2879" s="8" t="s">
        <v>22</v>
      </c>
      <c r="G2879" s="2">
        <v>98</v>
      </c>
      <c r="H2879" t="s">
        <v>4341</v>
      </c>
      <c r="J2879" s="9" t="s">
        <v>4898</v>
      </c>
      <c r="K2879" t="s">
        <v>5075</v>
      </c>
      <c r="L2879" s="2">
        <v>1</v>
      </c>
      <c r="M2879" s="24" t="s">
        <v>5971</v>
      </c>
      <c r="N2879" s="2" t="s">
        <v>23</v>
      </c>
      <c r="O2879" s="18" t="s">
        <v>1537</v>
      </c>
      <c r="P2879" s="18" t="s">
        <v>3781</v>
      </c>
      <c r="Q2879" s="6" t="s">
        <v>4475</v>
      </c>
      <c r="T2879" s="23">
        <v>46003</v>
      </c>
      <c r="U2879" s="23">
        <v>47098</v>
      </c>
      <c r="X2879" s="20">
        <v>3100</v>
      </c>
      <c r="Z2879" s="6" t="s">
        <v>5978</v>
      </c>
      <c r="AA2879" s="14">
        <f t="shared" si="375"/>
        <v>5.9999999999999995E-4</v>
      </c>
      <c r="AB2879">
        <v>1.567266</v>
      </c>
      <c r="AC2879">
        <v>1.6299566400000001</v>
      </c>
    </row>
    <row r="2880" spans="1:29" x14ac:dyDescent="0.3">
      <c r="A2880">
        <v>150635</v>
      </c>
      <c r="B2880" s="25" t="s">
        <v>5984</v>
      </c>
      <c r="C2880" t="s">
        <v>20</v>
      </c>
      <c r="D2880" t="s">
        <v>21</v>
      </c>
      <c r="E2880">
        <v>2222222</v>
      </c>
      <c r="F2880" s="8" t="s">
        <v>22</v>
      </c>
      <c r="G2880" s="2">
        <v>98</v>
      </c>
      <c r="H2880" t="s">
        <v>4341</v>
      </c>
      <c r="J2880" s="9" t="s">
        <v>5247</v>
      </c>
      <c r="K2880" t="s">
        <v>5696</v>
      </c>
      <c r="L2880" s="2">
        <v>1</v>
      </c>
      <c r="M2880" s="24" t="s">
        <v>5971</v>
      </c>
      <c r="N2880" s="2" t="s">
        <v>23</v>
      </c>
      <c r="O2880" s="18" t="s">
        <v>2254</v>
      </c>
      <c r="P2880" s="18" t="s">
        <v>0</v>
      </c>
      <c r="Q2880" s="6" t="s">
        <v>4475</v>
      </c>
      <c r="T2880" s="23">
        <v>46109</v>
      </c>
      <c r="U2880" s="23">
        <v>48665</v>
      </c>
      <c r="X2880" s="20">
        <v>13500</v>
      </c>
      <c r="Z2880" s="6" t="s">
        <v>5978</v>
      </c>
      <c r="AA2880" s="14">
        <f t="shared" si="375"/>
        <v>5.9999999999999995E-4</v>
      </c>
      <c r="AB2880">
        <v>7.9396559999999994</v>
      </c>
      <c r="AC2880">
        <v>8.2572422400000001</v>
      </c>
    </row>
    <row r="2881" spans="1:29" x14ac:dyDescent="0.3">
      <c r="A2881">
        <v>151988</v>
      </c>
      <c r="B2881" s="25" t="s">
        <v>5984</v>
      </c>
      <c r="C2881" t="s">
        <v>20</v>
      </c>
      <c r="D2881" t="s">
        <v>21</v>
      </c>
      <c r="E2881">
        <v>2222222</v>
      </c>
      <c r="F2881" s="8" t="s">
        <v>22</v>
      </c>
      <c r="G2881" s="2">
        <v>98</v>
      </c>
      <c r="H2881" t="s">
        <v>4341</v>
      </c>
      <c r="J2881" s="9" t="s">
        <v>5050</v>
      </c>
      <c r="K2881" t="s">
        <v>5031</v>
      </c>
      <c r="L2881" s="2">
        <v>1</v>
      </c>
      <c r="M2881" s="24" t="s">
        <v>5971</v>
      </c>
      <c r="N2881" s="2" t="s">
        <v>23</v>
      </c>
      <c r="O2881" s="18" t="s">
        <v>1725</v>
      </c>
      <c r="P2881" s="18" t="s">
        <v>3781</v>
      </c>
      <c r="Q2881" s="6" t="s">
        <v>4475</v>
      </c>
      <c r="T2881" s="23">
        <v>46203</v>
      </c>
      <c r="U2881" s="23">
        <v>46293</v>
      </c>
      <c r="X2881" s="20">
        <v>500</v>
      </c>
      <c r="Z2881" s="6" t="s">
        <v>5978</v>
      </c>
      <c r="AA2881" s="14">
        <f t="shared" si="375"/>
        <v>5.9999999999999995E-4</v>
      </c>
      <c r="AB2881">
        <v>0.3</v>
      </c>
      <c r="AC2881">
        <v>0.312</v>
      </c>
    </row>
    <row r="2882" spans="1:29" x14ac:dyDescent="0.3">
      <c r="A2882">
        <v>152232</v>
      </c>
      <c r="B2882" s="25" t="s">
        <v>5984</v>
      </c>
      <c r="C2882" t="s">
        <v>20</v>
      </c>
      <c r="D2882" t="s">
        <v>21</v>
      </c>
      <c r="E2882">
        <v>2222222</v>
      </c>
      <c r="F2882" s="8" t="s">
        <v>22</v>
      </c>
      <c r="G2882" s="2">
        <v>98</v>
      </c>
      <c r="H2882" t="s">
        <v>4341</v>
      </c>
      <c r="J2882" s="9" t="s">
        <v>4826</v>
      </c>
      <c r="K2882" t="s">
        <v>5160</v>
      </c>
      <c r="L2882" s="2">
        <v>1</v>
      </c>
      <c r="M2882" s="24" t="s">
        <v>5971</v>
      </c>
      <c r="N2882" s="2" t="s">
        <v>23</v>
      </c>
      <c r="O2882" s="18" t="s">
        <v>2260</v>
      </c>
      <c r="P2882" s="18" t="s">
        <v>0</v>
      </c>
      <c r="Q2882" s="6" t="s">
        <v>4475</v>
      </c>
      <c r="T2882" s="23">
        <v>46220</v>
      </c>
      <c r="U2882" s="23">
        <v>47315</v>
      </c>
      <c r="X2882" s="20">
        <v>5000</v>
      </c>
      <c r="Z2882" s="6" t="s">
        <v>5978</v>
      </c>
      <c r="AA2882" s="14">
        <f t="shared" si="375"/>
        <v>5.9999999999999995E-4</v>
      </c>
      <c r="AB2882">
        <v>2.9999999999999996</v>
      </c>
      <c r="AC2882">
        <v>3.1199999999999997</v>
      </c>
    </row>
    <row r="2883" spans="1:29" x14ac:dyDescent="0.3">
      <c r="A2883">
        <v>152324</v>
      </c>
      <c r="B2883" s="25" t="s">
        <v>5984</v>
      </c>
      <c r="C2883" t="s">
        <v>20</v>
      </c>
      <c r="D2883" t="s">
        <v>21</v>
      </c>
      <c r="E2883">
        <v>2222222</v>
      </c>
      <c r="F2883" s="8" t="s">
        <v>22</v>
      </c>
      <c r="G2883" s="2">
        <v>98</v>
      </c>
      <c r="H2883" t="s">
        <v>4341</v>
      </c>
      <c r="J2883" s="9" t="s">
        <v>4967</v>
      </c>
      <c r="K2883" t="s">
        <v>4829</v>
      </c>
      <c r="L2883" s="2">
        <v>1</v>
      </c>
      <c r="M2883" s="24" t="s">
        <v>5971</v>
      </c>
      <c r="N2883" s="2" t="s">
        <v>23</v>
      </c>
      <c r="O2883" s="18" t="s">
        <v>2261</v>
      </c>
      <c r="P2883" s="18" t="s">
        <v>3781</v>
      </c>
      <c r="Q2883" s="6" t="s">
        <v>4475</v>
      </c>
      <c r="T2883" s="23">
        <v>46230</v>
      </c>
      <c r="U2883" s="23">
        <v>46320</v>
      </c>
      <c r="X2883" s="20">
        <v>2850</v>
      </c>
      <c r="Z2883" s="6" t="s">
        <v>5978</v>
      </c>
      <c r="AA2883" s="14">
        <f t="shared" si="375"/>
        <v>5.9999999999999995E-4</v>
      </c>
      <c r="AB2883">
        <v>1.7099999999999997</v>
      </c>
      <c r="AC2883">
        <v>1.7783999999999998</v>
      </c>
    </row>
    <row r="2884" spans="1:29" x14ac:dyDescent="0.3">
      <c r="A2884">
        <v>152325</v>
      </c>
      <c r="B2884" s="25" t="s">
        <v>5984</v>
      </c>
      <c r="C2884" t="s">
        <v>20</v>
      </c>
      <c r="D2884" t="s">
        <v>21</v>
      </c>
      <c r="E2884">
        <v>2222222</v>
      </c>
      <c r="F2884" s="8" t="s">
        <v>22</v>
      </c>
      <c r="G2884" s="2">
        <v>98</v>
      </c>
      <c r="H2884" t="s">
        <v>4341</v>
      </c>
      <c r="J2884" s="9" t="s">
        <v>4967</v>
      </c>
      <c r="K2884" t="s">
        <v>4829</v>
      </c>
      <c r="L2884" s="2">
        <v>1</v>
      </c>
      <c r="M2884" s="24" t="s">
        <v>5971</v>
      </c>
      <c r="N2884" s="2" t="s">
        <v>23</v>
      </c>
      <c r="O2884" s="18" t="s">
        <v>2261</v>
      </c>
      <c r="P2884" s="18" t="s">
        <v>3781</v>
      </c>
      <c r="Q2884" s="6" t="s">
        <v>4475</v>
      </c>
      <c r="T2884" s="23">
        <v>46230</v>
      </c>
      <c r="U2884" s="23">
        <v>46320</v>
      </c>
      <c r="X2884" s="20">
        <v>4000</v>
      </c>
      <c r="Z2884" s="6" t="s">
        <v>5978</v>
      </c>
      <c r="AA2884" s="14">
        <f t="shared" si="375"/>
        <v>5.9999999999999995E-4</v>
      </c>
      <c r="AB2884">
        <v>2.4</v>
      </c>
      <c r="AC2884">
        <v>2.496</v>
      </c>
    </row>
    <row r="2885" spans="1:29" x14ac:dyDescent="0.3">
      <c r="A2885">
        <v>135874</v>
      </c>
      <c r="B2885" s="25" t="s">
        <v>5984</v>
      </c>
      <c r="C2885" t="s">
        <v>20</v>
      </c>
      <c r="D2885" t="s">
        <v>21</v>
      </c>
      <c r="E2885">
        <v>2222222</v>
      </c>
      <c r="F2885" s="8" t="s">
        <v>22</v>
      </c>
      <c r="G2885" s="2">
        <v>98</v>
      </c>
      <c r="H2885" t="s">
        <v>4342</v>
      </c>
      <c r="J2885" s="9" t="s">
        <v>4836</v>
      </c>
      <c r="K2885" t="s">
        <v>4880</v>
      </c>
      <c r="L2885" s="2">
        <v>1</v>
      </c>
      <c r="M2885" s="24" t="s">
        <v>5971</v>
      </c>
      <c r="N2885" s="2" t="s">
        <v>23</v>
      </c>
      <c r="O2885" s="18" t="s">
        <v>2262</v>
      </c>
      <c r="P2885" s="18" t="s">
        <v>3781</v>
      </c>
      <c r="Q2885" s="6" t="s">
        <v>4475</v>
      </c>
      <c r="T2885" s="23">
        <v>45156</v>
      </c>
      <c r="U2885" s="23">
        <v>50634</v>
      </c>
      <c r="X2885" s="20">
        <v>70000</v>
      </c>
      <c r="Z2885" s="6" t="s">
        <v>5978</v>
      </c>
      <c r="AA2885" s="13">
        <f>+(0.56/1000)</f>
        <v>5.6000000000000006E-4</v>
      </c>
      <c r="AB2885">
        <v>35.951596800000004</v>
      </c>
      <c r="AC2885">
        <v>37.389660672000005</v>
      </c>
    </row>
    <row r="2886" spans="1:29" x14ac:dyDescent="0.3">
      <c r="A2886">
        <v>146428</v>
      </c>
      <c r="B2886" s="25" t="s">
        <v>5984</v>
      </c>
      <c r="C2886" t="s">
        <v>20</v>
      </c>
      <c r="D2886" t="s">
        <v>21</v>
      </c>
      <c r="E2886">
        <v>2222222</v>
      </c>
      <c r="F2886" s="8" t="s">
        <v>22</v>
      </c>
      <c r="G2886" s="2">
        <v>98</v>
      </c>
      <c r="H2886" t="s">
        <v>4342</v>
      </c>
      <c r="J2886" s="9" t="s">
        <v>4852</v>
      </c>
      <c r="K2886" t="s">
        <v>5089</v>
      </c>
      <c r="L2886" s="2">
        <v>1</v>
      </c>
      <c r="M2886" s="24" t="s">
        <v>5971</v>
      </c>
      <c r="N2886" s="2" t="s">
        <v>23</v>
      </c>
      <c r="O2886" s="18" t="s">
        <v>2263</v>
      </c>
      <c r="P2886" s="18" t="s">
        <v>0</v>
      </c>
      <c r="Q2886" s="6" t="s">
        <v>4475</v>
      </c>
      <c r="T2886" s="23">
        <v>45820</v>
      </c>
      <c r="U2886" s="23">
        <v>48377</v>
      </c>
      <c r="X2886" s="20">
        <v>2200</v>
      </c>
      <c r="Z2886" s="6" t="s">
        <v>5978</v>
      </c>
      <c r="AA2886" s="14">
        <f t="shared" ref="AA2886:AA2891" si="376">+(0.6/1000)</f>
        <v>5.9999999999999995E-4</v>
      </c>
      <c r="AB2886">
        <v>1.1903759999999999</v>
      </c>
      <c r="AC2886">
        <v>1.2379910399999998</v>
      </c>
    </row>
    <row r="2887" spans="1:29" x14ac:dyDescent="0.3">
      <c r="A2887">
        <v>146751</v>
      </c>
      <c r="B2887" s="25" t="s">
        <v>5984</v>
      </c>
      <c r="C2887" t="s">
        <v>20</v>
      </c>
      <c r="D2887" t="s">
        <v>21</v>
      </c>
      <c r="E2887">
        <v>2222222</v>
      </c>
      <c r="F2887" s="8" t="s">
        <v>22</v>
      </c>
      <c r="G2887" s="2">
        <v>98</v>
      </c>
      <c r="H2887" t="s">
        <v>4342</v>
      </c>
      <c r="J2887" s="9" t="s">
        <v>4836</v>
      </c>
      <c r="K2887" t="s">
        <v>4880</v>
      </c>
      <c r="L2887" s="2">
        <v>1</v>
      </c>
      <c r="M2887" s="24" t="s">
        <v>5971</v>
      </c>
      <c r="N2887" s="2" t="s">
        <v>23</v>
      </c>
      <c r="O2887" s="18" t="s">
        <v>2262</v>
      </c>
      <c r="P2887" s="18" t="s">
        <v>3781</v>
      </c>
      <c r="Q2887" s="6" t="s">
        <v>4475</v>
      </c>
      <c r="T2887" s="23">
        <v>45840</v>
      </c>
      <c r="U2887" s="23">
        <v>46935</v>
      </c>
      <c r="X2887" s="20">
        <v>2780</v>
      </c>
      <c r="Z2887" s="6" t="s">
        <v>5978</v>
      </c>
      <c r="AA2887" s="14">
        <f t="shared" si="376"/>
        <v>5.9999999999999995E-4</v>
      </c>
      <c r="AB2887">
        <v>1.187802</v>
      </c>
      <c r="AC2887">
        <v>1.23531408</v>
      </c>
    </row>
    <row r="2888" spans="1:29" x14ac:dyDescent="0.3">
      <c r="A2888">
        <v>146549</v>
      </c>
      <c r="B2888" s="25" t="s">
        <v>5984</v>
      </c>
      <c r="C2888" t="s">
        <v>20</v>
      </c>
      <c r="D2888" t="s">
        <v>21</v>
      </c>
      <c r="E2888">
        <v>2222222</v>
      </c>
      <c r="F2888" s="8" t="s">
        <v>22</v>
      </c>
      <c r="G2888" s="2">
        <v>98</v>
      </c>
      <c r="H2888" t="s">
        <v>4343</v>
      </c>
      <c r="J2888" s="9" t="s">
        <v>4998</v>
      </c>
      <c r="K2888" t="s">
        <v>5179</v>
      </c>
      <c r="L2888" s="2">
        <v>1</v>
      </c>
      <c r="M2888" s="24" t="s">
        <v>5971</v>
      </c>
      <c r="N2888" s="2" t="s">
        <v>23</v>
      </c>
      <c r="O2888" s="18" t="s">
        <v>2264</v>
      </c>
      <c r="P2888" s="18" t="s">
        <v>3781</v>
      </c>
      <c r="Q2888" s="6" t="s">
        <v>4475</v>
      </c>
      <c r="T2888" s="23">
        <v>45825</v>
      </c>
      <c r="U2888" s="23">
        <v>47286</v>
      </c>
      <c r="X2888" s="20">
        <v>2500</v>
      </c>
      <c r="Z2888" s="6" t="s">
        <v>5978</v>
      </c>
      <c r="AA2888" s="14">
        <f t="shared" si="376"/>
        <v>5.9999999999999995E-4</v>
      </c>
      <c r="AB2888">
        <v>1.1732159999999998</v>
      </c>
      <c r="AC2888">
        <v>1.2201446399999998</v>
      </c>
    </row>
    <row r="2889" spans="1:29" x14ac:dyDescent="0.3">
      <c r="A2889">
        <v>149943</v>
      </c>
      <c r="B2889" s="25" t="s">
        <v>5984</v>
      </c>
      <c r="C2889" t="s">
        <v>20</v>
      </c>
      <c r="D2889" t="s">
        <v>21</v>
      </c>
      <c r="E2889">
        <v>2222222</v>
      </c>
      <c r="F2889" s="8" t="s">
        <v>22</v>
      </c>
      <c r="G2889" s="2">
        <v>98</v>
      </c>
      <c r="H2889" t="s">
        <v>4343</v>
      </c>
      <c r="J2889" s="9" t="s">
        <v>5034</v>
      </c>
      <c r="K2889" t="s">
        <v>4906</v>
      </c>
      <c r="L2889" s="2">
        <v>1</v>
      </c>
      <c r="M2889" s="24" t="s">
        <v>5971</v>
      </c>
      <c r="N2889" s="2" t="s">
        <v>23</v>
      </c>
      <c r="O2889" s="18" t="s">
        <v>499</v>
      </c>
      <c r="P2889" s="18" t="s">
        <v>0</v>
      </c>
      <c r="Q2889" s="6" t="s">
        <v>4475</v>
      </c>
      <c r="T2889" s="23">
        <v>46059</v>
      </c>
      <c r="U2889" s="23">
        <v>46149</v>
      </c>
      <c r="X2889" s="20">
        <v>2960</v>
      </c>
      <c r="Z2889" s="6" t="s">
        <v>5978</v>
      </c>
      <c r="AA2889" s="14">
        <f t="shared" si="376"/>
        <v>5.9999999999999995E-4</v>
      </c>
      <c r="AB2889">
        <v>1.7759999999999998</v>
      </c>
      <c r="AC2889">
        <v>1.8470399999999998</v>
      </c>
    </row>
    <row r="2890" spans="1:29" x14ac:dyDescent="0.3">
      <c r="A2890">
        <v>150172</v>
      </c>
      <c r="B2890" s="25" t="s">
        <v>5984</v>
      </c>
      <c r="C2890" t="s">
        <v>20</v>
      </c>
      <c r="D2890" t="s">
        <v>21</v>
      </c>
      <c r="E2890">
        <v>2222222</v>
      </c>
      <c r="F2890" s="8" t="s">
        <v>22</v>
      </c>
      <c r="G2890" s="2">
        <v>98</v>
      </c>
      <c r="H2890" t="s">
        <v>4343</v>
      </c>
      <c r="J2890" s="9" t="s">
        <v>4883</v>
      </c>
      <c r="K2890" t="s">
        <v>4972</v>
      </c>
      <c r="L2890" s="2">
        <v>1</v>
      </c>
      <c r="M2890" s="24" t="s">
        <v>5971</v>
      </c>
      <c r="N2890" s="2" t="s">
        <v>23</v>
      </c>
      <c r="O2890" s="18" t="s">
        <v>2265</v>
      </c>
      <c r="P2890" s="18" t="s">
        <v>3781</v>
      </c>
      <c r="Q2890" s="6" t="s">
        <v>4475</v>
      </c>
      <c r="T2890" s="23">
        <v>46077</v>
      </c>
      <c r="U2890" s="23">
        <v>47905</v>
      </c>
      <c r="X2890" s="20">
        <v>5000</v>
      </c>
      <c r="Z2890" s="6" t="s">
        <v>5978</v>
      </c>
      <c r="AA2890" s="14">
        <f t="shared" si="376"/>
        <v>5.9999999999999995E-4</v>
      </c>
      <c r="AB2890">
        <v>2.8226339999999999</v>
      </c>
      <c r="AC2890">
        <v>2.9355393599999999</v>
      </c>
    </row>
    <row r="2891" spans="1:29" x14ac:dyDescent="0.3">
      <c r="A2891">
        <v>151677</v>
      </c>
      <c r="B2891" s="25" t="s">
        <v>5984</v>
      </c>
      <c r="C2891" t="s">
        <v>20</v>
      </c>
      <c r="D2891" t="s">
        <v>21</v>
      </c>
      <c r="E2891">
        <v>2222222</v>
      </c>
      <c r="F2891" s="8" t="s">
        <v>22</v>
      </c>
      <c r="G2891" s="2">
        <v>98</v>
      </c>
      <c r="H2891" t="s">
        <v>4343</v>
      </c>
      <c r="J2891" s="9" t="s">
        <v>4883</v>
      </c>
      <c r="K2891" t="s">
        <v>4972</v>
      </c>
      <c r="L2891" s="2">
        <v>1</v>
      </c>
      <c r="M2891" s="24" t="s">
        <v>5971</v>
      </c>
      <c r="N2891" s="2" t="s">
        <v>23</v>
      </c>
      <c r="O2891" s="18" t="s">
        <v>2265</v>
      </c>
      <c r="P2891" s="18" t="s">
        <v>3781</v>
      </c>
      <c r="Q2891" s="6" t="s">
        <v>4475</v>
      </c>
      <c r="T2891" s="23">
        <v>46180</v>
      </c>
      <c r="U2891" s="23">
        <v>47641</v>
      </c>
      <c r="X2891" s="20">
        <v>4370</v>
      </c>
      <c r="Z2891" s="6" t="s">
        <v>5978</v>
      </c>
      <c r="AA2891" s="14">
        <f t="shared" si="376"/>
        <v>5.9999999999999995E-4</v>
      </c>
      <c r="AB2891">
        <v>2.5839659999999998</v>
      </c>
      <c r="AC2891">
        <v>2.6873246399999999</v>
      </c>
    </row>
    <row r="2892" spans="1:29" x14ac:dyDescent="0.3">
      <c r="A2892">
        <v>138533</v>
      </c>
      <c r="B2892" s="25" t="s">
        <v>5984</v>
      </c>
      <c r="C2892" t="s">
        <v>20</v>
      </c>
      <c r="D2892" t="s">
        <v>21</v>
      </c>
      <c r="E2892">
        <v>2222222</v>
      </c>
      <c r="F2892" s="8" t="s">
        <v>22</v>
      </c>
      <c r="G2892" s="2">
        <v>98</v>
      </c>
      <c r="H2892" t="s">
        <v>4344</v>
      </c>
      <c r="J2892" s="9" t="s">
        <v>4852</v>
      </c>
      <c r="K2892" t="s">
        <v>5197</v>
      </c>
      <c r="L2892" s="2">
        <v>1</v>
      </c>
      <c r="M2892" s="24" t="s">
        <v>5971</v>
      </c>
      <c r="N2892" s="2" t="s">
        <v>23</v>
      </c>
      <c r="O2892" s="18" t="s">
        <v>2266</v>
      </c>
      <c r="P2892" s="18" t="s">
        <v>0</v>
      </c>
      <c r="Q2892" s="6" t="s">
        <v>4475</v>
      </c>
      <c r="T2892" s="23">
        <v>45287</v>
      </c>
      <c r="U2892" s="23">
        <v>52682</v>
      </c>
      <c r="X2892" s="20">
        <v>93200</v>
      </c>
      <c r="Z2892" s="6" t="s">
        <v>5978</v>
      </c>
      <c r="AA2892" s="13">
        <f>+(0.56/1000)</f>
        <v>5.6000000000000006E-4</v>
      </c>
      <c r="AB2892">
        <v>49.955735200000007</v>
      </c>
      <c r="AC2892">
        <v>51.953964608000007</v>
      </c>
    </row>
    <row r="2893" spans="1:29" x14ac:dyDescent="0.3">
      <c r="A2893">
        <v>142961</v>
      </c>
      <c r="B2893" s="25" t="s">
        <v>5984</v>
      </c>
      <c r="C2893" t="s">
        <v>20</v>
      </c>
      <c r="D2893" t="s">
        <v>21</v>
      </c>
      <c r="E2893">
        <v>2222222</v>
      </c>
      <c r="F2893" s="8" t="s">
        <v>22</v>
      </c>
      <c r="G2893" s="2">
        <v>98</v>
      </c>
      <c r="H2893" t="s">
        <v>4344</v>
      </c>
      <c r="J2893" s="9" t="s">
        <v>4950</v>
      </c>
      <c r="K2893" t="s">
        <v>4870</v>
      </c>
      <c r="L2893" s="2">
        <v>1</v>
      </c>
      <c r="M2893" s="24" t="s">
        <v>5971</v>
      </c>
      <c r="N2893" s="2" t="s">
        <v>23</v>
      </c>
      <c r="O2893" s="18" t="s">
        <v>2267</v>
      </c>
      <c r="P2893" s="18" t="s">
        <v>0</v>
      </c>
      <c r="Q2893" s="6" t="s">
        <v>4475</v>
      </c>
      <c r="T2893" s="23">
        <v>45578</v>
      </c>
      <c r="U2893" s="23">
        <v>47403</v>
      </c>
      <c r="X2893" s="20">
        <v>10000</v>
      </c>
      <c r="Z2893" s="6" t="s">
        <v>5978</v>
      </c>
      <c r="AA2893" s="14">
        <f t="shared" ref="AA2893:AA2904" si="377">+(0.6/1000)</f>
        <v>5.9999999999999995E-4</v>
      </c>
      <c r="AB2893">
        <v>4.3864559999999999</v>
      </c>
      <c r="AC2893">
        <v>4.5619142400000001</v>
      </c>
    </row>
    <row r="2894" spans="1:29" x14ac:dyDescent="0.3">
      <c r="A2894">
        <v>146094</v>
      </c>
      <c r="B2894" s="25" t="s">
        <v>5984</v>
      </c>
      <c r="C2894" t="s">
        <v>20</v>
      </c>
      <c r="D2894" t="s">
        <v>21</v>
      </c>
      <c r="E2894">
        <v>2222222</v>
      </c>
      <c r="F2894" s="8" t="s">
        <v>22</v>
      </c>
      <c r="G2894" s="2">
        <v>98</v>
      </c>
      <c r="H2894" t="s">
        <v>4344</v>
      </c>
      <c r="J2894" s="9" t="s">
        <v>4911</v>
      </c>
      <c r="K2894" t="s">
        <v>5169</v>
      </c>
      <c r="L2894" s="2">
        <v>1</v>
      </c>
      <c r="M2894" s="24" t="s">
        <v>5971</v>
      </c>
      <c r="N2894" s="2" t="s">
        <v>23</v>
      </c>
      <c r="O2894" s="18" t="s">
        <v>2268</v>
      </c>
      <c r="P2894" s="18" t="s">
        <v>3781</v>
      </c>
      <c r="Q2894" s="6" t="s">
        <v>4475</v>
      </c>
      <c r="T2894" s="23">
        <v>45790</v>
      </c>
      <c r="U2894" s="23">
        <v>46885</v>
      </c>
      <c r="X2894" s="20">
        <v>4000</v>
      </c>
      <c r="Z2894" s="6" t="s">
        <v>5978</v>
      </c>
      <c r="AA2894" s="14">
        <f t="shared" si="377"/>
        <v>5.9999999999999995E-4</v>
      </c>
      <c r="AB2894">
        <v>1.6088279999999999</v>
      </c>
      <c r="AC2894">
        <v>1.67318112</v>
      </c>
    </row>
    <row r="2895" spans="1:29" x14ac:dyDescent="0.3">
      <c r="A2895">
        <v>147030</v>
      </c>
      <c r="B2895" s="25" t="s">
        <v>5984</v>
      </c>
      <c r="C2895" t="s">
        <v>20</v>
      </c>
      <c r="D2895" t="s">
        <v>21</v>
      </c>
      <c r="E2895">
        <v>2222222</v>
      </c>
      <c r="F2895" s="8" t="s">
        <v>22</v>
      </c>
      <c r="G2895" s="2">
        <v>98</v>
      </c>
      <c r="H2895" t="s">
        <v>4344</v>
      </c>
      <c r="J2895" s="9" t="s">
        <v>4836</v>
      </c>
      <c r="K2895" t="s">
        <v>4924</v>
      </c>
      <c r="L2895" s="2">
        <v>1</v>
      </c>
      <c r="M2895" s="24" t="s">
        <v>5971</v>
      </c>
      <c r="N2895" s="2" t="s">
        <v>23</v>
      </c>
      <c r="O2895" s="18" t="s">
        <v>2269</v>
      </c>
      <c r="P2895" s="18" t="s">
        <v>3781</v>
      </c>
      <c r="Q2895" s="6" t="s">
        <v>4475</v>
      </c>
      <c r="T2895" s="23">
        <v>45859</v>
      </c>
      <c r="U2895" s="23">
        <v>46223</v>
      </c>
      <c r="X2895" s="20">
        <v>1250</v>
      </c>
      <c r="Z2895" s="6" t="s">
        <v>5978</v>
      </c>
      <c r="AA2895" s="14">
        <f t="shared" si="377"/>
        <v>5.9999999999999995E-4</v>
      </c>
      <c r="AB2895">
        <v>0.13391999999999998</v>
      </c>
      <c r="AC2895">
        <v>0.13927679999999998</v>
      </c>
    </row>
    <row r="2896" spans="1:29" x14ac:dyDescent="0.3">
      <c r="A2896">
        <v>147762</v>
      </c>
      <c r="B2896" s="25" t="s">
        <v>5984</v>
      </c>
      <c r="C2896" t="s">
        <v>20</v>
      </c>
      <c r="D2896" t="s">
        <v>21</v>
      </c>
      <c r="E2896">
        <v>2222222</v>
      </c>
      <c r="F2896" s="8" t="s">
        <v>22</v>
      </c>
      <c r="G2896" s="2">
        <v>98</v>
      </c>
      <c r="H2896" t="s">
        <v>4344</v>
      </c>
      <c r="J2896" s="10" t="s">
        <v>4892</v>
      </c>
      <c r="K2896" t="s">
        <v>4863</v>
      </c>
      <c r="L2896" s="2">
        <v>1</v>
      </c>
      <c r="M2896" s="24" t="s">
        <v>5971</v>
      </c>
      <c r="N2896" s="2" t="s">
        <v>23</v>
      </c>
      <c r="O2896" s="18" t="s">
        <v>2270</v>
      </c>
      <c r="P2896" s="18" t="s">
        <v>3781</v>
      </c>
      <c r="Q2896" s="6" t="s">
        <v>4475</v>
      </c>
      <c r="T2896" s="23">
        <v>45916</v>
      </c>
      <c r="U2896" s="23">
        <v>51395</v>
      </c>
      <c r="X2896" s="20">
        <v>130000</v>
      </c>
      <c r="Z2896" s="6" t="s">
        <v>5978</v>
      </c>
      <c r="AA2896" s="14">
        <f t="shared" si="377"/>
        <v>5.9999999999999995E-4</v>
      </c>
      <c r="AB2896">
        <v>44.999999999999993</v>
      </c>
      <c r="AC2896">
        <v>46.8</v>
      </c>
    </row>
    <row r="2897" spans="1:29" x14ac:dyDescent="0.3">
      <c r="A2897">
        <v>147861</v>
      </c>
      <c r="B2897" s="25" t="s">
        <v>5984</v>
      </c>
      <c r="C2897" t="s">
        <v>20</v>
      </c>
      <c r="D2897" t="s">
        <v>21</v>
      </c>
      <c r="E2897">
        <v>2222222</v>
      </c>
      <c r="F2897" s="8" t="s">
        <v>22</v>
      </c>
      <c r="G2897" s="2">
        <v>98</v>
      </c>
      <c r="H2897" t="s">
        <v>4344</v>
      </c>
      <c r="J2897" s="11" t="s">
        <v>5011</v>
      </c>
      <c r="K2897" t="s">
        <v>5104</v>
      </c>
      <c r="L2897" s="2">
        <v>1</v>
      </c>
      <c r="M2897" s="24" t="s">
        <v>5971</v>
      </c>
      <c r="N2897" s="2" t="s">
        <v>23</v>
      </c>
      <c r="O2897" s="18" t="s">
        <v>2271</v>
      </c>
      <c r="P2897" s="18" t="s">
        <v>3781</v>
      </c>
      <c r="Q2897" s="6" t="s">
        <v>4475</v>
      </c>
      <c r="T2897" s="23">
        <v>45931</v>
      </c>
      <c r="U2897" s="23">
        <v>48852</v>
      </c>
      <c r="X2897" s="20">
        <v>7600</v>
      </c>
      <c r="Z2897" s="6" t="s">
        <v>5978</v>
      </c>
      <c r="AA2897" s="14">
        <f t="shared" si="377"/>
        <v>5.9999999999999995E-4</v>
      </c>
      <c r="AB2897">
        <v>4.3081620000000003</v>
      </c>
      <c r="AC2897">
        <v>4.48048848</v>
      </c>
    </row>
    <row r="2898" spans="1:29" x14ac:dyDescent="0.3">
      <c r="A2898">
        <v>150001</v>
      </c>
      <c r="B2898" s="25" t="s">
        <v>5984</v>
      </c>
      <c r="C2898" t="s">
        <v>20</v>
      </c>
      <c r="D2898" t="s">
        <v>21</v>
      </c>
      <c r="E2898">
        <v>2222222</v>
      </c>
      <c r="F2898" s="8" t="s">
        <v>22</v>
      </c>
      <c r="G2898" s="2">
        <v>98</v>
      </c>
      <c r="H2898" t="s">
        <v>4344</v>
      </c>
      <c r="J2898" s="9" t="s">
        <v>5277</v>
      </c>
      <c r="K2898" t="s">
        <v>4884</v>
      </c>
      <c r="L2898" s="2">
        <v>1</v>
      </c>
      <c r="M2898" s="24" t="s">
        <v>5971</v>
      </c>
      <c r="N2898" s="2" t="s">
        <v>23</v>
      </c>
      <c r="O2898" s="18" t="s">
        <v>2272</v>
      </c>
      <c r="P2898" s="18" t="s">
        <v>3781</v>
      </c>
      <c r="Q2898" s="6" t="s">
        <v>4475</v>
      </c>
      <c r="T2898" s="23">
        <v>46064</v>
      </c>
      <c r="U2898" s="23">
        <v>46520</v>
      </c>
      <c r="X2898" s="20">
        <v>720</v>
      </c>
      <c r="Z2898" s="6" t="s">
        <v>5978</v>
      </c>
      <c r="AA2898" s="14">
        <f t="shared" si="377"/>
        <v>5.9999999999999995E-4</v>
      </c>
      <c r="AB2898">
        <v>0.29811599999999999</v>
      </c>
      <c r="AC2898">
        <v>0.31004063999999998</v>
      </c>
    </row>
    <row r="2899" spans="1:29" x14ac:dyDescent="0.3">
      <c r="A2899">
        <v>150070</v>
      </c>
      <c r="B2899" s="25" t="s">
        <v>5984</v>
      </c>
      <c r="C2899" t="s">
        <v>20</v>
      </c>
      <c r="D2899" t="s">
        <v>21</v>
      </c>
      <c r="E2899">
        <v>2222222</v>
      </c>
      <c r="F2899" s="8" t="s">
        <v>22</v>
      </c>
      <c r="G2899" s="2">
        <v>98</v>
      </c>
      <c r="H2899" t="s">
        <v>4344</v>
      </c>
      <c r="J2899" s="9" t="s">
        <v>4830</v>
      </c>
      <c r="K2899" t="s">
        <v>5217</v>
      </c>
      <c r="L2899" s="2">
        <v>1</v>
      </c>
      <c r="M2899" s="24" t="s">
        <v>5971</v>
      </c>
      <c r="N2899" s="2" t="s">
        <v>23</v>
      </c>
      <c r="O2899" s="18" t="s">
        <v>2273</v>
      </c>
      <c r="P2899" s="18" t="s">
        <v>3781</v>
      </c>
      <c r="Q2899" s="6" t="s">
        <v>4475</v>
      </c>
      <c r="T2899" s="23">
        <v>46071</v>
      </c>
      <c r="U2899" s="23">
        <v>46438</v>
      </c>
      <c r="X2899" s="20">
        <v>1145</v>
      </c>
      <c r="Z2899" s="6" t="s">
        <v>5978</v>
      </c>
      <c r="AA2899" s="14">
        <f t="shared" si="377"/>
        <v>5.9999999999999995E-4</v>
      </c>
      <c r="AB2899">
        <v>0.41576400000000002</v>
      </c>
      <c r="AC2899">
        <v>0.43239456000000004</v>
      </c>
    </row>
    <row r="2900" spans="1:29" x14ac:dyDescent="0.3">
      <c r="A2900">
        <v>150415</v>
      </c>
      <c r="B2900" s="25" t="s">
        <v>5984</v>
      </c>
      <c r="C2900" t="s">
        <v>20</v>
      </c>
      <c r="D2900" t="s">
        <v>21</v>
      </c>
      <c r="E2900">
        <v>2222222</v>
      </c>
      <c r="F2900" s="8" t="s">
        <v>22</v>
      </c>
      <c r="G2900" s="2">
        <v>98</v>
      </c>
      <c r="H2900" t="s">
        <v>4344</v>
      </c>
      <c r="J2900" s="9" t="s">
        <v>4911</v>
      </c>
      <c r="K2900" t="s">
        <v>5169</v>
      </c>
      <c r="L2900" s="2">
        <v>1</v>
      </c>
      <c r="M2900" s="24" t="s">
        <v>5971</v>
      </c>
      <c r="N2900" s="2" t="s">
        <v>23</v>
      </c>
      <c r="O2900" s="18" t="s">
        <v>2268</v>
      </c>
      <c r="P2900" s="18" t="s">
        <v>3781</v>
      </c>
      <c r="Q2900" s="6" t="s">
        <v>4475</v>
      </c>
      <c r="T2900" s="23">
        <v>46092</v>
      </c>
      <c r="U2900" s="23">
        <v>47552</v>
      </c>
      <c r="X2900" s="20">
        <v>5000</v>
      </c>
      <c r="Z2900" s="6" t="s">
        <v>5978</v>
      </c>
      <c r="AA2900" s="14">
        <f t="shared" si="377"/>
        <v>5.9999999999999995E-4</v>
      </c>
      <c r="AB2900">
        <v>2.8234439999999998</v>
      </c>
      <c r="AC2900">
        <v>2.9363817599999997</v>
      </c>
    </row>
    <row r="2901" spans="1:29" x14ac:dyDescent="0.3">
      <c r="A2901">
        <v>151207</v>
      </c>
      <c r="B2901" s="25" t="s">
        <v>5984</v>
      </c>
      <c r="C2901" t="s">
        <v>20</v>
      </c>
      <c r="D2901" t="s">
        <v>21</v>
      </c>
      <c r="E2901">
        <v>2222222</v>
      </c>
      <c r="F2901" s="8" t="s">
        <v>22</v>
      </c>
      <c r="G2901" s="2">
        <v>98</v>
      </c>
      <c r="H2901" t="s">
        <v>4344</v>
      </c>
      <c r="J2901" s="9" t="s">
        <v>5080</v>
      </c>
      <c r="K2901" t="s">
        <v>4953</v>
      </c>
      <c r="L2901" s="2">
        <v>1</v>
      </c>
      <c r="M2901" s="24" t="s">
        <v>5971</v>
      </c>
      <c r="N2901" s="2" t="s">
        <v>23</v>
      </c>
      <c r="O2901" s="18" t="s">
        <v>2274</v>
      </c>
      <c r="P2901" s="18" t="s">
        <v>0</v>
      </c>
      <c r="Q2901" s="6" t="s">
        <v>4475</v>
      </c>
      <c r="T2901" s="23">
        <v>46147</v>
      </c>
      <c r="U2901" s="23">
        <v>46237</v>
      </c>
      <c r="X2901" s="20">
        <v>1100</v>
      </c>
      <c r="Z2901" s="6" t="s">
        <v>5978</v>
      </c>
      <c r="AA2901" s="14">
        <f t="shared" si="377"/>
        <v>5.9999999999999995E-4</v>
      </c>
      <c r="AB2901">
        <v>0.31957799999999997</v>
      </c>
      <c r="AC2901">
        <v>0.33236112000000001</v>
      </c>
    </row>
    <row r="2902" spans="1:29" x14ac:dyDescent="0.3">
      <c r="A2902">
        <v>151479</v>
      </c>
      <c r="B2902" s="25" t="s">
        <v>5984</v>
      </c>
      <c r="C2902" t="s">
        <v>20</v>
      </c>
      <c r="D2902" t="s">
        <v>21</v>
      </c>
      <c r="E2902">
        <v>2222222</v>
      </c>
      <c r="F2902" s="8" t="s">
        <v>22</v>
      </c>
      <c r="G2902" s="2">
        <v>98</v>
      </c>
      <c r="H2902" t="s">
        <v>4344</v>
      </c>
      <c r="J2902" s="10" t="s">
        <v>4892</v>
      </c>
      <c r="K2902" t="s">
        <v>4863</v>
      </c>
      <c r="L2902" s="2">
        <v>1</v>
      </c>
      <c r="M2902" s="24" t="s">
        <v>5971</v>
      </c>
      <c r="N2902" s="2" t="s">
        <v>23</v>
      </c>
      <c r="O2902" s="18" t="s">
        <v>2270</v>
      </c>
      <c r="P2902" s="18" t="s">
        <v>3781</v>
      </c>
      <c r="Q2902" s="6" t="s">
        <v>4475</v>
      </c>
      <c r="T2902" s="23">
        <v>46168</v>
      </c>
      <c r="U2902" s="23">
        <v>46258</v>
      </c>
      <c r="X2902" s="20">
        <v>4370</v>
      </c>
      <c r="Z2902" s="6" t="s">
        <v>5978</v>
      </c>
      <c r="AA2902" s="14">
        <f t="shared" si="377"/>
        <v>5.9999999999999995E-4</v>
      </c>
      <c r="AB2902">
        <v>0</v>
      </c>
      <c r="AC2902">
        <v>0</v>
      </c>
    </row>
    <row r="2903" spans="1:29" x14ac:dyDescent="0.3">
      <c r="A2903">
        <v>151817</v>
      </c>
      <c r="B2903" s="25" t="s">
        <v>5984</v>
      </c>
      <c r="C2903" t="s">
        <v>20</v>
      </c>
      <c r="D2903" t="s">
        <v>21</v>
      </c>
      <c r="E2903">
        <v>2222222</v>
      </c>
      <c r="F2903" s="8" t="s">
        <v>22</v>
      </c>
      <c r="G2903" s="2">
        <v>98</v>
      </c>
      <c r="H2903" t="s">
        <v>4344</v>
      </c>
      <c r="J2903" s="9" t="s">
        <v>4852</v>
      </c>
      <c r="K2903" t="s">
        <v>5197</v>
      </c>
      <c r="L2903" s="2">
        <v>1</v>
      </c>
      <c r="M2903" s="24" t="s">
        <v>5971</v>
      </c>
      <c r="N2903" s="2" t="s">
        <v>23</v>
      </c>
      <c r="O2903" s="18" t="s">
        <v>2266</v>
      </c>
      <c r="P2903" s="18" t="s">
        <v>0</v>
      </c>
      <c r="Q2903" s="6" t="s">
        <v>4475</v>
      </c>
      <c r="T2903" s="23">
        <v>46189</v>
      </c>
      <c r="U2903" s="23">
        <v>46279</v>
      </c>
      <c r="X2903" s="20">
        <v>3000</v>
      </c>
      <c r="Z2903" s="6" t="s">
        <v>5978</v>
      </c>
      <c r="AA2903" s="14">
        <f t="shared" si="377"/>
        <v>5.9999999999999995E-4</v>
      </c>
      <c r="AB2903">
        <v>1.7999999999999998</v>
      </c>
      <c r="AC2903">
        <v>1.8719999999999999</v>
      </c>
    </row>
    <row r="2904" spans="1:29" x14ac:dyDescent="0.3">
      <c r="A2904">
        <v>152243</v>
      </c>
      <c r="B2904" s="25" t="s">
        <v>5984</v>
      </c>
      <c r="C2904" t="s">
        <v>20</v>
      </c>
      <c r="D2904" t="s">
        <v>21</v>
      </c>
      <c r="E2904">
        <v>2222222</v>
      </c>
      <c r="F2904" s="8" t="s">
        <v>22</v>
      </c>
      <c r="G2904" s="2">
        <v>98</v>
      </c>
      <c r="H2904" t="s">
        <v>4344</v>
      </c>
      <c r="J2904" s="9" t="s">
        <v>4852</v>
      </c>
      <c r="K2904" t="s">
        <v>5197</v>
      </c>
      <c r="L2904" s="2">
        <v>1</v>
      </c>
      <c r="M2904" s="24" t="s">
        <v>5971</v>
      </c>
      <c r="N2904" s="2" t="s">
        <v>23</v>
      </c>
      <c r="O2904" s="18" t="s">
        <v>2266</v>
      </c>
      <c r="P2904" s="18" t="s">
        <v>0</v>
      </c>
      <c r="Q2904" s="6" t="s">
        <v>4475</v>
      </c>
      <c r="T2904" s="23">
        <v>46223</v>
      </c>
      <c r="U2904" s="23">
        <v>46313</v>
      </c>
      <c r="X2904" s="20">
        <v>3000</v>
      </c>
      <c r="Z2904" s="6" t="s">
        <v>5978</v>
      </c>
      <c r="AA2904" s="14">
        <f t="shared" si="377"/>
        <v>5.9999999999999995E-4</v>
      </c>
      <c r="AB2904">
        <v>1.7999999999999998</v>
      </c>
      <c r="AC2904">
        <v>1.8719999999999999</v>
      </c>
    </row>
    <row r="2905" spans="1:29" x14ac:dyDescent="0.3">
      <c r="A2905">
        <v>133735</v>
      </c>
      <c r="B2905" s="25" t="s">
        <v>5984</v>
      </c>
      <c r="C2905" t="s">
        <v>20</v>
      </c>
      <c r="D2905" t="s">
        <v>21</v>
      </c>
      <c r="E2905">
        <v>2222222</v>
      </c>
      <c r="F2905" s="8" t="s">
        <v>22</v>
      </c>
      <c r="G2905" s="2">
        <v>98</v>
      </c>
      <c r="H2905" t="s">
        <v>4345</v>
      </c>
      <c r="J2905" s="9" t="s">
        <v>4877</v>
      </c>
      <c r="K2905" t="s">
        <v>4512</v>
      </c>
      <c r="L2905" s="2">
        <v>1</v>
      </c>
      <c r="M2905" s="24" t="s">
        <v>5971</v>
      </c>
      <c r="N2905" s="2" t="s">
        <v>23</v>
      </c>
      <c r="O2905" s="18" t="s">
        <v>2275</v>
      </c>
      <c r="P2905" s="18" t="s">
        <v>0</v>
      </c>
      <c r="Q2905" s="6" t="s">
        <v>4475</v>
      </c>
      <c r="T2905" s="23">
        <v>45012</v>
      </c>
      <c r="U2905" s="23">
        <v>46107</v>
      </c>
      <c r="X2905" s="20">
        <v>1520</v>
      </c>
      <c r="Z2905" s="6" t="s">
        <v>5978</v>
      </c>
      <c r="AA2905" s="13">
        <f>+(0.56/1000)</f>
        <v>5.6000000000000006E-4</v>
      </c>
      <c r="AB2905">
        <v>0.52922800000000003</v>
      </c>
      <c r="AC2905">
        <v>0.55039712000000007</v>
      </c>
    </row>
    <row r="2906" spans="1:29" x14ac:dyDescent="0.3">
      <c r="A2906">
        <v>149310</v>
      </c>
      <c r="B2906" s="25" t="s">
        <v>5984</v>
      </c>
      <c r="C2906" t="s">
        <v>20</v>
      </c>
      <c r="D2906" t="s">
        <v>21</v>
      </c>
      <c r="E2906">
        <v>2222222</v>
      </c>
      <c r="F2906" s="8" t="s">
        <v>22</v>
      </c>
      <c r="G2906" s="2">
        <v>98</v>
      </c>
      <c r="H2906" t="s">
        <v>4345</v>
      </c>
      <c r="J2906" s="9" t="s">
        <v>5141</v>
      </c>
      <c r="K2906" t="s">
        <v>5070</v>
      </c>
      <c r="L2906" s="2">
        <v>1</v>
      </c>
      <c r="M2906" s="24" t="s">
        <v>5971</v>
      </c>
      <c r="N2906" s="2" t="s">
        <v>23</v>
      </c>
      <c r="O2906" s="18" t="s">
        <v>2276</v>
      </c>
      <c r="P2906" s="18" t="s">
        <v>3781</v>
      </c>
      <c r="Q2906" s="6" t="s">
        <v>4475</v>
      </c>
      <c r="T2906" s="23">
        <v>46013</v>
      </c>
      <c r="U2906" s="23">
        <v>47478</v>
      </c>
      <c r="X2906" s="20">
        <v>4720</v>
      </c>
      <c r="Z2906" s="6" t="s">
        <v>5978</v>
      </c>
      <c r="AA2906" s="14">
        <f>+(0.6/1000)</f>
        <v>5.9999999999999995E-4</v>
      </c>
      <c r="AB2906">
        <v>2.5324800000000001</v>
      </c>
      <c r="AC2906">
        <v>2.6337792000000002</v>
      </c>
    </row>
    <row r="2907" spans="1:29" x14ac:dyDescent="0.3">
      <c r="A2907">
        <v>136816</v>
      </c>
      <c r="B2907" s="25" t="s">
        <v>5984</v>
      </c>
      <c r="C2907" t="s">
        <v>20</v>
      </c>
      <c r="D2907" t="s">
        <v>21</v>
      </c>
      <c r="E2907">
        <v>2222222</v>
      </c>
      <c r="F2907" s="8" t="s">
        <v>22</v>
      </c>
      <c r="G2907" s="2">
        <v>98</v>
      </c>
      <c r="H2907" t="s">
        <v>4346</v>
      </c>
      <c r="J2907" s="9" t="s">
        <v>4929</v>
      </c>
      <c r="K2907" t="s">
        <v>4900</v>
      </c>
      <c r="L2907" s="2">
        <v>1</v>
      </c>
      <c r="M2907" s="24" t="s">
        <v>5971</v>
      </c>
      <c r="N2907" s="2" t="s">
        <v>23</v>
      </c>
      <c r="O2907" s="18" t="s">
        <v>2277</v>
      </c>
      <c r="P2907" s="18" t="s">
        <v>0</v>
      </c>
      <c r="Q2907" s="6" t="s">
        <v>4475</v>
      </c>
      <c r="T2907" s="23">
        <v>45222</v>
      </c>
      <c r="U2907" s="23">
        <v>47048</v>
      </c>
      <c r="X2907" s="20">
        <v>4400</v>
      </c>
      <c r="Z2907" s="6" t="s">
        <v>5978</v>
      </c>
      <c r="AA2907" s="13">
        <f>+(0.56/1000)</f>
        <v>5.6000000000000006E-4</v>
      </c>
      <c r="AB2907">
        <v>1.3538056000000003</v>
      </c>
      <c r="AC2907">
        <v>1.4079578240000004</v>
      </c>
    </row>
    <row r="2908" spans="1:29" x14ac:dyDescent="0.3">
      <c r="A2908">
        <v>142787</v>
      </c>
      <c r="B2908" s="25" t="s">
        <v>5984</v>
      </c>
      <c r="C2908" t="s">
        <v>20</v>
      </c>
      <c r="D2908" t="s">
        <v>21</v>
      </c>
      <c r="E2908">
        <v>2222222</v>
      </c>
      <c r="F2908" s="8" t="s">
        <v>22</v>
      </c>
      <c r="G2908" s="2">
        <v>98</v>
      </c>
      <c r="H2908" t="s">
        <v>4346</v>
      </c>
      <c r="J2908" s="9" t="s">
        <v>5502</v>
      </c>
      <c r="K2908" t="s">
        <v>5097</v>
      </c>
      <c r="L2908" s="2">
        <v>1</v>
      </c>
      <c r="M2908" s="24" t="s">
        <v>5971</v>
      </c>
      <c r="N2908" s="2" t="s">
        <v>23</v>
      </c>
      <c r="O2908" s="18" t="s">
        <v>2278</v>
      </c>
      <c r="P2908" s="18" t="s">
        <v>3781</v>
      </c>
      <c r="Q2908" s="6" t="s">
        <v>4475</v>
      </c>
      <c r="T2908" s="23">
        <v>45544</v>
      </c>
      <c r="U2908" s="23">
        <v>46455</v>
      </c>
      <c r="X2908" s="20">
        <v>5000</v>
      </c>
      <c r="Z2908" s="6" t="s">
        <v>5978</v>
      </c>
      <c r="AA2908" s="14">
        <f t="shared" ref="AA2908:AA2916" si="378">+(0.6/1000)</f>
        <v>5.9999999999999995E-4</v>
      </c>
      <c r="AB2908">
        <v>0.94340999999999986</v>
      </c>
      <c r="AC2908">
        <v>0.98114639999999986</v>
      </c>
    </row>
    <row r="2909" spans="1:29" x14ac:dyDescent="0.3">
      <c r="A2909">
        <v>148927</v>
      </c>
      <c r="B2909" s="25" t="s">
        <v>5984</v>
      </c>
      <c r="C2909" t="s">
        <v>20</v>
      </c>
      <c r="D2909" t="s">
        <v>21</v>
      </c>
      <c r="E2909">
        <v>2222222</v>
      </c>
      <c r="F2909" s="8" t="s">
        <v>22</v>
      </c>
      <c r="G2909" s="2">
        <v>98</v>
      </c>
      <c r="H2909" t="s">
        <v>4346</v>
      </c>
      <c r="J2909" s="9" t="s">
        <v>4871</v>
      </c>
      <c r="K2909" t="s">
        <v>4876</v>
      </c>
      <c r="L2909" s="2">
        <v>1</v>
      </c>
      <c r="M2909" s="24" t="s">
        <v>5971</v>
      </c>
      <c r="N2909" s="2" t="s">
        <v>23</v>
      </c>
      <c r="O2909" s="18" t="s">
        <v>2279</v>
      </c>
      <c r="P2909" s="18" t="s">
        <v>0</v>
      </c>
      <c r="Q2909" s="6" t="s">
        <v>4475</v>
      </c>
      <c r="T2909" s="23">
        <v>45996</v>
      </c>
      <c r="U2909" s="23">
        <v>47821</v>
      </c>
      <c r="X2909" s="20">
        <v>7000</v>
      </c>
      <c r="Z2909" s="6" t="s">
        <v>5978</v>
      </c>
      <c r="AA2909" s="14">
        <f t="shared" si="378"/>
        <v>5.9999999999999995E-4</v>
      </c>
      <c r="AB2909">
        <v>3.8620139999999994</v>
      </c>
      <c r="AC2909">
        <v>4.0164945599999999</v>
      </c>
    </row>
    <row r="2910" spans="1:29" x14ac:dyDescent="0.3">
      <c r="A2910">
        <v>152384</v>
      </c>
      <c r="B2910" s="25" t="s">
        <v>5984</v>
      </c>
      <c r="C2910" t="s">
        <v>20</v>
      </c>
      <c r="D2910" t="s">
        <v>21</v>
      </c>
      <c r="E2910">
        <v>2222222</v>
      </c>
      <c r="F2910" s="8" t="s">
        <v>22</v>
      </c>
      <c r="G2910" s="2">
        <v>98</v>
      </c>
      <c r="H2910" t="s">
        <v>4346</v>
      </c>
      <c r="J2910" s="9" t="s">
        <v>5055</v>
      </c>
      <c r="K2910" t="s">
        <v>4924</v>
      </c>
      <c r="L2910" s="2">
        <v>1</v>
      </c>
      <c r="M2910" s="24" t="s">
        <v>5971</v>
      </c>
      <c r="N2910" s="2" t="s">
        <v>23</v>
      </c>
      <c r="O2910" s="18" t="s">
        <v>2280</v>
      </c>
      <c r="P2910" s="18" t="s">
        <v>3781</v>
      </c>
      <c r="Q2910" s="6" t="s">
        <v>4475</v>
      </c>
      <c r="T2910" s="23">
        <v>46234</v>
      </c>
      <c r="U2910" s="23">
        <v>46324</v>
      </c>
      <c r="X2910" s="20">
        <v>1200</v>
      </c>
      <c r="Z2910" s="6" t="s">
        <v>5978</v>
      </c>
      <c r="AA2910" s="14">
        <f t="shared" si="378"/>
        <v>5.9999999999999995E-4</v>
      </c>
      <c r="AB2910">
        <v>0.72</v>
      </c>
      <c r="AC2910">
        <v>0.74880000000000002</v>
      </c>
    </row>
    <row r="2911" spans="1:29" x14ac:dyDescent="0.3">
      <c r="A2911">
        <v>150683</v>
      </c>
      <c r="B2911" s="25" t="s">
        <v>5984</v>
      </c>
      <c r="C2911" t="s">
        <v>20</v>
      </c>
      <c r="D2911" t="s">
        <v>21</v>
      </c>
      <c r="E2911">
        <v>2222222</v>
      </c>
      <c r="F2911" s="8" t="s">
        <v>22</v>
      </c>
      <c r="G2911" s="2">
        <v>98</v>
      </c>
      <c r="H2911" t="s">
        <v>4347</v>
      </c>
      <c r="J2911" s="9" t="s">
        <v>5697</v>
      </c>
      <c r="K2911" t="s">
        <v>5070</v>
      </c>
      <c r="L2911" s="2">
        <v>1</v>
      </c>
      <c r="M2911" s="24" t="s">
        <v>5971</v>
      </c>
      <c r="N2911" s="2" t="s">
        <v>23</v>
      </c>
      <c r="O2911" s="18" t="s">
        <v>2281</v>
      </c>
      <c r="P2911" s="18" t="s">
        <v>3781</v>
      </c>
      <c r="Q2911" s="6" t="s">
        <v>4475</v>
      </c>
      <c r="T2911" s="23">
        <v>46108</v>
      </c>
      <c r="U2911" s="23">
        <v>46838</v>
      </c>
      <c r="X2911" s="20">
        <v>2000</v>
      </c>
      <c r="Z2911" s="6" t="s">
        <v>5978</v>
      </c>
      <c r="AA2911" s="14">
        <f t="shared" si="378"/>
        <v>5.9999999999999995E-4</v>
      </c>
      <c r="AB2911">
        <v>1.157532</v>
      </c>
      <c r="AC2911">
        <v>1.20383328</v>
      </c>
    </row>
    <row r="2912" spans="1:29" x14ac:dyDescent="0.3">
      <c r="A2912">
        <v>152195</v>
      </c>
      <c r="B2912" s="25" t="s">
        <v>5984</v>
      </c>
      <c r="C2912" t="s">
        <v>20</v>
      </c>
      <c r="D2912" t="s">
        <v>21</v>
      </c>
      <c r="E2912">
        <v>2222222</v>
      </c>
      <c r="F2912" s="8" t="s">
        <v>22</v>
      </c>
      <c r="G2912" s="2">
        <v>98</v>
      </c>
      <c r="H2912" t="s">
        <v>4347</v>
      </c>
      <c r="J2912" s="9" t="s">
        <v>5697</v>
      </c>
      <c r="K2912" t="s">
        <v>5070</v>
      </c>
      <c r="L2912" s="2">
        <v>1</v>
      </c>
      <c r="M2912" s="24" t="s">
        <v>5971</v>
      </c>
      <c r="N2912" s="2" t="s">
        <v>23</v>
      </c>
      <c r="O2912" s="18" t="s">
        <v>2281</v>
      </c>
      <c r="P2912" s="18" t="s">
        <v>3781</v>
      </c>
      <c r="Q2912" s="6" t="s">
        <v>4475</v>
      </c>
      <c r="T2912" s="23">
        <v>46218</v>
      </c>
      <c r="U2912" s="23">
        <v>46308</v>
      </c>
      <c r="X2912" s="20">
        <v>4990</v>
      </c>
      <c r="Z2912" s="6" t="s">
        <v>5978</v>
      </c>
      <c r="AA2912" s="14">
        <f t="shared" si="378"/>
        <v>5.9999999999999995E-4</v>
      </c>
      <c r="AB2912">
        <v>2.9939999999999998</v>
      </c>
      <c r="AC2912">
        <v>3.1137600000000001</v>
      </c>
    </row>
    <row r="2913" spans="1:29" x14ac:dyDescent="0.3">
      <c r="A2913">
        <v>148885</v>
      </c>
      <c r="B2913" s="25" t="s">
        <v>5984</v>
      </c>
      <c r="C2913" t="s">
        <v>20</v>
      </c>
      <c r="D2913" t="s">
        <v>21</v>
      </c>
      <c r="E2913">
        <v>2222222</v>
      </c>
      <c r="F2913" s="8" t="s">
        <v>22</v>
      </c>
      <c r="G2913" s="2">
        <v>98</v>
      </c>
      <c r="H2913" t="s">
        <v>4348</v>
      </c>
      <c r="J2913" s="9" t="s">
        <v>4836</v>
      </c>
      <c r="K2913" t="s">
        <v>4872</v>
      </c>
      <c r="L2913" s="2">
        <v>1</v>
      </c>
      <c r="M2913" s="24" t="s">
        <v>5971</v>
      </c>
      <c r="N2913" s="2" t="s">
        <v>23</v>
      </c>
      <c r="O2913" s="18" t="s">
        <v>2282</v>
      </c>
      <c r="P2913" s="18" t="s">
        <v>3781</v>
      </c>
      <c r="Q2913" s="6" t="s">
        <v>4475</v>
      </c>
      <c r="T2913" s="23">
        <v>45986</v>
      </c>
      <c r="U2913" s="23">
        <v>46716</v>
      </c>
      <c r="X2913" s="20">
        <v>1000</v>
      </c>
      <c r="Z2913" s="6" t="s">
        <v>5978</v>
      </c>
      <c r="AA2913" s="14">
        <f t="shared" si="378"/>
        <v>5.9999999999999995E-4</v>
      </c>
      <c r="AB2913">
        <v>0.42196199999999995</v>
      </c>
      <c r="AC2913">
        <v>0.43884047999999998</v>
      </c>
    </row>
    <row r="2914" spans="1:29" x14ac:dyDescent="0.3">
      <c r="A2914">
        <v>152196</v>
      </c>
      <c r="B2914" s="25" t="s">
        <v>5984</v>
      </c>
      <c r="C2914" t="s">
        <v>20</v>
      </c>
      <c r="D2914" t="s">
        <v>21</v>
      </c>
      <c r="E2914">
        <v>2222222</v>
      </c>
      <c r="F2914" s="8" t="s">
        <v>22</v>
      </c>
      <c r="G2914" s="2">
        <v>98</v>
      </c>
      <c r="H2914" t="s">
        <v>4348</v>
      </c>
      <c r="J2914" s="9" t="s">
        <v>5064</v>
      </c>
      <c r="K2914" t="s">
        <v>4878</v>
      </c>
      <c r="L2914" s="2">
        <v>1</v>
      </c>
      <c r="M2914" s="24" t="s">
        <v>5971</v>
      </c>
      <c r="N2914" s="2" t="s">
        <v>23</v>
      </c>
      <c r="O2914" s="18" t="s">
        <v>2283</v>
      </c>
      <c r="P2914" s="18" t="s">
        <v>3781</v>
      </c>
      <c r="Q2914" s="6" t="s">
        <v>4475</v>
      </c>
      <c r="T2914" s="23">
        <v>46218</v>
      </c>
      <c r="U2914" s="23">
        <v>47314</v>
      </c>
      <c r="X2914" s="20">
        <v>3030</v>
      </c>
      <c r="Z2914" s="6" t="s">
        <v>5978</v>
      </c>
      <c r="AA2914" s="14">
        <f t="shared" si="378"/>
        <v>5.9999999999999995E-4</v>
      </c>
      <c r="AB2914">
        <v>1.8179999999999998</v>
      </c>
      <c r="AC2914">
        <v>1.89072</v>
      </c>
    </row>
    <row r="2915" spans="1:29" x14ac:dyDescent="0.3">
      <c r="A2915">
        <v>150233</v>
      </c>
      <c r="B2915" s="25" t="s">
        <v>5984</v>
      </c>
      <c r="C2915" t="s">
        <v>20</v>
      </c>
      <c r="D2915" t="s">
        <v>21</v>
      </c>
      <c r="E2915">
        <v>2222222</v>
      </c>
      <c r="F2915" s="8" t="s">
        <v>22</v>
      </c>
      <c r="G2915" s="2">
        <v>98</v>
      </c>
      <c r="H2915" t="s">
        <v>4349</v>
      </c>
      <c r="J2915" s="9" t="s">
        <v>5486</v>
      </c>
      <c r="K2915" t="s">
        <v>4926</v>
      </c>
      <c r="L2915" s="2">
        <v>1</v>
      </c>
      <c r="M2915" s="24" t="s">
        <v>5971</v>
      </c>
      <c r="N2915" s="2" t="s">
        <v>23</v>
      </c>
      <c r="O2915" s="18" t="s">
        <v>2284</v>
      </c>
      <c r="P2915" s="18" t="s">
        <v>3781</v>
      </c>
      <c r="Q2915" s="6" t="s">
        <v>4475</v>
      </c>
      <c r="T2915" s="23">
        <v>46080</v>
      </c>
      <c r="U2915" s="23">
        <v>47907</v>
      </c>
      <c r="X2915" s="20">
        <v>7300</v>
      </c>
      <c r="Z2915" s="6" t="s">
        <v>5978</v>
      </c>
      <c r="AA2915" s="14">
        <f t="shared" si="378"/>
        <v>5.9999999999999995E-4</v>
      </c>
      <c r="AB2915">
        <v>4.0933320000000002</v>
      </c>
      <c r="AC2915">
        <v>4.25706528</v>
      </c>
    </row>
    <row r="2916" spans="1:29" x14ac:dyDescent="0.3">
      <c r="A2916">
        <v>150621</v>
      </c>
      <c r="B2916" s="25" t="s">
        <v>5984</v>
      </c>
      <c r="C2916" t="s">
        <v>20</v>
      </c>
      <c r="D2916" t="s">
        <v>21</v>
      </c>
      <c r="E2916">
        <v>2222222</v>
      </c>
      <c r="F2916" s="8" t="s">
        <v>22</v>
      </c>
      <c r="G2916" s="2">
        <v>98</v>
      </c>
      <c r="H2916" t="s">
        <v>4349</v>
      </c>
      <c r="J2916" s="9" t="s">
        <v>5698</v>
      </c>
      <c r="K2916" t="s">
        <v>4875</v>
      </c>
      <c r="L2916" s="2">
        <v>1</v>
      </c>
      <c r="M2916" s="24" t="s">
        <v>5971</v>
      </c>
      <c r="N2916" s="2" t="s">
        <v>23</v>
      </c>
      <c r="O2916" s="18" t="s">
        <v>2285</v>
      </c>
      <c r="P2916" s="18" t="s">
        <v>0</v>
      </c>
      <c r="Q2916" s="6" t="s">
        <v>4475</v>
      </c>
      <c r="T2916" s="23">
        <v>46112</v>
      </c>
      <c r="U2916" s="23">
        <v>47572</v>
      </c>
      <c r="X2916" s="20">
        <v>13000</v>
      </c>
      <c r="Z2916" s="6" t="s">
        <v>5978</v>
      </c>
      <c r="AA2916" s="14">
        <f t="shared" si="378"/>
        <v>5.9999999999999995E-4</v>
      </c>
      <c r="AB2916">
        <v>7.3221239999999996</v>
      </c>
      <c r="AC2916">
        <v>7.6150089599999999</v>
      </c>
    </row>
    <row r="2917" spans="1:29" x14ac:dyDescent="0.3">
      <c r="A2917">
        <v>132357</v>
      </c>
      <c r="B2917" s="25" t="s">
        <v>5984</v>
      </c>
      <c r="C2917" t="s">
        <v>20</v>
      </c>
      <c r="D2917" t="s">
        <v>21</v>
      </c>
      <c r="E2917">
        <v>2222222</v>
      </c>
      <c r="F2917" s="8" t="s">
        <v>22</v>
      </c>
      <c r="G2917" s="2">
        <v>98</v>
      </c>
      <c r="H2917" t="s">
        <v>4350</v>
      </c>
      <c r="J2917" s="9" t="s">
        <v>5152</v>
      </c>
      <c r="K2917" t="s">
        <v>5206</v>
      </c>
      <c r="L2917" s="2">
        <v>1</v>
      </c>
      <c r="M2917" s="24" t="s">
        <v>5971</v>
      </c>
      <c r="N2917" s="2" t="s">
        <v>23</v>
      </c>
      <c r="O2917" s="18" t="s">
        <v>126</v>
      </c>
      <c r="P2917" s="18" t="s">
        <v>3781</v>
      </c>
      <c r="Q2917" s="6" t="s">
        <v>4475</v>
      </c>
      <c r="T2917" s="23">
        <v>44936</v>
      </c>
      <c r="U2917" s="23">
        <v>46456</v>
      </c>
      <c r="X2917" s="20">
        <v>5000</v>
      </c>
      <c r="Z2917" s="6" t="s">
        <v>5978</v>
      </c>
      <c r="AA2917" s="13">
        <f t="shared" ref="AA2917:AA2918" si="379">+(0.56/1000)</f>
        <v>5.6000000000000006E-4</v>
      </c>
      <c r="AB2917">
        <v>0.62321280000000012</v>
      </c>
      <c r="AC2917">
        <v>0.64814131200000014</v>
      </c>
    </row>
    <row r="2918" spans="1:29" x14ac:dyDescent="0.3">
      <c r="A2918">
        <v>140010</v>
      </c>
      <c r="B2918" s="25" t="s">
        <v>5984</v>
      </c>
      <c r="C2918" t="s">
        <v>20</v>
      </c>
      <c r="D2918" t="s">
        <v>21</v>
      </c>
      <c r="E2918">
        <v>2222222</v>
      </c>
      <c r="F2918" s="8" t="s">
        <v>22</v>
      </c>
      <c r="G2918" s="2">
        <v>98</v>
      </c>
      <c r="H2918" t="s">
        <v>4350</v>
      </c>
      <c r="J2918" s="9" t="s">
        <v>5011</v>
      </c>
      <c r="K2918" t="s">
        <v>4861</v>
      </c>
      <c r="L2918" s="2">
        <v>1</v>
      </c>
      <c r="M2918" s="24" t="s">
        <v>5971</v>
      </c>
      <c r="N2918" s="2" t="s">
        <v>23</v>
      </c>
      <c r="O2918" s="18" t="s">
        <v>2286</v>
      </c>
      <c r="P2918" s="18" t="s">
        <v>3781</v>
      </c>
      <c r="Q2918" s="6" t="s">
        <v>4475</v>
      </c>
      <c r="T2918" s="23">
        <v>45360</v>
      </c>
      <c r="U2918" s="23">
        <v>49103</v>
      </c>
      <c r="X2918" s="20">
        <v>16950</v>
      </c>
      <c r="Z2918" s="6" t="s">
        <v>5978</v>
      </c>
      <c r="AA2918" s="13">
        <f t="shared" si="379"/>
        <v>5.6000000000000006E-4</v>
      </c>
      <c r="AB2918">
        <v>8.4698824000000013</v>
      </c>
      <c r="AC2918">
        <v>8.8086776960000019</v>
      </c>
    </row>
    <row r="2919" spans="1:29" x14ac:dyDescent="0.3">
      <c r="A2919">
        <v>144889</v>
      </c>
      <c r="B2919" s="25" t="s">
        <v>5984</v>
      </c>
      <c r="C2919" t="s">
        <v>20</v>
      </c>
      <c r="D2919" t="s">
        <v>21</v>
      </c>
      <c r="E2919">
        <v>2222222</v>
      </c>
      <c r="F2919" s="8" t="s">
        <v>22</v>
      </c>
      <c r="G2919" s="2">
        <v>98</v>
      </c>
      <c r="H2919" t="s">
        <v>4350</v>
      </c>
      <c r="J2919" s="9" t="s">
        <v>5563</v>
      </c>
      <c r="K2919" t="s">
        <v>5025</v>
      </c>
      <c r="L2919" s="2">
        <v>1</v>
      </c>
      <c r="M2919" s="24" t="s">
        <v>5971</v>
      </c>
      <c r="N2919" s="2" t="s">
        <v>23</v>
      </c>
      <c r="O2919" s="18" t="s">
        <v>2287</v>
      </c>
      <c r="P2919" s="18" t="s">
        <v>3781</v>
      </c>
      <c r="Q2919" s="6" t="s">
        <v>4475</v>
      </c>
      <c r="T2919" s="23">
        <v>45695</v>
      </c>
      <c r="U2919" s="23">
        <v>46792</v>
      </c>
      <c r="X2919" s="20">
        <v>3500</v>
      </c>
      <c r="Z2919" s="6" t="s">
        <v>5978</v>
      </c>
      <c r="AA2919" s="14">
        <f t="shared" ref="AA2919:AA2922" si="380">+(0.6/1000)</f>
        <v>5.9999999999999995E-4</v>
      </c>
      <c r="AB2919">
        <v>1.2415019999999999</v>
      </c>
      <c r="AC2919">
        <v>1.2911620799999999</v>
      </c>
    </row>
    <row r="2920" spans="1:29" x14ac:dyDescent="0.3">
      <c r="A2920">
        <v>146881</v>
      </c>
      <c r="B2920" s="25" t="s">
        <v>5984</v>
      </c>
      <c r="C2920" t="s">
        <v>20</v>
      </c>
      <c r="D2920" t="s">
        <v>21</v>
      </c>
      <c r="E2920">
        <v>2222222</v>
      </c>
      <c r="F2920" s="8" t="s">
        <v>22</v>
      </c>
      <c r="G2920" s="2">
        <v>98</v>
      </c>
      <c r="H2920" t="s">
        <v>4350</v>
      </c>
      <c r="J2920" s="9" t="s">
        <v>5502</v>
      </c>
      <c r="K2920" t="s">
        <v>5524</v>
      </c>
      <c r="L2920" s="2">
        <v>1</v>
      </c>
      <c r="M2920" s="24" t="s">
        <v>5971</v>
      </c>
      <c r="N2920" s="2" t="s">
        <v>23</v>
      </c>
      <c r="O2920" s="18" t="s">
        <v>2288</v>
      </c>
      <c r="P2920" s="18" t="s">
        <v>3781</v>
      </c>
      <c r="Q2920" s="6" t="s">
        <v>4475</v>
      </c>
      <c r="T2920" s="23">
        <v>45854</v>
      </c>
      <c r="U2920" s="23">
        <v>47679</v>
      </c>
      <c r="X2920" s="20">
        <v>15000</v>
      </c>
      <c r="Z2920" s="6" t="s">
        <v>5978</v>
      </c>
      <c r="AA2920" s="14">
        <f t="shared" si="380"/>
        <v>5.9999999999999995E-4</v>
      </c>
      <c r="AB2920">
        <v>7.6048139999999993</v>
      </c>
      <c r="AC2920">
        <v>7.9090065599999999</v>
      </c>
    </row>
    <row r="2921" spans="1:29" x14ac:dyDescent="0.3">
      <c r="A2921">
        <v>147299</v>
      </c>
      <c r="B2921" s="25" t="s">
        <v>5984</v>
      </c>
      <c r="C2921" t="s">
        <v>20</v>
      </c>
      <c r="D2921" t="s">
        <v>21</v>
      </c>
      <c r="E2921">
        <v>2222222</v>
      </c>
      <c r="F2921" s="8" t="s">
        <v>22</v>
      </c>
      <c r="G2921" s="2">
        <v>98</v>
      </c>
      <c r="H2921" t="s">
        <v>4350</v>
      </c>
      <c r="J2921" s="9" t="s">
        <v>5247</v>
      </c>
      <c r="K2921" t="s">
        <v>5336</v>
      </c>
      <c r="L2921" s="2">
        <v>1</v>
      </c>
      <c r="M2921" s="24" t="s">
        <v>5971</v>
      </c>
      <c r="N2921" s="2" t="s">
        <v>23</v>
      </c>
      <c r="O2921" s="18" t="s">
        <v>2289</v>
      </c>
      <c r="P2921" s="18" t="s">
        <v>0</v>
      </c>
      <c r="Q2921" s="6" t="s">
        <v>4475</v>
      </c>
      <c r="T2921" s="23">
        <v>45898</v>
      </c>
      <c r="U2921" s="23">
        <v>48454</v>
      </c>
      <c r="X2921" s="20">
        <v>10000</v>
      </c>
      <c r="Z2921" s="6" t="s">
        <v>5978</v>
      </c>
      <c r="AA2921" s="14">
        <f t="shared" si="380"/>
        <v>5.9999999999999995E-4</v>
      </c>
      <c r="AB2921">
        <v>5.5385039999999996</v>
      </c>
      <c r="AC2921">
        <v>5.7600441599999996</v>
      </c>
    </row>
    <row r="2922" spans="1:29" x14ac:dyDescent="0.3">
      <c r="A2922">
        <v>148854</v>
      </c>
      <c r="B2922" s="25" t="s">
        <v>5984</v>
      </c>
      <c r="C2922" t="s">
        <v>20</v>
      </c>
      <c r="D2922" t="s">
        <v>21</v>
      </c>
      <c r="E2922">
        <v>2222222</v>
      </c>
      <c r="F2922" s="8" t="s">
        <v>22</v>
      </c>
      <c r="G2922" s="2">
        <v>98</v>
      </c>
      <c r="H2922" t="s">
        <v>4350</v>
      </c>
      <c r="J2922" s="9" t="s">
        <v>5563</v>
      </c>
      <c r="K2922" t="s">
        <v>5025</v>
      </c>
      <c r="L2922" s="2">
        <v>1</v>
      </c>
      <c r="M2922" s="24" t="s">
        <v>5971</v>
      </c>
      <c r="N2922" s="2" t="s">
        <v>23</v>
      </c>
      <c r="O2922" s="18" t="s">
        <v>2287</v>
      </c>
      <c r="P2922" s="18" t="s">
        <v>3781</v>
      </c>
      <c r="Q2922" s="6" t="s">
        <v>4475</v>
      </c>
      <c r="T2922" s="23">
        <v>45982</v>
      </c>
      <c r="U2922" s="23">
        <v>47443</v>
      </c>
      <c r="X2922" s="20">
        <v>2700</v>
      </c>
      <c r="Z2922" s="6" t="s">
        <v>5978</v>
      </c>
      <c r="AA2922" s="14">
        <f t="shared" si="380"/>
        <v>5.9999999999999995E-4</v>
      </c>
      <c r="AB2922">
        <v>1.449492</v>
      </c>
      <c r="AC2922">
        <v>1.5074716800000001</v>
      </c>
    </row>
    <row r="2923" spans="1:29" x14ac:dyDescent="0.3">
      <c r="A2923">
        <v>133069</v>
      </c>
      <c r="B2923" s="25" t="s">
        <v>5984</v>
      </c>
      <c r="C2923" t="s">
        <v>20</v>
      </c>
      <c r="D2923" t="s">
        <v>21</v>
      </c>
      <c r="E2923">
        <v>2222222</v>
      </c>
      <c r="F2923" s="8" t="s">
        <v>22</v>
      </c>
      <c r="G2923" s="2">
        <v>98</v>
      </c>
      <c r="H2923" t="s">
        <v>4351</v>
      </c>
      <c r="J2923" s="9" t="s">
        <v>5699</v>
      </c>
      <c r="K2923" t="s">
        <v>5700</v>
      </c>
      <c r="L2923" s="2">
        <v>1</v>
      </c>
      <c r="M2923" s="24" t="s">
        <v>5971</v>
      </c>
      <c r="N2923" s="2" t="s">
        <v>23</v>
      </c>
      <c r="O2923" s="18" t="s">
        <v>816</v>
      </c>
      <c r="P2923" s="18" t="s">
        <v>3781</v>
      </c>
      <c r="Q2923" s="6" t="s">
        <v>4475</v>
      </c>
      <c r="T2923" s="23">
        <v>44986</v>
      </c>
      <c r="U2923" s="23">
        <v>46814</v>
      </c>
      <c r="X2923" s="20">
        <v>6000</v>
      </c>
      <c r="Z2923" s="6" t="s">
        <v>5978</v>
      </c>
      <c r="AA2923" s="13">
        <f t="shared" ref="AA2923:AA2924" si="381">+(0.56/1000)</f>
        <v>5.6000000000000006E-4</v>
      </c>
      <c r="AB2923">
        <v>1.6743104000000002</v>
      </c>
      <c r="AC2923">
        <v>1.7412828160000002</v>
      </c>
    </row>
    <row r="2924" spans="1:29" x14ac:dyDescent="0.3">
      <c r="A2924">
        <v>138569</v>
      </c>
      <c r="B2924" s="25" t="s">
        <v>5984</v>
      </c>
      <c r="C2924" t="s">
        <v>20</v>
      </c>
      <c r="D2924" t="s">
        <v>21</v>
      </c>
      <c r="E2924">
        <v>2222222</v>
      </c>
      <c r="F2924" s="8" t="s">
        <v>22</v>
      </c>
      <c r="G2924" s="2">
        <v>98</v>
      </c>
      <c r="H2924" t="s">
        <v>4351</v>
      </c>
      <c r="J2924" s="9" t="s">
        <v>4836</v>
      </c>
      <c r="K2924" t="s">
        <v>4891</v>
      </c>
      <c r="L2924" s="2">
        <v>1</v>
      </c>
      <c r="M2924" s="24" t="s">
        <v>5971</v>
      </c>
      <c r="N2924" s="2" t="s">
        <v>23</v>
      </c>
      <c r="O2924" s="18" t="s">
        <v>2290</v>
      </c>
      <c r="P2924" s="18" t="s">
        <v>3781</v>
      </c>
      <c r="Q2924" s="6" t="s">
        <v>4475</v>
      </c>
      <c r="T2924" s="23">
        <v>45289</v>
      </c>
      <c r="U2924" s="23">
        <v>47205</v>
      </c>
      <c r="X2924" s="20">
        <v>17800</v>
      </c>
      <c r="Z2924" s="6" t="s">
        <v>5978</v>
      </c>
      <c r="AA2924" s="13">
        <f t="shared" si="381"/>
        <v>5.6000000000000006E-4</v>
      </c>
      <c r="AB2924">
        <v>6.1734344000000005</v>
      </c>
      <c r="AC2924">
        <v>6.4203717760000005</v>
      </c>
    </row>
    <row r="2925" spans="1:29" x14ac:dyDescent="0.3">
      <c r="A2925">
        <v>145311</v>
      </c>
      <c r="B2925" s="25" t="s">
        <v>5984</v>
      </c>
      <c r="C2925" t="s">
        <v>20</v>
      </c>
      <c r="D2925" t="s">
        <v>21</v>
      </c>
      <c r="E2925">
        <v>2222222</v>
      </c>
      <c r="F2925" s="8" t="s">
        <v>22</v>
      </c>
      <c r="G2925" s="2">
        <v>98</v>
      </c>
      <c r="H2925" t="s">
        <v>4352</v>
      </c>
      <c r="J2925" s="9" t="s">
        <v>4904</v>
      </c>
      <c r="K2925" t="s">
        <v>5087</v>
      </c>
      <c r="L2925" s="2">
        <v>1</v>
      </c>
      <c r="M2925" s="24" t="s">
        <v>5971</v>
      </c>
      <c r="N2925" s="2" t="s">
        <v>23</v>
      </c>
      <c r="O2925" s="18" t="s">
        <v>2291</v>
      </c>
      <c r="P2925" s="18" t="s">
        <v>3781</v>
      </c>
      <c r="Q2925" s="6" t="s">
        <v>4475</v>
      </c>
      <c r="T2925" s="23">
        <v>45735</v>
      </c>
      <c r="U2925" s="23">
        <v>47560</v>
      </c>
      <c r="X2925" s="20">
        <v>14800</v>
      </c>
      <c r="Z2925" s="6" t="s">
        <v>5978</v>
      </c>
      <c r="AA2925" s="14">
        <f t="shared" ref="AA2925:AA2926" si="382">+(0.6/1000)</f>
        <v>5.9999999999999995E-4</v>
      </c>
      <c r="AB2925">
        <v>7.0845899999999995</v>
      </c>
      <c r="AC2925">
        <v>7.3679736</v>
      </c>
    </row>
    <row r="2926" spans="1:29" x14ac:dyDescent="0.3">
      <c r="A2926">
        <v>148489</v>
      </c>
      <c r="B2926" s="25" t="s">
        <v>5984</v>
      </c>
      <c r="C2926" t="s">
        <v>20</v>
      </c>
      <c r="D2926" t="s">
        <v>21</v>
      </c>
      <c r="E2926">
        <v>2222222</v>
      </c>
      <c r="F2926" s="8" t="s">
        <v>22</v>
      </c>
      <c r="G2926" s="2">
        <v>98</v>
      </c>
      <c r="H2926" t="s">
        <v>4352</v>
      </c>
      <c r="J2926" s="9" t="s">
        <v>5701</v>
      </c>
      <c r="K2926" t="s">
        <v>4836</v>
      </c>
      <c r="L2926" s="2">
        <v>1</v>
      </c>
      <c r="M2926" s="24" t="s">
        <v>5971</v>
      </c>
      <c r="N2926" s="2" t="s">
        <v>23</v>
      </c>
      <c r="O2926" s="18" t="s">
        <v>2292</v>
      </c>
      <c r="P2926" s="18" t="s">
        <v>3781</v>
      </c>
      <c r="Q2926" s="6" t="s">
        <v>4475</v>
      </c>
      <c r="T2926" s="23">
        <v>45819</v>
      </c>
      <c r="U2926" s="23">
        <v>46548</v>
      </c>
      <c r="X2926" s="20">
        <v>1010</v>
      </c>
      <c r="Z2926" s="6" t="s">
        <v>5978</v>
      </c>
      <c r="AA2926" s="14">
        <f t="shared" si="382"/>
        <v>5.9999999999999995E-4</v>
      </c>
      <c r="AB2926">
        <v>0.30174600000000001</v>
      </c>
      <c r="AC2926">
        <v>0.31381584000000001</v>
      </c>
    </row>
    <row r="2927" spans="1:29" x14ac:dyDescent="0.3">
      <c r="A2927">
        <v>136481</v>
      </c>
      <c r="B2927" s="25" t="s">
        <v>5984</v>
      </c>
      <c r="C2927" t="s">
        <v>20</v>
      </c>
      <c r="D2927" t="s">
        <v>21</v>
      </c>
      <c r="E2927">
        <v>2222222</v>
      </c>
      <c r="F2927" s="8" t="s">
        <v>22</v>
      </c>
      <c r="G2927" s="2">
        <v>98</v>
      </c>
      <c r="H2927" t="s">
        <v>4353</v>
      </c>
      <c r="J2927" s="9" t="s">
        <v>5334</v>
      </c>
      <c r="K2927" t="s">
        <v>5297</v>
      </c>
      <c r="L2927" s="2">
        <v>1</v>
      </c>
      <c r="M2927" s="24" t="s">
        <v>5971</v>
      </c>
      <c r="N2927" s="2" t="s">
        <v>23</v>
      </c>
      <c r="O2927" s="18" t="s">
        <v>2293</v>
      </c>
      <c r="P2927" s="18" t="s">
        <v>0</v>
      </c>
      <c r="Q2927" s="6" t="s">
        <v>4475</v>
      </c>
      <c r="T2927" s="23">
        <v>45180</v>
      </c>
      <c r="U2927" s="23">
        <v>46276</v>
      </c>
      <c r="X2927" s="20">
        <v>10000</v>
      </c>
      <c r="Z2927" s="6" t="s">
        <v>5978</v>
      </c>
      <c r="AA2927" s="13">
        <f t="shared" ref="AA2927:AA2928" si="383">+(0.56/1000)</f>
        <v>5.6000000000000006E-4</v>
      </c>
      <c r="AB2927">
        <v>0.38841600000000004</v>
      </c>
      <c r="AC2927">
        <v>0.40395264000000003</v>
      </c>
    </row>
    <row r="2928" spans="1:29" x14ac:dyDescent="0.3">
      <c r="A2928">
        <v>138159</v>
      </c>
      <c r="B2928" s="25" t="s">
        <v>5984</v>
      </c>
      <c r="C2928" t="s">
        <v>20</v>
      </c>
      <c r="D2928" t="s">
        <v>21</v>
      </c>
      <c r="E2928">
        <v>2222222</v>
      </c>
      <c r="F2928" s="8" t="s">
        <v>22</v>
      </c>
      <c r="G2928" s="2">
        <v>98</v>
      </c>
      <c r="H2928" t="s">
        <v>4353</v>
      </c>
      <c r="J2928" s="9" t="s">
        <v>5352</v>
      </c>
      <c r="K2928" t="s">
        <v>5104</v>
      </c>
      <c r="L2928" s="2">
        <v>1</v>
      </c>
      <c r="M2928" s="24" t="s">
        <v>5971</v>
      </c>
      <c r="N2928" s="2" t="s">
        <v>23</v>
      </c>
      <c r="O2928" s="18" t="s">
        <v>2294</v>
      </c>
      <c r="P2928" s="18" t="s">
        <v>3781</v>
      </c>
      <c r="Q2928" s="6" t="s">
        <v>4475</v>
      </c>
      <c r="T2928" s="23">
        <v>45261</v>
      </c>
      <c r="U2928" s="23">
        <v>46723</v>
      </c>
      <c r="X2928" s="20">
        <v>5000</v>
      </c>
      <c r="Z2928" s="6" t="s">
        <v>5978</v>
      </c>
      <c r="AA2928" s="13">
        <f t="shared" si="383"/>
        <v>5.6000000000000006E-4</v>
      </c>
      <c r="AB2928">
        <v>1.2415088000000001</v>
      </c>
      <c r="AC2928">
        <v>1.2911691520000002</v>
      </c>
    </row>
    <row r="2929" spans="1:29" x14ac:dyDescent="0.3">
      <c r="A2929">
        <v>141439</v>
      </c>
      <c r="B2929" s="25" t="s">
        <v>5984</v>
      </c>
      <c r="C2929" t="s">
        <v>20</v>
      </c>
      <c r="D2929" t="s">
        <v>21</v>
      </c>
      <c r="E2929">
        <v>2222222</v>
      </c>
      <c r="F2929" s="8" t="s">
        <v>22</v>
      </c>
      <c r="G2929" s="2">
        <v>98</v>
      </c>
      <c r="H2929" t="s">
        <v>4353</v>
      </c>
      <c r="J2929" s="9" t="s">
        <v>4901</v>
      </c>
      <c r="K2929" t="s">
        <v>5270</v>
      </c>
      <c r="L2929" s="2">
        <v>1</v>
      </c>
      <c r="M2929" s="24" t="s">
        <v>5971</v>
      </c>
      <c r="N2929" s="2" t="s">
        <v>23</v>
      </c>
      <c r="O2929" s="18" t="s">
        <v>1543</v>
      </c>
      <c r="P2929" s="18" t="s">
        <v>0</v>
      </c>
      <c r="Q2929" s="6" t="s">
        <v>4475</v>
      </c>
      <c r="T2929" s="23">
        <v>45466</v>
      </c>
      <c r="U2929" s="23">
        <v>49118</v>
      </c>
      <c r="X2929" s="20">
        <v>50000</v>
      </c>
      <c r="Z2929" s="6" t="s">
        <v>5978</v>
      </c>
      <c r="AA2929" s="14">
        <f t="shared" ref="AA2929:AA2935" si="384">+(0.6/1000)</f>
        <v>5.9999999999999995E-4</v>
      </c>
      <c r="AB2929">
        <v>27.012125999999999</v>
      </c>
      <c r="AC2929">
        <v>28.092611039999998</v>
      </c>
    </row>
    <row r="2930" spans="1:29" x14ac:dyDescent="0.3">
      <c r="A2930">
        <v>145408</v>
      </c>
      <c r="B2930" s="25" t="s">
        <v>5984</v>
      </c>
      <c r="C2930" t="s">
        <v>20</v>
      </c>
      <c r="D2930" t="s">
        <v>21</v>
      </c>
      <c r="E2930">
        <v>2222222</v>
      </c>
      <c r="F2930" s="8" t="s">
        <v>22</v>
      </c>
      <c r="G2930" s="2">
        <v>98</v>
      </c>
      <c r="H2930" t="s">
        <v>4353</v>
      </c>
      <c r="J2930" s="9" t="s">
        <v>5702</v>
      </c>
      <c r="K2930" t="s">
        <v>5703</v>
      </c>
      <c r="L2930" s="2">
        <v>1</v>
      </c>
      <c r="M2930" s="24" t="s">
        <v>5971</v>
      </c>
      <c r="N2930" s="2" t="s">
        <v>23</v>
      </c>
      <c r="O2930" s="18" t="s">
        <v>2295</v>
      </c>
      <c r="P2930" s="18" t="s">
        <v>3781</v>
      </c>
      <c r="Q2930" s="6" t="s">
        <v>4475</v>
      </c>
      <c r="T2930" s="23">
        <v>45735</v>
      </c>
      <c r="U2930" s="23">
        <v>46464</v>
      </c>
      <c r="X2930" s="20">
        <v>3000</v>
      </c>
      <c r="Z2930" s="6" t="s">
        <v>5978</v>
      </c>
      <c r="AA2930" s="14">
        <f t="shared" si="384"/>
        <v>5.9999999999999995E-4</v>
      </c>
      <c r="AB2930">
        <v>0.66928799999999999</v>
      </c>
      <c r="AC2930">
        <v>0.69605952000000004</v>
      </c>
    </row>
    <row r="2931" spans="1:29" x14ac:dyDescent="0.3">
      <c r="A2931">
        <v>146628</v>
      </c>
      <c r="B2931" s="25" t="s">
        <v>5984</v>
      </c>
      <c r="C2931" t="s">
        <v>20</v>
      </c>
      <c r="D2931" t="s">
        <v>21</v>
      </c>
      <c r="E2931">
        <v>2222222</v>
      </c>
      <c r="F2931" s="8" t="s">
        <v>22</v>
      </c>
      <c r="G2931" s="2">
        <v>98</v>
      </c>
      <c r="H2931" t="s">
        <v>4353</v>
      </c>
      <c r="J2931" s="9" t="s">
        <v>5204</v>
      </c>
      <c r="K2931" t="s">
        <v>4950</v>
      </c>
      <c r="L2931" s="2">
        <v>1</v>
      </c>
      <c r="M2931" s="24" t="s">
        <v>5971</v>
      </c>
      <c r="N2931" s="2" t="s">
        <v>23</v>
      </c>
      <c r="O2931" s="18" t="s">
        <v>2296</v>
      </c>
      <c r="P2931" s="18" t="s">
        <v>0</v>
      </c>
      <c r="Q2931" s="6" t="s">
        <v>4475</v>
      </c>
      <c r="T2931" s="23">
        <v>45832</v>
      </c>
      <c r="U2931" s="23">
        <v>47293</v>
      </c>
      <c r="X2931" s="20">
        <v>5000</v>
      </c>
      <c r="Z2931" s="6" t="s">
        <v>5978</v>
      </c>
      <c r="AA2931" s="14">
        <f t="shared" si="384"/>
        <v>5.9999999999999995E-4</v>
      </c>
      <c r="AB2931">
        <v>2.3882219999999998</v>
      </c>
      <c r="AC2931">
        <v>2.4837508800000001</v>
      </c>
    </row>
    <row r="2932" spans="1:29" x14ac:dyDescent="0.3">
      <c r="A2932">
        <v>150037</v>
      </c>
      <c r="B2932" s="25" t="s">
        <v>5984</v>
      </c>
      <c r="C2932" t="s">
        <v>20</v>
      </c>
      <c r="D2932" t="s">
        <v>21</v>
      </c>
      <c r="E2932">
        <v>2222222</v>
      </c>
      <c r="F2932" s="8" t="s">
        <v>22</v>
      </c>
      <c r="G2932" s="2">
        <v>98</v>
      </c>
      <c r="H2932" t="s">
        <v>4353</v>
      </c>
      <c r="J2932" s="9" t="s">
        <v>5334</v>
      </c>
      <c r="K2932" t="s">
        <v>5297</v>
      </c>
      <c r="L2932" s="2">
        <v>1</v>
      </c>
      <c r="M2932" s="24" t="s">
        <v>5971</v>
      </c>
      <c r="N2932" s="2" t="s">
        <v>23</v>
      </c>
      <c r="O2932" s="18" t="s">
        <v>2293</v>
      </c>
      <c r="P2932" s="18" t="s">
        <v>0</v>
      </c>
      <c r="Q2932" s="6" t="s">
        <v>4475</v>
      </c>
      <c r="T2932" s="23">
        <v>46065</v>
      </c>
      <c r="U2932" s="23">
        <v>47163</v>
      </c>
      <c r="X2932" s="20">
        <v>5000</v>
      </c>
      <c r="Z2932" s="6" t="s">
        <v>5978</v>
      </c>
      <c r="AA2932" s="14">
        <f t="shared" si="384"/>
        <v>5.9999999999999995E-4</v>
      </c>
      <c r="AB2932">
        <v>2.6740679999999997</v>
      </c>
      <c r="AC2932">
        <v>2.78103072</v>
      </c>
    </row>
    <row r="2933" spans="1:29" x14ac:dyDescent="0.3">
      <c r="A2933">
        <v>150240</v>
      </c>
      <c r="B2933" s="25" t="s">
        <v>5984</v>
      </c>
      <c r="C2933" t="s">
        <v>20</v>
      </c>
      <c r="D2933" t="s">
        <v>21</v>
      </c>
      <c r="E2933">
        <v>2222222</v>
      </c>
      <c r="F2933" s="8" t="s">
        <v>22</v>
      </c>
      <c r="G2933" s="2">
        <v>98</v>
      </c>
      <c r="H2933" t="s">
        <v>4353</v>
      </c>
      <c r="J2933" s="9" t="s">
        <v>5704</v>
      </c>
      <c r="K2933" t="s">
        <v>5447</v>
      </c>
      <c r="L2933" s="2">
        <v>1</v>
      </c>
      <c r="M2933" s="24" t="s">
        <v>5971</v>
      </c>
      <c r="N2933" s="2" t="s">
        <v>23</v>
      </c>
      <c r="O2933" s="18" t="s">
        <v>2297</v>
      </c>
      <c r="P2933" s="18" t="s">
        <v>3781</v>
      </c>
      <c r="Q2933" s="6" t="s">
        <v>4475</v>
      </c>
      <c r="T2933" s="23">
        <v>46080</v>
      </c>
      <c r="U2933" s="23">
        <v>46170</v>
      </c>
      <c r="X2933" s="20">
        <v>350</v>
      </c>
      <c r="Z2933" s="6" t="s">
        <v>5978</v>
      </c>
      <c r="AA2933" s="14">
        <f t="shared" si="384"/>
        <v>5.9999999999999995E-4</v>
      </c>
      <c r="AB2933">
        <v>0.21</v>
      </c>
      <c r="AC2933">
        <v>0.21840000000000001</v>
      </c>
    </row>
    <row r="2934" spans="1:29" x14ac:dyDescent="0.3">
      <c r="A2934">
        <v>150939</v>
      </c>
      <c r="B2934" s="25" t="s">
        <v>5984</v>
      </c>
      <c r="C2934" t="s">
        <v>20</v>
      </c>
      <c r="D2934" t="s">
        <v>21</v>
      </c>
      <c r="E2934">
        <v>2222222</v>
      </c>
      <c r="F2934" s="8" t="s">
        <v>22</v>
      </c>
      <c r="G2934" s="2">
        <v>98</v>
      </c>
      <c r="H2934" t="s">
        <v>4353</v>
      </c>
      <c r="J2934" s="9" t="s">
        <v>5234</v>
      </c>
      <c r="K2934" t="s">
        <v>4827</v>
      </c>
      <c r="L2934" s="2">
        <v>1</v>
      </c>
      <c r="M2934" s="24" t="s">
        <v>5971</v>
      </c>
      <c r="N2934" s="2" t="s">
        <v>23</v>
      </c>
      <c r="O2934" s="18" t="s">
        <v>2298</v>
      </c>
      <c r="P2934" s="18" t="s">
        <v>0</v>
      </c>
      <c r="Q2934" s="6" t="s">
        <v>4475</v>
      </c>
      <c r="T2934" s="23">
        <v>46128</v>
      </c>
      <c r="U2934" s="23">
        <v>46218</v>
      </c>
      <c r="X2934" s="20">
        <v>4890</v>
      </c>
      <c r="Z2934" s="6" t="s">
        <v>5978</v>
      </c>
      <c r="AA2934" s="14">
        <f t="shared" si="384"/>
        <v>5.9999999999999995E-4</v>
      </c>
      <c r="AB2934">
        <v>2.9339999999999997</v>
      </c>
      <c r="AC2934">
        <v>3.0513599999999999</v>
      </c>
    </row>
    <row r="2935" spans="1:29" x14ac:dyDescent="0.3">
      <c r="A2935">
        <v>151862</v>
      </c>
      <c r="B2935" s="25" t="s">
        <v>5984</v>
      </c>
      <c r="C2935" t="s">
        <v>20</v>
      </c>
      <c r="D2935" t="s">
        <v>21</v>
      </c>
      <c r="E2935">
        <v>2222222</v>
      </c>
      <c r="F2935" s="8" t="s">
        <v>22</v>
      </c>
      <c r="G2935" s="2">
        <v>98</v>
      </c>
      <c r="H2935" t="s">
        <v>4353</v>
      </c>
      <c r="J2935" s="9" t="s">
        <v>5333</v>
      </c>
      <c r="K2935" t="s">
        <v>5118</v>
      </c>
      <c r="L2935" s="2">
        <v>1</v>
      </c>
      <c r="M2935" s="24" t="s">
        <v>5971</v>
      </c>
      <c r="N2935" s="2" t="s">
        <v>23</v>
      </c>
      <c r="O2935" s="18" t="s">
        <v>2299</v>
      </c>
      <c r="P2935" s="18" t="s">
        <v>3781</v>
      </c>
      <c r="Q2935" s="6" t="s">
        <v>4475</v>
      </c>
      <c r="T2935" s="23">
        <v>46192</v>
      </c>
      <c r="U2935" s="23">
        <v>46282</v>
      </c>
      <c r="X2935" s="20">
        <v>1000</v>
      </c>
      <c r="Z2935" s="6" t="s">
        <v>5978</v>
      </c>
      <c r="AA2935" s="14">
        <f t="shared" si="384"/>
        <v>5.9999999999999995E-4</v>
      </c>
      <c r="AB2935">
        <v>0.6</v>
      </c>
      <c r="AC2935">
        <v>0.624</v>
      </c>
    </row>
    <row r="2936" spans="1:29" x14ac:dyDescent="0.3">
      <c r="A2936">
        <v>128619</v>
      </c>
      <c r="B2936" s="25" t="s">
        <v>5984</v>
      </c>
      <c r="C2936" t="s">
        <v>20</v>
      </c>
      <c r="D2936" t="s">
        <v>21</v>
      </c>
      <c r="E2936">
        <v>2222222</v>
      </c>
      <c r="F2936" s="8" t="s">
        <v>22</v>
      </c>
      <c r="G2936" s="2">
        <v>98</v>
      </c>
      <c r="H2936" t="s">
        <v>4354</v>
      </c>
      <c r="J2936" s="9" t="s">
        <v>5120</v>
      </c>
      <c r="K2936" t="s">
        <v>4935</v>
      </c>
      <c r="L2936" s="2">
        <v>1</v>
      </c>
      <c r="M2936" s="24" t="s">
        <v>5971</v>
      </c>
      <c r="N2936" s="2" t="s">
        <v>23</v>
      </c>
      <c r="O2936" s="18" t="s">
        <v>1369</v>
      </c>
      <c r="P2936" s="18" t="s">
        <v>0</v>
      </c>
      <c r="Q2936" s="6" t="s">
        <v>4475</v>
      </c>
      <c r="T2936" s="23">
        <v>44741</v>
      </c>
      <c r="U2936" s="23">
        <v>46567</v>
      </c>
      <c r="X2936" s="20">
        <v>20000</v>
      </c>
      <c r="Z2936" s="6" t="s">
        <v>5978</v>
      </c>
      <c r="AA2936" s="15">
        <f>+(0.42/1000)</f>
        <v>4.1999999999999996E-4</v>
      </c>
      <c r="AB2936">
        <v>2.0357609999999999</v>
      </c>
      <c r="AC2936">
        <v>2.11719144</v>
      </c>
    </row>
    <row r="2937" spans="1:29" x14ac:dyDescent="0.3">
      <c r="A2937">
        <v>133655</v>
      </c>
      <c r="B2937" s="25" t="s">
        <v>5984</v>
      </c>
      <c r="C2937" t="s">
        <v>20</v>
      </c>
      <c r="D2937" t="s">
        <v>21</v>
      </c>
      <c r="E2937">
        <v>2222222</v>
      </c>
      <c r="F2937" s="8" t="s">
        <v>22</v>
      </c>
      <c r="G2937" s="2">
        <v>98</v>
      </c>
      <c r="H2937" t="s">
        <v>4354</v>
      </c>
      <c r="J2937" s="9" t="s">
        <v>5232</v>
      </c>
      <c r="K2937" t="s">
        <v>5057</v>
      </c>
      <c r="L2937" s="2">
        <v>1</v>
      </c>
      <c r="M2937" s="24" t="s">
        <v>5971</v>
      </c>
      <c r="N2937" s="2" t="s">
        <v>23</v>
      </c>
      <c r="O2937" s="18" t="s">
        <v>1318</v>
      </c>
      <c r="P2937" s="18" t="s">
        <v>3781</v>
      </c>
      <c r="Q2937" s="6" t="s">
        <v>4475</v>
      </c>
      <c r="T2937" s="23">
        <v>45015</v>
      </c>
      <c r="U2937" s="23">
        <v>46845</v>
      </c>
      <c r="X2937" s="20">
        <v>7200</v>
      </c>
      <c r="Z2937" s="6" t="s">
        <v>5978</v>
      </c>
      <c r="AA2937" s="13">
        <f>+(0.56/1000)</f>
        <v>5.6000000000000006E-4</v>
      </c>
      <c r="AB2937">
        <v>1.7938928000000003</v>
      </c>
      <c r="AC2937">
        <v>1.8656485120000004</v>
      </c>
    </row>
    <row r="2938" spans="1:29" x14ac:dyDescent="0.3">
      <c r="A2938">
        <v>150155</v>
      </c>
      <c r="B2938" s="25" t="s">
        <v>5984</v>
      </c>
      <c r="C2938" t="s">
        <v>20</v>
      </c>
      <c r="D2938" t="s">
        <v>21</v>
      </c>
      <c r="E2938">
        <v>2222222</v>
      </c>
      <c r="F2938" s="8" t="s">
        <v>22</v>
      </c>
      <c r="G2938" s="2">
        <v>98</v>
      </c>
      <c r="H2938" t="s">
        <v>4354</v>
      </c>
      <c r="J2938" s="9" t="s">
        <v>5705</v>
      </c>
      <c r="K2938" t="s">
        <v>4999</v>
      </c>
      <c r="L2938" s="2">
        <v>1</v>
      </c>
      <c r="M2938" s="24" t="s">
        <v>5971</v>
      </c>
      <c r="N2938" s="2" t="s">
        <v>23</v>
      </c>
      <c r="O2938" s="18" t="s">
        <v>2300</v>
      </c>
      <c r="P2938" s="18" t="s">
        <v>0</v>
      </c>
      <c r="Q2938" s="6" t="s">
        <v>4475</v>
      </c>
      <c r="T2938" s="23">
        <v>46076</v>
      </c>
      <c r="U2938" s="23">
        <v>47175</v>
      </c>
      <c r="X2938" s="20">
        <v>3000</v>
      </c>
      <c r="Z2938" s="6" t="s">
        <v>5978</v>
      </c>
      <c r="AA2938" s="14">
        <f t="shared" ref="AA2938:AA2939" si="385">+(0.6/1000)</f>
        <v>5.9999999999999995E-4</v>
      </c>
      <c r="AB2938">
        <v>1.604454</v>
      </c>
      <c r="AC2938">
        <v>1.66863216</v>
      </c>
    </row>
    <row r="2939" spans="1:29" x14ac:dyDescent="0.3">
      <c r="A2939">
        <v>150293</v>
      </c>
      <c r="B2939" s="25" t="s">
        <v>5984</v>
      </c>
      <c r="C2939" t="s">
        <v>20</v>
      </c>
      <c r="D2939" t="s">
        <v>21</v>
      </c>
      <c r="E2939">
        <v>2222222</v>
      </c>
      <c r="F2939" s="8" t="s">
        <v>22</v>
      </c>
      <c r="G2939" s="2">
        <v>98</v>
      </c>
      <c r="H2939" t="s">
        <v>4354</v>
      </c>
      <c r="J2939" s="9" t="s">
        <v>5120</v>
      </c>
      <c r="K2939" t="s">
        <v>4935</v>
      </c>
      <c r="L2939" s="2">
        <v>1</v>
      </c>
      <c r="M2939" s="24" t="s">
        <v>5971</v>
      </c>
      <c r="N2939" s="2" t="s">
        <v>23</v>
      </c>
      <c r="O2939" s="18" t="s">
        <v>1369</v>
      </c>
      <c r="P2939" s="18" t="s">
        <v>0</v>
      </c>
      <c r="Q2939" s="6" t="s">
        <v>4475</v>
      </c>
      <c r="T2939" s="23">
        <v>46084</v>
      </c>
      <c r="U2939" s="23">
        <v>46449</v>
      </c>
      <c r="X2939" s="20">
        <v>5000</v>
      </c>
      <c r="Z2939" s="6" t="s">
        <v>5978</v>
      </c>
      <c r="AA2939" s="14">
        <f t="shared" si="385"/>
        <v>5.9999999999999995E-4</v>
      </c>
      <c r="AB2939">
        <v>2.0587439999999999</v>
      </c>
      <c r="AC2939">
        <v>2.14109376</v>
      </c>
    </row>
    <row r="2940" spans="1:29" x14ac:dyDescent="0.3">
      <c r="A2940">
        <v>124459</v>
      </c>
      <c r="B2940" s="25" t="s">
        <v>5984</v>
      </c>
      <c r="C2940" t="s">
        <v>20</v>
      </c>
      <c r="D2940" t="s">
        <v>21</v>
      </c>
      <c r="E2940">
        <v>2222222</v>
      </c>
      <c r="F2940" s="8" t="s">
        <v>22</v>
      </c>
      <c r="G2940" s="2">
        <v>98</v>
      </c>
      <c r="H2940" t="s">
        <v>4355</v>
      </c>
      <c r="J2940" s="9" t="s">
        <v>4838</v>
      </c>
      <c r="K2940" t="s">
        <v>4853</v>
      </c>
      <c r="L2940" s="2">
        <v>1</v>
      </c>
      <c r="M2940" s="24" t="s">
        <v>5971</v>
      </c>
      <c r="N2940" s="2" t="s">
        <v>23</v>
      </c>
      <c r="O2940" s="18" t="s">
        <v>2301</v>
      </c>
      <c r="P2940" s="18" t="s">
        <v>0</v>
      </c>
      <c r="Q2940" s="6" t="s">
        <v>4475</v>
      </c>
      <c r="T2940" s="23">
        <v>44540</v>
      </c>
      <c r="U2940" s="23">
        <v>46365</v>
      </c>
      <c r="X2940" s="20">
        <v>6000</v>
      </c>
      <c r="Z2940" s="6" t="s">
        <v>5978</v>
      </c>
      <c r="AA2940" s="15">
        <f t="shared" ref="AA2940:AA2942" si="386">+(0.42/1000)</f>
        <v>4.1999999999999996E-4</v>
      </c>
      <c r="AB2940">
        <v>0.29123219999999994</v>
      </c>
      <c r="AC2940">
        <v>0.30288148799999998</v>
      </c>
    </row>
    <row r="2941" spans="1:29" x14ac:dyDescent="0.3">
      <c r="A2941">
        <v>112607</v>
      </c>
      <c r="B2941" s="25" t="s">
        <v>5984</v>
      </c>
      <c r="C2941" t="s">
        <v>20</v>
      </c>
      <c r="D2941" t="s">
        <v>21</v>
      </c>
      <c r="E2941">
        <v>2222222</v>
      </c>
      <c r="F2941" s="8" t="s">
        <v>22</v>
      </c>
      <c r="G2941" s="2">
        <v>98</v>
      </c>
      <c r="H2941" t="s">
        <v>4356</v>
      </c>
      <c r="J2941" s="9" t="s">
        <v>5018</v>
      </c>
      <c r="K2941" t="s">
        <v>4839</v>
      </c>
      <c r="L2941" s="2">
        <v>1</v>
      </c>
      <c r="M2941" s="24" t="s">
        <v>5971</v>
      </c>
      <c r="N2941" s="2" t="s">
        <v>23</v>
      </c>
      <c r="O2941" s="18" t="s">
        <v>2302</v>
      </c>
      <c r="P2941" s="18" t="s">
        <v>0</v>
      </c>
      <c r="Q2941" s="6" t="s">
        <v>4475</v>
      </c>
      <c r="T2941" s="23">
        <v>43978</v>
      </c>
      <c r="U2941" s="23">
        <v>45819</v>
      </c>
      <c r="X2941" s="20">
        <v>9445</v>
      </c>
      <c r="Z2941" s="6" t="s">
        <v>5978</v>
      </c>
      <c r="AA2941" s="15">
        <f t="shared" si="386"/>
        <v>4.1999999999999996E-4</v>
      </c>
      <c r="AB2941">
        <v>3.8364899999999995</v>
      </c>
      <c r="AC2941">
        <v>3.9899495999999997</v>
      </c>
    </row>
    <row r="2942" spans="1:29" x14ac:dyDescent="0.3">
      <c r="A2942">
        <v>128077</v>
      </c>
      <c r="B2942" s="25" t="s">
        <v>5984</v>
      </c>
      <c r="C2942" t="s">
        <v>20</v>
      </c>
      <c r="D2942" t="s">
        <v>21</v>
      </c>
      <c r="E2942">
        <v>2222222</v>
      </c>
      <c r="F2942" s="8" t="s">
        <v>22</v>
      </c>
      <c r="G2942" s="2">
        <v>98</v>
      </c>
      <c r="H2942" t="s">
        <v>4357</v>
      </c>
      <c r="J2942" s="9" t="s">
        <v>4903</v>
      </c>
      <c r="K2942" t="s">
        <v>4893</v>
      </c>
      <c r="L2942" s="2">
        <v>1</v>
      </c>
      <c r="M2942" s="24" t="s">
        <v>5971</v>
      </c>
      <c r="N2942" s="2" t="s">
        <v>23</v>
      </c>
      <c r="O2942" s="18" t="s">
        <v>1896</v>
      </c>
      <c r="P2942" s="18" t="s">
        <v>3781</v>
      </c>
      <c r="Q2942" s="6" t="s">
        <v>4475</v>
      </c>
      <c r="T2942" s="23">
        <v>44708</v>
      </c>
      <c r="U2942" s="23">
        <v>46625</v>
      </c>
      <c r="X2942" s="20">
        <v>6120</v>
      </c>
      <c r="Z2942" s="6" t="s">
        <v>5978</v>
      </c>
      <c r="AA2942" s="15">
        <f t="shared" si="386"/>
        <v>4.1999999999999996E-4</v>
      </c>
      <c r="AB2942">
        <v>0.77759639999999997</v>
      </c>
      <c r="AC2942">
        <v>0.80870025599999995</v>
      </c>
    </row>
    <row r="2943" spans="1:29" x14ac:dyDescent="0.3">
      <c r="A2943">
        <v>135064</v>
      </c>
      <c r="B2943" s="25" t="s">
        <v>5984</v>
      </c>
      <c r="C2943" t="s">
        <v>20</v>
      </c>
      <c r="D2943" t="s">
        <v>21</v>
      </c>
      <c r="E2943">
        <v>2222222</v>
      </c>
      <c r="F2943" s="8" t="s">
        <v>22</v>
      </c>
      <c r="G2943" s="2">
        <v>98</v>
      </c>
      <c r="H2943" t="s">
        <v>4357</v>
      </c>
      <c r="J2943" s="9" t="s">
        <v>4852</v>
      </c>
      <c r="K2943" t="s">
        <v>5089</v>
      </c>
      <c r="L2943" s="2">
        <v>1</v>
      </c>
      <c r="M2943" s="24" t="s">
        <v>5971</v>
      </c>
      <c r="N2943" s="2" t="s">
        <v>23</v>
      </c>
      <c r="O2943" s="18" t="s">
        <v>2303</v>
      </c>
      <c r="P2943" s="18" t="s">
        <v>0</v>
      </c>
      <c r="Q2943" s="6" t="s">
        <v>4475</v>
      </c>
      <c r="T2943" s="23">
        <v>45098</v>
      </c>
      <c r="U2943" s="23">
        <v>48843</v>
      </c>
      <c r="X2943" s="20">
        <v>30000</v>
      </c>
      <c r="Z2943" s="6" t="s">
        <v>5978</v>
      </c>
      <c r="AA2943" s="13">
        <f t="shared" ref="AA2943:AA2944" si="387">+(0.56/1000)</f>
        <v>5.6000000000000006E-4</v>
      </c>
      <c r="AB2943">
        <v>14.386444800000003</v>
      </c>
      <c r="AC2943">
        <v>14.961902592000003</v>
      </c>
    </row>
    <row r="2944" spans="1:29" x14ac:dyDescent="0.3">
      <c r="A2944">
        <v>137469</v>
      </c>
      <c r="B2944" s="25" t="s">
        <v>5984</v>
      </c>
      <c r="C2944" t="s">
        <v>20</v>
      </c>
      <c r="D2944" t="s">
        <v>21</v>
      </c>
      <c r="E2944">
        <v>2222222</v>
      </c>
      <c r="F2944" s="8" t="s">
        <v>22</v>
      </c>
      <c r="G2944" s="2">
        <v>98</v>
      </c>
      <c r="H2944" t="s">
        <v>4357</v>
      </c>
      <c r="J2944" s="9" t="s">
        <v>4826</v>
      </c>
      <c r="K2944" t="s">
        <v>4853</v>
      </c>
      <c r="L2944" s="2">
        <v>1</v>
      </c>
      <c r="M2944" s="24" t="s">
        <v>5971</v>
      </c>
      <c r="N2944" s="2" t="s">
        <v>23</v>
      </c>
      <c r="O2944" s="18" t="s">
        <v>165</v>
      </c>
      <c r="P2944" s="18" t="s">
        <v>0</v>
      </c>
      <c r="Q2944" s="6" t="s">
        <v>4475</v>
      </c>
      <c r="T2944" s="23">
        <v>45244</v>
      </c>
      <c r="U2944" s="23">
        <v>47893</v>
      </c>
      <c r="X2944" s="20">
        <v>26000</v>
      </c>
      <c r="Z2944" s="6" t="s">
        <v>5978</v>
      </c>
      <c r="AA2944" s="13">
        <f t="shared" si="387"/>
        <v>5.6000000000000006E-4</v>
      </c>
      <c r="AB2944">
        <v>11.195139200000002</v>
      </c>
      <c r="AC2944">
        <v>11.642944768000001</v>
      </c>
    </row>
    <row r="2945" spans="1:29" x14ac:dyDescent="0.3">
      <c r="A2945">
        <v>144392</v>
      </c>
      <c r="B2945" s="25" t="s">
        <v>5984</v>
      </c>
      <c r="C2945" t="s">
        <v>20</v>
      </c>
      <c r="D2945" t="s">
        <v>21</v>
      </c>
      <c r="E2945">
        <v>2222222</v>
      </c>
      <c r="F2945" s="8" t="s">
        <v>22</v>
      </c>
      <c r="G2945" s="2">
        <v>98</v>
      </c>
      <c r="H2945" t="s">
        <v>4357</v>
      </c>
      <c r="J2945" s="9" t="s">
        <v>4900</v>
      </c>
      <c r="K2945" t="s">
        <v>4902</v>
      </c>
      <c r="L2945" s="2">
        <v>1</v>
      </c>
      <c r="M2945" s="24" t="s">
        <v>5971</v>
      </c>
      <c r="N2945" s="2" t="s">
        <v>23</v>
      </c>
      <c r="O2945" s="18" t="s">
        <v>2304</v>
      </c>
      <c r="P2945" s="18" t="s">
        <v>0</v>
      </c>
      <c r="Q2945" s="6" t="s">
        <v>4475</v>
      </c>
      <c r="T2945" s="23">
        <v>45659</v>
      </c>
      <c r="U2945" s="23">
        <v>47119</v>
      </c>
      <c r="X2945" s="20">
        <v>5000</v>
      </c>
      <c r="Z2945" s="6" t="s">
        <v>5978</v>
      </c>
      <c r="AA2945" s="14">
        <f t="shared" ref="AA2945:AA2948" si="388">+(0.6/1000)</f>
        <v>5.9999999999999995E-4</v>
      </c>
      <c r="AB2945">
        <v>2.1152279999999997</v>
      </c>
      <c r="AC2945">
        <v>2.1998371199999998</v>
      </c>
    </row>
    <row r="2946" spans="1:29" x14ac:dyDescent="0.3">
      <c r="A2946">
        <v>150980</v>
      </c>
      <c r="B2946" s="25" t="s">
        <v>5984</v>
      </c>
      <c r="C2946" t="s">
        <v>20</v>
      </c>
      <c r="D2946" t="s">
        <v>21</v>
      </c>
      <c r="E2946">
        <v>2222222</v>
      </c>
      <c r="F2946" s="8" t="s">
        <v>22</v>
      </c>
      <c r="G2946" s="2">
        <v>98</v>
      </c>
      <c r="H2946" t="s">
        <v>4357</v>
      </c>
      <c r="J2946" s="9" t="s">
        <v>4852</v>
      </c>
      <c r="K2946" t="s">
        <v>4841</v>
      </c>
      <c r="L2946" s="2">
        <v>1</v>
      </c>
      <c r="M2946" s="24" t="s">
        <v>5971</v>
      </c>
      <c r="N2946" s="2" t="s">
        <v>23</v>
      </c>
      <c r="O2946" s="18" t="s">
        <v>673</v>
      </c>
      <c r="P2946" s="18" t="s">
        <v>0</v>
      </c>
      <c r="Q2946" s="6" t="s">
        <v>4475</v>
      </c>
      <c r="T2946" s="23">
        <v>46130</v>
      </c>
      <c r="U2946" s="23">
        <v>46861</v>
      </c>
      <c r="X2946" s="20">
        <v>1000</v>
      </c>
      <c r="Z2946" s="6" t="s">
        <v>5978</v>
      </c>
      <c r="AA2946" s="14">
        <f t="shared" si="388"/>
        <v>5.9999999999999995E-4</v>
      </c>
      <c r="AB2946">
        <v>0.53566199999999997</v>
      </c>
      <c r="AC2946">
        <v>0.55708848</v>
      </c>
    </row>
    <row r="2947" spans="1:29" x14ac:dyDescent="0.3">
      <c r="A2947">
        <v>151580</v>
      </c>
      <c r="B2947" s="25" t="s">
        <v>5984</v>
      </c>
      <c r="C2947" t="s">
        <v>20</v>
      </c>
      <c r="D2947" t="s">
        <v>21</v>
      </c>
      <c r="E2947">
        <v>2222222</v>
      </c>
      <c r="F2947" s="8" t="s">
        <v>22</v>
      </c>
      <c r="G2947" s="2">
        <v>98</v>
      </c>
      <c r="H2947" t="s">
        <v>4357</v>
      </c>
      <c r="J2947" s="9" t="s">
        <v>4884</v>
      </c>
      <c r="K2947" t="s">
        <v>4941</v>
      </c>
      <c r="L2947" s="2">
        <v>1</v>
      </c>
      <c r="M2947" s="24" t="s">
        <v>5971</v>
      </c>
      <c r="N2947" s="2" t="s">
        <v>23</v>
      </c>
      <c r="O2947" s="18" t="s">
        <v>2305</v>
      </c>
      <c r="P2947" s="18" t="s">
        <v>3781</v>
      </c>
      <c r="Q2947" s="6" t="s">
        <v>4475</v>
      </c>
      <c r="T2947" s="23">
        <v>46175</v>
      </c>
      <c r="U2947" s="23">
        <v>47271</v>
      </c>
      <c r="X2947" s="20">
        <v>5000</v>
      </c>
      <c r="Z2947" s="6" t="s">
        <v>5978</v>
      </c>
      <c r="AA2947" s="14">
        <f t="shared" si="388"/>
        <v>5.9999999999999995E-4</v>
      </c>
      <c r="AB2947">
        <v>2.9361659999999996</v>
      </c>
      <c r="AC2947">
        <v>3.0536126399999999</v>
      </c>
    </row>
    <row r="2948" spans="1:29" x14ac:dyDescent="0.3">
      <c r="A2948">
        <v>146423</v>
      </c>
      <c r="B2948" s="25" t="s">
        <v>5984</v>
      </c>
      <c r="C2948" t="s">
        <v>20</v>
      </c>
      <c r="D2948" t="s">
        <v>21</v>
      </c>
      <c r="E2948">
        <v>2222222</v>
      </c>
      <c r="F2948" s="8" t="s">
        <v>22</v>
      </c>
      <c r="G2948" s="2">
        <v>98</v>
      </c>
      <c r="H2948" t="s">
        <v>4358</v>
      </c>
      <c r="J2948" s="9" t="s">
        <v>5485</v>
      </c>
      <c r="K2948" t="s">
        <v>5265</v>
      </c>
      <c r="L2948" s="2">
        <v>1</v>
      </c>
      <c r="M2948" s="24" t="s">
        <v>5971</v>
      </c>
      <c r="N2948" s="2" t="s">
        <v>23</v>
      </c>
      <c r="O2948" s="18" t="s">
        <v>2306</v>
      </c>
      <c r="P2948" s="18" t="s">
        <v>0</v>
      </c>
      <c r="Q2948" s="6" t="s">
        <v>4475</v>
      </c>
      <c r="T2948" s="23">
        <v>45819</v>
      </c>
      <c r="U2948" s="23">
        <v>47280</v>
      </c>
      <c r="X2948" s="20">
        <v>25000</v>
      </c>
      <c r="Z2948" s="6" t="s">
        <v>5978</v>
      </c>
      <c r="AA2948" s="14">
        <f t="shared" si="388"/>
        <v>5.9999999999999995E-4</v>
      </c>
      <c r="AB2948">
        <v>8.4809399999999986</v>
      </c>
      <c r="AC2948">
        <v>8.8201775999999992</v>
      </c>
    </row>
    <row r="2949" spans="1:29" x14ac:dyDescent="0.3">
      <c r="A2949">
        <v>137026</v>
      </c>
      <c r="B2949" s="25" t="s">
        <v>5984</v>
      </c>
      <c r="C2949" t="s">
        <v>20</v>
      </c>
      <c r="D2949" t="s">
        <v>21</v>
      </c>
      <c r="E2949">
        <v>2222222</v>
      </c>
      <c r="F2949" s="8" t="s">
        <v>22</v>
      </c>
      <c r="G2949" s="2">
        <v>98</v>
      </c>
      <c r="H2949" t="s">
        <v>4359</v>
      </c>
      <c r="J2949" s="9" t="s">
        <v>4936</v>
      </c>
      <c r="K2949" t="s">
        <v>4827</v>
      </c>
      <c r="L2949" s="2">
        <v>1</v>
      </c>
      <c r="M2949" s="24" t="s">
        <v>5971</v>
      </c>
      <c r="N2949" s="2" t="s">
        <v>23</v>
      </c>
      <c r="O2949" s="18" t="s">
        <v>2307</v>
      </c>
      <c r="P2949" s="18" t="s">
        <v>0</v>
      </c>
      <c r="Q2949" s="6" t="s">
        <v>4475</v>
      </c>
      <c r="T2949" s="23">
        <v>45239</v>
      </c>
      <c r="U2949" s="23">
        <v>48892</v>
      </c>
      <c r="X2949" s="20">
        <v>75000</v>
      </c>
      <c r="Z2949" s="6" t="s">
        <v>5978</v>
      </c>
      <c r="AA2949" s="13">
        <f>+(0.56/1000)</f>
        <v>5.6000000000000006E-4</v>
      </c>
      <c r="AB2949">
        <v>36.374856000000001</v>
      </c>
      <c r="AC2949">
        <v>37.829850240000006</v>
      </c>
    </row>
    <row r="2950" spans="1:29" x14ac:dyDescent="0.3">
      <c r="A2950">
        <v>141548</v>
      </c>
      <c r="B2950" s="25" t="s">
        <v>5984</v>
      </c>
      <c r="C2950" t="s">
        <v>20</v>
      </c>
      <c r="D2950" t="s">
        <v>21</v>
      </c>
      <c r="E2950">
        <v>2222222</v>
      </c>
      <c r="F2950" s="8" t="s">
        <v>22</v>
      </c>
      <c r="G2950" s="2">
        <v>98</v>
      </c>
      <c r="H2950" t="s">
        <v>4360</v>
      </c>
      <c r="J2950" s="9" t="s">
        <v>5706</v>
      </c>
      <c r="K2950" t="s">
        <v>5707</v>
      </c>
      <c r="L2950" s="2">
        <v>1</v>
      </c>
      <c r="M2950" s="24" t="s">
        <v>5971</v>
      </c>
      <c r="N2950" s="2" t="s">
        <v>23</v>
      </c>
      <c r="O2950" s="18" t="s">
        <v>2308</v>
      </c>
      <c r="P2950" s="18" t="s">
        <v>0</v>
      </c>
      <c r="Q2950" s="6" t="s">
        <v>4475</v>
      </c>
      <c r="T2950" s="23">
        <v>45464</v>
      </c>
      <c r="U2950" s="23">
        <v>47351</v>
      </c>
      <c r="X2950" s="20">
        <v>16000</v>
      </c>
      <c r="Z2950" s="6" t="s">
        <v>5978</v>
      </c>
      <c r="AA2950" s="14">
        <f t="shared" ref="AA2950:AA2951" si="389">+(0.6/1000)</f>
        <v>5.9999999999999995E-4</v>
      </c>
      <c r="AB2950">
        <v>8.5522859999999987</v>
      </c>
      <c r="AC2950">
        <v>8.8943774399999995</v>
      </c>
    </row>
    <row r="2951" spans="1:29" x14ac:dyDescent="0.3">
      <c r="A2951">
        <v>142643</v>
      </c>
      <c r="B2951" s="25" t="s">
        <v>5984</v>
      </c>
      <c r="C2951" t="s">
        <v>20</v>
      </c>
      <c r="D2951" t="s">
        <v>21</v>
      </c>
      <c r="E2951">
        <v>2222222</v>
      </c>
      <c r="F2951" s="8" t="s">
        <v>22</v>
      </c>
      <c r="G2951" s="2">
        <v>98</v>
      </c>
      <c r="H2951" t="s">
        <v>4360</v>
      </c>
      <c r="J2951" s="9" t="s">
        <v>5706</v>
      </c>
      <c r="K2951" t="s">
        <v>5707</v>
      </c>
      <c r="L2951" s="2">
        <v>1</v>
      </c>
      <c r="M2951" s="24" t="s">
        <v>5971</v>
      </c>
      <c r="N2951" s="2" t="s">
        <v>23</v>
      </c>
      <c r="O2951" s="18" t="s">
        <v>2308</v>
      </c>
      <c r="P2951" s="18" t="s">
        <v>0</v>
      </c>
      <c r="Q2951" s="6" t="s">
        <v>4475</v>
      </c>
      <c r="T2951" s="23">
        <v>45534</v>
      </c>
      <c r="U2951" s="23">
        <v>47451</v>
      </c>
      <c r="X2951" s="20">
        <v>15000</v>
      </c>
      <c r="Z2951" s="6" t="s">
        <v>5978</v>
      </c>
      <c r="AA2951" s="14">
        <f t="shared" si="389"/>
        <v>5.9999999999999995E-4</v>
      </c>
      <c r="AB2951">
        <v>8.3723039999999997</v>
      </c>
      <c r="AC2951">
        <v>8.7071961600000005</v>
      </c>
    </row>
    <row r="2952" spans="1:29" x14ac:dyDescent="0.3">
      <c r="A2952">
        <v>130303</v>
      </c>
      <c r="B2952" s="25" t="s">
        <v>5984</v>
      </c>
      <c r="C2952" t="s">
        <v>20</v>
      </c>
      <c r="D2952" t="s">
        <v>21</v>
      </c>
      <c r="E2952">
        <v>2222222</v>
      </c>
      <c r="F2952" s="8" t="s">
        <v>22</v>
      </c>
      <c r="G2952" s="2">
        <v>98</v>
      </c>
      <c r="H2952" t="s">
        <v>4361</v>
      </c>
      <c r="J2952" s="9" t="s">
        <v>4830</v>
      </c>
      <c r="L2952" s="2">
        <v>1</v>
      </c>
      <c r="M2952" s="24" t="s">
        <v>5971</v>
      </c>
      <c r="N2952" s="2" t="s">
        <v>23</v>
      </c>
      <c r="O2952" s="18" t="s">
        <v>2309</v>
      </c>
      <c r="P2952" s="18" t="s">
        <v>3781</v>
      </c>
      <c r="Q2952" s="6" t="s">
        <v>4475</v>
      </c>
      <c r="T2952" s="23">
        <v>44840</v>
      </c>
      <c r="U2952" s="23">
        <v>46300</v>
      </c>
      <c r="X2952" s="20">
        <v>5000</v>
      </c>
      <c r="Z2952" s="6" t="s">
        <v>5978</v>
      </c>
      <c r="AA2952" s="13">
        <f t="shared" ref="AA2952:AA2954" si="390">+(0.56/1000)</f>
        <v>5.6000000000000006E-4</v>
      </c>
      <c r="AB2952">
        <v>0.24291680000000002</v>
      </c>
      <c r="AC2952">
        <v>0.25263347200000003</v>
      </c>
    </row>
    <row r="2953" spans="1:29" x14ac:dyDescent="0.3">
      <c r="A2953">
        <v>136226</v>
      </c>
      <c r="B2953" s="25" t="s">
        <v>5984</v>
      </c>
      <c r="C2953" t="s">
        <v>20</v>
      </c>
      <c r="D2953" t="s">
        <v>21</v>
      </c>
      <c r="E2953">
        <v>2222222</v>
      </c>
      <c r="F2953" s="8" t="s">
        <v>22</v>
      </c>
      <c r="G2953" s="2">
        <v>98</v>
      </c>
      <c r="H2953" t="s">
        <v>4361</v>
      </c>
      <c r="J2953" s="9" t="s">
        <v>5031</v>
      </c>
      <c r="K2953" t="s">
        <v>5179</v>
      </c>
      <c r="L2953" s="2">
        <v>1</v>
      </c>
      <c r="M2953" s="24" t="s">
        <v>5971</v>
      </c>
      <c r="N2953" s="2" t="s">
        <v>23</v>
      </c>
      <c r="O2953" s="18" t="s">
        <v>400</v>
      </c>
      <c r="P2953" s="18" t="s">
        <v>3781</v>
      </c>
      <c r="Q2953" s="6" t="s">
        <v>4475</v>
      </c>
      <c r="T2953" s="23">
        <v>45161</v>
      </c>
      <c r="U2953" s="23">
        <v>46256</v>
      </c>
      <c r="X2953" s="20">
        <v>5000</v>
      </c>
      <c r="Z2953" s="6" t="s">
        <v>5978</v>
      </c>
      <c r="AA2953" s="13">
        <f t="shared" si="390"/>
        <v>5.6000000000000006E-4</v>
      </c>
      <c r="AB2953">
        <v>0.29909600000000003</v>
      </c>
      <c r="AC2953">
        <v>0.31105984000000003</v>
      </c>
    </row>
    <row r="2954" spans="1:29" x14ac:dyDescent="0.3">
      <c r="A2954">
        <v>139888</v>
      </c>
      <c r="B2954" s="25" t="s">
        <v>5984</v>
      </c>
      <c r="C2954" t="s">
        <v>20</v>
      </c>
      <c r="D2954" t="s">
        <v>21</v>
      </c>
      <c r="E2954">
        <v>2222222</v>
      </c>
      <c r="F2954" s="8" t="s">
        <v>22</v>
      </c>
      <c r="G2954" s="2">
        <v>98</v>
      </c>
      <c r="H2954" t="s">
        <v>4361</v>
      </c>
      <c r="J2954" s="9" t="s">
        <v>5708</v>
      </c>
      <c r="K2954" t="s">
        <v>5411</v>
      </c>
      <c r="L2954" s="2">
        <v>1</v>
      </c>
      <c r="M2954" s="24" t="s">
        <v>5971</v>
      </c>
      <c r="N2954" s="2" t="s">
        <v>23</v>
      </c>
      <c r="O2954" s="18" t="s">
        <v>2310</v>
      </c>
      <c r="P2954" s="18" t="s">
        <v>3781</v>
      </c>
      <c r="Q2954" s="6" t="s">
        <v>4475</v>
      </c>
      <c r="T2954" s="23">
        <v>45357</v>
      </c>
      <c r="U2954" s="23">
        <v>47912</v>
      </c>
      <c r="X2954" s="20">
        <v>25000</v>
      </c>
      <c r="Z2954" s="6" t="s">
        <v>5978</v>
      </c>
      <c r="AA2954" s="13">
        <f t="shared" si="390"/>
        <v>5.6000000000000006E-4</v>
      </c>
      <c r="AB2954">
        <v>10.618322400000002</v>
      </c>
      <c r="AC2954">
        <v>11.043055296000002</v>
      </c>
    </row>
    <row r="2955" spans="1:29" x14ac:dyDescent="0.3">
      <c r="A2955">
        <v>142258</v>
      </c>
      <c r="B2955" s="25" t="s">
        <v>5984</v>
      </c>
      <c r="C2955" t="s">
        <v>20</v>
      </c>
      <c r="D2955" t="s">
        <v>21</v>
      </c>
      <c r="E2955">
        <v>2222222</v>
      </c>
      <c r="F2955" s="8" t="s">
        <v>22</v>
      </c>
      <c r="G2955" s="2">
        <v>98</v>
      </c>
      <c r="H2955" t="s">
        <v>4361</v>
      </c>
      <c r="J2955" s="9" t="s">
        <v>5709</v>
      </c>
      <c r="K2955" t="s">
        <v>5011</v>
      </c>
      <c r="L2955" s="2">
        <v>1</v>
      </c>
      <c r="M2955" s="24" t="s">
        <v>5971</v>
      </c>
      <c r="N2955" s="2" t="s">
        <v>23</v>
      </c>
      <c r="O2955" s="18" t="s">
        <v>2311</v>
      </c>
      <c r="P2955" s="18" t="s">
        <v>3781</v>
      </c>
      <c r="Q2955" s="6" t="s">
        <v>4475</v>
      </c>
      <c r="T2955" s="23">
        <v>45515</v>
      </c>
      <c r="U2955" s="23">
        <v>48070</v>
      </c>
      <c r="X2955" s="20">
        <v>25000</v>
      </c>
      <c r="Z2955" s="6" t="s">
        <v>5978</v>
      </c>
      <c r="AA2955" s="14">
        <f t="shared" ref="AA2955:AA2961" si="391">+(0.6/1000)</f>
        <v>5.9999999999999995E-4</v>
      </c>
      <c r="AB2955">
        <v>12.225797999999999</v>
      </c>
      <c r="AC2955">
        <v>12.71482992</v>
      </c>
    </row>
    <row r="2956" spans="1:29" x14ac:dyDescent="0.3">
      <c r="A2956">
        <v>147441</v>
      </c>
      <c r="B2956" s="25" t="s">
        <v>5984</v>
      </c>
      <c r="C2956" t="s">
        <v>20</v>
      </c>
      <c r="D2956" t="s">
        <v>21</v>
      </c>
      <c r="E2956">
        <v>2222222</v>
      </c>
      <c r="F2956" s="8" t="s">
        <v>22</v>
      </c>
      <c r="G2956" s="2">
        <v>98</v>
      </c>
      <c r="H2956" t="s">
        <v>4361</v>
      </c>
      <c r="J2956" s="9" t="s">
        <v>5710</v>
      </c>
      <c r="K2956" t="s">
        <v>4857</v>
      </c>
      <c r="L2956" s="2">
        <v>1</v>
      </c>
      <c r="M2956" s="24" t="s">
        <v>5971</v>
      </c>
      <c r="N2956" s="2" t="s">
        <v>23</v>
      </c>
      <c r="O2956" s="18" t="s">
        <v>2312</v>
      </c>
      <c r="P2956" s="18" t="s">
        <v>0</v>
      </c>
      <c r="Q2956" s="6" t="s">
        <v>4475</v>
      </c>
      <c r="T2956" s="23">
        <v>45889</v>
      </c>
      <c r="U2956" s="23">
        <v>47349</v>
      </c>
      <c r="X2956" s="20">
        <v>3000</v>
      </c>
      <c r="Z2956" s="6" t="s">
        <v>5978</v>
      </c>
      <c r="AA2956" s="14">
        <f t="shared" si="391"/>
        <v>5.9999999999999995E-4</v>
      </c>
      <c r="AB2956">
        <v>1.492926</v>
      </c>
      <c r="AC2956">
        <v>1.55264304</v>
      </c>
    </row>
    <row r="2957" spans="1:29" x14ac:dyDescent="0.3">
      <c r="A2957">
        <v>148105</v>
      </c>
      <c r="B2957" s="25" t="s">
        <v>5984</v>
      </c>
      <c r="C2957" t="s">
        <v>20</v>
      </c>
      <c r="D2957" t="s">
        <v>21</v>
      </c>
      <c r="E2957">
        <v>2222222</v>
      </c>
      <c r="F2957" s="8" t="s">
        <v>22</v>
      </c>
      <c r="G2957" s="2">
        <v>98</v>
      </c>
      <c r="H2957" t="s">
        <v>4361</v>
      </c>
      <c r="J2957" s="9" t="s">
        <v>4864</v>
      </c>
      <c r="K2957" t="s">
        <v>5212</v>
      </c>
      <c r="L2957" s="2">
        <v>1</v>
      </c>
      <c r="M2957" s="24" t="s">
        <v>5971</v>
      </c>
      <c r="N2957" s="2" t="s">
        <v>23</v>
      </c>
      <c r="O2957" s="18" t="s">
        <v>2313</v>
      </c>
      <c r="P2957" s="18" t="s">
        <v>0</v>
      </c>
      <c r="Q2957" s="6" t="s">
        <v>4475</v>
      </c>
      <c r="T2957" s="23">
        <v>45937</v>
      </c>
      <c r="U2957" s="23">
        <v>46483</v>
      </c>
      <c r="X2957" s="20">
        <v>1500</v>
      </c>
      <c r="Z2957" s="6" t="s">
        <v>5978</v>
      </c>
      <c r="AA2957" s="14">
        <f t="shared" si="391"/>
        <v>5.9999999999999995E-4</v>
      </c>
      <c r="AB2957">
        <v>0.47820599999999996</v>
      </c>
      <c r="AC2957">
        <v>0.49733423999999998</v>
      </c>
    </row>
    <row r="2958" spans="1:29" x14ac:dyDescent="0.3">
      <c r="A2958">
        <v>148426</v>
      </c>
      <c r="B2958" s="25" t="s">
        <v>5984</v>
      </c>
      <c r="C2958" t="s">
        <v>20</v>
      </c>
      <c r="D2958" t="s">
        <v>21</v>
      </c>
      <c r="E2958">
        <v>2222222</v>
      </c>
      <c r="F2958" s="8" t="s">
        <v>22</v>
      </c>
      <c r="G2958" s="2">
        <v>98</v>
      </c>
      <c r="H2958" t="s">
        <v>4361</v>
      </c>
      <c r="J2958" s="9" t="s">
        <v>4815</v>
      </c>
      <c r="K2958" t="s">
        <v>4857</v>
      </c>
      <c r="L2958" s="2">
        <v>1</v>
      </c>
      <c r="M2958" s="24" t="s">
        <v>5971</v>
      </c>
      <c r="N2958" s="2" t="s">
        <v>23</v>
      </c>
      <c r="O2958" s="18" t="s">
        <v>2314</v>
      </c>
      <c r="P2958" s="18" t="s">
        <v>0</v>
      </c>
      <c r="Q2958" s="6" t="s">
        <v>4475</v>
      </c>
      <c r="T2958" s="23">
        <v>45974</v>
      </c>
      <c r="U2958" s="23">
        <v>46704</v>
      </c>
      <c r="X2958" s="20">
        <v>8000</v>
      </c>
      <c r="Z2958" s="6" t="s">
        <v>5978</v>
      </c>
      <c r="AA2958" s="14">
        <f t="shared" si="391"/>
        <v>5.9999999999999995E-4</v>
      </c>
      <c r="AB2958">
        <v>3.3658979999999996</v>
      </c>
      <c r="AC2958">
        <v>3.5005339199999996</v>
      </c>
    </row>
    <row r="2959" spans="1:29" x14ac:dyDescent="0.3">
      <c r="A2959">
        <v>148964</v>
      </c>
      <c r="B2959" s="25" t="s">
        <v>5984</v>
      </c>
      <c r="C2959" t="s">
        <v>20</v>
      </c>
      <c r="D2959" t="s">
        <v>21</v>
      </c>
      <c r="E2959">
        <v>2222222</v>
      </c>
      <c r="F2959" s="8" t="s">
        <v>22</v>
      </c>
      <c r="G2959" s="2">
        <v>98</v>
      </c>
      <c r="H2959" t="s">
        <v>4361</v>
      </c>
      <c r="J2959" s="9" t="s">
        <v>4929</v>
      </c>
      <c r="K2959" t="s">
        <v>4968</v>
      </c>
      <c r="L2959" s="2">
        <v>1</v>
      </c>
      <c r="M2959" s="24" t="s">
        <v>5971</v>
      </c>
      <c r="N2959" s="2" t="s">
        <v>23</v>
      </c>
      <c r="O2959" s="18" t="s">
        <v>2315</v>
      </c>
      <c r="P2959" s="18" t="s">
        <v>0</v>
      </c>
      <c r="Q2959" s="6" t="s">
        <v>4475</v>
      </c>
      <c r="T2959" s="23">
        <v>46048</v>
      </c>
      <c r="U2959" s="23">
        <v>49699</v>
      </c>
      <c r="X2959" s="20">
        <v>150000</v>
      </c>
      <c r="Z2959" s="6" t="s">
        <v>5978</v>
      </c>
      <c r="AA2959" s="14">
        <f t="shared" si="391"/>
        <v>5.9999999999999995E-4</v>
      </c>
      <c r="AB2959">
        <v>87.537857999999986</v>
      </c>
      <c r="AC2959">
        <v>91.039372319999984</v>
      </c>
    </row>
    <row r="2960" spans="1:29" x14ac:dyDescent="0.3">
      <c r="A2960">
        <v>149613</v>
      </c>
      <c r="B2960" s="25" t="s">
        <v>5984</v>
      </c>
      <c r="C2960" t="s">
        <v>20</v>
      </c>
      <c r="D2960" t="s">
        <v>21</v>
      </c>
      <c r="E2960">
        <v>2222222</v>
      </c>
      <c r="F2960" s="8" t="s">
        <v>22</v>
      </c>
      <c r="G2960" s="2">
        <v>98</v>
      </c>
      <c r="H2960" t="s">
        <v>4361</v>
      </c>
      <c r="J2960" s="9" t="s">
        <v>5708</v>
      </c>
      <c r="K2960" t="s">
        <v>5411</v>
      </c>
      <c r="L2960" s="2">
        <v>1</v>
      </c>
      <c r="M2960" s="24" t="s">
        <v>5971</v>
      </c>
      <c r="N2960" s="2" t="s">
        <v>23</v>
      </c>
      <c r="O2960" s="18" t="s">
        <v>2310</v>
      </c>
      <c r="P2960" s="18" t="s">
        <v>3781</v>
      </c>
      <c r="Q2960" s="6" t="s">
        <v>4475</v>
      </c>
      <c r="T2960" s="23">
        <v>46036</v>
      </c>
      <c r="U2960" s="23">
        <v>47497</v>
      </c>
      <c r="X2960" s="20">
        <v>5000</v>
      </c>
      <c r="Z2960" s="6" t="s">
        <v>5978</v>
      </c>
      <c r="AA2960" s="14">
        <f t="shared" si="391"/>
        <v>5.9999999999999995E-4</v>
      </c>
      <c r="AB2960">
        <v>2.7287159999999995</v>
      </c>
      <c r="AC2960">
        <v>2.8378646399999994</v>
      </c>
    </row>
    <row r="2961" spans="1:29" x14ac:dyDescent="0.3">
      <c r="A2961">
        <v>150306</v>
      </c>
      <c r="B2961" s="25" t="s">
        <v>5984</v>
      </c>
      <c r="C2961" t="s">
        <v>20</v>
      </c>
      <c r="D2961" t="s">
        <v>21</v>
      </c>
      <c r="E2961">
        <v>2222222</v>
      </c>
      <c r="F2961" s="8" t="s">
        <v>22</v>
      </c>
      <c r="G2961" s="2">
        <v>98</v>
      </c>
      <c r="H2961" t="s">
        <v>4361</v>
      </c>
      <c r="J2961" s="9" t="s">
        <v>5266</v>
      </c>
      <c r="K2961" t="s">
        <v>5711</v>
      </c>
      <c r="L2961" s="2">
        <v>1</v>
      </c>
      <c r="M2961" s="24" t="s">
        <v>5971</v>
      </c>
      <c r="N2961" s="2" t="s">
        <v>23</v>
      </c>
      <c r="O2961" s="18" t="s">
        <v>2316</v>
      </c>
      <c r="P2961" s="18" t="s">
        <v>3781</v>
      </c>
      <c r="Q2961" s="6" t="s">
        <v>4475</v>
      </c>
      <c r="T2961" s="23">
        <v>46085</v>
      </c>
      <c r="U2961" s="23">
        <v>47545</v>
      </c>
      <c r="X2961" s="20">
        <v>5000</v>
      </c>
      <c r="Z2961" s="6" t="s">
        <v>5978</v>
      </c>
      <c r="AA2961" s="14">
        <f t="shared" si="391"/>
        <v>5.9999999999999995E-4</v>
      </c>
      <c r="AB2961">
        <v>2.8234439999999998</v>
      </c>
      <c r="AC2961">
        <v>2.9363817599999997</v>
      </c>
    </row>
    <row r="2962" spans="1:29" x14ac:dyDescent="0.3">
      <c r="A2962">
        <v>101145</v>
      </c>
      <c r="B2962" s="25" t="s">
        <v>5984</v>
      </c>
      <c r="C2962" t="s">
        <v>20</v>
      </c>
      <c r="D2962" t="s">
        <v>21</v>
      </c>
      <c r="E2962">
        <v>2222222</v>
      </c>
      <c r="F2962" s="8" t="s">
        <v>22</v>
      </c>
      <c r="G2962" s="2">
        <v>98</v>
      </c>
      <c r="H2962" t="s">
        <v>4362</v>
      </c>
      <c r="J2962" s="9" t="s">
        <v>5023</v>
      </c>
      <c r="K2962" t="s">
        <v>4826</v>
      </c>
      <c r="L2962" s="2">
        <v>1</v>
      </c>
      <c r="M2962" s="24" t="s">
        <v>5971</v>
      </c>
      <c r="N2962" s="2" t="s">
        <v>23</v>
      </c>
      <c r="O2962" s="18" t="s">
        <v>2317</v>
      </c>
      <c r="P2962" s="18" t="s">
        <v>0</v>
      </c>
      <c r="Q2962" s="6" t="s">
        <v>4475</v>
      </c>
      <c r="T2962" s="23">
        <v>43489</v>
      </c>
      <c r="U2962" s="23">
        <v>45405</v>
      </c>
      <c r="X2962" s="20">
        <v>12000</v>
      </c>
      <c r="Z2962" s="6" t="s">
        <v>5978</v>
      </c>
      <c r="AA2962" s="15">
        <f t="shared" ref="AA2962:AA2964" si="392">+(0.42/1000)</f>
        <v>4.1999999999999996E-4</v>
      </c>
      <c r="AB2962">
        <v>3.2570831999999998</v>
      </c>
      <c r="AC2962">
        <v>3.3873665279999998</v>
      </c>
    </row>
    <row r="2963" spans="1:29" x14ac:dyDescent="0.3">
      <c r="A2963">
        <v>118948</v>
      </c>
      <c r="B2963" s="25" t="s">
        <v>5984</v>
      </c>
      <c r="C2963" t="s">
        <v>20</v>
      </c>
      <c r="D2963" t="s">
        <v>21</v>
      </c>
      <c r="E2963">
        <v>2222222</v>
      </c>
      <c r="F2963" s="8" t="s">
        <v>22</v>
      </c>
      <c r="G2963" s="2">
        <v>98</v>
      </c>
      <c r="H2963" t="s">
        <v>4362</v>
      </c>
      <c r="J2963" s="9" t="s">
        <v>5023</v>
      </c>
      <c r="K2963" t="s">
        <v>4826</v>
      </c>
      <c r="L2963" s="2">
        <v>1</v>
      </c>
      <c r="M2963" s="24" t="s">
        <v>5971</v>
      </c>
      <c r="N2963" s="2" t="s">
        <v>23</v>
      </c>
      <c r="O2963" s="18" t="s">
        <v>2317</v>
      </c>
      <c r="P2963" s="18" t="s">
        <v>0</v>
      </c>
      <c r="Q2963" s="6" t="s">
        <v>4475</v>
      </c>
      <c r="T2963" s="23">
        <v>44252</v>
      </c>
      <c r="U2963" s="23">
        <v>44989</v>
      </c>
      <c r="X2963" s="20">
        <v>3000</v>
      </c>
      <c r="Z2963" s="6" t="s">
        <v>5978</v>
      </c>
      <c r="AA2963" s="15">
        <f t="shared" si="392"/>
        <v>4.1999999999999996E-4</v>
      </c>
      <c r="AB2963">
        <v>1.2599999999999998</v>
      </c>
      <c r="AC2963">
        <v>1.3103999999999998</v>
      </c>
    </row>
    <row r="2964" spans="1:29" x14ac:dyDescent="0.3">
      <c r="A2964">
        <v>125751</v>
      </c>
      <c r="B2964" s="25" t="s">
        <v>5984</v>
      </c>
      <c r="C2964" t="s">
        <v>20</v>
      </c>
      <c r="D2964" t="s">
        <v>21</v>
      </c>
      <c r="E2964">
        <v>2222222</v>
      </c>
      <c r="F2964" s="8" t="s">
        <v>22</v>
      </c>
      <c r="G2964" s="2">
        <v>98</v>
      </c>
      <c r="H2964" t="s">
        <v>4362</v>
      </c>
      <c r="J2964" s="9" t="s">
        <v>4936</v>
      </c>
      <c r="K2964" t="s">
        <v>4965</v>
      </c>
      <c r="L2964" s="2">
        <v>1</v>
      </c>
      <c r="M2964" s="24" t="s">
        <v>5971</v>
      </c>
      <c r="N2964" s="2" t="s">
        <v>23</v>
      </c>
      <c r="O2964" s="18" t="s">
        <v>2318</v>
      </c>
      <c r="P2964" s="18" t="s">
        <v>0</v>
      </c>
      <c r="Q2964" s="6" t="s">
        <v>4475</v>
      </c>
      <c r="T2964" s="23">
        <v>44610</v>
      </c>
      <c r="U2964" s="23">
        <v>46438</v>
      </c>
      <c r="X2964" s="20">
        <v>40000</v>
      </c>
      <c r="Z2964" s="6" t="s">
        <v>5978</v>
      </c>
      <c r="AA2964" s="15">
        <f t="shared" si="392"/>
        <v>4.1999999999999996E-4</v>
      </c>
      <c r="AB2964">
        <v>2.9868089999999996</v>
      </c>
      <c r="AC2964">
        <v>3.1062813599999997</v>
      </c>
    </row>
    <row r="2965" spans="1:29" x14ac:dyDescent="0.3">
      <c r="A2965">
        <v>130624</v>
      </c>
      <c r="B2965" s="25" t="s">
        <v>5984</v>
      </c>
      <c r="C2965" t="s">
        <v>20</v>
      </c>
      <c r="D2965" t="s">
        <v>21</v>
      </c>
      <c r="E2965">
        <v>2222222</v>
      </c>
      <c r="F2965" s="8" t="s">
        <v>22</v>
      </c>
      <c r="G2965" s="2">
        <v>98</v>
      </c>
      <c r="H2965" t="s">
        <v>4362</v>
      </c>
      <c r="J2965" s="9" t="s">
        <v>5129</v>
      </c>
      <c r="K2965" t="s">
        <v>5035</v>
      </c>
      <c r="L2965" s="2">
        <v>1</v>
      </c>
      <c r="M2965" s="24" t="s">
        <v>5971</v>
      </c>
      <c r="N2965" s="2" t="s">
        <v>23</v>
      </c>
      <c r="O2965" s="18" t="s">
        <v>633</v>
      </c>
      <c r="P2965" s="18" t="s">
        <v>0</v>
      </c>
      <c r="Q2965" s="6" t="s">
        <v>4475</v>
      </c>
      <c r="T2965" s="23">
        <v>44845</v>
      </c>
      <c r="U2965" s="23">
        <v>46305</v>
      </c>
      <c r="X2965" s="20">
        <v>18450</v>
      </c>
      <c r="Z2965" s="6" t="s">
        <v>5978</v>
      </c>
      <c r="AA2965" s="13">
        <f t="shared" ref="AA2965:AA2966" si="393">+(0.56/1000)</f>
        <v>5.6000000000000006E-4</v>
      </c>
      <c r="AB2965">
        <v>0.90197520000000009</v>
      </c>
      <c r="AC2965">
        <v>0.93805420800000017</v>
      </c>
    </row>
    <row r="2966" spans="1:29" x14ac:dyDescent="0.3">
      <c r="A2966">
        <v>130690</v>
      </c>
      <c r="B2966" s="25" t="s">
        <v>5984</v>
      </c>
      <c r="C2966" t="s">
        <v>20</v>
      </c>
      <c r="D2966" t="s">
        <v>21</v>
      </c>
      <c r="E2966">
        <v>2222222</v>
      </c>
      <c r="F2966" s="8" t="s">
        <v>22</v>
      </c>
      <c r="G2966" s="2">
        <v>98</v>
      </c>
      <c r="H2966" t="s">
        <v>4362</v>
      </c>
      <c r="J2966" s="9" t="s">
        <v>4901</v>
      </c>
      <c r="K2966" t="s">
        <v>5712</v>
      </c>
      <c r="L2966" s="2">
        <v>1</v>
      </c>
      <c r="M2966" s="24" t="s">
        <v>5971</v>
      </c>
      <c r="N2966" s="2" t="s">
        <v>23</v>
      </c>
      <c r="O2966" s="18" t="s">
        <v>2319</v>
      </c>
      <c r="P2966" s="18" t="s">
        <v>0</v>
      </c>
      <c r="Q2966" s="6" t="s">
        <v>4475</v>
      </c>
      <c r="T2966" s="23">
        <v>44848</v>
      </c>
      <c r="U2966" s="23">
        <v>47404</v>
      </c>
      <c r="X2966" s="20">
        <v>14000</v>
      </c>
      <c r="Z2966" s="6" t="s">
        <v>5978</v>
      </c>
      <c r="AA2966" s="13">
        <f t="shared" si="393"/>
        <v>5.6000000000000006E-4</v>
      </c>
      <c r="AB2966">
        <v>4.7984048000000001</v>
      </c>
      <c r="AC2966">
        <v>4.9903409920000001</v>
      </c>
    </row>
    <row r="2967" spans="1:29" x14ac:dyDescent="0.3">
      <c r="A2967">
        <v>142904</v>
      </c>
      <c r="B2967" s="25" t="s">
        <v>5984</v>
      </c>
      <c r="C2967" t="s">
        <v>20</v>
      </c>
      <c r="D2967" t="s">
        <v>21</v>
      </c>
      <c r="E2967">
        <v>2222222</v>
      </c>
      <c r="F2967" s="8" t="s">
        <v>22</v>
      </c>
      <c r="G2967" s="2">
        <v>98</v>
      </c>
      <c r="H2967" t="s">
        <v>4362</v>
      </c>
      <c r="J2967" s="9" t="s">
        <v>4852</v>
      </c>
      <c r="K2967" t="s">
        <v>5024</v>
      </c>
      <c r="L2967" s="2">
        <v>1</v>
      </c>
      <c r="M2967" s="24" t="s">
        <v>5971</v>
      </c>
      <c r="N2967" s="2" t="s">
        <v>23</v>
      </c>
      <c r="O2967" s="18" t="s">
        <v>2320</v>
      </c>
      <c r="P2967" s="18" t="s">
        <v>0</v>
      </c>
      <c r="Q2967" s="6" t="s">
        <v>4475</v>
      </c>
      <c r="T2967" s="23">
        <v>45553</v>
      </c>
      <c r="U2967" s="23">
        <v>46283</v>
      </c>
      <c r="X2967" s="20">
        <v>650</v>
      </c>
      <c r="Z2967" s="6" t="s">
        <v>5978</v>
      </c>
      <c r="AA2967" s="14">
        <f t="shared" ref="AA2967:AA2968" si="394">+(0.6/1000)</f>
        <v>5.9999999999999995E-4</v>
      </c>
      <c r="AB2967">
        <v>3.8339999999999999E-2</v>
      </c>
      <c r="AC2967">
        <v>3.9873600000000002E-2</v>
      </c>
    </row>
    <row r="2968" spans="1:29" x14ac:dyDescent="0.3">
      <c r="A2968">
        <v>149534</v>
      </c>
      <c r="B2968" s="25" t="s">
        <v>5984</v>
      </c>
      <c r="C2968" t="s">
        <v>20</v>
      </c>
      <c r="D2968" t="s">
        <v>21</v>
      </c>
      <c r="E2968">
        <v>2222222</v>
      </c>
      <c r="F2968" s="8" t="s">
        <v>22</v>
      </c>
      <c r="G2968" s="2">
        <v>98</v>
      </c>
      <c r="H2968" t="s">
        <v>4363</v>
      </c>
      <c r="J2968" s="9" t="s">
        <v>4929</v>
      </c>
      <c r="K2968" t="s">
        <v>5085</v>
      </c>
      <c r="L2968" s="2">
        <v>1</v>
      </c>
      <c r="M2968" s="24" t="s">
        <v>5971</v>
      </c>
      <c r="N2968" s="2" t="s">
        <v>23</v>
      </c>
      <c r="O2968" s="18" t="s">
        <v>2321</v>
      </c>
      <c r="P2968" s="18" t="s">
        <v>0</v>
      </c>
      <c r="Q2968" s="6" t="s">
        <v>4475</v>
      </c>
      <c r="T2968" s="23">
        <v>46053</v>
      </c>
      <c r="U2968" s="23">
        <v>47151</v>
      </c>
      <c r="X2968" s="20">
        <v>41000</v>
      </c>
      <c r="Z2968" s="6" t="s">
        <v>5978</v>
      </c>
      <c r="AA2968" s="14">
        <f t="shared" si="394"/>
        <v>5.9999999999999995E-4</v>
      </c>
      <c r="AB2968">
        <v>21.811865999999998</v>
      </c>
      <c r="AC2968">
        <v>22.684340639999999</v>
      </c>
    </row>
    <row r="2969" spans="1:29" x14ac:dyDescent="0.3">
      <c r="A2969">
        <v>138798</v>
      </c>
      <c r="B2969" s="25" t="s">
        <v>5984</v>
      </c>
      <c r="C2969" t="s">
        <v>20</v>
      </c>
      <c r="D2969" t="s">
        <v>21</v>
      </c>
      <c r="E2969">
        <v>2222222</v>
      </c>
      <c r="F2969" s="8" t="s">
        <v>22</v>
      </c>
      <c r="G2969" s="2">
        <v>98</v>
      </c>
      <c r="H2969" t="s">
        <v>4364</v>
      </c>
      <c r="J2969" s="9" t="s">
        <v>4848</v>
      </c>
      <c r="K2969" t="s">
        <v>4876</v>
      </c>
      <c r="L2969" s="2">
        <v>1</v>
      </c>
      <c r="M2969" s="24" t="s">
        <v>5971</v>
      </c>
      <c r="N2969" s="2" t="s">
        <v>23</v>
      </c>
      <c r="O2969" s="18" t="s">
        <v>1495</v>
      </c>
      <c r="P2969" s="18" t="s">
        <v>0</v>
      </c>
      <c r="Q2969" s="6" t="s">
        <v>4475</v>
      </c>
      <c r="T2969" s="23">
        <v>45300</v>
      </c>
      <c r="U2969" s="23">
        <v>45573</v>
      </c>
      <c r="X2969" s="20">
        <v>900</v>
      </c>
      <c r="Z2969" s="6" t="s">
        <v>5978</v>
      </c>
      <c r="AA2969" s="13">
        <f>+(0.56/1000)</f>
        <v>5.6000000000000006E-4</v>
      </c>
      <c r="AB2969">
        <v>5.9315200000000005E-2</v>
      </c>
      <c r="AC2969">
        <v>6.1687808000000011E-2</v>
      </c>
    </row>
    <row r="2970" spans="1:29" x14ac:dyDescent="0.3">
      <c r="A2970">
        <v>145557</v>
      </c>
      <c r="B2970" s="25" t="s">
        <v>5984</v>
      </c>
      <c r="C2970" t="s">
        <v>20</v>
      </c>
      <c r="D2970" t="s">
        <v>21</v>
      </c>
      <c r="E2970">
        <v>2222222</v>
      </c>
      <c r="F2970" s="8" t="s">
        <v>22</v>
      </c>
      <c r="G2970" s="2">
        <v>98</v>
      </c>
      <c r="H2970" t="s">
        <v>4365</v>
      </c>
      <c r="J2970" s="9" t="s">
        <v>4836</v>
      </c>
      <c r="K2970" t="s">
        <v>5103</v>
      </c>
      <c r="L2970" s="2">
        <v>1</v>
      </c>
      <c r="M2970" s="24" t="s">
        <v>5971</v>
      </c>
      <c r="N2970" s="2" t="s">
        <v>23</v>
      </c>
      <c r="O2970" s="18" t="s">
        <v>715</v>
      </c>
      <c r="P2970" s="18" t="s">
        <v>3781</v>
      </c>
      <c r="Q2970" s="6" t="s">
        <v>4475</v>
      </c>
      <c r="T2970" s="23">
        <v>45747</v>
      </c>
      <c r="U2970" s="23">
        <v>46842</v>
      </c>
      <c r="X2970" s="20">
        <v>4000</v>
      </c>
      <c r="Z2970" s="6" t="s">
        <v>5978</v>
      </c>
      <c r="AA2970" s="14">
        <f t="shared" ref="AA2970:AA2972" si="395">+(0.6/1000)</f>
        <v>5.9999999999999995E-4</v>
      </c>
      <c r="AB2970">
        <v>1.4825879999999998</v>
      </c>
      <c r="AC2970">
        <v>1.5418915199999998</v>
      </c>
    </row>
    <row r="2971" spans="1:29" x14ac:dyDescent="0.3">
      <c r="A2971">
        <v>148802</v>
      </c>
      <c r="B2971" s="25" t="s">
        <v>5984</v>
      </c>
      <c r="C2971" t="s">
        <v>20</v>
      </c>
      <c r="D2971" t="s">
        <v>21</v>
      </c>
      <c r="E2971">
        <v>2222222</v>
      </c>
      <c r="F2971" s="8" t="s">
        <v>22</v>
      </c>
      <c r="G2971" s="2">
        <v>98</v>
      </c>
      <c r="H2971" t="s">
        <v>4365</v>
      </c>
      <c r="J2971" s="9" t="s">
        <v>4953</v>
      </c>
      <c r="K2971" t="s">
        <v>4870</v>
      </c>
      <c r="L2971" s="2">
        <v>1</v>
      </c>
      <c r="M2971" s="24" t="s">
        <v>5971</v>
      </c>
      <c r="N2971" s="2" t="s">
        <v>23</v>
      </c>
      <c r="O2971" s="18" t="s">
        <v>2322</v>
      </c>
      <c r="P2971" s="18" t="s">
        <v>0</v>
      </c>
      <c r="Q2971" s="6" t="s">
        <v>4475</v>
      </c>
      <c r="T2971" s="23">
        <v>45980</v>
      </c>
      <c r="U2971" s="23">
        <v>46710</v>
      </c>
      <c r="X2971" s="20">
        <v>5000</v>
      </c>
      <c r="Z2971" s="6" t="s">
        <v>5978</v>
      </c>
      <c r="AA2971" s="14">
        <f t="shared" si="395"/>
        <v>5.9999999999999995E-4</v>
      </c>
      <c r="AB2971">
        <v>2.116212</v>
      </c>
      <c r="AC2971">
        <v>2.2008604800000002</v>
      </c>
    </row>
    <row r="2972" spans="1:29" x14ac:dyDescent="0.3">
      <c r="A2972">
        <v>152340</v>
      </c>
      <c r="B2972" s="25" t="s">
        <v>5984</v>
      </c>
      <c r="C2972" t="s">
        <v>20</v>
      </c>
      <c r="D2972" t="s">
        <v>21</v>
      </c>
      <c r="E2972">
        <v>2222222</v>
      </c>
      <c r="F2972" s="8" t="s">
        <v>22</v>
      </c>
      <c r="G2972" s="2">
        <v>98</v>
      </c>
      <c r="H2972" t="s">
        <v>4365</v>
      </c>
      <c r="J2972" s="9" t="s">
        <v>4836</v>
      </c>
      <c r="K2972" t="s">
        <v>5103</v>
      </c>
      <c r="L2972" s="2">
        <v>1</v>
      </c>
      <c r="M2972" s="24" t="s">
        <v>5971</v>
      </c>
      <c r="N2972" s="2" t="s">
        <v>23</v>
      </c>
      <c r="O2972" s="18" t="s">
        <v>715</v>
      </c>
      <c r="P2972" s="18" t="s">
        <v>3781</v>
      </c>
      <c r="Q2972" s="6" t="s">
        <v>4475</v>
      </c>
      <c r="T2972" s="23">
        <v>46231</v>
      </c>
      <c r="U2972" s="23">
        <v>47691</v>
      </c>
      <c r="X2972" s="20">
        <v>5000</v>
      </c>
      <c r="Z2972" s="6" t="s">
        <v>5978</v>
      </c>
      <c r="AA2972" s="14">
        <f t="shared" si="395"/>
        <v>5.9999999999999995E-4</v>
      </c>
      <c r="AB2972">
        <v>2.9999999999999996</v>
      </c>
      <c r="AC2972">
        <v>3.1199999999999997</v>
      </c>
    </row>
    <row r="2973" spans="1:29" x14ac:dyDescent="0.3">
      <c r="A2973">
        <v>122852</v>
      </c>
      <c r="B2973" s="25" t="s">
        <v>5984</v>
      </c>
      <c r="C2973" t="s">
        <v>20</v>
      </c>
      <c r="D2973" t="s">
        <v>21</v>
      </c>
      <c r="E2973">
        <v>2222222</v>
      </c>
      <c r="F2973" s="8" t="s">
        <v>22</v>
      </c>
      <c r="G2973" s="2">
        <v>98</v>
      </c>
      <c r="H2973" t="s">
        <v>4366</v>
      </c>
      <c r="J2973" s="9" t="s">
        <v>5713</v>
      </c>
      <c r="K2973" t="s">
        <v>5295</v>
      </c>
      <c r="L2973" s="2">
        <v>1</v>
      </c>
      <c r="M2973" s="24" t="s">
        <v>5971</v>
      </c>
      <c r="N2973" s="2" t="s">
        <v>23</v>
      </c>
      <c r="O2973" s="18" t="s">
        <v>2323</v>
      </c>
      <c r="P2973" s="18" t="s">
        <v>3781</v>
      </c>
      <c r="Q2973" s="6" t="s">
        <v>4475</v>
      </c>
      <c r="T2973" s="23">
        <v>44439</v>
      </c>
      <c r="U2973" s="23">
        <v>44529</v>
      </c>
      <c r="X2973" s="20">
        <v>2650</v>
      </c>
      <c r="Z2973" s="6" t="s">
        <v>5978</v>
      </c>
      <c r="AA2973" s="15">
        <f>+(0.42/1000)</f>
        <v>4.1999999999999996E-4</v>
      </c>
      <c r="AB2973">
        <v>1.113</v>
      </c>
      <c r="AC2973">
        <v>1.1575200000000001</v>
      </c>
    </row>
    <row r="2974" spans="1:29" x14ac:dyDescent="0.3">
      <c r="A2974">
        <v>141966</v>
      </c>
      <c r="B2974" s="25" t="s">
        <v>5984</v>
      </c>
      <c r="C2974" t="s">
        <v>20</v>
      </c>
      <c r="D2974" t="s">
        <v>21</v>
      </c>
      <c r="E2974">
        <v>2222222</v>
      </c>
      <c r="F2974" s="8" t="s">
        <v>22</v>
      </c>
      <c r="G2974" s="2">
        <v>98</v>
      </c>
      <c r="H2974" t="s">
        <v>4366</v>
      </c>
      <c r="J2974" s="9" t="s">
        <v>5351</v>
      </c>
      <c r="K2974" t="s">
        <v>5460</v>
      </c>
      <c r="L2974" s="2">
        <v>1</v>
      </c>
      <c r="M2974" s="24" t="s">
        <v>5971</v>
      </c>
      <c r="N2974" s="2" t="s">
        <v>23</v>
      </c>
      <c r="O2974" s="18" t="s">
        <v>2324</v>
      </c>
      <c r="P2974" s="18" t="s">
        <v>0</v>
      </c>
      <c r="Q2974" s="6" t="s">
        <v>4475</v>
      </c>
      <c r="T2974" s="23">
        <v>45506</v>
      </c>
      <c r="U2974" s="23">
        <v>46600</v>
      </c>
      <c r="X2974" s="20">
        <v>20000</v>
      </c>
      <c r="Z2974" s="6" t="s">
        <v>5978</v>
      </c>
      <c r="AA2974" s="14">
        <f>+(0.6/1000)</f>
        <v>5.9999999999999995E-4</v>
      </c>
      <c r="AB2974">
        <v>4.9643879999999996</v>
      </c>
      <c r="AC2974">
        <v>5.1629635199999999</v>
      </c>
    </row>
    <row r="2975" spans="1:29" x14ac:dyDescent="0.3">
      <c r="A2975">
        <v>122584</v>
      </c>
      <c r="B2975" s="25" t="s">
        <v>5984</v>
      </c>
      <c r="C2975" t="s">
        <v>20</v>
      </c>
      <c r="D2975" t="s">
        <v>21</v>
      </c>
      <c r="E2975">
        <v>2222222</v>
      </c>
      <c r="F2975" s="8" t="s">
        <v>22</v>
      </c>
      <c r="G2975" s="2">
        <v>98</v>
      </c>
      <c r="H2975" t="s">
        <v>4367</v>
      </c>
      <c r="J2975" s="9" t="s">
        <v>5085</v>
      </c>
      <c r="K2975" t="s">
        <v>5174</v>
      </c>
      <c r="L2975" s="2">
        <v>1</v>
      </c>
      <c r="M2975" s="24" t="s">
        <v>5971</v>
      </c>
      <c r="N2975" s="2" t="s">
        <v>23</v>
      </c>
      <c r="O2975" s="18" t="s">
        <v>1725</v>
      </c>
      <c r="P2975" s="18" t="s">
        <v>0</v>
      </c>
      <c r="Q2975" s="6" t="s">
        <v>4475</v>
      </c>
      <c r="T2975" s="23">
        <v>44427</v>
      </c>
      <c r="U2975" s="23">
        <v>46983</v>
      </c>
      <c r="X2975" s="20">
        <v>16200</v>
      </c>
      <c r="Z2975" s="6" t="s">
        <v>5978</v>
      </c>
      <c r="AA2975" s="15">
        <f t="shared" ref="AA2975:AA2976" si="396">+(0.42/1000)</f>
        <v>4.1999999999999996E-4</v>
      </c>
      <c r="AB2975">
        <v>2.8656347999999996</v>
      </c>
      <c r="AC2975">
        <v>2.9802601919999998</v>
      </c>
    </row>
    <row r="2976" spans="1:29" x14ac:dyDescent="0.3">
      <c r="A2976">
        <v>126818</v>
      </c>
      <c r="B2976" s="25" t="s">
        <v>5984</v>
      </c>
      <c r="C2976" t="s">
        <v>20</v>
      </c>
      <c r="D2976" t="s">
        <v>21</v>
      </c>
      <c r="E2976">
        <v>2222222</v>
      </c>
      <c r="F2976" s="8" t="s">
        <v>22</v>
      </c>
      <c r="G2976" s="2">
        <v>98</v>
      </c>
      <c r="H2976" t="s">
        <v>4368</v>
      </c>
      <c r="J2976" s="9" t="s">
        <v>4929</v>
      </c>
      <c r="K2976" t="s">
        <v>4852</v>
      </c>
      <c r="L2976" s="2">
        <v>1</v>
      </c>
      <c r="M2976" s="24" t="s">
        <v>5971</v>
      </c>
      <c r="N2976" s="2" t="s">
        <v>23</v>
      </c>
      <c r="O2976" s="18" t="s">
        <v>2325</v>
      </c>
      <c r="P2976" s="18" t="s">
        <v>0</v>
      </c>
      <c r="Q2976" s="6" t="s">
        <v>4475</v>
      </c>
      <c r="T2976" s="23">
        <v>44648</v>
      </c>
      <c r="U2976" s="23">
        <v>47204</v>
      </c>
      <c r="X2976" s="20">
        <v>26000</v>
      </c>
      <c r="Z2976" s="6" t="s">
        <v>5978</v>
      </c>
      <c r="AA2976" s="15">
        <f t="shared" si="396"/>
        <v>4.1999999999999996E-4</v>
      </c>
      <c r="AB2976">
        <v>5.4506213999999993</v>
      </c>
      <c r="AC2976">
        <v>5.6686462559999997</v>
      </c>
    </row>
    <row r="2977" spans="1:29" x14ac:dyDescent="0.3">
      <c r="A2977">
        <v>138183</v>
      </c>
      <c r="B2977" s="25" t="s">
        <v>5984</v>
      </c>
      <c r="C2977" t="s">
        <v>20</v>
      </c>
      <c r="D2977" t="s">
        <v>21</v>
      </c>
      <c r="E2977">
        <v>2222222</v>
      </c>
      <c r="F2977" s="8" t="s">
        <v>22</v>
      </c>
      <c r="G2977" s="2">
        <v>98</v>
      </c>
      <c r="H2977" t="s">
        <v>4368</v>
      </c>
      <c r="J2977" s="9" t="s">
        <v>5322</v>
      </c>
      <c r="K2977" t="s">
        <v>5298</v>
      </c>
      <c r="L2977" s="2">
        <v>1</v>
      </c>
      <c r="M2977" s="24" t="s">
        <v>5971</v>
      </c>
      <c r="N2977" s="2" t="s">
        <v>23</v>
      </c>
      <c r="O2977" s="18" t="s">
        <v>2326</v>
      </c>
      <c r="P2977" s="18" t="s">
        <v>0</v>
      </c>
      <c r="Q2977" s="6" t="s">
        <v>4475</v>
      </c>
      <c r="T2977" s="23">
        <v>45264</v>
      </c>
      <c r="U2977" s="23">
        <v>46360</v>
      </c>
      <c r="X2977" s="20">
        <v>2060</v>
      </c>
      <c r="Z2977" s="6" t="s">
        <v>5978</v>
      </c>
      <c r="AA2977" s="13">
        <f t="shared" ref="AA2977:AA2978" si="397">+(0.56/1000)</f>
        <v>5.6000000000000006E-4</v>
      </c>
      <c r="AB2977">
        <v>0.20188560000000003</v>
      </c>
      <c r="AC2977">
        <v>0.20996102400000002</v>
      </c>
    </row>
    <row r="2978" spans="1:29" x14ac:dyDescent="0.3">
      <c r="A2978">
        <v>139303</v>
      </c>
      <c r="B2978" s="25" t="s">
        <v>5984</v>
      </c>
      <c r="C2978" t="s">
        <v>20</v>
      </c>
      <c r="D2978" t="s">
        <v>21</v>
      </c>
      <c r="E2978">
        <v>2222222</v>
      </c>
      <c r="F2978" s="8" t="s">
        <v>22</v>
      </c>
      <c r="G2978" s="2">
        <v>98</v>
      </c>
      <c r="H2978" t="s">
        <v>4368</v>
      </c>
      <c r="J2978" s="9" t="s">
        <v>5048</v>
      </c>
      <c r="K2978" t="s">
        <v>4980</v>
      </c>
      <c r="L2978" s="2">
        <v>1</v>
      </c>
      <c r="M2978" s="24" t="s">
        <v>5971</v>
      </c>
      <c r="N2978" s="2" t="s">
        <v>23</v>
      </c>
      <c r="O2978" s="18" t="s">
        <v>2327</v>
      </c>
      <c r="P2978" s="18" t="s">
        <v>3781</v>
      </c>
      <c r="Q2978" s="6" t="s">
        <v>4475</v>
      </c>
      <c r="T2978" s="23">
        <v>45323</v>
      </c>
      <c r="U2978" s="23">
        <v>46509</v>
      </c>
      <c r="X2978" s="20">
        <v>3550</v>
      </c>
      <c r="Z2978" s="6" t="s">
        <v>5978</v>
      </c>
      <c r="AA2978" s="13">
        <f t="shared" si="397"/>
        <v>5.6000000000000006E-4</v>
      </c>
      <c r="AB2978">
        <v>0.66497760000000006</v>
      </c>
      <c r="AC2978">
        <v>0.69157670400000004</v>
      </c>
    </row>
    <row r="2979" spans="1:29" x14ac:dyDescent="0.3">
      <c r="A2979">
        <v>141809</v>
      </c>
      <c r="B2979" s="25" t="s">
        <v>5984</v>
      </c>
      <c r="C2979" t="s">
        <v>20</v>
      </c>
      <c r="D2979" t="s">
        <v>21</v>
      </c>
      <c r="E2979">
        <v>2222222</v>
      </c>
      <c r="F2979" s="8" t="s">
        <v>22</v>
      </c>
      <c r="G2979" s="2">
        <v>98</v>
      </c>
      <c r="H2979" t="s">
        <v>4368</v>
      </c>
      <c r="J2979" s="9" t="s">
        <v>5605</v>
      </c>
      <c r="K2979" t="s">
        <v>5151</v>
      </c>
      <c r="L2979" s="2">
        <v>1</v>
      </c>
      <c r="M2979" s="24" t="s">
        <v>5971</v>
      </c>
      <c r="N2979" s="2" t="s">
        <v>23</v>
      </c>
      <c r="O2979" s="18" t="s">
        <v>2328</v>
      </c>
      <c r="P2979" s="18" t="s">
        <v>3781</v>
      </c>
      <c r="Q2979" s="6" t="s">
        <v>4475</v>
      </c>
      <c r="T2979" s="23">
        <v>45476</v>
      </c>
      <c r="U2979" s="23">
        <v>46662</v>
      </c>
      <c r="X2979" s="20">
        <v>3500</v>
      </c>
      <c r="Z2979" s="6" t="s">
        <v>5978</v>
      </c>
      <c r="AA2979" s="14">
        <f t="shared" ref="AA2979:AA2987" si="398">+(0.6/1000)</f>
        <v>5.9999999999999995E-4</v>
      </c>
      <c r="AB2979">
        <v>1.0221239999999998</v>
      </c>
      <c r="AC2979">
        <v>1.0630089599999999</v>
      </c>
    </row>
    <row r="2980" spans="1:29" x14ac:dyDescent="0.3">
      <c r="A2980">
        <v>142759</v>
      </c>
      <c r="B2980" s="25" t="s">
        <v>5984</v>
      </c>
      <c r="C2980" t="s">
        <v>20</v>
      </c>
      <c r="D2980" t="s">
        <v>21</v>
      </c>
      <c r="E2980">
        <v>2222222</v>
      </c>
      <c r="F2980" s="8" t="s">
        <v>22</v>
      </c>
      <c r="G2980" s="2">
        <v>98</v>
      </c>
      <c r="H2980" t="s">
        <v>4368</v>
      </c>
      <c r="J2980" s="9" t="s">
        <v>5152</v>
      </c>
      <c r="K2980" t="s">
        <v>4926</v>
      </c>
      <c r="L2980" s="2">
        <v>1</v>
      </c>
      <c r="M2980" s="24" t="s">
        <v>5971</v>
      </c>
      <c r="N2980" s="2" t="s">
        <v>23</v>
      </c>
      <c r="O2980" s="18" t="s">
        <v>2329</v>
      </c>
      <c r="P2980" s="18" t="s">
        <v>3781</v>
      </c>
      <c r="Q2980" s="6" t="s">
        <v>4475</v>
      </c>
      <c r="T2980" s="23">
        <v>45545</v>
      </c>
      <c r="U2980" s="23">
        <v>46640</v>
      </c>
      <c r="X2980" s="20">
        <v>5000</v>
      </c>
      <c r="Z2980" s="6" t="s">
        <v>5978</v>
      </c>
      <c r="AA2980" s="14">
        <f t="shared" si="398"/>
        <v>5.9999999999999995E-4</v>
      </c>
      <c r="AB2980">
        <v>1.3724879999999999</v>
      </c>
      <c r="AC2980">
        <v>1.4273875199999999</v>
      </c>
    </row>
    <row r="2981" spans="1:29" x14ac:dyDescent="0.3">
      <c r="A2981">
        <v>142808</v>
      </c>
      <c r="B2981" s="25" t="s">
        <v>5984</v>
      </c>
      <c r="C2981" t="s">
        <v>20</v>
      </c>
      <c r="D2981" t="s">
        <v>21</v>
      </c>
      <c r="E2981">
        <v>2222222</v>
      </c>
      <c r="F2981" s="8" t="s">
        <v>22</v>
      </c>
      <c r="G2981" s="2">
        <v>98</v>
      </c>
      <c r="H2981" t="s">
        <v>4368</v>
      </c>
      <c r="J2981" s="9" t="s">
        <v>4871</v>
      </c>
      <c r="K2981" t="s">
        <v>4961</v>
      </c>
      <c r="L2981" s="2">
        <v>1</v>
      </c>
      <c r="M2981" s="24" t="s">
        <v>5971</v>
      </c>
      <c r="N2981" s="2" t="s">
        <v>23</v>
      </c>
      <c r="O2981" s="18" t="s">
        <v>2330</v>
      </c>
      <c r="P2981" s="18" t="s">
        <v>0</v>
      </c>
      <c r="Q2981" s="6" t="s">
        <v>4475</v>
      </c>
      <c r="T2981" s="23">
        <v>45560</v>
      </c>
      <c r="U2981" s="23">
        <v>47386</v>
      </c>
      <c r="X2981" s="20">
        <v>22000</v>
      </c>
      <c r="Z2981" s="6" t="s">
        <v>5978</v>
      </c>
      <c r="AA2981" s="14">
        <f t="shared" si="398"/>
        <v>5.9999999999999995E-4</v>
      </c>
      <c r="AB2981">
        <v>9.3920999999999992</v>
      </c>
      <c r="AC2981">
        <v>9.7677839999999989</v>
      </c>
    </row>
    <row r="2982" spans="1:29" x14ac:dyDescent="0.3">
      <c r="A2982">
        <v>146805</v>
      </c>
      <c r="B2982" s="25" t="s">
        <v>5984</v>
      </c>
      <c r="C2982" t="s">
        <v>20</v>
      </c>
      <c r="D2982" t="s">
        <v>21</v>
      </c>
      <c r="E2982">
        <v>2222222</v>
      </c>
      <c r="F2982" s="8" t="s">
        <v>22</v>
      </c>
      <c r="G2982" s="2">
        <v>98</v>
      </c>
      <c r="H2982" t="s">
        <v>4368</v>
      </c>
      <c r="J2982" s="9" t="s">
        <v>5502</v>
      </c>
      <c r="K2982" t="s">
        <v>4832</v>
      </c>
      <c r="L2982" s="2">
        <v>1</v>
      </c>
      <c r="M2982" s="24" t="s">
        <v>5971</v>
      </c>
      <c r="N2982" s="2" t="s">
        <v>23</v>
      </c>
      <c r="O2982" s="18" t="s">
        <v>2268</v>
      </c>
      <c r="P2982" s="18" t="s">
        <v>3781</v>
      </c>
      <c r="Q2982" s="6" t="s">
        <v>4475</v>
      </c>
      <c r="T2982" s="23">
        <v>45845</v>
      </c>
      <c r="U2982" s="23">
        <v>46574</v>
      </c>
      <c r="X2982" s="20">
        <v>3110</v>
      </c>
      <c r="Z2982" s="6" t="s">
        <v>5978</v>
      </c>
      <c r="AA2982" s="14">
        <f t="shared" si="398"/>
        <v>5.9999999999999995E-4</v>
      </c>
      <c r="AB2982">
        <v>1.0166039999999998</v>
      </c>
      <c r="AC2982">
        <v>1.0572681599999998</v>
      </c>
    </row>
    <row r="2983" spans="1:29" x14ac:dyDescent="0.3">
      <c r="A2983">
        <v>147892</v>
      </c>
      <c r="B2983" s="25" t="s">
        <v>5984</v>
      </c>
      <c r="C2983" t="s">
        <v>20</v>
      </c>
      <c r="D2983" t="s">
        <v>21</v>
      </c>
      <c r="E2983">
        <v>2222222</v>
      </c>
      <c r="F2983" s="8" t="s">
        <v>22</v>
      </c>
      <c r="G2983" s="2">
        <v>98</v>
      </c>
      <c r="H2983" t="s">
        <v>4368</v>
      </c>
      <c r="J2983" s="9" t="s">
        <v>5714</v>
      </c>
      <c r="K2983" t="s">
        <v>4880</v>
      </c>
      <c r="L2983" s="2">
        <v>1</v>
      </c>
      <c r="M2983" s="24" t="s">
        <v>5971</v>
      </c>
      <c r="N2983" s="2" t="s">
        <v>23</v>
      </c>
      <c r="O2983" s="18" t="s">
        <v>2331</v>
      </c>
      <c r="P2983" s="18" t="s">
        <v>3781</v>
      </c>
      <c r="Q2983" s="6" t="s">
        <v>4475</v>
      </c>
      <c r="T2983" s="23">
        <v>45919</v>
      </c>
      <c r="U2983" s="23">
        <v>47015</v>
      </c>
      <c r="X2983" s="20">
        <v>1400</v>
      </c>
      <c r="Z2983" s="6" t="s">
        <v>5978</v>
      </c>
      <c r="AA2983" s="14">
        <f t="shared" si="398"/>
        <v>5.9999999999999995E-4</v>
      </c>
      <c r="AB2983">
        <v>0.64078799999999991</v>
      </c>
      <c r="AC2983">
        <v>0.66641951999999993</v>
      </c>
    </row>
    <row r="2984" spans="1:29" x14ac:dyDescent="0.3">
      <c r="A2984">
        <v>148866</v>
      </c>
      <c r="B2984" s="25" t="s">
        <v>5984</v>
      </c>
      <c r="C2984" t="s">
        <v>20</v>
      </c>
      <c r="D2984" t="s">
        <v>21</v>
      </c>
      <c r="E2984">
        <v>2222222</v>
      </c>
      <c r="F2984" s="8" t="s">
        <v>22</v>
      </c>
      <c r="G2984" s="2">
        <v>98</v>
      </c>
      <c r="H2984" t="s">
        <v>4368</v>
      </c>
      <c r="J2984" s="9" t="s">
        <v>4949</v>
      </c>
      <c r="K2984" t="s">
        <v>5715</v>
      </c>
      <c r="L2984" s="2">
        <v>1</v>
      </c>
      <c r="M2984" s="24" t="s">
        <v>5971</v>
      </c>
      <c r="N2984" s="2" t="s">
        <v>23</v>
      </c>
      <c r="O2984" s="18" t="s">
        <v>2332</v>
      </c>
      <c r="P2984" s="18" t="s">
        <v>0</v>
      </c>
      <c r="Q2984" s="6" t="s">
        <v>4475</v>
      </c>
      <c r="T2984" s="23">
        <v>45988</v>
      </c>
      <c r="U2984" s="23">
        <v>47814</v>
      </c>
      <c r="X2984" s="20">
        <v>20000</v>
      </c>
      <c r="Z2984" s="6" t="s">
        <v>5978</v>
      </c>
      <c r="AA2984" s="14">
        <f t="shared" si="398"/>
        <v>5.9999999999999995E-4</v>
      </c>
      <c r="AB2984">
        <v>10.838939999999999</v>
      </c>
      <c r="AC2984">
        <v>11.272497599999999</v>
      </c>
    </row>
    <row r="2985" spans="1:29" x14ac:dyDescent="0.3">
      <c r="A2985">
        <v>149217</v>
      </c>
      <c r="B2985" s="25" t="s">
        <v>5984</v>
      </c>
      <c r="C2985" t="s">
        <v>20</v>
      </c>
      <c r="D2985" t="s">
        <v>21</v>
      </c>
      <c r="E2985">
        <v>2222222</v>
      </c>
      <c r="F2985" s="8" t="s">
        <v>22</v>
      </c>
      <c r="G2985" s="2">
        <v>98</v>
      </c>
      <c r="H2985" t="s">
        <v>4368</v>
      </c>
      <c r="J2985" s="9" t="s">
        <v>5502</v>
      </c>
      <c r="K2985" t="s">
        <v>4832</v>
      </c>
      <c r="L2985" s="2">
        <v>1</v>
      </c>
      <c r="M2985" s="24" t="s">
        <v>5971</v>
      </c>
      <c r="N2985" s="2" t="s">
        <v>23</v>
      </c>
      <c r="O2985" s="18" t="s">
        <v>2268</v>
      </c>
      <c r="P2985" s="18" t="s">
        <v>3781</v>
      </c>
      <c r="Q2985" s="6" t="s">
        <v>4475</v>
      </c>
      <c r="T2985" s="23">
        <v>46006</v>
      </c>
      <c r="U2985" s="23">
        <v>46735</v>
      </c>
      <c r="X2985" s="20">
        <v>2000</v>
      </c>
      <c r="Z2985" s="6" t="s">
        <v>5978</v>
      </c>
      <c r="AA2985" s="14">
        <f t="shared" si="398"/>
        <v>5.9999999999999995E-4</v>
      </c>
      <c r="AB2985">
        <v>0.88337399999999988</v>
      </c>
      <c r="AC2985">
        <v>0.91870895999999991</v>
      </c>
    </row>
    <row r="2986" spans="1:29" x14ac:dyDescent="0.3">
      <c r="A2986">
        <v>150680</v>
      </c>
      <c r="B2986" s="25" t="s">
        <v>5984</v>
      </c>
      <c r="C2986" t="s">
        <v>20</v>
      </c>
      <c r="D2986" t="s">
        <v>21</v>
      </c>
      <c r="E2986">
        <v>2222222</v>
      </c>
      <c r="F2986" s="8" t="s">
        <v>22</v>
      </c>
      <c r="G2986" s="2">
        <v>98</v>
      </c>
      <c r="H2986" t="s">
        <v>4368</v>
      </c>
      <c r="J2986" s="9" t="s">
        <v>4939</v>
      </c>
      <c r="K2986" t="s">
        <v>4913</v>
      </c>
      <c r="L2986" s="2">
        <v>1</v>
      </c>
      <c r="M2986" s="24" t="s">
        <v>5971</v>
      </c>
      <c r="N2986" s="2" t="s">
        <v>23</v>
      </c>
      <c r="O2986" s="18" t="s">
        <v>2333</v>
      </c>
      <c r="P2986" s="18" t="s">
        <v>0</v>
      </c>
      <c r="Q2986" s="6" t="s">
        <v>4475</v>
      </c>
      <c r="T2986" s="23">
        <v>46108</v>
      </c>
      <c r="U2986" s="23">
        <v>46842</v>
      </c>
      <c r="X2986" s="20">
        <v>4430</v>
      </c>
      <c r="Z2986" s="6" t="s">
        <v>5978</v>
      </c>
      <c r="AA2986" s="14">
        <f t="shared" si="398"/>
        <v>5.9999999999999995E-4</v>
      </c>
      <c r="AB2986">
        <v>2.2781879999999997</v>
      </c>
      <c r="AC2986">
        <v>2.3693155199999998</v>
      </c>
    </row>
    <row r="2987" spans="1:29" x14ac:dyDescent="0.3">
      <c r="A2987">
        <v>152297</v>
      </c>
      <c r="B2987" s="25" t="s">
        <v>5984</v>
      </c>
      <c r="C2987" t="s">
        <v>20</v>
      </c>
      <c r="D2987" t="s">
        <v>21</v>
      </c>
      <c r="E2987">
        <v>2222222</v>
      </c>
      <c r="F2987" s="8" t="s">
        <v>22</v>
      </c>
      <c r="G2987" s="2">
        <v>98</v>
      </c>
      <c r="H2987" t="s">
        <v>4368</v>
      </c>
      <c r="J2987" s="9" t="s">
        <v>5502</v>
      </c>
      <c r="K2987" t="s">
        <v>4832</v>
      </c>
      <c r="L2987" s="2">
        <v>1</v>
      </c>
      <c r="M2987" s="24" t="s">
        <v>5971</v>
      </c>
      <c r="N2987" s="2" t="s">
        <v>23</v>
      </c>
      <c r="O2987" s="18" t="s">
        <v>2268</v>
      </c>
      <c r="P2987" s="18" t="s">
        <v>3781</v>
      </c>
      <c r="Q2987" s="6" t="s">
        <v>4475</v>
      </c>
      <c r="T2987" s="23">
        <v>46226</v>
      </c>
      <c r="U2987" s="23">
        <v>46316</v>
      </c>
      <c r="X2987" s="20">
        <v>5000</v>
      </c>
      <c r="Z2987" s="6" t="s">
        <v>5978</v>
      </c>
      <c r="AA2987" s="14">
        <f t="shared" si="398"/>
        <v>5.9999999999999995E-4</v>
      </c>
      <c r="AB2987">
        <v>2.9999999999999996</v>
      </c>
      <c r="AC2987">
        <v>3.1199999999999997</v>
      </c>
    </row>
    <row r="2988" spans="1:29" x14ac:dyDescent="0.3">
      <c r="A2988">
        <v>113871</v>
      </c>
      <c r="B2988" s="25" t="s">
        <v>5984</v>
      </c>
      <c r="C2988" t="s">
        <v>20</v>
      </c>
      <c r="D2988" t="s">
        <v>21</v>
      </c>
      <c r="E2988">
        <v>2222222</v>
      </c>
      <c r="F2988" s="8" t="s">
        <v>22</v>
      </c>
      <c r="G2988" s="2">
        <v>98</v>
      </c>
      <c r="H2988" t="s">
        <v>4369</v>
      </c>
      <c r="J2988" s="9" t="s">
        <v>4838</v>
      </c>
      <c r="K2988" t="s">
        <v>4779</v>
      </c>
      <c r="L2988" s="2">
        <v>1</v>
      </c>
      <c r="M2988" s="24" t="s">
        <v>5971</v>
      </c>
      <c r="N2988" s="2" t="s">
        <v>23</v>
      </c>
      <c r="O2988" s="18" t="s">
        <v>2334</v>
      </c>
      <c r="P2988" s="18" t="s">
        <v>0</v>
      </c>
      <c r="Q2988" s="6" t="s">
        <v>4475</v>
      </c>
      <c r="T2988" s="23">
        <v>44027</v>
      </c>
      <c r="U2988" s="23">
        <v>45121</v>
      </c>
      <c r="X2988" s="20">
        <v>8445</v>
      </c>
      <c r="Z2988" s="6" t="s">
        <v>5978</v>
      </c>
      <c r="AA2988" s="15">
        <f t="shared" ref="AA2988:AA2990" si="399">+(0.42/1000)</f>
        <v>4.1999999999999996E-4</v>
      </c>
      <c r="AB2988">
        <v>4.20168E-2</v>
      </c>
      <c r="AC2988">
        <v>4.3697472000000001E-2</v>
      </c>
    </row>
    <row r="2989" spans="1:29" x14ac:dyDescent="0.3">
      <c r="A2989">
        <v>116972</v>
      </c>
      <c r="B2989" s="25" t="s">
        <v>5984</v>
      </c>
      <c r="C2989" t="s">
        <v>20</v>
      </c>
      <c r="D2989" t="s">
        <v>21</v>
      </c>
      <c r="E2989">
        <v>2222222</v>
      </c>
      <c r="F2989" s="8" t="s">
        <v>22</v>
      </c>
      <c r="G2989" s="2">
        <v>98</v>
      </c>
      <c r="H2989" t="s">
        <v>4369</v>
      </c>
      <c r="J2989" s="9" t="s">
        <v>4929</v>
      </c>
      <c r="K2989" t="s">
        <v>5270</v>
      </c>
      <c r="L2989" s="2">
        <v>1</v>
      </c>
      <c r="M2989" s="24" t="s">
        <v>5971</v>
      </c>
      <c r="N2989" s="2" t="s">
        <v>23</v>
      </c>
      <c r="O2989" s="18" t="s">
        <v>2335</v>
      </c>
      <c r="P2989" s="18" t="s">
        <v>0</v>
      </c>
      <c r="Q2989" s="6" t="s">
        <v>4475</v>
      </c>
      <c r="T2989" s="23">
        <v>44169</v>
      </c>
      <c r="U2989" s="23">
        <v>46728</v>
      </c>
      <c r="X2989" s="20">
        <v>10000</v>
      </c>
      <c r="Z2989" s="6" t="s">
        <v>5978</v>
      </c>
      <c r="AA2989" s="15">
        <f t="shared" si="399"/>
        <v>4.1999999999999996E-4</v>
      </c>
      <c r="AB2989">
        <v>1.2633473999999998</v>
      </c>
      <c r="AC2989">
        <v>1.3138812959999999</v>
      </c>
    </row>
    <row r="2990" spans="1:29" x14ac:dyDescent="0.3">
      <c r="A2990">
        <v>126706</v>
      </c>
      <c r="B2990" s="25" t="s">
        <v>5984</v>
      </c>
      <c r="C2990" t="s">
        <v>20</v>
      </c>
      <c r="D2990" t="s">
        <v>21</v>
      </c>
      <c r="E2990">
        <v>2222222</v>
      </c>
      <c r="F2990" s="8" t="s">
        <v>22</v>
      </c>
      <c r="G2990" s="2">
        <v>98</v>
      </c>
      <c r="H2990" t="s">
        <v>4369</v>
      </c>
      <c r="J2990" s="9" t="s">
        <v>4908</v>
      </c>
      <c r="K2990" t="s">
        <v>5010</v>
      </c>
      <c r="L2990" s="2">
        <v>1</v>
      </c>
      <c r="M2990" s="24" t="s">
        <v>5971</v>
      </c>
      <c r="N2990" s="2" t="s">
        <v>23</v>
      </c>
      <c r="O2990" s="18" t="s">
        <v>2336</v>
      </c>
      <c r="P2990" s="18" t="s">
        <v>0</v>
      </c>
      <c r="Q2990" s="6" t="s">
        <v>4475</v>
      </c>
      <c r="T2990" s="23">
        <v>44642</v>
      </c>
      <c r="U2990" s="23">
        <v>50120</v>
      </c>
      <c r="X2990" s="20">
        <v>90400</v>
      </c>
      <c r="Z2990" s="6" t="s">
        <v>5978</v>
      </c>
      <c r="AA2990" s="15">
        <f t="shared" si="399"/>
        <v>4.1999999999999996E-4</v>
      </c>
      <c r="AB2990">
        <v>37.097575199999994</v>
      </c>
      <c r="AC2990">
        <v>38.581478207999993</v>
      </c>
    </row>
    <row r="2991" spans="1:29" x14ac:dyDescent="0.3">
      <c r="A2991">
        <v>130618</v>
      </c>
      <c r="B2991" s="25" t="s">
        <v>5984</v>
      </c>
      <c r="C2991" t="s">
        <v>20</v>
      </c>
      <c r="D2991" t="s">
        <v>21</v>
      </c>
      <c r="E2991">
        <v>2222222</v>
      </c>
      <c r="F2991" s="8" t="s">
        <v>22</v>
      </c>
      <c r="G2991" s="2">
        <v>98</v>
      </c>
      <c r="H2991" t="s">
        <v>4369</v>
      </c>
      <c r="J2991" s="9" t="s">
        <v>5323</v>
      </c>
      <c r="K2991" t="s">
        <v>4848</v>
      </c>
      <c r="L2991" s="2">
        <v>1</v>
      </c>
      <c r="M2991" s="24" t="s">
        <v>5971</v>
      </c>
      <c r="N2991" s="2" t="s">
        <v>23</v>
      </c>
      <c r="O2991" s="18" t="s">
        <v>2124</v>
      </c>
      <c r="P2991" s="18" t="s">
        <v>0</v>
      </c>
      <c r="Q2991" s="6" t="s">
        <v>4475</v>
      </c>
      <c r="T2991" s="23">
        <v>44858</v>
      </c>
      <c r="U2991" s="23">
        <v>46683</v>
      </c>
      <c r="X2991" s="20">
        <v>50000</v>
      </c>
      <c r="Z2991" s="6" t="s">
        <v>5978</v>
      </c>
      <c r="AA2991" s="13">
        <f t="shared" ref="AA2991:AA3000" si="400">+(0.56/1000)</f>
        <v>5.6000000000000006E-4</v>
      </c>
      <c r="AB2991">
        <v>9.479663200000001</v>
      </c>
      <c r="AC2991">
        <v>9.8588497280000009</v>
      </c>
    </row>
    <row r="2992" spans="1:29" x14ac:dyDescent="0.3">
      <c r="A2992">
        <v>132044</v>
      </c>
      <c r="B2992" s="25" t="s">
        <v>5984</v>
      </c>
      <c r="C2992" t="s">
        <v>20</v>
      </c>
      <c r="D2992" t="s">
        <v>21</v>
      </c>
      <c r="E2992">
        <v>2222222</v>
      </c>
      <c r="F2992" s="8" t="s">
        <v>22</v>
      </c>
      <c r="G2992" s="2">
        <v>98</v>
      </c>
      <c r="H2992" t="s">
        <v>4369</v>
      </c>
      <c r="J2992" s="9" t="s">
        <v>5008</v>
      </c>
      <c r="K2992" t="s">
        <v>5212</v>
      </c>
      <c r="L2992" s="2">
        <v>1</v>
      </c>
      <c r="M2992" s="24" t="s">
        <v>5971</v>
      </c>
      <c r="N2992" s="2" t="s">
        <v>23</v>
      </c>
      <c r="O2992" s="18" t="s">
        <v>2337</v>
      </c>
      <c r="P2992" s="18" t="s">
        <v>0</v>
      </c>
      <c r="Q2992" s="6" t="s">
        <v>4475</v>
      </c>
      <c r="T2992" s="23">
        <v>44921</v>
      </c>
      <c r="U2992" s="23">
        <v>46837</v>
      </c>
      <c r="X2992" s="20">
        <v>9730</v>
      </c>
      <c r="Z2992" s="6" t="s">
        <v>5978</v>
      </c>
      <c r="AA2992" s="13">
        <f t="shared" si="400"/>
        <v>5.6000000000000006E-4</v>
      </c>
      <c r="AB2992">
        <v>2.6157824000000001</v>
      </c>
      <c r="AC2992">
        <v>2.720413696</v>
      </c>
    </row>
    <row r="2993" spans="1:29" x14ac:dyDescent="0.3">
      <c r="A2993">
        <v>134773</v>
      </c>
      <c r="B2993" s="25" t="s">
        <v>5984</v>
      </c>
      <c r="C2993" t="s">
        <v>20</v>
      </c>
      <c r="D2993" t="s">
        <v>21</v>
      </c>
      <c r="E2993">
        <v>2222222</v>
      </c>
      <c r="F2993" s="8" t="s">
        <v>22</v>
      </c>
      <c r="G2993" s="2">
        <v>98</v>
      </c>
      <c r="H2993" t="s">
        <v>4369</v>
      </c>
      <c r="J2993" s="9" t="s">
        <v>5080</v>
      </c>
      <c r="K2993" t="s">
        <v>4961</v>
      </c>
      <c r="L2993" s="2">
        <v>1</v>
      </c>
      <c r="M2993" s="24" t="s">
        <v>5971</v>
      </c>
      <c r="N2993" s="2" t="s">
        <v>23</v>
      </c>
      <c r="O2993" s="18" t="s">
        <v>2338</v>
      </c>
      <c r="P2993" s="18" t="s">
        <v>0</v>
      </c>
      <c r="Q2993" s="6" t="s">
        <v>4475</v>
      </c>
      <c r="T2993" s="23">
        <v>45076</v>
      </c>
      <c r="U2993" s="23">
        <v>46541</v>
      </c>
      <c r="X2993" s="20">
        <v>5000</v>
      </c>
      <c r="Z2993" s="6" t="s">
        <v>5978</v>
      </c>
      <c r="AA2993" s="13">
        <f t="shared" si="400"/>
        <v>5.6000000000000006E-4</v>
      </c>
      <c r="AB2993">
        <v>0.67331600000000003</v>
      </c>
      <c r="AC2993">
        <v>0.70024864000000009</v>
      </c>
    </row>
    <row r="2994" spans="1:29" x14ac:dyDescent="0.3">
      <c r="A2994">
        <v>135266</v>
      </c>
      <c r="B2994" s="25" t="s">
        <v>5984</v>
      </c>
      <c r="C2994" t="s">
        <v>20</v>
      </c>
      <c r="D2994" t="s">
        <v>21</v>
      </c>
      <c r="E2994">
        <v>2222222</v>
      </c>
      <c r="F2994" s="8" t="s">
        <v>22</v>
      </c>
      <c r="G2994" s="2">
        <v>98</v>
      </c>
      <c r="H2994" t="s">
        <v>4369</v>
      </c>
      <c r="J2994" s="9" t="s">
        <v>5052</v>
      </c>
      <c r="K2994" t="s">
        <v>4878</v>
      </c>
      <c r="L2994" s="2">
        <v>1</v>
      </c>
      <c r="M2994" s="24" t="s">
        <v>5971</v>
      </c>
      <c r="N2994" s="2" t="s">
        <v>23</v>
      </c>
      <c r="O2994" s="18" t="s">
        <v>2339</v>
      </c>
      <c r="P2994" s="18" t="s">
        <v>0</v>
      </c>
      <c r="Q2994" s="6" t="s">
        <v>4475</v>
      </c>
      <c r="T2994" s="23">
        <v>45106</v>
      </c>
      <c r="U2994" s="23">
        <v>46268</v>
      </c>
      <c r="X2994" s="20">
        <v>3000</v>
      </c>
      <c r="Z2994" s="6" t="s">
        <v>5978</v>
      </c>
      <c r="AA2994" s="13">
        <f t="shared" si="400"/>
        <v>5.6000000000000006E-4</v>
      </c>
      <c r="AB2994">
        <v>0.11991280000000001</v>
      </c>
      <c r="AC2994">
        <v>0.12470931200000002</v>
      </c>
    </row>
    <row r="2995" spans="1:29" x14ac:dyDescent="0.3">
      <c r="A2995">
        <v>137830</v>
      </c>
      <c r="B2995" s="25" t="s">
        <v>5984</v>
      </c>
      <c r="C2995" t="s">
        <v>20</v>
      </c>
      <c r="D2995" t="s">
        <v>21</v>
      </c>
      <c r="E2995">
        <v>2222222</v>
      </c>
      <c r="F2995" s="8" t="s">
        <v>22</v>
      </c>
      <c r="G2995" s="2">
        <v>98</v>
      </c>
      <c r="H2995" t="s">
        <v>4369</v>
      </c>
      <c r="J2995" s="9" t="s">
        <v>5204</v>
      </c>
      <c r="K2995" t="s">
        <v>4983</v>
      </c>
      <c r="L2995" s="2">
        <v>1</v>
      </c>
      <c r="M2995" s="24" t="s">
        <v>5971</v>
      </c>
      <c r="N2995" s="2" t="s">
        <v>23</v>
      </c>
      <c r="O2995" s="18" t="s">
        <v>2340</v>
      </c>
      <c r="P2995" s="18" t="s">
        <v>0</v>
      </c>
      <c r="Q2995" s="6" t="s">
        <v>4475</v>
      </c>
      <c r="T2995" s="23">
        <v>45253</v>
      </c>
      <c r="U2995" s="23">
        <v>47172</v>
      </c>
      <c r="X2995" s="20">
        <v>16400</v>
      </c>
      <c r="Z2995" s="6" t="s">
        <v>5978</v>
      </c>
      <c r="AA2995" s="13">
        <f t="shared" si="400"/>
        <v>5.6000000000000006E-4</v>
      </c>
      <c r="AB2995">
        <v>6.0095224000000007</v>
      </c>
      <c r="AC2995">
        <v>6.2499032960000012</v>
      </c>
    </row>
    <row r="2996" spans="1:29" x14ac:dyDescent="0.3">
      <c r="A2996">
        <v>138099</v>
      </c>
      <c r="B2996" s="25" t="s">
        <v>5984</v>
      </c>
      <c r="C2996" t="s">
        <v>20</v>
      </c>
      <c r="D2996" t="s">
        <v>21</v>
      </c>
      <c r="E2996">
        <v>2222222</v>
      </c>
      <c r="F2996" s="8" t="s">
        <v>22</v>
      </c>
      <c r="G2996" s="2">
        <v>98</v>
      </c>
      <c r="H2996" t="s">
        <v>4369</v>
      </c>
      <c r="J2996" s="9" t="s">
        <v>4875</v>
      </c>
      <c r="K2996" t="s">
        <v>4870</v>
      </c>
      <c r="L2996" s="2">
        <v>1</v>
      </c>
      <c r="M2996" s="24" t="s">
        <v>5971</v>
      </c>
      <c r="N2996" s="2" t="s">
        <v>23</v>
      </c>
      <c r="O2996" s="18" t="s">
        <v>2341</v>
      </c>
      <c r="P2996" s="18" t="s">
        <v>0</v>
      </c>
      <c r="Q2996" s="6" t="s">
        <v>4475</v>
      </c>
      <c r="T2996" s="23">
        <v>45280</v>
      </c>
      <c r="U2996" s="23">
        <v>50758</v>
      </c>
      <c r="X2996" s="20">
        <v>100000</v>
      </c>
      <c r="Z2996" s="6" t="s">
        <v>5978</v>
      </c>
      <c r="AA2996" s="13">
        <f t="shared" si="400"/>
        <v>5.6000000000000006E-4</v>
      </c>
      <c r="AB2996">
        <v>51.818261600000007</v>
      </c>
      <c r="AC2996">
        <v>53.89099206400001</v>
      </c>
    </row>
    <row r="2997" spans="1:29" x14ac:dyDescent="0.3">
      <c r="A2997">
        <v>138531</v>
      </c>
      <c r="B2997" s="25" t="s">
        <v>5984</v>
      </c>
      <c r="C2997" t="s">
        <v>20</v>
      </c>
      <c r="D2997" t="s">
        <v>21</v>
      </c>
      <c r="E2997">
        <v>2222222</v>
      </c>
      <c r="F2997" s="8" t="s">
        <v>22</v>
      </c>
      <c r="G2997" s="2">
        <v>98</v>
      </c>
      <c r="H2997" t="s">
        <v>4369</v>
      </c>
      <c r="J2997" s="9" t="s">
        <v>4860</v>
      </c>
      <c r="K2997" t="s">
        <v>5103</v>
      </c>
      <c r="L2997" s="2">
        <v>1</v>
      </c>
      <c r="M2997" s="24" t="s">
        <v>5971</v>
      </c>
      <c r="N2997" s="2" t="s">
        <v>23</v>
      </c>
      <c r="O2997" s="18" t="s">
        <v>2342</v>
      </c>
      <c r="P2997" s="18" t="s">
        <v>3781</v>
      </c>
      <c r="Q2997" s="6" t="s">
        <v>4475</v>
      </c>
      <c r="T2997" s="23">
        <v>45281</v>
      </c>
      <c r="U2997" s="23">
        <v>47197</v>
      </c>
      <c r="X2997" s="20">
        <v>4000</v>
      </c>
      <c r="Z2997" s="6" t="s">
        <v>5978</v>
      </c>
      <c r="AA2997" s="13">
        <f t="shared" si="400"/>
        <v>5.6000000000000006E-4</v>
      </c>
      <c r="AB2997">
        <v>1.3939688000000001</v>
      </c>
      <c r="AC2997">
        <v>1.4497275520000001</v>
      </c>
    </row>
    <row r="2998" spans="1:29" x14ac:dyDescent="0.3">
      <c r="A2998">
        <v>138658</v>
      </c>
      <c r="B2998" s="25" t="s">
        <v>5984</v>
      </c>
      <c r="C2998" t="s">
        <v>20</v>
      </c>
      <c r="D2998" t="s">
        <v>21</v>
      </c>
      <c r="E2998">
        <v>2222222</v>
      </c>
      <c r="F2998" s="8" t="s">
        <v>22</v>
      </c>
      <c r="G2998" s="2">
        <v>98</v>
      </c>
      <c r="H2998" t="s">
        <v>4369</v>
      </c>
      <c r="J2998" s="9" t="s">
        <v>5323</v>
      </c>
      <c r="K2998" t="s">
        <v>4848</v>
      </c>
      <c r="L2998" s="2">
        <v>1</v>
      </c>
      <c r="M2998" s="24" t="s">
        <v>5971</v>
      </c>
      <c r="N2998" s="2" t="s">
        <v>23</v>
      </c>
      <c r="O2998" s="18" t="s">
        <v>2124</v>
      </c>
      <c r="P2998" s="18" t="s">
        <v>0</v>
      </c>
      <c r="Q2998" s="6" t="s">
        <v>4475</v>
      </c>
      <c r="T2998" s="23">
        <v>45289</v>
      </c>
      <c r="U2998" s="23">
        <v>47115</v>
      </c>
      <c r="X2998" s="20">
        <v>5000</v>
      </c>
      <c r="Z2998" s="6" t="s">
        <v>5978</v>
      </c>
      <c r="AA2998" s="13">
        <f t="shared" si="400"/>
        <v>5.6000000000000006E-4</v>
      </c>
      <c r="AB2998">
        <v>1.7423616000000002</v>
      </c>
      <c r="AC2998">
        <v>1.8120560640000003</v>
      </c>
    </row>
    <row r="2999" spans="1:29" x14ac:dyDescent="0.3">
      <c r="A2999">
        <v>139535</v>
      </c>
      <c r="B2999" s="25" t="s">
        <v>5984</v>
      </c>
      <c r="C2999" t="s">
        <v>20</v>
      </c>
      <c r="D2999" t="s">
        <v>21</v>
      </c>
      <c r="E2999">
        <v>2222222</v>
      </c>
      <c r="F2999" s="8" t="s">
        <v>22</v>
      </c>
      <c r="G2999" s="2">
        <v>98</v>
      </c>
      <c r="H2999" t="s">
        <v>4369</v>
      </c>
      <c r="J2999" s="9" t="s">
        <v>4898</v>
      </c>
      <c r="K2999" t="s">
        <v>5716</v>
      </c>
      <c r="L2999" s="2">
        <v>1</v>
      </c>
      <c r="M2999" s="24" t="s">
        <v>5971</v>
      </c>
      <c r="N2999" s="2" t="s">
        <v>23</v>
      </c>
      <c r="O2999" s="18" t="s">
        <v>515</v>
      </c>
      <c r="P2999" s="18" t="s">
        <v>3781</v>
      </c>
      <c r="Q2999" s="6" t="s">
        <v>4475</v>
      </c>
      <c r="T2999" s="23">
        <v>45342</v>
      </c>
      <c r="U2999" s="23">
        <v>46439</v>
      </c>
      <c r="X2999" s="20">
        <v>3000</v>
      </c>
      <c r="Z2999" s="6" t="s">
        <v>5978</v>
      </c>
      <c r="AA2999" s="13">
        <f t="shared" si="400"/>
        <v>5.6000000000000006E-4</v>
      </c>
      <c r="AB2999">
        <v>1.2945632</v>
      </c>
      <c r="AC2999">
        <v>1.346345728</v>
      </c>
    </row>
    <row r="3000" spans="1:29" x14ac:dyDescent="0.3">
      <c r="A3000">
        <v>139915</v>
      </c>
      <c r="B3000" s="25" t="s">
        <v>5984</v>
      </c>
      <c r="C3000" t="s">
        <v>20</v>
      </c>
      <c r="D3000" t="s">
        <v>21</v>
      </c>
      <c r="E3000">
        <v>2222222</v>
      </c>
      <c r="F3000" s="8" t="s">
        <v>22</v>
      </c>
      <c r="G3000" s="2">
        <v>98</v>
      </c>
      <c r="H3000" t="s">
        <v>4369</v>
      </c>
      <c r="J3000" s="9" t="s">
        <v>4884</v>
      </c>
      <c r="K3000" t="s">
        <v>5090</v>
      </c>
      <c r="L3000" s="2">
        <v>1</v>
      </c>
      <c r="M3000" s="24" t="s">
        <v>5971</v>
      </c>
      <c r="N3000" s="2" t="s">
        <v>23</v>
      </c>
      <c r="O3000" s="18" t="s">
        <v>2343</v>
      </c>
      <c r="P3000" s="18" t="s">
        <v>3781</v>
      </c>
      <c r="Q3000" s="6" t="s">
        <v>4475</v>
      </c>
      <c r="T3000" s="23">
        <v>45379</v>
      </c>
      <c r="U3000" s="23">
        <v>52775</v>
      </c>
      <c r="X3000" s="20">
        <v>83000</v>
      </c>
      <c r="Z3000" s="6" t="s">
        <v>5978</v>
      </c>
      <c r="AA3000" s="13">
        <f t="shared" si="400"/>
        <v>5.6000000000000006E-4</v>
      </c>
      <c r="AB3000">
        <v>44.726964800000005</v>
      </c>
      <c r="AC3000">
        <v>46.516043392000007</v>
      </c>
    </row>
    <row r="3001" spans="1:29" x14ac:dyDescent="0.3">
      <c r="A3001">
        <v>140860</v>
      </c>
      <c r="B3001" s="25" t="s">
        <v>5984</v>
      </c>
      <c r="C3001" t="s">
        <v>20</v>
      </c>
      <c r="D3001" t="s">
        <v>21</v>
      </c>
      <c r="E3001">
        <v>2222222</v>
      </c>
      <c r="F3001" s="8" t="s">
        <v>22</v>
      </c>
      <c r="G3001" s="2">
        <v>98</v>
      </c>
      <c r="H3001" t="s">
        <v>4369</v>
      </c>
      <c r="J3001" s="9" t="s">
        <v>5717</v>
      </c>
      <c r="K3001" t="s">
        <v>4827</v>
      </c>
      <c r="L3001" s="2">
        <v>1</v>
      </c>
      <c r="M3001" s="24" t="s">
        <v>5971</v>
      </c>
      <c r="N3001" s="2" t="s">
        <v>23</v>
      </c>
      <c r="O3001" s="18" t="s">
        <v>2344</v>
      </c>
      <c r="P3001" s="18" t="s">
        <v>0</v>
      </c>
      <c r="Q3001" s="6" t="s">
        <v>4475</v>
      </c>
      <c r="T3001" s="23">
        <v>45422</v>
      </c>
      <c r="U3001" s="23">
        <v>47247</v>
      </c>
      <c r="X3001" s="20">
        <v>15000</v>
      </c>
      <c r="Z3001" s="6" t="s">
        <v>5978</v>
      </c>
      <c r="AA3001" s="14">
        <f t="shared" ref="AA3001:AA3031" si="401">+(0.6/1000)</f>
        <v>5.9999999999999995E-4</v>
      </c>
      <c r="AB3001">
        <v>5.9604119999999998</v>
      </c>
      <c r="AC3001">
        <v>6.1988284800000004</v>
      </c>
    </row>
    <row r="3002" spans="1:29" x14ac:dyDescent="0.3">
      <c r="A3002">
        <v>141031</v>
      </c>
      <c r="B3002" s="25" t="s">
        <v>5984</v>
      </c>
      <c r="C3002" t="s">
        <v>20</v>
      </c>
      <c r="D3002" t="s">
        <v>21</v>
      </c>
      <c r="E3002">
        <v>2222222</v>
      </c>
      <c r="F3002" s="8" t="s">
        <v>22</v>
      </c>
      <c r="G3002" s="2">
        <v>98</v>
      </c>
      <c r="H3002" t="s">
        <v>4369</v>
      </c>
      <c r="J3002" s="9" t="s">
        <v>4836</v>
      </c>
      <c r="K3002" t="s">
        <v>5718</v>
      </c>
      <c r="L3002" s="2">
        <v>1</v>
      </c>
      <c r="M3002" s="24" t="s">
        <v>5971</v>
      </c>
      <c r="N3002" s="2" t="s">
        <v>23</v>
      </c>
      <c r="O3002" s="18" t="s">
        <v>2345</v>
      </c>
      <c r="P3002" s="18" t="s">
        <v>3781</v>
      </c>
      <c r="Q3002" s="6" t="s">
        <v>4475</v>
      </c>
      <c r="T3002" s="23">
        <v>45426</v>
      </c>
      <c r="U3002" s="23">
        <v>46612</v>
      </c>
      <c r="X3002" s="20">
        <v>1835</v>
      </c>
      <c r="Z3002" s="6" t="s">
        <v>5978</v>
      </c>
      <c r="AA3002" s="14">
        <f t="shared" si="401"/>
        <v>5.9999999999999995E-4</v>
      </c>
      <c r="AB3002">
        <v>0.46772999999999992</v>
      </c>
      <c r="AC3002">
        <v>0.48643919999999996</v>
      </c>
    </row>
    <row r="3003" spans="1:29" x14ac:dyDescent="0.3">
      <c r="A3003">
        <v>141421</v>
      </c>
      <c r="B3003" s="25" t="s">
        <v>5984</v>
      </c>
      <c r="C3003" t="s">
        <v>20</v>
      </c>
      <c r="D3003" t="s">
        <v>21</v>
      </c>
      <c r="E3003">
        <v>2222222</v>
      </c>
      <c r="F3003" s="8" t="s">
        <v>22</v>
      </c>
      <c r="G3003" s="2">
        <v>98</v>
      </c>
      <c r="H3003" t="s">
        <v>4369</v>
      </c>
      <c r="J3003" s="9" t="s">
        <v>5126</v>
      </c>
      <c r="K3003" t="s">
        <v>5469</v>
      </c>
      <c r="L3003" s="2">
        <v>1</v>
      </c>
      <c r="M3003" s="24" t="s">
        <v>5971</v>
      </c>
      <c r="N3003" s="2" t="s">
        <v>23</v>
      </c>
      <c r="O3003" s="18" t="s">
        <v>2346</v>
      </c>
      <c r="P3003" s="18" t="s">
        <v>0</v>
      </c>
      <c r="Q3003" s="6" t="s">
        <v>4475</v>
      </c>
      <c r="T3003" s="23">
        <v>45460</v>
      </c>
      <c r="U3003" s="23">
        <v>46555</v>
      </c>
      <c r="X3003" s="20">
        <v>10400</v>
      </c>
      <c r="Z3003" s="6" t="s">
        <v>5978</v>
      </c>
      <c r="AA3003" s="14">
        <f t="shared" si="401"/>
        <v>5.9999999999999995E-4</v>
      </c>
      <c r="AB3003">
        <v>2.235636</v>
      </c>
      <c r="AC3003">
        <v>2.3250614399999998</v>
      </c>
    </row>
    <row r="3004" spans="1:29" x14ac:dyDescent="0.3">
      <c r="A3004">
        <v>142086</v>
      </c>
      <c r="B3004" s="25" t="s">
        <v>5984</v>
      </c>
      <c r="C3004" t="s">
        <v>20</v>
      </c>
      <c r="D3004" t="s">
        <v>21</v>
      </c>
      <c r="E3004">
        <v>2222222</v>
      </c>
      <c r="F3004" s="8" t="s">
        <v>22</v>
      </c>
      <c r="G3004" s="2">
        <v>98</v>
      </c>
      <c r="H3004" t="s">
        <v>4369</v>
      </c>
      <c r="J3004" s="9" t="s">
        <v>5000</v>
      </c>
      <c r="K3004" t="s">
        <v>5125</v>
      </c>
      <c r="L3004" s="2">
        <v>1</v>
      </c>
      <c r="M3004" s="24" t="s">
        <v>5971</v>
      </c>
      <c r="N3004" s="2" t="s">
        <v>23</v>
      </c>
      <c r="O3004" s="18" t="s">
        <v>2347</v>
      </c>
      <c r="P3004" s="18" t="s">
        <v>0</v>
      </c>
      <c r="Q3004" s="6" t="s">
        <v>4475</v>
      </c>
      <c r="T3004" s="23">
        <v>45502</v>
      </c>
      <c r="U3004" s="23">
        <v>46596</v>
      </c>
      <c r="X3004" s="20">
        <v>3460</v>
      </c>
      <c r="Z3004" s="6" t="s">
        <v>5978</v>
      </c>
      <c r="AA3004" s="14">
        <f t="shared" si="401"/>
        <v>5.9999999999999995E-4</v>
      </c>
      <c r="AB3004">
        <v>0.82692599999999994</v>
      </c>
      <c r="AC3004">
        <v>0.86000303999999994</v>
      </c>
    </row>
    <row r="3005" spans="1:29" x14ac:dyDescent="0.3">
      <c r="A3005">
        <v>142373</v>
      </c>
      <c r="B3005" s="25" t="s">
        <v>5984</v>
      </c>
      <c r="C3005" t="s">
        <v>20</v>
      </c>
      <c r="D3005" t="s">
        <v>21</v>
      </c>
      <c r="E3005">
        <v>2222222</v>
      </c>
      <c r="F3005" s="8" t="s">
        <v>22</v>
      </c>
      <c r="G3005" s="2">
        <v>98</v>
      </c>
      <c r="H3005" t="s">
        <v>4369</v>
      </c>
      <c r="J3005" s="9" t="s">
        <v>4815</v>
      </c>
      <c r="K3005" t="s">
        <v>5130</v>
      </c>
      <c r="L3005" s="2">
        <v>1</v>
      </c>
      <c r="M3005" s="24" t="s">
        <v>5971</v>
      </c>
      <c r="N3005" s="2" t="s">
        <v>23</v>
      </c>
      <c r="O3005" s="18" t="s">
        <v>2348</v>
      </c>
      <c r="P3005" s="18" t="s">
        <v>0</v>
      </c>
      <c r="Q3005" s="6" t="s">
        <v>4475</v>
      </c>
      <c r="T3005" s="23">
        <v>45520</v>
      </c>
      <c r="U3005" s="23">
        <v>46736</v>
      </c>
      <c r="X3005" s="20">
        <v>15000</v>
      </c>
      <c r="Z3005" s="6" t="s">
        <v>5978</v>
      </c>
      <c r="AA3005" s="14">
        <f t="shared" si="401"/>
        <v>5.9999999999999995E-4</v>
      </c>
      <c r="AB3005">
        <v>4.3591259999999998</v>
      </c>
      <c r="AC3005">
        <v>4.5334910400000004</v>
      </c>
    </row>
    <row r="3006" spans="1:29" x14ac:dyDescent="0.3">
      <c r="A3006">
        <v>142634</v>
      </c>
      <c r="B3006" s="25" t="s">
        <v>5984</v>
      </c>
      <c r="C3006" t="s">
        <v>20</v>
      </c>
      <c r="D3006" t="s">
        <v>21</v>
      </c>
      <c r="E3006">
        <v>2222222</v>
      </c>
      <c r="F3006" s="8" t="s">
        <v>22</v>
      </c>
      <c r="G3006" s="2">
        <v>98</v>
      </c>
      <c r="H3006" t="s">
        <v>4369</v>
      </c>
      <c r="J3006" s="9" t="s">
        <v>5323</v>
      </c>
      <c r="K3006" t="s">
        <v>4848</v>
      </c>
      <c r="L3006" s="2">
        <v>1</v>
      </c>
      <c r="M3006" s="24" t="s">
        <v>5971</v>
      </c>
      <c r="N3006" s="2" t="s">
        <v>23</v>
      </c>
      <c r="O3006" s="18" t="s">
        <v>2124</v>
      </c>
      <c r="P3006" s="18" t="s">
        <v>0</v>
      </c>
      <c r="Q3006" s="6" t="s">
        <v>4475</v>
      </c>
      <c r="T3006" s="23">
        <v>45533</v>
      </c>
      <c r="U3006" s="23">
        <v>46631</v>
      </c>
      <c r="X3006" s="20">
        <v>4660</v>
      </c>
      <c r="Z3006" s="6" t="s">
        <v>5978</v>
      </c>
      <c r="AA3006" s="14">
        <f t="shared" si="401"/>
        <v>5.9999999999999995E-4</v>
      </c>
      <c r="AB3006">
        <v>1.5185999999999999</v>
      </c>
      <c r="AC3006">
        <v>1.5793440000000001</v>
      </c>
    </row>
    <row r="3007" spans="1:29" x14ac:dyDescent="0.3">
      <c r="A3007">
        <v>143101</v>
      </c>
      <c r="B3007" s="25" t="s">
        <v>5984</v>
      </c>
      <c r="C3007" t="s">
        <v>20</v>
      </c>
      <c r="D3007" t="s">
        <v>21</v>
      </c>
      <c r="E3007">
        <v>2222222</v>
      </c>
      <c r="F3007" s="8" t="s">
        <v>22</v>
      </c>
      <c r="G3007" s="2">
        <v>98</v>
      </c>
      <c r="H3007" t="s">
        <v>4369</v>
      </c>
      <c r="J3007" s="9" t="s">
        <v>5133</v>
      </c>
      <c r="K3007" t="s">
        <v>4980</v>
      </c>
      <c r="L3007" s="2">
        <v>1</v>
      </c>
      <c r="M3007" s="24" t="s">
        <v>5971</v>
      </c>
      <c r="N3007" s="2" t="s">
        <v>23</v>
      </c>
      <c r="O3007" s="18" t="s">
        <v>2349</v>
      </c>
      <c r="P3007" s="18" t="s">
        <v>3781</v>
      </c>
      <c r="Q3007" s="6" t="s">
        <v>4475</v>
      </c>
      <c r="T3007" s="23">
        <v>45566</v>
      </c>
      <c r="U3007" s="23">
        <v>46752</v>
      </c>
      <c r="X3007" s="20">
        <v>4520</v>
      </c>
      <c r="Z3007" s="6" t="s">
        <v>5978</v>
      </c>
      <c r="AA3007" s="14">
        <f t="shared" si="401"/>
        <v>5.9999999999999995E-4</v>
      </c>
      <c r="AB3007">
        <v>2.274216</v>
      </c>
      <c r="AC3007">
        <v>2.3651846400000003</v>
      </c>
    </row>
    <row r="3008" spans="1:29" x14ac:dyDescent="0.3">
      <c r="A3008">
        <v>143497</v>
      </c>
      <c r="B3008" s="25" t="s">
        <v>5984</v>
      </c>
      <c r="C3008" t="s">
        <v>20</v>
      </c>
      <c r="D3008" t="s">
        <v>21</v>
      </c>
      <c r="E3008">
        <v>2222222</v>
      </c>
      <c r="F3008" s="8" t="s">
        <v>22</v>
      </c>
      <c r="G3008" s="2">
        <v>98</v>
      </c>
      <c r="H3008" t="s">
        <v>4369</v>
      </c>
      <c r="J3008" s="9" t="s">
        <v>5152</v>
      </c>
      <c r="K3008" t="s">
        <v>4884</v>
      </c>
      <c r="L3008" s="2">
        <v>1</v>
      </c>
      <c r="M3008" s="24" t="s">
        <v>5971</v>
      </c>
      <c r="N3008" s="2" t="s">
        <v>23</v>
      </c>
      <c r="O3008" s="18" t="s">
        <v>2350</v>
      </c>
      <c r="P3008" s="18" t="s">
        <v>3781</v>
      </c>
      <c r="Q3008" s="6" t="s">
        <v>4475</v>
      </c>
      <c r="T3008" s="23">
        <v>45595</v>
      </c>
      <c r="U3008" s="23">
        <v>46840</v>
      </c>
      <c r="X3008" s="20">
        <v>5050</v>
      </c>
      <c r="Z3008" s="6" t="s">
        <v>5978</v>
      </c>
      <c r="AA3008" s="14">
        <f t="shared" si="401"/>
        <v>5.9999999999999995E-4</v>
      </c>
      <c r="AB3008">
        <v>1.870026</v>
      </c>
      <c r="AC3008">
        <v>1.9448270400000001</v>
      </c>
    </row>
    <row r="3009" spans="1:29" x14ac:dyDescent="0.3">
      <c r="A3009">
        <v>143657</v>
      </c>
      <c r="B3009" s="25" t="s">
        <v>5984</v>
      </c>
      <c r="C3009" t="s">
        <v>20</v>
      </c>
      <c r="D3009" t="s">
        <v>21</v>
      </c>
      <c r="E3009">
        <v>2222222</v>
      </c>
      <c r="F3009" s="8" t="s">
        <v>22</v>
      </c>
      <c r="G3009" s="2">
        <v>98</v>
      </c>
      <c r="H3009" t="s">
        <v>4369</v>
      </c>
      <c r="J3009" s="9" t="s">
        <v>4883</v>
      </c>
      <c r="K3009" t="s">
        <v>4884</v>
      </c>
      <c r="L3009" s="2">
        <v>1</v>
      </c>
      <c r="M3009" s="24" t="s">
        <v>5971</v>
      </c>
      <c r="N3009" s="2" t="s">
        <v>23</v>
      </c>
      <c r="O3009" s="18" t="s">
        <v>2351</v>
      </c>
      <c r="P3009" s="18" t="s">
        <v>3781</v>
      </c>
      <c r="Q3009" s="6" t="s">
        <v>4475</v>
      </c>
      <c r="T3009" s="23">
        <v>45621</v>
      </c>
      <c r="U3009" s="23">
        <v>51099</v>
      </c>
      <c r="X3009" s="20">
        <v>60000</v>
      </c>
      <c r="Z3009" s="6" t="s">
        <v>5978</v>
      </c>
      <c r="AA3009" s="14">
        <f t="shared" si="401"/>
        <v>5.9999999999999995E-4</v>
      </c>
      <c r="AB3009">
        <v>34.634885999999995</v>
      </c>
      <c r="AC3009">
        <v>36.020281439999998</v>
      </c>
    </row>
    <row r="3010" spans="1:29" x14ac:dyDescent="0.3">
      <c r="A3010">
        <v>143821</v>
      </c>
      <c r="B3010" s="25" t="s">
        <v>5984</v>
      </c>
      <c r="C3010" t="s">
        <v>20</v>
      </c>
      <c r="D3010" t="s">
        <v>21</v>
      </c>
      <c r="E3010">
        <v>2222222</v>
      </c>
      <c r="F3010" s="8" t="s">
        <v>22</v>
      </c>
      <c r="G3010" s="2">
        <v>98</v>
      </c>
      <c r="H3010" t="s">
        <v>4369</v>
      </c>
      <c r="J3010" s="9" t="s">
        <v>4870</v>
      </c>
      <c r="K3010" t="s">
        <v>4968</v>
      </c>
      <c r="L3010" s="2">
        <v>1</v>
      </c>
      <c r="M3010" s="24" t="s">
        <v>5971</v>
      </c>
      <c r="N3010" s="2" t="s">
        <v>23</v>
      </c>
      <c r="O3010" s="18" t="s">
        <v>2352</v>
      </c>
      <c r="P3010" s="18" t="s">
        <v>0</v>
      </c>
      <c r="Q3010" s="6" t="s">
        <v>4475</v>
      </c>
      <c r="T3010" s="23">
        <v>45618</v>
      </c>
      <c r="U3010" s="23">
        <v>49270</v>
      </c>
      <c r="X3010" s="20">
        <v>20000</v>
      </c>
      <c r="Z3010" s="6" t="s">
        <v>5978</v>
      </c>
      <c r="AA3010" s="14">
        <f t="shared" si="401"/>
        <v>5.9999999999999995E-4</v>
      </c>
      <c r="AB3010">
        <v>10.891571999999998</v>
      </c>
      <c r="AC3010">
        <v>11.327234879999999</v>
      </c>
    </row>
    <row r="3011" spans="1:29" x14ac:dyDescent="0.3">
      <c r="A3011">
        <v>144532</v>
      </c>
      <c r="B3011" s="25" t="s">
        <v>5984</v>
      </c>
      <c r="C3011" t="s">
        <v>20</v>
      </c>
      <c r="D3011" t="s">
        <v>21</v>
      </c>
      <c r="E3011">
        <v>2222222</v>
      </c>
      <c r="F3011" s="8" t="s">
        <v>22</v>
      </c>
      <c r="G3011" s="2">
        <v>98</v>
      </c>
      <c r="H3011" t="s">
        <v>4369</v>
      </c>
      <c r="J3011" s="9" t="s">
        <v>4884</v>
      </c>
      <c r="K3011" t="s">
        <v>5090</v>
      </c>
      <c r="L3011" s="2">
        <v>1</v>
      </c>
      <c r="M3011" s="24" t="s">
        <v>5971</v>
      </c>
      <c r="N3011" s="2" t="s">
        <v>23</v>
      </c>
      <c r="O3011" s="18" t="s">
        <v>2343</v>
      </c>
      <c r="P3011" s="18" t="s">
        <v>3781</v>
      </c>
      <c r="Q3011" s="6" t="s">
        <v>4475</v>
      </c>
      <c r="T3011" s="23">
        <v>45670</v>
      </c>
      <c r="U3011" s="23">
        <v>47495</v>
      </c>
      <c r="X3011" s="20">
        <v>5000</v>
      </c>
      <c r="Z3011" s="6" t="s">
        <v>5978</v>
      </c>
      <c r="AA3011" s="14">
        <f t="shared" si="401"/>
        <v>5.9999999999999995E-4</v>
      </c>
      <c r="AB3011">
        <v>2.2791779999999999</v>
      </c>
      <c r="AC3011">
        <v>2.3703451200000001</v>
      </c>
    </row>
    <row r="3012" spans="1:29" x14ac:dyDescent="0.3">
      <c r="A3012">
        <v>144583</v>
      </c>
      <c r="B3012" s="25" t="s">
        <v>5984</v>
      </c>
      <c r="C3012" t="s">
        <v>20</v>
      </c>
      <c r="D3012" t="s">
        <v>21</v>
      </c>
      <c r="E3012">
        <v>2222222</v>
      </c>
      <c r="F3012" s="8" t="s">
        <v>22</v>
      </c>
      <c r="G3012" s="2">
        <v>98</v>
      </c>
      <c r="H3012" t="s">
        <v>4369</v>
      </c>
      <c r="J3012" s="9" t="s">
        <v>4950</v>
      </c>
      <c r="K3012" t="s">
        <v>5719</v>
      </c>
      <c r="L3012" s="2">
        <v>1</v>
      </c>
      <c r="M3012" s="24" t="s">
        <v>5971</v>
      </c>
      <c r="N3012" s="2" t="s">
        <v>23</v>
      </c>
      <c r="O3012" s="18" t="s">
        <v>2353</v>
      </c>
      <c r="P3012" s="18" t="s">
        <v>0</v>
      </c>
      <c r="Q3012" s="6" t="s">
        <v>4475</v>
      </c>
      <c r="T3012" s="23">
        <v>45716</v>
      </c>
      <c r="U3012" s="23">
        <v>49368</v>
      </c>
      <c r="X3012" s="20">
        <v>80000</v>
      </c>
      <c r="Z3012" s="6" t="s">
        <v>5978</v>
      </c>
      <c r="AA3012" s="14">
        <f t="shared" si="401"/>
        <v>5.9999999999999995E-4</v>
      </c>
      <c r="AB3012">
        <v>45.13950599999999</v>
      </c>
      <c r="AC3012">
        <v>46.945086239999995</v>
      </c>
    </row>
    <row r="3013" spans="1:29" x14ac:dyDescent="0.3">
      <c r="A3013">
        <v>145980</v>
      </c>
      <c r="B3013" s="25" t="s">
        <v>5984</v>
      </c>
      <c r="C3013" t="s">
        <v>20</v>
      </c>
      <c r="D3013" t="s">
        <v>21</v>
      </c>
      <c r="E3013">
        <v>2222222</v>
      </c>
      <c r="F3013" s="8" t="s">
        <v>22</v>
      </c>
      <c r="G3013" s="2">
        <v>98</v>
      </c>
      <c r="H3013" t="s">
        <v>4369</v>
      </c>
      <c r="J3013" s="9" t="s">
        <v>4901</v>
      </c>
      <c r="K3013" t="s">
        <v>4964</v>
      </c>
      <c r="L3013" s="2">
        <v>1</v>
      </c>
      <c r="M3013" s="24" t="s">
        <v>5971</v>
      </c>
      <c r="N3013" s="2" t="s">
        <v>23</v>
      </c>
      <c r="O3013" s="18" t="s">
        <v>2354</v>
      </c>
      <c r="P3013" s="18" t="s">
        <v>0</v>
      </c>
      <c r="Q3013" s="6" t="s">
        <v>4475</v>
      </c>
      <c r="T3013" s="23">
        <v>45778</v>
      </c>
      <c r="U3013" s="23">
        <v>47604</v>
      </c>
      <c r="X3013" s="20">
        <v>5000</v>
      </c>
      <c r="Z3013" s="6" t="s">
        <v>5978</v>
      </c>
      <c r="AA3013" s="14">
        <f t="shared" si="401"/>
        <v>5.9999999999999995E-4</v>
      </c>
      <c r="AB3013">
        <v>2.4752879999999995</v>
      </c>
      <c r="AC3013">
        <v>2.5742995199999994</v>
      </c>
    </row>
    <row r="3014" spans="1:29" x14ac:dyDescent="0.3">
      <c r="A3014">
        <v>146087</v>
      </c>
      <c r="B3014" s="25" t="s">
        <v>5984</v>
      </c>
      <c r="C3014" t="s">
        <v>20</v>
      </c>
      <c r="D3014" t="s">
        <v>21</v>
      </c>
      <c r="E3014">
        <v>2222222</v>
      </c>
      <c r="F3014" s="8" t="s">
        <v>22</v>
      </c>
      <c r="G3014" s="2">
        <v>98</v>
      </c>
      <c r="H3014" t="s">
        <v>4369</v>
      </c>
      <c r="J3014" s="9" t="s">
        <v>4852</v>
      </c>
      <c r="K3014" t="s">
        <v>4900</v>
      </c>
      <c r="L3014" s="2">
        <v>1</v>
      </c>
      <c r="M3014" s="24" t="s">
        <v>5971</v>
      </c>
      <c r="N3014" s="2" t="s">
        <v>23</v>
      </c>
      <c r="O3014" s="18" t="s">
        <v>2355</v>
      </c>
      <c r="P3014" s="18" t="s">
        <v>0</v>
      </c>
      <c r="Q3014" s="6" t="s">
        <v>4475</v>
      </c>
      <c r="T3014" s="23">
        <v>45789</v>
      </c>
      <c r="U3014" s="23">
        <v>46889</v>
      </c>
      <c r="X3014" s="20">
        <v>5000</v>
      </c>
      <c r="Z3014" s="6" t="s">
        <v>5978</v>
      </c>
      <c r="AA3014" s="14">
        <f t="shared" si="401"/>
        <v>5.9999999999999995E-4</v>
      </c>
      <c r="AB3014">
        <v>2.021064</v>
      </c>
      <c r="AC3014">
        <v>2.1019065600000002</v>
      </c>
    </row>
    <row r="3015" spans="1:29" x14ac:dyDescent="0.3">
      <c r="A3015">
        <v>146287</v>
      </c>
      <c r="B3015" s="25" t="s">
        <v>5984</v>
      </c>
      <c r="C3015" t="s">
        <v>20</v>
      </c>
      <c r="D3015" t="s">
        <v>21</v>
      </c>
      <c r="E3015">
        <v>2222222</v>
      </c>
      <c r="F3015" s="8" t="s">
        <v>22</v>
      </c>
      <c r="G3015" s="2">
        <v>98</v>
      </c>
      <c r="H3015" t="s">
        <v>4369</v>
      </c>
      <c r="J3015" s="9" t="s">
        <v>5720</v>
      </c>
      <c r="K3015" t="s">
        <v>4884</v>
      </c>
      <c r="L3015" s="2">
        <v>1</v>
      </c>
      <c r="M3015" s="24" t="s">
        <v>5971</v>
      </c>
      <c r="N3015" s="2" t="s">
        <v>23</v>
      </c>
      <c r="O3015" s="18" t="s">
        <v>2356</v>
      </c>
      <c r="P3015" s="18" t="s">
        <v>3781</v>
      </c>
      <c r="Q3015" s="6" t="s">
        <v>4475</v>
      </c>
      <c r="T3015" s="23">
        <v>45808</v>
      </c>
      <c r="U3015" s="23">
        <v>47453</v>
      </c>
      <c r="X3015" s="20">
        <v>20000</v>
      </c>
      <c r="Z3015" s="6" t="s">
        <v>5978</v>
      </c>
      <c r="AA3015" s="14">
        <f t="shared" si="401"/>
        <v>5.9999999999999995E-4</v>
      </c>
      <c r="AB3015">
        <v>9.9649019999999986</v>
      </c>
      <c r="AC3015">
        <v>10.363498079999999</v>
      </c>
    </row>
    <row r="3016" spans="1:29" x14ac:dyDescent="0.3">
      <c r="A3016">
        <v>146545</v>
      </c>
      <c r="B3016" s="25" t="s">
        <v>5984</v>
      </c>
      <c r="C3016" t="s">
        <v>20</v>
      </c>
      <c r="D3016" t="s">
        <v>21</v>
      </c>
      <c r="E3016">
        <v>2222222</v>
      </c>
      <c r="F3016" s="8" t="s">
        <v>22</v>
      </c>
      <c r="G3016" s="2">
        <v>98</v>
      </c>
      <c r="H3016" t="s">
        <v>4369</v>
      </c>
      <c r="J3016" s="9" t="s">
        <v>4836</v>
      </c>
      <c r="K3016" t="s">
        <v>5081</v>
      </c>
      <c r="L3016" s="2">
        <v>1</v>
      </c>
      <c r="M3016" s="24" t="s">
        <v>5971</v>
      </c>
      <c r="N3016" s="2" t="s">
        <v>23</v>
      </c>
      <c r="O3016" s="18" t="s">
        <v>2357</v>
      </c>
      <c r="P3016" s="18" t="s">
        <v>3781</v>
      </c>
      <c r="Q3016" s="6" t="s">
        <v>4475</v>
      </c>
      <c r="T3016" s="23">
        <v>45825</v>
      </c>
      <c r="U3016" s="23">
        <v>46555</v>
      </c>
      <c r="X3016" s="20">
        <v>2700</v>
      </c>
      <c r="Z3016" s="6" t="s">
        <v>5978</v>
      </c>
      <c r="AA3016" s="14">
        <f t="shared" si="401"/>
        <v>5.9999999999999995E-4</v>
      </c>
      <c r="AB3016">
        <v>0.81147599999999998</v>
      </c>
      <c r="AC3016">
        <v>0.84393503999999997</v>
      </c>
    </row>
    <row r="3017" spans="1:29" x14ac:dyDescent="0.3">
      <c r="A3017">
        <v>146640</v>
      </c>
      <c r="B3017" s="25" t="s">
        <v>5984</v>
      </c>
      <c r="C3017" t="s">
        <v>20</v>
      </c>
      <c r="D3017" t="s">
        <v>21</v>
      </c>
      <c r="E3017">
        <v>2222222</v>
      </c>
      <c r="F3017" s="8" t="s">
        <v>22</v>
      </c>
      <c r="G3017" s="2">
        <v>98</v>
      </c>
      <c r="H3017" t="s">
        <v>4369</v>
      </c>
      <c r="J3017" s="9" t="s">
        <v>4838</v>
      </c>
      <c r="K3017" t="s">
        <v>4839</v>
      </c>
      <c r="L3017" s="2">
        <v>1</v>
      </c>
      <c r="M3017" s="24" t="s">
        <v>5971</v>
      </c>
      <c r="N3017" s="2" t="s">
        <v>23</v>
      </c>
      <c r="O3017" s="18" t="s">
        <v>2358</v>
      </c>
      <c r="P3017" s="18" t="s">
        <v>0</v>
      </c>
      <c r="Q3017" s="6" t="s">
        <v>4475</v>
      </c>
      <c r="T3017" s="23">
        <v>45832</v>
      </c>
      <c r="U3017" s="23">
        <v>46562</v>
      </c>
      <c r="X3017" s="20">
        <v>2600</v>
      </c>
      <c r="Z3017" s="6" t="s">
        <v>5978</v>
      </c>
      <c r="AA3017" s="14">
        <f t="shared" si="401"/>
        <v>5.9999999999999995E-4</v>
      </c>
      <c r="AB3017">
        <v>0.78136199999999989</v>
      </c>
      <c r="AC3017">
        <v>0.81261647999999986</v>
      </c>
    </row>
    <row r="3018" spans="1:29" x14ac:dyDescent="0.3">
      <c r="A3018">
        <v>146657</v>
      </c>
      <c r="B3018" s="25" t="s">
        <v>5984</v>
      </c>
      <c r="C3018" t="s">
        <v>20</v>
      </c>
      <c r="D3018" t="s">
        <v>21</v>
      </c>
      <c r="E3018">
        <v>2222222</v>
      </c>
      <c r="F3018" s="8" t="s">
        <v>22</v>
      </c>
      <c r="G3018" s="2">
        <v>98</v>
      </c>
      <c r="H3018" t="s">
        <v>4369</v>
      </c>
      <c r="J3018" s="9" t="s">
        <v>5190</v>
      </c>
      <c r="K3018" t="s">
        <v>4965</v>
      </c>
      <c r="L3018" s="2">
        <v>1</v>
      </c>
      <c r="M3018" s="24" t="s">
        <v>5971</v>
      </c>
      <c r="N3018" s="2" t="s">
        <v>23</v>
      </c>
      <c r="O3018" s="18" t="s">
        <v>2359</v>
      </c>
      <c r="P3018" s="18" t="s">
        <v>0</v>
      </c>
      <c r="Q3018" s="6" t="s">
        <v>4475</v>
      </c>
      <c r="T3018" s="23">
        <v>45833</v>
      </c>
      <c r="U3018" s="23">
        <v>47659</v>
      </c>
      <c r="X3018" s="20">
        <v>3250</v>
      </c>
      <c r="Z3018" s="6" t="s">
        <v>5978</v>
      </c>
      <c r="AA3018" s="14">
        <f t="shared" si="401"/>
        <v>5.9999999999999995E-4</v>
      </c>
      <c r="AB3018">
        <v>1.6355519999999999</v>
      </c>
      <c r="AC3018">
        <v>1.7009740799999999</v>
      </c>
    </row>
    <row r="3019" spans="1:29" x14ac:dyDescent="0.3">
      <c r="A3019">
        <v>146764</v>
      </c>
      <c r="B3019" s="25" t="s">
        <v>5984</v>
      </c>
      <c r="C3019" t="s">
        <v>20</v>
      </c>
      <c r="D3019" t="s">
        <v>21</v>
      </c>
      <c r="E3019">
        <v>2222222</v>
      </c>
      <c r="F3019" s="8" t="s">
        <v>22</v>
      </c>
      <c r="G3019" s="2">
        <v>98</v>
      </c>
      <c r="H3019" t="s">
        <v>4369</v>
      </c>
      <c r="J3019" s="9" t="s">
        <v>5700</v>
      </c>
      <c r="K3019" t="s">
        <v>4861</v>
      </c>
      <c r="L3019" s="2">
        <v>1</v>
      </c>
      <c r="M3019" s="24" t="s">
        <v>5971</v>
      </c>
      <c r="N3019" s="2" t="s">
        <v>23</v>
      </c>
      <c r="O3019" s="18" t="s">
        <v>1713</v>
      </c>
      <c r="P3019" s="18" t="s">
        <v>3781</v>
      </c>
      <c r="Q3019" s="6" t="s">
        <v>4475</v>
      </c>
      <c r="T3019" s="23">
        <v>45842</v>
      </c>
      <c r="U3019" s="23">
        <v>47394</v>
      </c>
      <c r="X3019" s="20">
        <v>4600</v>
      </c>
      <c r="Z3019" s="6" t="s">
        <v>5978</v>
      </c>
      <c r="AA3019" s="14">
        <f t="shared" si="401"/>
        <v>5.9999999999999995E-4</v>
      </c>
      <c r="AB3019">
        <v>2.3815319999999995</v>
      </c>
      <c r="AC3019">
        <v>2.4767932799999994</v>
      </c>
    </row>
    <row r="3020" spans="1:29" x14ac:dyDescent="0.3">
      <c r="A3020">
        <v>146992</v>
      </c>
      <c r="B3020" s="25" t="s">
        <v>5984</v>
      </c>
      <c r="C3020" t="s">
        <v>20</v>
      </c>
      <c r="D3020" t="s">
        <v>21</v>
      </c>
      <c r="E3020">
        <v>2222222</v>
      </c>
      <c r="F3020" s="8" t="s">
        <v>22</v>
      </c>
      <c r="G3020" s="2">
        <v>98</v>
      </c>
      <c r="H3020" t="s">
        <v>4369</v>
      </c>
      <c r="J3020" s="9" t="s">
        <v>5295</v>
      </c>
      <c r="K3020" t="s">
        <v>4880</v>
      </c>
      <c r="L3020" s="2">
        <v>1</v>
      </c>
      <c r="M3020" s="24" t="s">
        <v>5971</v>
      </c>
      <c r="N3020" s="2" t="s">
        <v>23</v>
      </c>
      <c r="O3020" s="18" t="s">
        <v>2360</v>
      </c>
      <c r="P3020" s="18" t="s">
        <v>3781</v>
      </c>
      <c r="Q3020" s="6" t="s">
        <v>4475</v>
      </c>
      <c r="T3020" s="23">
        <v>45856</v>
      </c>
      <c r="U3020" s="23">
        <v>46951</v>
      </c>
      <c r="X3020" s="20">
        <v>2500</v>
      </c>
      <c r="Z3020" s="6" t="s">
        <v>5978</v>
      </c>
      <c r="AA3020" s="14">
        <f t="shared" si="401"/>
        <v>5.9999999999999995E-4</v>
      </c>
      <c r="AB3020">
        <v>1.1198999999999999</v>
      </c>
      <c r="AC3020">
        <v>1.164696</v>
      </c>
    </row>
    <row r="3021" spans="1:29" x14ac:dyDescent="0.3">
      <c r="A3021">
        <v>147041</v>
      </c>
      <c r="B3021" s="25" t="s">
        <v>5984</v>
      </c>
      <c r="C3021" t="s">
        <v>20</v>
      </c>
      <c r="D3021" t="s">
        <v>21</v>
      </c>
      <c r="E3021">
        <v>2222222</v>
      </c>
      <c r="F3021" s="8" t="s">
        <v>22</v>
      </c>
      <c r="G3021" s="2">
        <v>98</v>
      </c>
      <c r="H3021" t="s">
        <v>4369</v>
      </c>
      <c r="J3021" s="9" t="s">
        <v>5721</v>
      </c>
      <c r="K3021" t="s">
        <v>4993</v>
      </c>
      <c r="L3021" s="2">
        <v>1</v>
      </c>
      <c r="M3021" s="24" t="s">
        <v>5971</v>
      </c>
      <c r="N3021" s="2" t="s">
        <v>23</v>
      </c>
      <c r="O3021" s="18" t="s">
        <v>2361</v>
      </c>
      <c r="P3021" s="18" t="s">
        <v>3781</v>
      </c>
      <c r="Q3021" s="6" t="s">
        <v>4475</v>
      </c>
      <c r="T3021" s="23">
        <v>45860</v>
      </c>
      <c r="U3021" s="23">
        <v>47685</v>
      </c>
      <c r="X3021" s="20">
        <v>5000</v>
      </c>
      <c r="Z3021" s="6" t="s">
        <v>5978</v>
      </c>
      <c r="AA3021" s="14">
        <f t="shared" si="401"/>
        <v>5.9999999999999995E-4</v>
      </c>
      <c r="AB3021">
        <v>2.5552979999999996</v>
      </c>
      <c r="AC3021">
        <v>2.6575099199999999</v>
      </c>
    </row>
    <row r="3022" spans="1:29" x14ac:dyDescent="0.3">
      <c r="A3022">
        <v>147094</v>
      </c>
      <c r="B3022" s="25" t="s">
        <v>5984</v>
      </c>
      <c r="C3022" t="s">
        <v>20</v>
      </c>
      <c r="D3022" t="s">
        <v>21</v>
      </c>
      <c r="E3022">
        <v>2222222</v>
      </c>
      <c r="F3022" s="8" t="s">
        <v>22</v>
      </c>
      <c r="G3022" s="2">
        <v>98</v>
      </c>
      <c r="H3022" t="s">
        <v>4369</v>
      </c>
      <c r="J3022" s="9" t="s">
        <v>4857</v>
      </c>
      <c r="K3022" t="s">
        <v>5722</v>
      </c>
      <c r="L3022" s="2">
        <v>1</v>
      </c>
      <c r="M3022" s="24" t="s">
        <v>5971</v>
      </c>
      <c r="N3022" s="2" t="s">
        <v>23</v>
      </c>
      <c r="O3022" s="18" t="s">
        <v>2362</v>
      </c>
      <c r="P3022" s="18" t="s">
        <v>0</v>
      </c>
      <c r="Q3022" s="6" t="s">
        <v>4475</v>
      </c>
      <c r="T3022" s="23">
        <v>45863</v>
      </c>
      <c r="U3022" s="23">
        <v>46958</v>
      </c>
      <c r="X3022" s="20">
        <v>3000</v>
      </c>
      <c r="Z3022" s="6" t="s">
        <v>5978</v>
      </c>
      <c r="AA3022" s="14">
        <f t="shared" si="401"/>
        <v>5.9999999999999995E-4</v>
      </c>
      <c r="AB3022">
        <v>1.304106</v>
      </c>
      <c r="AC3022">
        <v>1.35627024</v>
      </c>
    </row>
    <row r="3023" spans="1:29" x14ac:dyDescent="0.3">
      <c r="A3023">
        <v>147446</v>
      </c>
      <c r="B3023" s="25" t="s">
        <v>5984</v>
      </c>
      <c r="C3023" t="s">
        <v>20</v>
      </c>
      <c r="D3023" t="s">
        <v>21</v>
      </c>
      <c r="E3023">
        <v>2222222</v>
      </c>
      <c r="F3023" s="8" t="s">
        <v>22</v>
      </c>
      <c r="G3023" s="2">
        <v>98</v>
      </c>
      <c r="H3023" t="s">
        <v>4369</v>
      </c>
      <c r="J3023" s="9" t="s">
        <v>4826</v>
      </c>
      <c r="K3023" t="s">
        <v>4950</v>
      </c>
      <c r="L3023" s="2">
        <v>1</v>
      </c>
      <c r="M3023" s="24" t="s">
        <v>5971</v>
      </c>
      <c r="N3023" s="2" t="s">
        <v>23</v>
      </c>
      <c r="O3023" s="18" t="s">
        <v>2363</v>
      </c>
      <c r="P3023" s="18" t="s">
        <v>0</v>
      </c>
      <c r="Q3023" s="6" t="s">
        <v>4475</v>
      </c>
      <c r="T3023" s="23">
        <v>45890</v>
      </c>
      <c r="U3023" s="23">
        <v>46255</v>
      </c>
      <c r="X3023" s="20">
        <v>1100</v>
      </c>
      <c r="Z3023" s="6" t="s">
        <v>5978</v>
      </c>
      <c r="AA3023" s="14">
        <f t="shared" si="401"/>
        <v>5.9999999999999995E-4</v>
      </c>
      <c r="AB3023">
        <v>5.907599999999999E-2</v>
      </c>
      <c r="AC3023">
        <v>6.1439039999999993E-2</v>
      </c>
    </row>
    <row r="3024" spans="1:29" x14ac:dyDescent="0.3">
      <c r="A3024">
        <v>147473</v>
      </c>
      <c r="B3024" s="25" t="s">
        <v>5984</v>
      </c>
      <c r="C3024" t="s">
        <v>20</v>
      </c>
      <c r="D3024" t="s">
        <v>21</v>
      </c>
      <c r="E3024">
        <v>2222222</v>
      </c>
      <c r="F3024" s="8" t="s">
        <v>22</v>
      </c>
      <c r="G3024" s="2">
        <v>98</v>
      </c>
      <c r="H3024" t="s">
        <v>4369</v>
      </c>
      <c r="J3024" s="9" t="s">
        <v>4831</v>
      </c>
      <c r="L3024" s="2">
        <v>1</v>
      </c>
      <c r="M3024" s="24" t="s">
        <v>5971</v>
      </c>
      <c r="N3024" s="2" t="s">
        <v>23</v>
      </c>
      <c r="O3024" s="18" t="s">
        <v>2364</v>
      </c>
      <c r="P3024" s="18" t="s">
        <v>0</v>
      </c>
      <c r="Q3024" s="6" t="s">
        <v>4475</v>
      </c>
      <c r="T3024" s="23">
        <v>45891</v>
      </c>
      <c r="U3024" s="23">
        <v>47351</v>
      </c>
      <c r="X3024" s="20">
        <v>5000</v>
      </c>
      <c r="Z3024" s="6" t="s">
        <v>5978</v>
      </c>
      <c r="AA3024" s="14">
        <f t="shared" si="401"/>
        <v>5.9999999999999995E-4</v>
      </c>
      <c r="AB3024">
        <v>2.4882239999999998</v>
      </c>
      <c r="AC3024">
        <v>2.58775296</v>
      </c>
    </row>
    <row r="3025" spans="1:29" x14ac:dyDescent="0.3">
      <c r="A3025">
        <v>147696</v>
      </c>
      <c r="B3025" s="25" t="s">
        <v>5984</v>
      </c>
      <c r="C3025" t="s">
        <v>20</v>
      </c>
      <c r="D3025" t="s">
        <v>21</v>
      </c>
      <c r="E3025">
        <v>2222222</v>
      </c>
      <c r="F3025" s="8" t="s">
        <v>22</v>
      </c>
      <c r="G3025" s="2">
        <v>98</v>
      </c>
      <c r="H3025" t="s">
        <v>4369</v>
      </c>
      <c r="J3025" s="9" t="s">
        <v>4838</v>
      </c>
      <c r="K3025" t="s">
        <v>4826</v>
      </c>
      <c r="L3025" s="2">
        <v>1</v>
      </c>
      <c r="M3025" s="24" t="s">
        <v>5971</v>
      </c>
      <c r="N3025" s="2" t="s">
        <v>23</v>
      </c>
      <c r="O3025" s="18" t="s">
        <v>1610</v>
      </c>
      <c r="P3025" s="18" t="s">
        <v>0</v>
      </c>
      <c r="Q3025" s="6" t="s">
        <v>4475</v>
      </c>
      <c r="T3025" s="23">
        <v>45905</v>
      </c>
      <c r="U3025" s="23">
        <v>47366</v>
      </c>
      <c r="X3025" s="20">
        <v>5000</v>
      </c>
      <c r="Z3025" s="6" t="s">
        <v>5978</v>
      </c>
      <c r="AA3025" s="14">
        <f t="shared" si="401"/>
        <v>5.9999999999999995E-4</v>
      </c>
      <c r="AB3025">
        <v>2.5388099999999998</v>
      </c>
      <c r="AC3025">
        <v>2.6403623999999999</v>
      </c>
    </row>
    <row r="3026" spans="1:29" x14ac:dyDescent="0.3">
      <c r="A3026">
        <v>147705</v>
      </c>
      <c r="B3026" s="25" t="s">
        <v>5984</v>
      </c>
      <c r="C3026" t="s">
        <v>20</v>
      </c>
      <c r="D3026" t="s">
        <v>21</v>
      </c>
      <c r="E3026">
        <v>2222222</v>
      </c>
      <c r="F3026" s="8" t="s">
        <v>22</v>
      </c>
      <c r="G3026" s="2">
        <v>98</v>
      </c>
      <c r="H3026" t="s">
        <v>4369</v>
      </c>
      <c r="J3026" s="9" t="s">
        <v>5723</v>
      </c>
      <c r="K3026" t="s">
        <v>4947</v>
      </c>
      <c r="L3026" s="2">
        <v>1</v>
      </c>
      <c r="M3026" s="24" t="s">
        <v>5971</v>
      </c>
      <c r="N3026" s="2" t="s">
        <v>23</v>
      </c>
      <c r="O3026" s="18" t="s">
        <v>2365</v>
      </c>
      <c r="P3026" s="18" t="s">
        <v>3781</v>
      </c>
      <c r="Q3026" s="6" t="s">
        <v>4475</v>
      </c>
      <c r="T3026" s="23">
        <v>45909</v>
      </c>
      <c r="U3026" s="23">
        <v>46639</v>
      </c>
      <c r="X3026" s="20">
        <v>3000</v>
      </c>
      <c r="Z3026" s="6" t="s">
        <v>5978</v>
      </c>
      <c r="AA3026" s="14">
        <f t="shared" si="401"/>
        <v>5.9999999999999995E-4</v>
      </c>
      <c r="AB3026">
        <v>1.1231519999999999</v>
      </c>
      <c r="AC3026">
        <v>1.1680780799999999</v>
      </c>
    </row>
    <row r="3027" spans="1:29" x14ac:dyDescent="0.3">
      <c r="A3027">
        <v>147770</v>
      </c>
      <c r="B3027" s="25" t="s">
        <v>5984</v>
      </c>
      <c r="C3027" t="s">
        <v>20</v>
      </c>
      <c r="D3027" t="s">
        <v>21</v>
      </c>
      <c r="E3027">
        <v>2222222</v>
      </c>
      <c r="F3027" s="8" t="s">
        <v>22</v>
      </c>
      <c r="G3027" s="2">
        <v>98</v>
      </c>
      <c r="H3027" t="s">
        <v>4369</v>
      </c>
      <c r="J3027" s="9" t="s">
        <v>4826</v>
      </c>
      <c r="K3027" t="s">
        <v>5010</v>
      </c>
      <c r="L3027" s="2">
        <v>1</v>
      </c>
      <c r="M3027" s="24" t="s">
        <v>5971</v>
      </c>
      <c r="N3027" s="2" t="s">
        <v>23</v>
      </c>
      <c r="O3027" s="18" t="s">
        <v>862</v>
      </c>
      <c r="P3027" s="18" t="s">
        <v>0</v>
      </c>
      <c r="Q3027" s="6" t="s">
        <v>4475</v>
      </c>
      <c r="T3027" s="23">
        <v>45911</v>
      </c>
      <c r="U3027" s="23">
        <v>47011</v>
      </c>
      <c r="X3027" s="20">
        <v>2500</v>
      </c>
      <c r="Z3027" s="6" t="s">
        <v>5978</v>
      </c>
      <c r="AA3027" s="14">
        <f t="shared" si="401"/>
        <v>5.9999999999999995E-4</v>
      </c>
      <c r="AB3027">
        <v>1.1565479999999999</v>
      </c>
      <c r="AC3027">
        <v>1.20280992</v>
      </c>
    </row>
    <row r="3028" spans="1:29" x14ac:dyDescent="0.3">
      <c r="A3028">
        <v>148098</v>
      </c>
      <c r="B3028" s="25" t="s">
        <v>5984</v>
      </c>
      <c r="C3028" t="s">
        <v>20</v>
      </c>
      <c r="D3028" t="s">
        <v>21</v>
      </c>
      <c r="E3028">
        <v>2222222</v>
      </c>
      <c r="F3028" s="8" t="s">
        <v>22</v>
      </c>
      <c r="G3028" s="2">
        <v>98</v>
      </c>
      <c r="H3028" t="s">
        <v>4369</v>
      </c>
      <c r="J3028" s="9" t="s">
        <v>4929</v>
      </c>
      <c r="K3028" t="s">
        <v>4966</v>
      </c>
      <c r="L3028" s="2">
        <v>1</v>
      </c>
      <c r="M3028" s="24" t="s">
        <v>5971</v>
      </c>
      <c r="N3028" s="2" t="s">
        <v>23</v>
      </c>
      <c r="O3028" s="18" t="s">
        <v>2366</v>
      </c>
      <c r="P3028" s="18" t="s">
        <v>0</v>
      </c>
      <c r="Q3028" s="6" t="s">
        <v>4475</v>
      </c>
      <c r="T3028" s="23">
        <v>45937</v>
      </c>
      <c r="U3028" s="23">
        <v>47397</v>
      </c>
      <c r="X3028" s="20">
        <v>5000</v>
      </c>
      <c r="Z3028" s="6" t="s">
        <v>5978</v>
      </c>
      <c r="AA3028" s="14">
        <f t="shared" si="401"/>
        <v>5.9999999999999995E-4</v>
      </c>
      <c r="AB3028">
        <v>2.5869419999999996</v>
      </c>
      <c r="AC3028">
        <v>2.6904196799999998</v>
      </c>
    </row>
    <row r="3029" spans="1:29" x14ac:dyDescent="0.3">
      <c r="A3029">
        <v>148118</v>
      </c>
      <c r="B3029" s="25" t="s">
        <v>5984</v>
      </c>
      <c r="C3029" t="s">
        <v>20</v>
      </c>
      <c r="D3029" t="s">
        <v>21</v>
      </c>
      <c r="E3029">
        <v>2222222</v>
      </c>
      <c r="F3029" s="8" t="s">
        <v>22</v>
      </c>
      <c r="G3029" s="2">
        <v>98</v>
      </c>
      <c r="H3029" t="s">
        <v>4369</v>
      </c>
      <c r="J3029" s="9" t="s">
        <v>5152</v>
      </c>
      <c r="K3029" t="s">
        <v>4884</v>
      </c>
      <c r="L3029" s="2">
        <v>1</v>
      </c>
      <c r="M3029" s="24" t="s">
        <v>5971</v>
      </c>
      <c r="N3029" s="2" t="s">
        <v>23</v>
      </c>
      <c r="O3029" s="18" t="s">
        <v>2350</v>
      </c>
      <c r="P3029" s="18" t="s">
        <v>3781</v>
      </c>
      <c r="Q3029" s="6" t="s">
        <v>4475</v>
      </c>
      <c r="T3029" s="23">
        <v>45937</v>
      </c>
      <c r="U3029" s="23">
        <v>47397</v>
      </c>
      <c r="X3029" s="20">
        <v>3120</v>
      </c>
      <c r="Z3029" s="6" t="s">
        <v>5978</v>
      </c>
      <c r="AA3029" s="14">
        <f t="shared" si="401"/>
        <v>5.9999999999999995E-4</v>
      </c>
      <c r="AB3029">
        <v>1.6142519999999998</v>
      </c>
      <c r="AC3029">
        <v>1.6788220799999998</v>
      </c>
    </row>
    <row r="3030" spans="1:29" x14ac:dyDescent="0.3">
      <c r="A3030">
        <v>148356</v>
      </c>
      <c r="B3030" s="25" t="s">
        <v>5984</v>
      </c>
      <c r="C3030" t="s">
        <v>20</v>
      </c>
      <c r="D3030" t="s">
        <v>21</v>
      </c>
      <c r="E3030">
        <v>2222222</v>
      </c>
      <c r="F3030" s="8" t="s">
        <v>22</v>
      </c>
      <c r="G3030" s="2">
        <v>98</v>
      </c>
      <c r="H3030" t="s">
        <v>4369</v>
      </c>
      <c r="J3030" s="9" t="s">
        <v>4815</v>
      </c>
      <c r="K3030" t="s">
        <v>4848</v>
      </c>
      <c r="L3030" s="2">
        <v>1</v>
      </c>
      <c r="M3030" s="24" t="s">
        <v>5971</v>
      </c>
      <c r="N3030" s="2" t="s">
        <v>23</v>
      </c>
      <c r="O3030" s="18" t="s">
        <v>2367</v>
      </c>
      <c r="P3030" s="18" t="s">
        <v>0</v>
      </c>
      <c r="Q3030" s="6" t="s">
        <v>4475</v>
      </c>
      <c r="T3030" s="23">
        <v>45954</v>
      </c>
      <c r="U3030" s="23">
        <v>46319</v>
      </c>
      <c r="X3030" s="20">
        <v>1050</v>
      </c>
      <c r="Z3030" s="6" t="s">
        <v>5978</v>
      </c>
      <c r="AA3030" s="14">
        <f t="shared" si="401"/>
        <v>5.9999999999999995E-4</v>
      </c>
      <c r="AB3030">
        <v>0.10331999999999998</v>
      </c>
      <c r="AC3030">
        <v>0.10745279999999999</v>
      </c>
    </row>
    <row r="3031" spans="1:29" x14ac:dyDescent="0.3">
      <c r="A3031">
        <v>148442</v>
      </c>
      <c r="B3031" s="25" t="s">
        <v>5984</v>
      </c>
      <c r="C3031" t="s">
        <v>20</v>
      </c>
      <c r="D3031" t="s">
        <v>21</v>
      </c>
      <c r="E3031">
        <v>2222222</v>
      </c>
      <c r="F3031" s="8" t="s">
        <v>22</v>
      </c>
      <c r="G3031" s="2">
        <v>98</v>
      </c>
      <c r="H3031" t="s">
        <v>4369</v>
      </c>
      <c r="J3031" s="9" t="s">
        <v>5336</v>
      </c>
      <c r="K3031" t="s">
        <v>5529</v>
      </c>
      <c r="L3031" s="2">
        <v>1</v>
      </c>
      <c r="M3031" s="24" t="s">
        <v>5971</v>
      </c>
      <c r="N3031" s="2" t="s">
        <v>23</v>
      </c>
      <c r="O3031" s="18" t="s">
        <v>2368</v>
      </c>
      <c r="P3031" s="18" t="s">
        <v>0</v>
      </c>
      <c r="Q3031" s="6" t="s">
        <v>4475</v>
      </c>
      <c r="T3031" s="23">
        <v>45961</v>
      </c>
      <c r="U3031" s="23">
        <v>47421</v>
      </c>
      <c r="X3031" s="20">
        <v>5000</v>
      </c>
      <c r="Z3031" s="6" t="s">
        <v>5978</v>
      </c>
      <c r="AA3031" s="14">
        <f t="shared" si="401"/>
        <v>5.9999999999999995E-4</v>
      </c>
      <c r="AB3031">
        <v>2.6358299999999999</v>
      </c>
      <c r="AC3031">
        <v>2.7412632000000001</v>
      </c>
    </row>
    <row r="3032" spans="1:29" x14ac:dyDescent="0.3">
      <c r="A3032">
        <v>148525</v>
      </c>
      <c r="B3032" s="25" t="s">
        <v>5984</v>
      </c>
      <c r="C3032" t="s">
        <v>20</v>
      </c>
      <c r="D3032" t="s">
        <v>21</v>
      </c>
      <c r="E3032">
        <v>2222222</v>
      </c>
      <c r="F3032" s="8" t="s">
        <v>22</v>
      </c>
      <c r="G3032" s="2">
        <v>98</v>
      </c>
      <c r="H3032" t="s">
        <v>4369</v>
      </c>
      <c r="J3032" s="9" t="s">
        <v>5724</v>
      </c>
      <c r="K3032" t="s">
        <v>5159</v>
      </c>
      <c r="L3032" s="2">
        <v>1</v>
      </c>
      <c r="M3032" s="24" t="s">
        <v>5971</v>
      </c>
      <c r="N3032" s="2" t="s">
        <v>23</v>
      </c>
      <c r="O3032" s="18" t="s">
        <v>2369</v>
      </c>
      <c r="P3032" s="18" t="s">
        <v>0</v>
      </c>
      <c r="Q3032" s="6" t="s">
        <v>4475</v>
      </c>
      <c r="T3032" s="23">
        <v>44692</v>
      </c>
      <c r="U3032" s="23">
        <v>46516</v>
      </c>
      <c r="X3032" s="20">
        <v>21560</v>
      </c>
      <c r="Z3032" s="6" t="s">
        <v>5978</v>
      </c>
      <c r="AA3032" s="15">
        <f>+(0.42/1000)</f>
        <v>4.1999999999999996E-4</v>
      </c>
      <c r="AB3032">
        <v>2.1015959999999998</v>
      </c>
      <c r="AC3032">
        <v>2.18565984</v>
      </c>
    </row>
    <row r="3033" spans="1:29" x14ac:dyDescent="0.3">
      <c r="A3033">
        <v>148824</v>
      </c>
      <c r="B3033" s="25" t="s">
        <v>5984</v>
      </c>
      <c r="C3033" t="s">
        <v>20</v>
      </c>
      <c r="D3033" t="s">
        <v>21</v>
      </c>
      <c r="E3033">
        <v>2222222</v>
      </c>
      <c r="F3033" s="8" t="s">
        <v>22</v>
      </c>
      <c r="G3033" s="2">
        <v>98</v>
      </c>
      <c r="H3033" t="s">
        <v>4369</v>
      </c>
      <c r="J3033" s="9" t="s">
        <v>5090</v>
      </c>
      <c r="K3033" t="s">
        <v>4972</v>
      </c>
      <c r="L3033" s="2">
        <v>1</v>
      </c>
      <c r="M3033" s="24" t="s">
        <v>5971</v>
      </c>
      <c r="N3033" s="2" t="s">
        <v>23</v>
      </c>
      <c r="O3033" s="18" t="s">
        <v>2370</v>
      </c>
      <c r="P3033" s="18" t="s">
        <v>3781</v>
      </c>
      <c r="Q3033" s="6" t="s">
        <v>4475</v>
      </c>
      <c r="T3033" s="23">
        <v>45981</v>
      </c>
      <c r="U3033" s="23">
        <v>47442</v>
      </c>
      <c r="X3033" s="20">
        <v>5000</v>
      </c>
      <c r="Z3033" s="6" t="s">
        <v>5978</v>
      </c>
      <c r="AA3033" s="14">
        <f t="shared" ref="AA3033:AA3054" si="402">+(0.6/1000)</f>
        <v>5.9999999999999995E-4</v>
      </c>
      <c r="AB3033">
        <v>2.6360219999999996</v>
      </c>
      <c r="AC3033">
        <v>2.7414628799999998</v>
      </c>
    </row>
    <row r="3034" spans="1:29" x14ac:dyDescent="0.3">
      <c r="A3034">
        <v>149638</v>
      </c>
      <c r="B3034" s="25" t="s">
        <v>5984</v>
      </c>
      <c r="C3034" t="s">
        <v>20</v>
      </c>
      <c r="D3034" t="s">
        <v>21</v>
      </c>
      <c r="E3034">
        <v>2222222</v>
      </c>
      <c r="F3034" s="8" t="s">
        <v>22</v>
      </c>
      <c r="G3034" s="2">
        <v>98</v>
      </c>
      <c r="H3034" t="s">
        <v>4369</v>
      </c>
      <c r="J3034" s="9" t="s">
        <v>5725</v>
      </c>
      <c r="K3034" t="s">
        <v>5035</v>
      </c>
      <c r="L3034" s="2">
        <v>1</v>
      </c>
      <c r="M3034" s="24" t="s">
        <v>5971</v>
      </c>
      <c r="N3034" s="2" t="s">
        <v>23</v>
      </c>
      <c r="O3034" s="18" t="s">
        <v>858</v>
      </c>
      <c r="P3034" s="18" t="s">
        <v>0</v>
      </c>
      <c r="Q3034" s="6" t="s">
        <v>4475</v>
      </c>
      <c r="T3034" s="23">
        <v>46038</v>
      </c>
      <c r="U3034" s="23">
        <v>46407</v>
      </c>
      <c r="X3034" s="20">
        <v>5000</v>
      </c>
      <c r="Z3034" s="6" t="s">
        <v>5978</v>
      </c>
      <c r="AA3034" s="14">
        <f t="shared" si="402"/>
        <v>5.9999999999999995E-4</v>
      </c>
      <c r="AB3034">
        <v>1.5641399999999999</v>
      </c>
      <c r="AC3034">
        <v>1.6267056</v>
      </c>
    </row>
    <row r="3035" spans="1:29" x14ac:dyDescent="0.3">
      <c r="A3035">
        <v>149761</v>
      </c>
      <c r="B3035" s="25" t="s">
        <v>5984</v>
      </c>
      <c r="C3035" t="s">
        <v>20</v>
      </c>
      <c r="D3035" t="s">
        <v>21</v>
      </c>
      <c r="E3035">
        <v>2222222</v>
      </c>
      <c r="F3035" s="8" t="s">
        <v>22</v>
      </c>
      <c r="G3035" s="2">
        <v>98</v>
      </c>
      <c r="H3035" t="s">
        <v>4369</v>
      </c>
      <c r="J3035" s="9" t="s">
        <v>5553</v>
      </c>
      <c r="L3035" s="2">
        <v>1</v>
      </c>
      <c r="M3035" s="24" t="s">
        <v>5971</v>
      </c>
      <c r="N3035" s="2" t="s">
        <v>23</v>
      </c>
      <c r="O3035" s="18" t="s">
        <v>2371</v>
      </c>
      <c r="P3035" s="18" t="s">
        <v>3781</v>
      </c>
      <c r="Q3035" s="6" t="s">
        <v>4475</v>
      </c>
      <c r="T3035" s="23">
        <v>46050</v>
      </c>
      <c r="U3035" s="23">
        <v>47510</v>
      </c>
      <c r="X3035" s="20">
        <v>5000</v>
      </c>
      <c r="Z3035" s="6" t="s">
        <v>5978</v>
      </c>
      <c r="AA3035" s="14">
        <f t="shared" si="402"/>
        <v>5.9999999999999995E-4</v>
      </c>
      <c r="AB3035">
        <v>2.7287159999999995</v>
      </c>
      <c r="AC3035">
        <v>2.8378646399999994</v>
      </c>
    </row>
    <row r="3036" spans="1:29" x14ac:dyDescent="0.3">
      <c r="A3036">
        <v>149868</v>
      </c>
      <c r="B3036" s="25" t="s">
        <v>5984</v>
      </c>
      <c r="C3036" t="s">
        <v>20</v>
      </c>
      <c r="D3036" t="s">
        <v>21</v>
      </c>
      <c r="E3036">
        <v>2222222</v>
      </c>
      <c r="F3036" s="8" t="s">
        <v>22</v>
      </c>
      <c r="G3036" s="2">
        <v>98</v>
      </c>
      <c r="H3036" t="s">
        <v>4369</v>
      </c>
      <c r="J3036" s="9" t="s">
        <v>5720</v>
      </c>
      <c r="K3036" t="s">
        <v>4884</v>
      </c>
      <c r="L3036" s="2">
        <v>1</v>
      </c>
      <c r="M3036" s="24" t="s">
        <v>5971</v>
      </c>
      <c r="N3036" s="2" t="s">
        <v>23</v>
      </c>
      <c r="O3036" s="18" t="s">
        <v>2356</v>
      </c>
      <c r="P3036" s="18" t="s">
        <v>3781</v>
      </c>
      <c r="Q3036" s="6" t="s">
        <v>4475</v>
      </c>
      <c r="T3036" s="23">
        <v>46053</v>
      </c>
      <c r="U3036" s="23">
        <v>46967</v>
      </c>
      <c r="X3036" s="20">
        <v>5000</v>
      </c>
      <c r="Z3036" s="6" t="s">
        <v>5978</v>
      </c>
      <c r="AA3036" s="14">
        <f t="shared" si="402"/>
        <v>5.9999999999999995E-4</v>
      </c>
      <c r="AB3036">
        <v>2.6744399999999997</v>
      </c>
      <c r="AC3036">
        <v>2.7814175999999997</v>
      </c>
    </row>
    <row r="3037" spans="1:29" x14ac:dyDescent="0.3">
      <c r="A3037">
        <v>150000</v>
      </c>
      <c r="B3037" s="25" t="s">
        <v>5984</v>
      </c>
      <c r="C3037" t="s">
        <v>20</v>
      </c>
      <c r="D3037" t="s">
        <v>21</v>
      </c>
      <c r="E3037">
        <v>2222222</v>
      </c>
      <c r="F3037" s="8" t="s">
        <v>22</v>
      </c>
      <c r="G3037" s="2">
        <v>98</v>
      </c>
      <c r="H3037" t="s">
        <v>4369</v>
      </c>
      <c r="J3037" s="9" t="s">
        <v>4934</v>
      </c>
      <c r="K3037" t="s">
        <v>4875</v>
      </c>
      <c r="L3037" s="2">
        <v>1</v>
      </c>
      <c r="M3037" s="24" t="s">
        <v>5971</v>
      </c>
      <c r="N3037" s="2" t="s">
        <v>23</v>
      </c>
      <c r="O3037" s="18" t="s">
        <v>2372</v>
      </c>
      <c r="P3037" s="18" t="s">
        <v>0</v>
      </c>
      <c r="Q3037" s="6" t="s">
        <v>4475</v>
      </c>
      <c r="T3037" s="23">
        <v>46092</v>
      </c>
      <c r="U3037" s="23">
        <v>51570</v>
      </c>
      <c r="X3037" s="20">
        <v>100000</v>
      </c>
      <c r="Z3037" s="6" t="s">
        <v>5978</v>
      </c>
      <c r="AA3037" s="14">
        <f t="shared" si="402"/>
        <v>5.9999999999999995E-4</v>
      </c>
      <c r="AB3037">
        <v>59.42005799999999</v>
      </c>
      <c r="AC3037">
        <v>61.796860319999993</v>
      </c>
    </row>
    <row r="3038" spans="1:29" x14ac:dyDescent="0.3">
      <c r="A3038">
        <v>150025</v>
      </c>
      <c r="B3038" s="25" t="s">
        <v>5984</v>
      </c>
      <c r="C3038" t="s">
        <v>20</v>
      </c>
      <c r="D3038" t="s">
        <v>21</v>
      </c>
      <c r="E3038">
        <v>2222222</v>
      </c>
      <c r="F3038" s="8" t="s">
        <v>22</v>
      </c>
      <c r="G3038" s="2">
        <v>98</v>
      </c>
      <c r="H3038" t="s">
        <v>4369</v>
      </c>
      <c r="J3038" s="9" t="s">
        <v>4908</v>
      </c>
      <c r="K3038" t="s">
        <v>5130</v>
      </c>
      <c r="L3038" s="2">
        <v>1</v>
      </c>
      <c r="M3038" s="24" t="s">
        <v>5971</v>
      </c>
      <c r="N3038" s="2" t="s">
        <v>23</v>
      </c>
      <c r="O3038" s="18" t="s">
        <v>2373</v>
      </c>
      <c r="P3038" s="18" t="s">
        <v>0</v>
      </c>
      <c r="Q3038" s="6" t="s">
        <v>4475</v>
      </c>
      <c r="T3038" s="23">
        <v>46064</v>
      </c>
      <c r="U3038" s="23">
        <v>46978</v>
      </c>
      <c r="X3038" s="20">
        <v>3000</v>
      </c>
      <c r="Z3038" s="6" t="s">
        <v>5978</v>
      </c>
      <c r="AA3038" s="14">
        <f t="shared" si="402"/>
        <v>5.9999999999999995E-4</v>
      </c>
      <c r="AB3038">
        <v>1.550778</v>
      </c>
      <c r="AC3038">
        <v>1.6128091200000001</v>
      </c>
    </row>
    <row r="3039" spans="1:29" x14ac:dyDescent="0.3">
      <c r="A3039">
        <v>150195</v>
      </c>
      <c r="B3039" s="25" t="s">
        <v>5984</v>
      </c>
      <c r="C3039" t="s">
        <v>20</v>
      </c>
      <c r="D3039" t="s">
        <v>21</v>
      </c>
      <c r="E3039">
        <v>2222222</v>
      </c>
      <c r="F3039" s="8" t="s">
        <v>22</v>
      </c>
      <c r="G3039" s="2">
        <v>98</v>
      </c>
      <c r="H3039" t="s">
        <v>4369</v>
      </c>
      <c r="J3039" s="9" t="s">
        <v>4836</v>
      </c>
      <c r="K3039" t="s">
        <v>5146</v>
      </c>
      <c r="L3039" s="2">
        <v>1</v>
      </c>
      <c r="M3039" s="24" t="s">
        <v>5971</v>
      </c>
      <c r="N3039" s="2" t="s">
        <v>23</v>
      </c>
      <c r="O3039" s="18" t="s">
        <v>2374</v>
      </c>
      <c r="P3039" s="18" t="s">
        <v>3781</v>
      </c>
      <c r="Q3039" s="6" t="s">
        <v>4475</v>
      </c>
      <c r="T3039" s="23">
        <v>46078</v>
      </c>
      <c r="U3039" s="23">
        <v>46445</v>
      </c>
      <c r="X3039" s="20">
        <v>1200</v>
      </c>
      <c r="Z3039" s="6" t="s">
        <v>5978</v>
      </c>
      <c r="AA3039" s="14">
        <f t="shared" si="402"/>
        <v>5.9999999999999995E-4</v>
      </c>
      <c r="AB3039">
        <v>0.43487399999999993</v>
      </c>
      <c r="AC3039">
        <v>0.45226895999999994</v>
      </c>
    </row>
    <row r="3040" spans="1:29" x14ac:dyDescent="0.3">
      <c r="A3040">
        <v>150446</v>
      </c>
      <c r="B3040" s="25" t="s">
        <v>5984</v>
      </c>
      <c r="C3040" t="s">
        <v>20</v>
      </c>
      <c r="D3040" t="s">
        <v>21</v>
      </c>
      <c r="E3040">
        <v>2222222</v>
      </c>
      <c r="F3040" s="8" t="s">
        <v>22</v>
      </c>
      <c r="G3040" s="2">
        <v>98</v>
      </c>
      <c r="H3040" t="s">
        <v>4369</v>
      </c>
      <c r="J3040" s="9" t="s">
        <v>5045</v>
      </c>
      <c r="K3040" t="s">
        <v>5103</v>
      </c>
      <c r="L3040" s="2">
        <v>1</v>
      </c>
      <c r="M3040" s="24" t="s">
        <v>5971</v>
      </c>
      <c r="N3040" s="2" t="s">
        <v>23</v>
      </c>
      <c r="O3040" s="18" t="s">
        <v>2375</v>
      </c>
      <c r="P3040" s="18" t="s">
        <v>3781</v>
      </c>
      <c r="Q3040" s="6" t="s">
        <v>4475</v>
      </c>
      <c r="T3040" s="23">
        <v>46094</v>
      </c>
      <c r="U3040" s="23">
        <v>46824</v>
      </c>
      <c r="X3040" s="20">
        <v>3000</v>
      </c>
      <c r="Z3040" s="6" t="s">
        <v>5978</v>
      </c>
      <c r="AA3040" s="14">
        <f t="shared" si="402"/>
        <v>5.9999999999999995E-4</v>
      </c>
      <c r="AB3040">
        <v>1.54053</v>
      </c>
      <c r="AC3040">
        <v>1.6021512</v>
      </c>
    </row>
    <row r="3041" spans="1:29" x14ac:dyDescent="0.3">
      <c r="A3041">
        <v>150572</v>
      </c>
      <c r="B3041" s="25" t="s">
        <v>5984</v>
      </c>
      <c r="C3041" t="s">
        <v>20</v>
      </c>
      <c r="D3041" t="s">
        <v>21</v>
      </c>
      <c r="E3041">
        <v>2222222</v>
      </c>
      <c r="F3041" s="8" t="s">
        <v>22</v>
      </c>
      <c r="G3041" s="2">
        <v>98</v>
      </c>
      <c r="H3041" t="s">
        <v>4369</v>
      </c>
      <c r="J3041" s="9" t="s">
        <v>5721</v>
      </c>
      <c r="K3041" t="s">
        <v>4993</v>
      </c>
      <c r="L3041" s="2">
        <v>1</v>
      </c>
      <c r="M3041" s="24" t="s">
        <v>5971</v>
      </c>
      <c r="N3041" s="2" t="s">
        <v>23</v>
      </c>
      <c r="O3041" s="18" t="s">
        <v>2361</v>
      </c>
      <c r="P3041" s="18" t="s">
        <v>3781</v>
      </c>
      <c r="Q3041" s="6" t="s">
        <v>4475</v>
      </c>
      <c r="T3041" s="23">
        <v>46101</v>
      </c>
      <c r="U3041" s="23">
        <v>47196</v>
      </c>
      <c r="X3041" s="20">
        <v>4000</v>
      </c>
      <c r="Z3041" s="6" t="s">
        <v>5978</v>
      </c>
      <c r="AA3041" s="14">
        <f t="shared" si="402"/>
        <v>5.9999999999999995E-4</v>
      </c>
      <c r="AB3041">
        <v>2.1892619999999998</v>
      </c>
      <c r="AC3041">
        <v>2.2768324799999999</v>
      </c>
    </row>
    <row r="3042" spans="1:29" x14ac:dyDescent="0.3">
      <c r="A3042">
        <v>150893</v>
      </c>
      <c r="B3042" s="25" t="s">
        <v>5984</v>
      </c>
      <c r="C3042" t="s">
        <v>20</v>
      </c>
      <c r="D3042" t="s">
        <v>21</v>
      </c>
      <c r="E3042">
        <v>2222222</v>
      </c>
      <c r="F3042" s="8" t="s">
        <v>22</v>
      </c>
      <c r="G3042" s="2">
        <v>98</v>
      </c>
      <c r="H3042" t="s">
        <v>4369</v>
      </c>
      <c r="J3042" s="9" t="s">
        <v>4945</v>
      </c>
      <c r="K3042" t="s">
        <v>4875</v>
      </c>
      <c r="L3042" s="2">
        <v>1</v>
      </c>
      <c r="M3042" s="24" t="s">
        <v>5971</v>
      </c>
      <c r="N3042" s="2" t="s">
        <v>23</v>
      </c>
      <c r="O3042" s="18" t="s">
        <v>2376</v>
      </c>
      <c r="P3042" s="18" t="s">
        <v>0</v>
      </c>
      <c r="Q3042" s="6" t="s">
        <v>4475</v>
      </c>
      <c r="T3042" s="23">
        <v>46126</v>
      </c>
      <c r="U3042" s="23">
        <v>47040</v>
      </c>
      <c r="X3042" s="20">
        <v>4130</v>
      </c>
      <c r="Z3042" s="6" t="s">
        <v>5978</v>
      </c>
      <c r="AA3042" s="14">
        <f t="shared" si="402"/>
        <v>5.9999999999999995E-4</v>
      </c>
      <c r="AB3042">
        <v>2.2772699999999997</v>
      </c>
      <c r="AC3042">
        <v>2.3683607999999996</v>
      </c>
    </row>
    <row r="3043" spans="1:29" x14ac:dyDescent="0.3">
      <c r="A3043">
        <v>150895</v>
      </c>
      <c r="B3043" s="25" t="s">
        <v>5984</v>
      </c>
      <c r="C3043" t="s">
        <v>20</v>
      </c>
      <c r="D3043" t="s">
        <v>21</v>
      </c>
      <c r="E3043">
        <v>2222222</v>
      </c>
      <c r="F3043" s="8" t="s">
        <v>22</v>
      </c>
      <c r="G3043" s="2">
        <v>98</v>
      </c>
      <c r="H3043" t="s">
        <v>4369</v>
      </c>
      <c r="J3043" s="9" t="s">
        <v>5726</v>
      </c>
      <c r="K3043" t="s">
        <v>4991</v>
      </c>
      <c r="L3043" s="2">
        <v>1</v>
      </c>
      <c r="M3043" s="24" t="s">
        <v>5971</v>
      </c>
      <c r="N3043" s="2" t="s">
        <v>23</v>
      </c>
      <c r="O3043" s="18" t="s">
        <v>1056</v>
      </c>
      <c r="P3043" s="18" t="s">
        <v>3781</v>
      </c>
      <c r="Q3043" s="6" t="s">
        <v>4475</v>
      </c>
      <c r="T3043" s="23">
        <v>46125</v>
      </c>
      <c r="U3043" s="23">
        <v>47039</v>
      </c>
      <c r="X3043" s="20">
        <v>4950</v>
      </c>
      <c r="Z3043" s="6" t="s">
        <v>5978</v>
      </c>
      <c r="AA3043" s="14">
        <f t="shared" si="402"/>
        <v>5.9999999999999995E-4</v>
      </c>
      <c r="AB3043">
        <v>2.7294239999999999</v>
      </c>
      <c r="AC3043">
        <v>2.83860096</v>
      </c>
    </row>
    <row r="3044" spans="1:29" x14ac:dyDescent="0.3">
      <c r="A3044">
        <v>151098</v>
      </c>
      <c r="B3044" s="25" t="s">
        <v>5984</v>
      </c>
      <c r="C3044" t="s">
        <v>20</v>
      </c>
      <c r="D3044" t="s">
        <v>21</v>
      </c>
      <c r="E3044">
        <v>2222222</v>
      </c>
      <c r="F3044" s="8" t="s">
        <v>22</v>
      </c>
      <c r="G3044" s="2">
        <v>98</v>
      </c>
      <c r="H3044" t="s">
        <v>4369</v>
      </c>
      <c r="J3044" s="9" t="s">
        <v>4856</v>
      </c>
      <c r="K3044" t="s">
        <v>5006</v>
      </c>
      <c r="L3044" s="2">
        <v>1</v>
      </c>
      <c r="M3044" s="24" t="s">
        <v>5971</v>
      </c>
      <c r="N3044" s="2" t="s">
        <v>23</v>
      </c>
      <c r="O3044" s="18" t="s">
        <v>2377</v>
      </c>
      <c r="P3044" s="18" t="s">
        <v>0</v>
      </c>
      <c r="Q3044" s="6" t="s">
        <v>4475</v>
      </c>
      <c r="T3044" s="23">
        <v>46138</v>
      </c>
      <c r="U3044" s="23">
        <v>46228</v>
      </c>
      <c r="X3044" s="20">
        <v>4970</v>
      </c>
      <c r="Z3044" s="6" t="s">
        <v>5978</v>
      </c>
      <c r="AA3044" s="14">
        <f t="shared" si="402"/>
        <v>5.9999999999999995E-4</v>
      </c>
      <c r="AB3044">
        <v>2.9819999999999998</v>
      </c>
      <c r="AC3044">
        <v>3.10128</v>
      </c>
    </row>
    <row r="3045" spans="1:29" x14ac:dyDescent="0.3">
      <c r="A3045">
        <v>151193</v>
      </c>
      <c r="B3045" s="25" t="s">
        <v>5984</v>
      </c>
      <c r="C3045" t="s">
        <v>20</v>
      </c>
      <c r="D3045" t="s">
        <v>21</v>
      </c>
      <c r="E3045">
        <v>2222222</v>
      </c>
      <c r="F3045" s="8" t="s">
        <v>22</v>
      </c>
      <c r="G3045" s="2">
        <v>98</v>
      </c>
      <c r="H3045" t="s">
        <v>4369</v>
      </c>
      <c r="J3045" s="9" t="s">
        <v>4901</v>
      </c>
      <c r="K3045" t="s">
        <v>4964</v>
      </c>
      <c r="L3045" s="2">
        <v>1</v>
      </c>
      <c r="M3045" s="24" t="s">
        <v>5971</v>
      </c>
      <c r="N3045" s="2" t="s">
        <v>23</v>
      </c>
      <c r="O3045" s="18" t="s">
        <v>2354</v>
      </c>
      <c r="P3045" s="18" t="s">
        <v>0</v>
      </c>
      <c r="Q3045" s="6" t="s">
        <v>4475</v>
      </c>
      <c r="T3045" s="23">
        <v>46146</v>
      </c>
      <c r="U3045" s="23">
        <v>46236</v>
      </c>
      <c r="X3045" s="20">
        <v>4955</v>
      </c>
      <c r="Z3045" s="6" t="s">
        <v>5978</v>
      </c>
      <c r="AA3045" s="14">
        <f t="shared" si="402"/>
        <v>5.9999999999999995E-4</v>
      </c>
      <c r="AB3045">
        <v>2.9729999999999999</v>
      </c>
      <c r="AC3045">
        <v>3.09192</v>
      </c>
    </row>
    <row r="3046" spans="1:29" x14ac:dyDescent="0.3">
      <c r="A3046">
        <v>151244</v>
      </c>
      <c r="B3046" s="25" t="s">
        <v>5984</v>
      </c>
      <c r="C3046" t="s">
        <v>20</v>
      </c>
      <c r="D3046" t="s">
        <v>21</v>
      </c>
      <c r="E3046">
        <v>2222222</v>
      </c>
      <c r="F3046" s="8" t="s">
        <v>22</v>
      </c>
      <c r="G3046" s="2">
        <v>98</v>
      </c>
      <c r="H3046" t="s">
        <v>4369</v>
      </c>
      <c r="J3046" s="9" t="s">
        <v>4901</v>
      </c>
      <c r="K3046" t="s">
        <v>4964</v>
      </c>
      <c r="L3046" s="2">
        <v>1</v>
      </c>
      <c r="M3046" s="24" t="s">
        <v>5971</v>
      </c>
      <c r="N3046" s="2" t="s">
        <v>23</v>
      </c>
      <c r="O3046" s="18" t="s">
        <v>2354</v>
      </c>
      <c r="P3046" s="18" t="s">
        <v>0</v>
      </c>
      <c r="Q3046" s="6" t="s">
        <v>4475</v>
      </c>
      <c r="T3046" s="23">
        <v>46149</v>
      </c>
      <c r="U3046" s="23">
        <v>46239</v>
      </c>
      <c r="X3046" s="20">
        <v>1380</v>
      </c>
      <c r="Z3046" s="6" t="s">
        <v>5978</v>
      </c>
      <c r="AA3046" s="14">
        <f t="shared" si="402"/>
        <v>5.9999999999999995E-4</v>
      </c>
      <c r="AB3046">
        <v>0.82799999999999996</v>
      </c>
      <c r="AC3046">
        <v>0.86112</v>
      </c>
    </row>
    <row r="3047" spans="1:29" x14ac:dyDescent="0.3">
      <c r="A3047">
        <v>151371</v>
      </c>
      <c r="B3047" s="25" t="s">
        <v>5984</v>
      </c>
      <c r="C3047" t="s">
        <v>20</v>
      </c>
      <c r="D3047" t="s">
        <v>21</v>
      </c>
      <c r="E3047">
        <v>2222222</v>
      </c>
      <c r="F3047" s="8" t="s">
        <v>22</v>
      </c>
      <c r="G3047" s="2">
        <v>98</v>
      </c>
      <c r="H3047" t="s">
        <v>4369</v>
      </c>
      <c r="J3047" s="9" t="s">
        <v>5055</v>
      </c>
      <c r="K3047" t="s">
        <v>4991</v>
      </c>
      <c r="L3047" s="2">
        <v>1</v>
      </c>
      <c r="M3047" s="24" t="s">
        <v>5971</v>
      </c>
      <c r="N3047" s="2" t="s">
        <v>23</v>
      </c>
      <c r="O3047" s="18" t="s">
        <v>2378</v>
      </c>
      <c r="P3047" s="18" t="s">
        <v>3781</v>
      </c>
      <c r="Q3047" s="6" t="s">
        <v>4475</v>
      </c>
      <c r="T3047" s="23">
        <v>46160</v>
      </c>
      <c r="U3047" s="23">
        <v>47255</v>
      </c>
      <c r="X3047" s="20">
        <v>3000</v>
      </c>
      <c r="Z3047" s="6" t="s">
        <v>5978</v>
      </c>
      <c r="AA3047" s="14">
        <f t="shared" si="402"/>
        <v>5.9999999999999995E-4</v>
      </c>
      <c r="AB3047">
        <v>1.7216759999999998</v>
      </c>
      <c r="AC3047">
        <v>1.7905430399999998</v>
      </c>
    </row>
    <row r="3048" spans="1:29" x14ac:dyDescent="0.3">
      <c r="A3048">
        <v>151442</v>
      </c>
      <c r="B3048" s="25" t="s">
        <v>5984</v>
      </c>
      <c r="C3048" t="s">
        <v>20</v>
      </c>
      <c r="D3048" t="s">
        <v>21</v>
      </c>
      <c r="E3048">
        <v>2222222</v>
      </c>
      <c r="F3048" s="8" t="s">
        <v>22</v>
      </c>
      <c r="G3048" s="2">
        <v>98</v>
      </c>
      <c r="H3048" t="s">
        <v>4369</v>
      </c>
      <c r="J3048" s="9" t="s">
        <v>4929</v>
      </c>
      <c r="K3048" t="s">
        <v>5270</v>
      </c>
      <c r="L3048" s="2">
        <v>1</v>
      </c>
      <c r="M3048" s="24" t="s">
        <v>5971</v>
      </c>
      <c r="N3048" s="2" t="s">
        <v>23</v>
      </c>
      <c r="O3048" s="18" t="s">
        <v>2335</v>
      </c>
      <c r="P3048" s="18" t="s">
        <v>0</v>
      </c>
      <c r="Q3048" s="6" t="s">
        <v>4475</v>
      </c>
      <c r="T3048" s="23">
        <v>46163</v>
      </c>
      <c r="U3048" s="23">
        <v>46253</v>
      </c>
      <c r="X3048" s="20">
        <v>980</v>
      </c>
      <c r="Z3048" s="6" t="s">
        <v>5978</v>
      </c>
      <c r="AA3048" s="14">
        <f t="shared" si="402"/>
        <v>5.9999999999999995E-4</v>
      </c>
      <c r="AB3048">
        <v>0.58799999999999997</v>
      </c>
      <c r="AC3048">
        <v>0.61151999999999995</v>
      </c>
    </row>
    <row r="3049" spans="1:29" x14ac:dyDescent="0.3">
      <c r="A3049">
        <v>151490</v>
      </c>
      <c r="B3049" s="25" t="s">
        <v>5984</v>
      </c>
      <c r="C3049" t="s">
        <v>20</v>
      </c>
      <c r="D3049" t="s">
        <v>21</v>
      </c>
      <c r="E3049">
        <v>2222222</v>
      </c>
      <c r="F3049" s="8" t="s">
        <v>22</v>
      </c>
      <c r="G3049" s="2">
        <v>98</v>
      </c>
      <c r="H3049" t="s">
        <v>4369</v>
      </c>
      <c r="J3049" s="9" t="s">
        <v>5055</v>
      </c>
      <c r="K3049" t="s">
        <v>4893</v>
      </c>
      <c r="L3049" s="2">
        <v>1</v>
      </c>
      <c r="M3049" s="24" t="s">
        <v>5971</v>
      </c>
      <c r="N3049" s="2" t="s">
        <v>23</v>
      </c>
      <c r="O3049" s="18" t="s">
        <v>2379</v>
      </c>
      <c r="P3049" s="18" t="s">
        <v>3781</v>
      </c>
      <c r="Q3049" s="6" t="s">
        <v>4475</v>
      </c>
      <c r="T3049" s="23">
        <v>46168</v>
      </c>
      <c r="U3049" s="23">
        <v>46258</v>
      </c>
      <c r="X3049" s="20">
        <v>1800</v>
      </c>
      <c r="Z3049" s="6" t="s">
        <v>5978</v>
      </c>
      <c r="AA3049" s="14">
        <f t="shared" si="402"/>
        <v>5.9999999999999995E-4</v>
      </c>
      <c r="AB3049">
        <v>1.0799999999999998</v>
      </c>
      <c r="AC3049">
        <v>1.1232</v>
      </c>
    </row>
    <row r="3050" spans="1:29" x14ac:dyDescent="0.3">
      <c r="A3050">
        <v>151527</v>
      </c>
      <c r="B3050" s="25" t="s">
        <v>5984</v>
      </c>
      <c r="C3050" t="s">
        <v>20</v>
      </c>
      <c r="D3050" t="s">
        <v>21</v>
      </c>
      <c r="E3050">
        <v>2222222</v>
      </c>
      <c r="F3050" s="8" t="s">
        <v>22</v>
      </c>
      <c r="G3050" s="2">
        <v>98</v>
      </c>
      <c r="H3050" t="s">
        <v>4369</v>
      </c>
      <c r="J3050" s="9" t="s">
        <v>5432</v>
      </c>
      <c r="K3050" t="s">
        <v>5265</v>
      </c>
      <c r="L3050" s="2">
        <v>1</v>
      </c>
      <c r="M3050" s="24" t="s">
        <v>5971</v>
      </c>
      <c r="N3050" s="2" t="s">
        <v>23</v>
      </c>
      <c r="O3050" s="18" t="s">
        <v>2380</v>
      </c>
      <c r="P3050" s="18" t="s">
        <v>0</v>
      </c>
      <c r="Q3050" s="6" t="s">
        <v>4475</v>
      </c>
      <c r="T3050" s="23">
        <v>46178</v>
      </c>
      <c r="U3050" s="23">
        <v>51657</v>
      </c>
      <c r="X3050" s="20">
        <v>45000</v>
      </c>
      <c r="Z3050" s="6" t="s">
        <v>5978</v>
      </c>
      <c r="AA3050" s="14">
        <f t="shared" si="402"/>
        <v>5.9999999999999995E-4</v>
      </c>
      <c r="AB3050">
        <v>26.943053999999997</v>
      </c>
      <c r="AC3050">
        <v>28.020776159999997</v>
      </c>
    </row>
    <row r="3051" spans="1:29" x14ac:dyDescent="0.3">
      <c r="A3051">
        <v>151753</v>
      </c>
      <c r="B3051" s="25" t="s">
        <v>5984</v>
      </c>
      <c r="C3051" t="s">
        <v>20</v>
      </c>
      <c r="D3051" t="s">
        <v>21</v>
      </c>
      <c r="E3051">
        <v>2222222</v>
      </c>
      <c r="F3051" s="8" t="s">
        <v>22</v>
      </c>
      <c r="G3051" s="2">
        <v>98</v>
      </c>
      <c r="H3051" t="s">
        <v>4369</v>
      </c>
      <c r="J3051" s="9" t="s">
        <v>5727</v>
      </c>
      <c r="K3051" t="s">
        <v>5728</v>
      </c>
      <c r="L3051" s="2">
        <v>1</v>
      </c>
      <c r="M3051" s="24" t="s">
        <v>5971</v>
      </c>
      <c r="N3051" s="2" t="s">
        <v>23</v>
      </c>
      <c r="O3051" s="18" t="s">
        <v>2381</v>
      </c>
      <c r="P3051" s="18" t="s">
        <v>0</v>
      </c>
      <c r="Q3051" s="6" t="s">
        <v>4475</v>
      </c>
      <c r="T3051" s="23">
        <v>46185</v>
      </c>
      <c r="U3051" s="23">
        <v>46275</v>
      </c>
      <c r="X3051" s="20">
        <v>4985</v>
      </c>
      <c r="Z3051" s="6" t="s">
        <v>5978</v>
      </c>
      <c r="AA3051" s="14">
        <f t="shared" si="402"/>
        <v>5.9999999999999995E-4</v>
      </c>
      <c r="AB3051">
        <v>2.9909999999999997</v>
      </c>
      <c r="AC3051">
        <v>3.1106399999999996</v>
      </c>
    </row>
    <row r="3052" spans="1:29" x14ac:dyDescent="0.3">
      <c r="A3052">
        <v>151780</v>
      </c>
      <c r="B3052" s="25" t="s">
        <v>5984</v>
      </c>
      <c r="C3052" t="s">
        <v>20</v>
      </c>
      <c r="D3052" t="s">
        <v>21</v>
      </c>
      <c r="E3052">
        <v>2222222</v>
      </c>
      <c r="F3052" s="8" t="s">
        <v>22</v>
      </c>
      <c r="G3052" s="2">
        <v>98</v>
      </c>
      <c r="H3052" t="s">
        <v>4369</v>
      </c>
      <c r="J3052" s="9" t="s">
        <v>5721</v>
      </c>
      <c r="K3052" t="s">
        <v>4993</v>
      </c>
      <c r="L3052" s="2">
        <v>1</v>
      </c>
      <c r="M3052" s="24" t="s">
        <v>5971</v>
      </c>
      <c r="N3052" s="2" t="s">
        <v>23</v>
      </c>
      <c r="O3052" s="18" t="s">
        <v>2361</v>
      </c>
      <c r="P3052" s="18" t="s">
        <v>3781</v>
      </c>
      <c r="Q3052" s="6" t="s">
        <v>4475</v>
      </c>
      <c r="T3052" s="23">
        <v>46188</v>
      </c>
      <c r="U3052" s="23">
        <v>46278</v>
      </c>
      <c r="X3052" s="20">
        <v>4880</v>
      </c>
      <c r="Z3052" s="6" t="s">
        <v>5978</v>
      </c>
      <c r="AA3052" s="14">
        <f t="shared" si="402"/>
        <v>5.9999999999999995E-4</v>
      </c>
      <c r="AB3052">
        <v>2.9279999999999999</v>
      </c>
      <c r="AC3052">
        <v>3.0451199999999998</v>
      </c>
    </row>
    <row r="3053" spans="1:29" x14ac:dyDescent="0.3">
      <c r="A3053">
        <v>151787</v>
      </c>
      <c r="B3053" s="25" t="s">
        <v>5984</v>
      </c>
      <c r="C3053" t="s">
        <v>20</v>
      </c>
      <c r="D3053" t="s">
        <v>21</v>
      </c>
      <c r="E3053">
        <v>2222222</v>
      </c>
      <c r="F3053" s="8" t="s">
        <v>22</v>
      </c>
      <c r="G3053" s="2">
        <v>98</v>
      </c>
      <c r="H3053" t="s">
        <v>4369</v>
      </c>
      <c r="J3053" s="9" t="s">
        <v>4826</v>
      </c>
      <c r="K3053" t="s">
        <v>5421</v>
      </c>
      <c r="L3053" s="2">
        <v>1</v>
      </c>
      <c r="M3053" s="24" t="s">
        <v>5971</v>
      </c>
      <c r="N3053" s="2" t="s">
        <v>23</v>
      </c>
      <c r="O3053" s="18" t="s">
        <v>2382</v>
      </c>
      <c r="P3053" s="18" t="s">
        <v>0</v>
      </c>
      <c r="Q3053" s="6" t="s">
        <v>4475</v>
      </c>
      <c r="T3053" s="23">
        <v>46188</v>
      </c>
      <c r="U3053" s="23">
        <v>47284</v>
      </c>
      <c r="X3053" s="20">
        <v>3000</v>
      </c>
      <c r="Z3053" s="6" t="s">
        <v>5978</v>
      </c>
      <c r="AA3053" s="14">
        <f t="shared" si="402"/>
        <v>5.9999999999999995E-4</v>
      </c>
      <c r="AB3053">
        <v>1.7611139999999998</v>
      </c>
      <c r="AC3053">
        <v>1.8315585599999999</v>
      </c>
    </row>
    <row r="3054" spans="1:29" x14ac:dyDescent="0.3">
      <c r="A3054">
        <v>152327</v>
      </c>
      <c r="B3054" s="25" t="s">
        <v>5984</v>
      </c>
      <c r="C3054" t="s">
        <v>20</v>
      </c>
      <c r="D3054" t="s">
        <v>21</v>
      </c>
      <c r="E3054">
        <v>2222222</v>
      </c>
      <c r="F3054" s="8" t="s">
        <v>22</v>
      </c>
      <c r="G3054" s="2">
        <v>98</v>
      </c>
      <c r="H3054" t="s">
        <v>4369</v>
      </c>
      <c r="J3054" s="9" t="s">
        <v>5152</v>
      </c>
      <c r="K3054" t="s">
        <v>4884</v>
      </c>
      <c r="L3054" s="2">
        <v>1</v>
      </c>
      <c r="M3054" s="24" t="s">
        <v>5971</v>
      </c>
      <c r="N3054" s="2" t="s">
        <v>23</v>
      </c>
      <c r="O3054" s="18" t="s">
        <v>2350</v>
      </c>
      <c r="P3054" s="18" t="s">
        <v>3781</v>
      </c>
      <c r="Q3054" s="6" t="s">
        <v>4475</v>
      </c>
      <c r="T3054" s="23">
        <v>46230</v>
      </c>
      <c r="U3054" s="23">
        <v>46320</v>
      </c>
      <c r="X3054" s="20">
        <v>3460</v>
      </c>
      <c r="Z3054" s="6" t="s">
        <v>5978</v>
      </c>
      <c r="AA3054" s="14">
        <f t="shared" si="402"/>
        <v>5.9999999999999995E-4</v>
      </c>
      <c r="AB3054">
        <v>2.0759999999999996</v>
      </c>
      <c r="AC3054">
        <v>2.1590399999999996</v>
      </c>
    </row>
    <row r="3055" spans="1:29" x14ac:dyDescent="0.3">
      <c r="A3055">
        <v>130907</v>
      </c>
      <c r="B3055" s="25" t="s">
        <v>5984</v>
      </c>
      <c r="C3055" t="s">
        <v>20</v>
      </c>
      <c r="D3055" t="s">
        <v>21</v>
      </c>
      <c r="E3055">
        <v>2222222</v>
      </c>
      <c r="F3055" s="8" t="s">
        <v>22</v>
      </c>
      <c r="G3055" s="2">
        <v>98</v>
      </c>
      <c r="H3055" t="s">
        <v>4370</v>
      </c>
      <c r="J3055" s="9" t="s">
        <v>5075</v>
      </c>
      <c r="K3055" t="s">
        <v>5143</v>
      </c>
      <c r="L3055" s="2">
        <v>1</v>
      </c>
      <c r="M3055" s="24" t="s">
        <v>5971</v>
      </c>
      <c r="N3055" s="2" t="s">
        <v>23</v>
      </c>
      <c r="O3055" s="18" t="s">
        <v>2383</v>
      </c>
      <c r="P3055" s="18" t="s">
        <v>3781</v>
      </c>
      <c r="Q3055" s="6" t="s">
        <v>4475</v>
      </c>
      <c r="T3055" s="23">
        <v>44861</v>
      </c>
      <c r="U3055" s="23">
        <v>45600</v>
      </c>
      <c r="X3055" s="20">
        <v>1530</v>
      </c>
      <c r="Z3055" s="6" t="s">
        <v>5978</v>
      </c>
      <c r="AA3055" s="13">
        <f t="shared" ref="AA3055:AA3058" si="403">+(0.56/1000)</f>
        <v>5.6000000000000006E-4</v>
      </c>
      <c r="AB3055">
        <v>6.2132000000000007E-2</v>
      </c>
      <c r="AC3055">
        <v>6.4617280000000013E-2</v>
      </c>
    </row>
    <row r="3056" spans="1:29" x14ac:dyDescent="0.3">
      <c r="A3056">
        <v>134221</v>
      </c>
      <c r="B3056" s="25" t="s">
        <v>5984</v>
      </c>
      <c r="C3056" t="s">
        <v>20</v>
      </c>
      <c r="D3056" t="s">
        <v>21</v>
      </c>
      <c r="E3056">
        <v>2222222</v>
      </c>
      <c r="F3056" s="8" t="s">
        <v>22</v>
      </c>
      <c r="G3056" s="2">
        <v>98</v>
      </c>
      <c r="H3056" t="s">
        <v>4370</v>
      </c>
      <c r="J3056" s="9" t="s">
        <v>5392</v>
      </c>
      <c r="K3056" t="s">
        <v>5457</v>
      </c>
      <c r="L3056" s="2">
        <v>1</v>
      </c>
      <c r="M3056" s="24" t="s">
        <v>5971</v>
      </c>
      <c r="N3056" s="2" t="s">
        <v>23</v>
      </c>
      <c r="O3056" s="18" t="s">
        <v>2384</v>
      </c>
      <c r="P3056" s="18" t="s">
        <v>0</v>
      </c>
      <c r="Q3056" s="6" t="s">
        <v>4475</v>
      </c>
      <c r="T3056" s="23">
        <v>45046</v>
      </c>
      <c r="U3056" s="23">
        <v>46874</v>
      </c>
      <c r="X3056" s="20">
        <v>6200</v>
      </c>
      <c r="Z3056" s="6" t="s">
        <v>5978</v>
      </c>
      <c r="AA3056" s="13">
        <f t="shared" si="403"/>
        <v>5.6000000000000006E-4</v>
      </c>
      <c r="AB3056">
        <v>1.6065616000000003</v>
      </c>
      <c r="AC3056">
        <v>1.6708240640000003</v>
      </c>
    </row>
    <row r="3057" spans="1:29" x14ac:dyDescent="0.3">
      <c r="A3057">
        <v>134286</v>
      </c>
      <c r="B3057" s="25" t="s">
        <v>5984</v>
      </c>
      <c r="C3057" t="s">
        <v>20</v>
      </c>
      <c r="D3057" t="s">
        <v>21</v>
      </c>
      <c r="E3057">
        <v>2222222</v>
      </c>
      <c r="F3057" s="8" t="s">
        <v>22</v>
      </c>
      <c r="G3057" s="2">
        <v>98</v>
      </c>
      <c r="H3057" t="s">
        <v>4370</v>
      </c>
      <c r="J3057" s="9" t="s">
        <v>5729</v>
      </c>
      <c r="K3057" t="s">
        <v>4859</v>
      </c>
      <c r="L3057" s="2">
        <v>1</v>
      </c>
      <c r="M3057" s="24" t="s">
        <v>5971</v>
      </c>
      <c r="N3057" s="2" t="s">
        <v>23</v>
      </c>
      <c r="O3057" s="18" t="s">
        <v>2385</v>
      </c>
      <c r="P3057" s="18" t="s">
        <v>3781</v>
      </c>
      <c r="Q3057" s="6" t="s">
        <v>4475</v>
      </c>
      <c r="T3057" s="23">
        <v>45046</v>
      </c>
      <c r="U3057" s="23">
        <v>45417</v>
      </c>
      <c r="X3057" s="20">
        <v>475</v>
      </c>
      <c r="Z3057" s="6" t="s">
        <v>5978</v>
      </c>
      <c r="AA3057" s="13">
        <f t="shared" si="403"/>
        <v>5.6000000000000006E-4</v>
      </c>
      <c r="AB3057">
        <v>0.20153280000000001</v>
      </c>
      <c r="AC3057">
        <v>0.20959411200000003</v>
      </c>
    </row>
    <row r="3058" spans="1:29" x14ac:dyDescent="0.3">
      <c r="A3058">
        <v>138355</v>
      </c>
      <c r="B3058" s="25" t="s">
        <v>5984</v>
      </c>
      <c r="C3058" t="s">
        <v>20</v>
      </c>
      <c r="D3058" t="s">
        <v>21</v>
      </c>
      <c r="E3058">
        <v>2222222</v>
      </c>
      <c r="F3058" s="8" t="s">
        <v>22</v>
      </c>
      <c r="G3058" s="2">
        <v>98</v>
      </c>
      <c r="H3058" t="s">
        <v>4370</v>
      </c>
      <c r="J3058" s="9" t="s">
        <v>4877</v>
      </c>
      <c r="K3058" t="s">
        <v>5085</v>
      </c>
      <c r="L3058" s="2">
        <v>1</v>
      </c>
      <c r="M3058" s="24" t="s">
        <v>5971</v>
      </c>
      <c r="N3058" s="2" t="s">
        <v>23</v>
      </c>
      <c r="O3058" s="18" t="s">
        <v>2386</v>
      </c>
      <c r="P3058" s="18" t="s">
        <v>0</v>
      </c>
      <c r="Q3058" s="6" t="s">
        <v>4475</v>
      </c>
      <c r="T3058" s="23">
        <v>45280</v>
      </c>
      <c r="U3058" s="23">
        <v>47471</v>
      </c>
      <c r="X3058" s="20">
        <v>10000</v>
      </c>
      <c r="Z3058" s="6" t="s">
        <v>5978</v>
      </c>
      <c r="AA3058" s="13">
        <f t="shared" si="403"/>
        <v>5.6000000000000006E-4</v>
      </c>
      <c r="AB3058">
        <v>4.1825000000000001</v>
      </c>
      <c r="AC3058">
        <v>4.3498000000000001</v>
      </c>
    </row>
    <row r="3059" spans="1:29" x14ac:dyDescent="0.3">
      <c r="A3059">
        <v>140873</v>
      </c>
      <c r="B3059" s="25" t="s">
        <v>5984</v>
      </c>
      <c r="C3059" t="s">
        <v>20</v>
      </c>
      <c r="D3059" t="s">
        <v>21</v>
      </c>
      <c r="E3059">
        <v>2222222</v>
      </c>
      <c r="F3059" s="8" t="s">
        <v>22</v>
      </c>
      <c r="G3059" s="2">
        <v>98</v>
      </c>
      <c r="H3059" t="s">
        <v>4370</v>
      </c>
      <c r="J3059" s="9" t="s">
        <v>5323</v>
      </c>
      <c r="K3059" t="s">
        <v>4512</v>
      </c>
      <c r="L3059" s="2">
        <v>1</v>
      </c>
      <c r="M3059" s="24" t="s">
        <v>5971</v>
      </c>
      <c r="N3059" s="2" t="s">
        <v>23</v>
      </c>
      <c r="O3059" s="18" t="s">
        <v>2387</v>
      </c>
      <c r="P3059" s="18" t="s">
        <v>0</v>
      </c>
      <c r="Q3059" s="6" t="s">
        <v>4475</v>
      </c>
      <c r="T3059" s="23">
        <v>45417</v>
      </c>
      <c r="U3059" s="23">
        <v>46877</v>
      </c>
      <c r="X3059" s="20">
        <v>5000</v>
      </c>
      <c r="Z3059" s="6" t="s">
        <v>5978</v>
      </c>
      <c r="AA3059" s="14">
        <f t="shared" ref="AA3059:AA3069" si="404">+(0.6/1000)</f>
        <v>5.9999999999999995E-4</v>
      </c>
      <c r="AB3059">
        <v>1.6582680000000001</v>
      </c>
      <c r="AC3059">
        <v>1.7245987200000001</v>
      </c>
    </row>
    <row r="3060" spans="1:29" x14ac:dyDescent="0.3">
      <c r="A3060">
        <v>144110</v>
      </c>
      <c r="B3060" s="25" t="s">
        <v>5984</v>
      </c>
      <c r="C3060" t="s">
        <v>20</v>
      </c>
      <c r="D3060" t="s">
        <v>21</v>
      </c>
      <c r="E3060">
        <v>2222222</v>
      </c>
      <c r="F3060" s="8" t="s">
        <v>22</v>
      </c>
      <c r="G3060" s="2">
        <v>98</v>
      </c>
      <c r="H3060" t="s">
        <v>4370</v>
      </c>
      <c r="J3060" s="9" t="s">
        <v>5201</v>
      </c>
      <c r="K3060" t="s">
        <v>5024</v>
      </c>
      <c r="L3060" s="2">
        <v>1</v>
      </c>
      <c r="M3060" s="24" t="s">
        <v>5971</v>
      </c>
      <c r="N3060" s="2" t="s">
        <v>23</v>
      </c>
      <c r="O3060" s="18" t="s">
        <v>2388</v>
      </c>
      <c r="P3060" s="18" t="s">
        <v>0</v>
      </c>
      <c r="Q3060" s="6" t="s">
        <v>4475</v>
      </c>
      <c r="T3060" s="23">
        <v>45638</v>
      </c>
      <c r="U3060" s="23">
        <v>47831</v>
      </c>
      <c r="X3060" s="20">
        <v>16050</v>
      </c>
      <c r="Z3060" s="6" t="s">
        <v>5978</v>
      </c>
      <c r="AA3060" s="14">
        <f t="shared" si="404"/>
        <v>5.9999999999999995E-4</v>
      </c>
      <c r="AB3060">
        <v>8.8557839999999981</v>
      </c>
      <c r="AC3060">
        <v>9.2100153599999981</v>
      </c>
    </row>
    <row r="3061" spans="1:29" x14ac:dyDescent="0.3">
      <c r="A3061">
        <v>144307</v>
      </c>
      <c r="B3061" s="25" t="s">
        <v>5984</v>
      </c>
      <c r="C3061" t="s">
        <v>20</v>
      </c>
      <c r="D3061" t="s">
        <v>21</v>
      </c>
      <c r="E3061">
        <v>2222222</v>
      </c>
      <c r="F3061" s="8" t="s">
        <v>22</v>
      </c>
      <c r="G3061" s="2">
        <v>98</v>
      </c>
      <c r="H3061" t="s">
        <v>4370</v>
      </c>
      <c r="J3061" s="9" t="s">
        <v>5730</v>
      </c>
      <c r="K3061" t="s">
        <v>4942</v>
      </c>
      <c r="L3061" s="2">
        <v>1</v>
      </c>
      <c r="M3061" s="24" t="s">
        <v>5971</v>
      </c>
      <c r="N3061" s="2" t="s">
        <v>23</v>
      </c>
      <c r="O3061" s="18" t="s">
        <v>2389</v>
      </c>
      <c r="P3061" s="18" t="s">
        <v>3781</v>
      </c>
      <c r="Q3061" s="6" t="s">
        <v>4475</v>
      </c>
      <c r="T3061" s="23">
        <v>45654</v>
      </c>
      <c r="U3061" s="23">
        <v>47479</v>
      </c>
      <c r="X3061" s="20">
        <v>7110</v>
      </c>
      <c r="Z3061" s="6" t="s">
        <v>5978</v>
      </c>
      <c r="AA3061" s="14">
        <f t="shared" si="404"/>
        <v>5.9999999999999995E-4</v>
      </c>
      <c r="AB3061">
        <v>3.2206799999999998</v>
      </c>
      <c r="AC3061">
        <v>3.3495071999999997</v>
      </c>
    </row>
    <row r="3062" spans="1:29" x14ac:dyDescent="0.3">
      <c r="A3062">
        <v>145682</v>
      </c>
      <c r="B3062" s="25" t="s">
        <v>5984</v>
      </c>
      <c r="C3062" t="s">
        <v>20</v>
      </c>
      <c r="D3062" t="s">
        <v>21</v>
      </c>
      <c r="E3062">
        <v>2222222</v>
      </c>
      <c r="F3062" s="8" t="s">
        <v>22</v>
      </c>
      <c r="G3062" s="2">
        <v>98</v>
      </c>
      <c r="H3062" t="s">
        <v>4370</v>
      </c>
      <c r="J3062" s="9" t="s">
        <v>4836</v>
      </c>
      <c r="K3062" t="s">
        <v>5083</v>
      </c>
      <c r="L3062" s="2">
        <v>1</v>
      </c>
      <c r="M3062" s="24" t="s">
        <v>5971</v>
      </c>
      <c r="N3062" s="2" t="s">
        <v>23</v>
      </c>
      <c r="O3062" s="18" t="s">
        <v>2390</v>
      </c>
      <c r="P3062" s="18" t="s">
        <v>0</v>
      </c>
      <c r="Q3062" s="6" t="s">
        <v>4475</v>
      </c>
      <c r="T3062" s="23">
        <v>45764</v>
      </c>
      <c r="U3062" s="23">
        <v>48321</v>
      </c>
      <c r="X3062" s="20">
        <v>16500</v>
      </c>
      <c r="Z3062" s="6" t="s">
        <v>5978</v>
      </c>
      <c r="AA3062" s="14">
        <f t="shared" si="404"/>
        <v>5.9999999999999995E-4</v>
      </c>
      <c r="AB3062">
        <v>8.6662499999999998</v>
      </c>
      <c r="AC3062">
        <v>9.0129000000000001</v>
      </c>
    </row>
    <row r="3063" spans="1:29" x14ac:dyDescent="0.3">
      <c r="A3063">
        <v>147704</v>
      </c>
      <c r="B3063" s="25" t="s">
        <v>5984</v>
      </c>
      <c r="C3063" t="s">
        <v>20</v>
      </c>
      <c r="D3063" t="s">
        <v>21</v>
      </c>
      <c r="E3063">
        <v>2222222</v>
      </c>
      <c r="F3063" s="8" t="s">
        <v>22</v>
      </c>
      <c r="G3063" s="2">
        <v>98</v>
      </c>
      <c r="H3063" t="s">
        <v>4370</v>
      </c>
      <c r="J3063" s="9" t="s">
        <v>4859</v>
      </c>
      <c r="K3063" t="s">
        <v>5083</v>
      </c>
      <c r="L3063" s="2">
        <v>1</v>
      </c>
      <c r="M3063" s="24" t="s">
        <v>5971</v>
      </c>
      <c r="N3063" s="2" t="s">
        <v>23</v>
      </c>
      <c r="O3063" s="18" t="s">
        <v>2391</v>
      </c>
      <c r="P3063" s="18" t="s">
        <v>0</v>
      </c>
      <c r="Q3063" s="6" t="s">
        <v>4475</v>
      </c>
      <c r="T3063" s="23">
        <v>45933</v>
      </c>
      <c r="U3063" s="23">
        <v>49584</v>
      </c>
      <c r="X3063" s="20">
        <v>67000</v>
      </c>
      <c r="Z3063" s="6" t="s">
        <v>5978</v>
      </c>
      <c r="AA3063" s="14">
        <f t="shared" si="404"/>
        <v>5.9999999999999995E-4</v>
      </c>
      <c r="AB3063">
        <v>38.553666</v>
      </c>
      <c r="AC3063">
        <v>40.095812639999998</v>
      </c>
    </row>
    <row r="3064" spans="1:29" x14ac:dyDescent="0.3">
      <c r="A3064">
        <v>147838</v>
      </c>
      <c r="B3064" s="25" t="s">
        <v>5984</v>
      </c>
      <c r="C3064" t="s">
        <v>20</v>
      </c>
      <c r="D3064" t="s">
        <v>21</v>
      </c>
      <c r="E3064">
        <v>2222222</v>
      </c>
      <c r="F3064" s="8" t="s">
        <v>22</v>
      </c>
      <c r="G3064" s="2">
        <v>98</v>
      </c>
      <c r="H3064" t="s">
        <v>4370</v>
      </c>
      <c r="J3064" s="9" t="s">
        <v>5092</v>
      </c>
      <c r="K3064" t="s">
        <v>4861</v>
      </c>
      <c r="L3064" s="2">
        <v>1</v>
      </c>
      <c r="M3064" s="24" t="s">
        <v>5971</v>
      </c>
      <c r="N3064" s="2" t="s">
        <v>23</v>
      </c>
      <c r="O3064" s="18" t="s">
        <v>2392</v>
      </c>
      <c r="P3064" s="18" t="s">
        <v>3781</v>
      </c>
      <c r="Q3064" s="6" t="s">
        <v>4475</v>
      </c>
      <c r="T3064" s="23">
        <v>45916</v>
      </c>
      <c r="U3064" s="23">
        <v>46828</v>
      </c>
      <c r="X3064" s="20">
        <v>3450</v>
      </c>
      <c r="Z3064" s="6" t="s">
        <v>5978</v>
      </c>
      <c r="AA3064" s="14">
        <f t="shared" si="404"/>
        <v>5.9999999999999995E-4</v>
      </c>
      <c r="AB3064">
        <v>1.4800679999999999</v>
      </c>
      <c r="AC3064">
        <v>1.53927072</v>
      </c>
    </row>
    <row r="3065" spans="1:29" x14ac:dyDescent="0.3">
      <c r="A3065">
        <v>147854</v>
      </c>
      <c r="B3065" s="25" t="s">
        <v>5984</v>
      </c>
      <c r="C3065" t="s">
        <v>20</v>
      </c>
      <c r="D3065" t="s">
        <v>21</v>
      </c>
      <c r="E3065">
        <v>2222222</v>
      </c>
      <c r="F3065" s="8" t="s">
        <v>22</v>
      </c>
      <c r="G3065" s="2">
        <v>98</v>
      </c>
      <c r="H3065" t="s">
        <v>4370</v>
      </c>
      <c r="J3065" s="9" t="s">
        <v>4904</v>
      </c>
      <c r="K3065" t="s">
        <v>4980</v>
      </c>
      <c r="L3065" s="2">
        <v>1</v>
      </c>
      <c r="M3065" s="24" t="s">
        <v>5971</v>
      </c>
      <c r="N3065" s="2" t="s">
        <v>23</v>
      </c>
      <c r="O3065" s="18" t="s">
        <v>2393</v>
      </c>
      <c r="P3065" s="18" t="s">
        <v>3781</v>
      </c>
      <c r="Q3065" s="6" t="s">
        <v>4475</v>
      </c>
      <c r="T3065" s="23">
        <v>45920</v>
      </c>
      <c r="U3065" s="23">
        <v>47746</v>
      </c>
      <c r="X3065" s="20">
        <v>5000</v>
      </c>
      <c r="Z3065" s="6" t="s">
        <v>5978</v>
      </c>
      <c r="AA3065" s="14">
        <f t="shared" si="404"/>
        <v>5.9999999999999995E-4</v>
      </c>
      <c r="AB3065">
        <v>2.6334179999999998</v>
      </c>
      <c r="AC3065">
        <v>2.7387547199999998</v>
      </c>
    </row>
    <row r="3066" spans="1:29" x14ac:dyDescent="0.3">
      <c r="A3066">
        <v>149431</v>
      </c>
      <c r="B3066" s="25" t="s">
        <v>5984</v>
      </c>
      <c r="C3066" t="s">
        <v>20</v>
      </c>
      <c r="D3066" t="s">
        <v>21</v>
      </c>
      <c r="E3066">
        <v>2222222</v>
      </c>
      <c r="F3066" s="8" t="s">
        <v>22</v>
      </c>
      <c r="G3066" s="2">
        <v>98</v>
      </c>
      <c r="H3066" t="s">
        <v>4370</v>
      </c>
      <c r="J3066" s="9" t="s">
        <v>5731</v>
      </c>
      <c r="K3066" t="s">
        <v>4859</v>
      </c>
      <c r="L3066" s="2">
        <v>1</v>
      </c>
      <c r="M3066" s="24" t="s">
        <v>5971</v>
      </c>
      <c r="N3066" s="2" t="s">
        <v>23</v>
      </c>
      <c r="O3066" s="18" t="s">
        <v>2394</v>
      </c>
      <c r="P3066" s="18" t="s">
        <v>3781</v>
      </c>
      <c r="Q3066" s="6" t="s">
        <v>4475</v>
      </c>
      <c r="T3066" s="23">
        <v>46022</v>
      </c>
      <c r="U3066" s="23">
        <v>47847</v>
      </c>
      <c r="X3066" s="20">
        <v>5000</v>
      </c>
      <c r="Z3066" s="6" t="s">
        <v>5978</v>
      </c>
      <c r="AA3066" s="14">
        <f t="shared" si="404"/>
        <v>5.9999999999999995E-4</v>
      </c>
      <c r="AB3066">
        <v>2.7841379999999996</v>
      </c>
      <c r="AC3066">
        <v>2.8955035199999997</v>
      </c>
    </row>
    <row r="3067" spans="1:29" x14ac:dyDescent="0.3">
      <c r="A3067">
        <v>150947</v>
      </c>
      <c r="B3067" s="25" t="s">
        <v>5984</v>
      </c>
      <c r="C3067" t="s">
        <v>20</v>
      </c>
      <c r="D3067" t="s">
        <v>21</v>
      </c>
      <c r="E3067">
        <v>2222222</v>
      </c>
      <c r="F3067" s="8" t="s">
        <v>22</v>
      </c>
      <c r="G3067" s="2">
        <v>98</v>
      </c>
      <c r="H3067" t="s">
        <v>4370</v>
      </c>
      <c r="J3067" s="9" t="s">
        <v>4904</v>
      </c>
      <c r="K3067" t="s">
        <v>4980</v>
      </c>
      <c r="L3067" s="2">
        <v>1</v>
      </c>
      <c r="M3067" s="24" t="s">
        <v>5971</v>
      </c>
      <c r="N3067" s="2" t="s">
        <v>23</v>
      </c>
      <c r="O3067" s="18" t="s">
        <v>2393</v>
      </c>
      <c r="P3067" s="18" t="s">
        <v>3781</v>
      </c>
      <c r="Q3067" s="6" t="s">
        <v>4475</v>
      </c>
      <c r="T3067" s="23">
        <v>46133</v>
      </c>
      <c r="U3067" s="23">
        <v>47959</v>
      </c>
      <c r="X3067" s="20">
        <v>6000</v>
      </c>
      <c r="Z3067" s="6" t="s">
        <v>5978</v>
      </c>
      <c r="AA3067" s="14">
        <f t="shared" si="404"/>
        <v>5.9999999999999995E-4</v>
      </c>
      <c r="AB3067">
        <v>3.4596239999999998</v>
      </c>
      <c r="AC3067">
        <v>3.59800896</v>
      </c>
    </row>
    <row r="3068" spans="1:29" x14ac:dyDescent="0.3">
      <c r="A3068">
        <v>151554</v>
      </c>
      <c r="B3068" s="25" t="s">
        <v>5984</v>
      </c>
      <c r="C3068" t="s">
        <v>20</v>
      </c>
      <c r="D3068" t="s">
        <v>21</v>
      </c>
      <c r="E3068">
        <v>2222222</v>
      </c>
      <c r="F3068" s="8" t="s">
        <v>22</v>
      </c>
      <c r="G3068" s="2">
        <v>98</v>
      </c>
      <c r="H3068" t="s">
        <v>4370</v>
      </c>
      <c r="J3068" s="9" t="s">
        <v>5731</v>
      </c>
      <c r="K3068" t="s">
        <v>4859</v>
      </c>
      <c r="L3068" s="2">
        <v>1</v>
      </c>
      <c r="M3068" s="24" t="s">
        <v>5971</v>
      </c>
      <c r="N3068" s="2" t="s">
        <v>23</v>
      </c>
      <c r="O3068" s="18" t="s">
        <v>2394</v>
      </c>
      <c r="P3068" s="18" t="s">
        <v>3781</v>
      </c>
      <c r="Q3068" s="6" t="s">
        <v>4475</v>
      </c>
      <c r="T3068" s="23">
        <v>46171</v>
      </c>
      <c r="U3068" s="23">
        <v>46261</v>
      </c>
      <c r="X3068" s="20">
        <v>5000</v>
      </c>
      <c r="Z3068" s="6" t="s">
        <v>5978</v>
      </c>
      <c r="AA3068" s="14">
        <f t="shared" si="404"/>
        <v>5.9999999999999995E-4</v>
      </c>
      <c r="AB3068">
        <v>2.9999999999999996</v>
      </c>
      <c r="AC3068">
        <v>3.1199999999999997</v>
      </c>
    </row>
    <row r="3069" spans="1:29" x14ac:dyDescent="0.3">
      <c r="A3069">
        <v>151555</v>
      </c>
      <c r="B3069" s="25" t="s">
        <v>5984</v>
      </c>
      <c r="C3069" t="s">
        <v>20</v>
      </c>
      <c r="D3069" t="s">
        <v>21</v>
      </c>
      <c r="E3069">
        <v>2222222</v>
      </c>
      <c r="F3069" s="8" t="s">
        <v>22</v>
      </c>
      <c r="G3069" s="2">
        <v>98</v>
      </c>
      <c r="H3069" t="s">
        <v>4370</v>
      </c>
      <c r="J3069" s="9" t="s">
        <v>5731</v>
      </c>
      <c r="K3069" t="s">
        <v>4859</v>
      </c>
      <c r="L3069" s="2">
        <v>1</v>
      </c>
      <c r="M3069" s="24" t="s">
        <v>5971</v>
      </c>
      <c r="N3069" s="2" t="s">
        <v>23</v>
      </c>
      <c r="O3069" s="18" t="s">
        <v>2394</v>
      </c>
      <c r="P3069" s="18" t="s">
        <v>3781</v>
      </c>
      <c r="Q3069" s="6" t="s">
        <v>4475</v>
      </c>
      <c r="T3069" s="23">
        <v>46171</v>
      </c>
      <c r="U3069" s="23">
        <v>47996</v>
      </c>
      <c r="X3069" s="20">
        <v>4570</v>
      </c>
      <c r="Z3069" s="6" t="s">
        <v>5978</v>
      </c>
      <c r="AA3069" s="14">
        <f t="shared" si="404"/>
        <v>5.9999999999999995E-4</v>
      </c>
      <c r="AB3069">
        <v>2.7099120000000001</v>
      </c>
      <c r="AC3069">
        <v>2.8183084800000002</v>
      </c>
    </row>
    <row r="3070" spans="1:29" x14ac:dyDescent="0.3">
      <c r="A3070">
        <v>116160</v>
      </c>
      <c r="B3070" s="25" t="s">
        <v>5984</v>
      </c>
      <c r="C3070" t="s">
        <v>20</v>
      </c>
      <c r="D3070" t="s">
        <v>21</v>
      </c>
      <c r="E3070">
        <v>2222222</v>
      </c>
      <c r="F3070" s="8" t="s">
        <v>22</v>
      </c>
      <c r="G3070" s="2">
        <v>98</v>
      </c>
      <c r="H3070" t="s">
        <v>4371</v>
      </c>
      <c r="J3070" s="9" t="s">
        <v>4845</v>
      </c>
      <c r="K3070" t="s">
        <v>5166</v>
      </c>
      <c r="L3070" s="2">
        <v>1</v>
      </c>
      <c r="M3070" s="24" t="s">
        <v>5971</v>
      </c>
      <c r="N3070" s="2" t="s">
        <v>23</v>
      </c>
      <c r="O3070" s="18" t="s">
        <v>2395</v>
      </c>
      <c r="P3070" s="18" t="s">
        <v>3781</v>
      </c>
      <c r="Q3070" s="6" t="s">
        <v>4475</v>
      </c>
      <c r="T3070" s="23">
        <v>44153</v>
      </c>
      <c r="U3070" s="23">
        <v>46822</v>
      </c>
      <c r="X3070" s="20">
        <v>22000</v>
      </c>
      <c r="Z3070" s="6" t="s">
        <v>5978</v>
      </c>
      <c r="AA3070" s="15">
        <f>+(0.42/1000)</f>
        <v>4.1999999999999996E-4</v>
      </c>
      <c r="AB3070">
        <v>3.3482567999999997</v>
      </c>
      <c r="AC3070">
        <v>3.4821870719999999</v>
      </c>
    </row>
    <row r="3071" spans="1:29" x14ac:dyDescent="0.3">
      <c r="A3071">
        <v>149715</v>
      </c>
      <c r="B3071" s="25" t="s">
        <v>5984</v>
      </c>
      <c r="C3071" t="s">
        <v>20</v>
      </c>
      <c r="D3071" t="s">
        <v>21</v>
      </c>
      <c r="E3071">
        <v>2222222</v>
      </c>
      <c r="F3071" s="8" t="s">
        <v>22</v>
      </c>
      <c r="G3071" s="2">
        <v>98</v>
      </c>
      <c r="H3071" t="s">
        <v>4371</v>
      </c>
      <c r="J3071" s="9" t="s">
        <v>4815</v>
      </c>
      <c r="K3071" t="s">
        <v>5134</v>
      </c>
      <c r="L3071" s="2">
        <v>1</v>
      </c>
      <c r="M3071" s="24" t="s">
        <v>5971</v>
      </c>
      <c r="N3071" s="2" t="s">
        <v>23</v>
      </c>
      <c r="O3071" s="18" t="s">
        <v>1959</v>
      </c>
      <c r="P3071" s="18" t="s">
        <v>0</v>
      </c>
      <c r="Q3071" s="6" t="s">
        <v>4475</v>
      </c>
      <c r="T3071" s="23">
        <v>46044</v>
      </c>
      <c r="U3071" s="23">
        <v>46773</v>
      </c>
      <c r="X3071" s="20">
        <v>5800</v>
      </c>
      <c r="Z3071" s="6" t="s">
        <v>5978</v>
      </c>
      <c r="AA3071" s="14">
        <f t="shared" ref="AA3071:AA3072" si="405">+(0.6/1000)</f>
        <v>5.9999999999999995E-4</v>
      </c>
      <c r="AB3071">
        <v>2.7082079999999999</v>
      </c>
      <c r="AC3071">
        <v>2.81653632</v>
      </c>
    </row>
    <row r="3072" spans="1:29" x14ac:dyDescent="0.3">
      <c r="A3072">
        <v>151169</v>
      </c>
      <c r="B3072" s="25" t="s">
        <v>5984</v>
      </c>
      <c r="C3072" t="s">
        <v>20</v>
      </c>
      <c r="D3072" t="s">
        <v>21</v>
      </c>
      <c r="E3072">
        <v>2222222</v>
      </c>
      <c r="F3072" s="8" t="s">
        <v>22</v>
      </c>
      <c r="G3072" s="2">
        <v>98</v>
      </c>
      <c r="H3072" t="s">
        <v>4371</v>
      </c>
      <c r="J3072" s="9" t="s">
        <v>4951</v>
      </c>
      <c r="K3072" t="s">
        <v>4966</v>
      </c>
      <c r="L3072" s="2">
        <v>1</v>
      </c>
      <c r="M3072" s="24" t="s">
        <v>5971</v>
      </c>
      <c r="N3072" s="2" t="s">
        <v>23</v>
      </c>
      <c r="O3072" s="18" t="s">
        <v>2396</v>
      </c>
      <c r="P3072" s="18" t="s">
        <v>0</v>
      </c>
      <c r="Q3072" s="6" t="s">
        <v>4475</v>
      </c>
      <c r="T3072" s="23">
        <v>46142</v>
      </c>
      <c r="U3072" s="23">
        <v>47603</v>
      </c>
      <c r="X3072" s="20">
        <v>3260</v>
      </c>
      <c r="Z3072" s="6" t="s">
        <v>5978</v>
      </c>
      <c r="AA3072" s="14">
        <f t="shared" si="405"/>
        <v>5.9999999999999995E-4</v>
      </c>
      <c r="AB3072">
        <v>1.9559999999999997</v>
      </c>
      <c r="AC3072">
        <v>2.0342399999999996</v>
      </c>
    </row>
    <row r="3073" spans="1:29" x14ac:dyDescent="0.3">
      <c r="A3073">
        <v>53414</v>
      </c>
      <c r="B3073" s="25" t="s">
        <v>5984</v>
      </c>
      <c r="C3073" t="s">
        <v>20</v>
      </c>
      <c r="D3073" t="s">
        <v>21</v>
      </c>
      <c r="E3073">
        <v>2222222</v>
      </c>
      <c r="F3073" s="8" t="s">
        <v>22</v>
      </c>
      <c r="G3073" s="2">
        <v>98</v>
      </c>
      <c r="H3073" t="s">
        <v>4372</v>
      </c>
      <c r="J3073" s="9" t="s">
        <v>5206</v>
      </c>
      <c r="K3073" t="s">
        <v>4880</v>
      </c>
      <c r="L3073" s="2">
        <v>1</v>
      </c>
      <c r="M3073" s="24" t="s">
        <v>5971</v>
      </c>
      <c r="N3073" s="2" t="s">
        <v>23</v>
      </c>
      <c r="O3073" s="18" t="s">
        <v>2397</v>
      </c>
      <c r="P3073" s="18" t="s">
        <v>3781</v>
      </c>
      <c r="Q3073" s="6" t="s">
        <v>4475</v>
      </c>
      <c r="T3073" s="23">
        <v>41452</v>
      </c>
      <c r="U3073" s="23">
        <v>43278</v>
      </c>
      <c r="X3073" s="20">
        <v>3669.59</v>
      </c>
      <c r="Z3073" s="6" t="s">
        <v>5978</v>
      </c>
      <c r="AA3073" s="16">
        <f>+(0.36/1000)</f>
        <v>3.5999999999999997E-4</v>
      </c>
      <c r="AB3073">
        <v>1.2160152</v>
      </c>
      <c r="AC3073">
        <v>1.2646558080000001</v>
      </c>
    </row>
    <row r="3074" spans="1:29" x14ac:dyDescent="0.3">
      <c r="A3074">
        <v>120449</v>
      </c>
      <c r="B3074" s="25" t="s">
        <v>5984</v>
      </c>
      <c r="C3074" t="s">
        <v>20</v>
      </c>
      <c r="D3074" t="s">
        <v>21</v>
      </c>
      <c r="E3074">
        <v>2222222</v>
      </c>
      <c r="F3074" s="8" t="s">
        <v>22</v>
      </c>
      <c r="G3074" s="2">
        <v>98</v>
      </c>
      <c r="H3074" t="s">
        <v>4372</v>
      </c>
      <c r="J3074" s="9" t="s">
        <v>5096</v>
      </c>
      <c r="K3074" t="s">
        <v>5516</v>
      </c>
      <c r="L3074" s="2">
        <v>1</v>
      </c>
      <c r="M3074" s="24" t="s">
        <v>5971</v>
      </c>
      <c r="N3074" s="2" t="s">
        <v>23</v>
      </c>
      <c r="O3074" s="18" t="s">
        <v>2398</v>
      </c>
      <c r="P3074" s="18" t="s">
        <v>3781</v>
      </c>
      <c r="Q3074" s="6" t="s">
        <v>4475</v>
      </c>
      <c r="T3074" s="23">
        <v>44321</v>
      </c>
      <c r="U3074" s="23">
        <v>46877</v>
      </c>
      <c r="X3074" s="20">
        <v>20000</v>
      </c>
      <c r="Z3074" s="6" t="s">
        <v>5978</v>
      </c>
      <c r="AA3074" s="15">
        <f t="shared" ref="AA3074:AA3075" si="406">+(0.42/1000)</f>
        <v>4.1999999999999996E-4</v>
      </c>
      <c r="AB3074">
        <v>4.3416155999999999</v>
      </c>
      <c r="AC3074">
        <v>4.5152802239999996</v>
      </c>
    </row>
    <row r="3075" spans="1:29" x14ac:dyDescent="0.3">
      <c r="A3075">
        <v>123278</v>
      </c>
      <c r="B3075" s="25" t="s">
        <v>5984</v>
      </c>
      <c r="C3075" t="s">
        <v>20</v>
      </c>
      <c r="D3075" t="s">
        <v>21</v>
      </c>
      <c r="E3075">
        <v>2222222</v>
      </c>
      <c r="F3075" s="8" t="s">
        <v>22</v>
      </c>
      <c r="G3075" s="2">
        <v>98</v>
      </c>
      <c r="H3075" t="s">
        <v>4372</v>
      </c>
      <c r="J3075" s="9" t="s">
        <v>4779</v>
      </c>
      <c r="K3075" t="s">
        <v>4839</v>
      </c>
      <c r="L3075" s="2">
        <v>1</v>
      </c>
      <c r="M3075" s="24" t="s">
        <v>5971</v>
      </c>
      <c r="N3075" s="2" t="s">
        <v>23</v>
      </c>
      <c r="O3075" s="18" t="s">
        <v>2399</v>
      </c>
      <c r="P3075" s="18" t="s">
        <v>0</v>
      </c>
      <c r="Q3075" s="6" t="s">
        <v>4475</v>
      </c>
      <c r="T3075" s="23">
        <v>44466</v>
      </c>
      <c r="U3075" s="23">
        <v>47023</v>
      </c>
      <c r="X3075" s="20">
        <v>19900</v>
      </c>
      <c r="Z3075" s="6" t="s">
        <v>5978</v>
      </c>
      <c r="AA3075" s="15">
        <f t="shared" si="406"/>
        <v>4.1999999999999996E-4</v>
      </c>
      <c r="AB3075">
        <v>3.6412445999999994</v>
      </c>
      <c r="AC3075">
        <v>3.7868943839999996</v>
      </c>
    </row>
    <row r="3076" spans="1:29" x14ac:dyDescent="0.3">
      <c r="A3076">
        <v>133228</v>
      </c>
      <c r="B3076" s="25" t="s">
        <v>5984</v>
      </c>
      <c r="C3076" t="s">
        <v>20</v>
      </c>
      <c r="D3076" t="s">
        <v>21</v>
      </c>
      <c r="E3076">
        <v>2222222</v>
      </c>
      <c r="F3076" s="8" t="s">
        <v>22</v>
      </c>
      <c r="G3076" s="2">
        <v>98</v>
      </c>
      <c r="H3076" t="s">
        <v>4372</v>
      </c>
      <c r="J3076" s="9" t="s">
        <v>4916</v>
      </c>
      <c r="K3076" t="s">
        <v>5075</v>
      </c>
      <c r="L3076" s="2">
        <v>1</v>
      </c>
      <c r="M3076" s="24" t="s">
        <v>5971</v>
      </c>
      <c r="N3076" s="2" t="s">
        <v>23</v>
      </c>
      <c r="O3076" s="18" t="s">
        <v>2400</v>
      </c>
      <c r="P3076" s="18" t="s">
        <v>3781</v>
      </c>
      <c r="Q3076" s="6" t="s">
        <v>4475</v>
      </c>
      <c r="T3076" s="23">
        <v>44985</v>
      </c>
      <c r="U3076" s="23">
        <v>46446</v>
      </c>
      <c r="X3076" s="20">
        <v>5000</v>
      </c>
      <c r="Z3076" s="6" t="s">
        <v>5978</v>
      </c>
      <c r="AA3076" s="13">
        <f t="shared" ref="AA3076:AA3077" si="407">+(0.56/1000)</f>
        <v>5.6000000000000006E-4</v>
      </c>
      <c r="AB3076">
        <v>0.62970880000000007</v>
      </c>
      <c r="AC3076">
        <v>0.65489715200000009</v>
      </c>
    </row>
    <row r="3077" spans="1:29" x14ac:dyDescent="0.3">
      <c r="A3077">
        <v>139504</v>
      </c>
      <c r="B3077" s="25" t="s">
        <v>5984</v>
      </c>
      <c r="C3077" t="s">
        <v>20</v>
      </c>
      <c r="D3077" t="s">
        <v>21</v>
      </c>
      <c r="E3077">
        <v>2222222</v>
      </c>
      <c r="F3077" s="8" t="s">
        <v>22</v>
      </c>
      <c r="G3077" s="2">
        <v>98</v>
      </c>
      <c r="H3077" t="s">
        <v>4372</v>
      </c>
      <c r="J3077" s="9" t="s">
        <v>4950</v>
      </c>
      <c r="K3077" t="s">
        <v>4965</v>
      </c>
      <c r="L3077" s="2">
        <v>1</v>
      </c>
      <c r="M3077" s="24" t="s">
        <v>5971</v>
      </c>
      <c r="N3077" s="2" t="s">
        <v>23</v>
      </c>
      <c r="O3077" s="18" t="s">
        <v>2401</v>
      </c>
      <c r="P3077" s="18" t="s">
        <v>0</v>
      </c>
      <c r="Q3077" s="6" t="s">
        <v>4475</v>
      </c>
      <c r="T3077" s="23">
        <v>45390</v>
      </c>
      <c r="U3077" s="23">
        <v>47216</v>
      </c>
      <c r="X3077" s="20">
        <v>100000</v>
      </c>
      <c r="Z3077" s="6" t="s">
        <v>5978</v>
      </c>
      <c r="AA3077" s="13">
        <f t="shared" si="407"/>
        <v>5.6000000000000006E-4</v>
      </c>
      <c r="AB3077">
        <v>35.089829600000009</v>
      </c>
      <c r="AC3077">
        <v>36.49342278400001</v>
      </c>
    </row>
    <row r="3078" spans="1:29" x14ac:dyDescent="0.3">
      <c r="A3078">
        <v>142312</v>
      </c>
      <c r="B3078" s="25" t="s">
        <v>5984</v>
      </c>
      <c r="C3078" t="s">
        <v>20</v>
      </c>
      <c r="D3078" t="s">
        <v>21</v>
      </c>
      <c r="E3078">
        <v>2222222</v>
      </c>
      <c r="F3078" s="8" t="s">
        <v>22</v>
      </c>
      <c r="G3078" s="2">
        <v>98</v>
      </c>
      <c r="H3078" t="s">
        <v>4372</v>
      </c>
      <c r="J3078" s="9" t="s">
        <v>5336</v>
      </c>
      <c r="K3078" t="s">
        <v>4949</v>
      </c>
      <c r="L3078" s="2">
        <v>1</v>
      </c>
      <c r="M3078" s="24" t="s">
        <v>5971</v>
      </c>
      <c r="N3078" s="2" t="s">
        <v>23</v>
      </c>
      <c r="O3078" s="18" t="s">
        <v>2402</v>
      </c>
      <c r="P3078" s="18" t="s">
        <v>0</v>
      </c>
      <c r="Q3078" s="6" t="s">
        <v>4475</v>
      </c>
      <c r="T3078" s="23">
        <v>45521</v>
      </c>
      <c r="U3078" s="23">
        <v>47711</v>
      </c>
      <c r="X3078" s="20">
        <v>20000</v>
      </c>
      <c r="Z3078" s="6" t="s">
        <v>5978</v>
      </c>
      <c r="AA3078" s="14">
        <f t="shared" ref="AA3078:AA3086" si="408">+(0.6/1000)</f>
        <v>5.9999999999999995E-4</v>
      </c>
      <c r="AB3078">
        <v>9.3908519999999989</v>
      </c>
      <c r="AC3078">
        <v>9.76648608</v>
      </c>
    </row>
    <row r="3079" spans="1:29" x14ac:dyDescent="0.3">
      <c r="A3079">
        <v>142725</v>
      </c>
      <c r="B3079" s="25" t="s">
        <v>5984</v>
      </c>
      <c r="C3079" t="s">
        <v>20</v>
      </c>
      <c r="D3079" t="s">
        <v>21</v>
      </c>
      <c r="E3079">
        <v>2222222</v>
      </c>
      <c r="F3079" s="8" t="s">
        <v>22</v>
      </c>
      <c r="G3079" s="2">
        <v>98</v>
      </c>
      <c r="H3079" t="s">
        <v>4372</v>
      </c>
      <c r="J3079" s="9" t="s">
        <v>4967</v>
      </c>
      <c r="K3079" t="s">
        <v>4969</v>
      </c>
      <c r="L3079" s="2">
        <v>1</v>
      </c>
      <c r="M3079" s="24" t="s">
        <v>5971</v>
      </c>
      <c r="N3079" s="2" t="s">
        <v>23</v>
      </c>
      <c r="O3079" s="18" t="s">
        <v>75</v>
      </c>
      <c r="P3079" s="18" t="s">
        <v>3781</v>
      </c>
      <c r="Q3079" s="6" t="s">
        <v>4475</v>
      </c>
      <c r="T3079" s="23">
        <v>45565</v>
      </c>
      <c r="U3079" s="23">
        <v>49218</v>
      </c>
      <c r="X3079" s="20">
        <v>31000</v>
      </c>
      <c r="Z3079" s="6" t="s">
        <v>5978</v>
      </c>
      <c r="AA3079" s="14">
        <f t="shared" si="408"/>
        <v>5.9999999999999995E-4</v>
      </c>
      <c r="AB3079">
        <v>17.150495999999997</v>
      </c>
      <c r="AC3079">
        <v>17.836515839999997</v>
      </c>
    </row>
    <row r="3080" spans="1:29" x14ac:dyDescent="0.3">
      <c r="A3080">
        <v>143243</v>
      </c>
      <c r="B3080" s="25" t="s">
        <v>5984</v>
      </c>
      <c r="C3080" t="s">
        <v>20</v>
      </c>
      <c r="D3080" t="s">
        <v>21</v>
      </c>
      <c r="E3080">
        <v>2222222</v>
      </c>
      <c r="F3080" s="8" t="s">
        <v>22</v>
      </c>
      <c r="G3080" s="2">
        <v>98</v>
      </c>
      <c r="H3080" t="s">
        <v>4372</v>
      </c>
      <c r="J3080" s="9" t="s">
        <v>5063</v>
      </c>
      <c r="K3080" t="s">
        <v>4961</v>
      </c>
      <c r="L3080" s="2">
        <v>1</v>
      </c>
      <c r="M3080" s="24" t="s">
        <v>5971</v>
      </c>
      <c r="N3080" s="2" t="s">
        <v>23</v>
      </c>
      <c r="O3080" s="18" t="s">
        <v>2403</v>
      </c>
      <c r="P3080" s="18" t="s">
        <v>0</v>
      </c>
      <c r="Q3080" s="6" t="s">
        <v>4475</v>
      </c>
      <c r="T3080" s="23">
        <v>45595</v>
      </c>
      <c r="U3080" s="23">
        <v>47420</v>
      </c>
      <c r="X3080" s="20">
        <v>45000</v>
      </c>
      <c r="Z3080" s="6" t="s">
        <v>5978</v>
      </c>
      <c r="AA3080" s="14">
        <f t="shared" si="408"/>
        <v>5.9999999999999995E-4</v>
      </c>
      <c r="AB3080">
        <v>19.999272000000001</v>
      </c>
      <c r="AC3080">
        <v>20.799242880000001</v>
      </c>
    </row>
    <row r="3081" spans="1:29" x14ac:dyDescent="0.3">
      <c r="A3081">
        <v>144051</v>
      </c>
      <c r="B3081" s="25" t="s">
        <v>5984</v>
      </c>
      <c r="C3081" t="s">
        <v>20</v>
      </c>
      <c r="D3081" t="s">
        <v>21</v>
      </c>
      <c r="E3081">
        <v>2222222</v>
      </c>
      <c r="F3081" s="8" t="s">
        <v>22</v>
      </c>
      <c r="G3081" s="2">
        <v>98</v>
      </c>
      <c r="H3081" t="s">
        <v>4372</v>
      </c>
      <c r="J3081" s="9" t="s">
        <v>5596</v>
      </c>
      <c r="K3081" t="s">
        <v>4893</v>
      </c>
      <c r="L3081" s="2">
        <v>1</v>
      </c>
      <c r="M3081" s="24" t="s">
        <v>5971</v>
      </c>
      <c r="N3081" s="2" t="s">
        <v>23</v>
      </c>
      <c r="O3081" s="18" t="s">
        <v>2404</v>
      </c>
      <c r="P3081" s="18" t="s">
        <v>3781</v>
      </c>
      <c r="Q3081" s="6" t="s">
        <v>4475</v>
      </c>
      <c r="T3081" s="23">
        <v>45635</v>
      </c>
      <c r="U3081" s="23">
        <v>46181</v>
      </c>
      <c r="X3081" s="20">
        <v>4510</v>
      </c>
      <c r="Z3081" s="6" t="s">
        <v>5978</v>
      </c>
      <c r="AA3081" s="14">
        <f t="shared" si="408"/>
        <v>5.9999999999999995E-4</v>
      </c>
      <c r="AB3081">
        <v>2.57361</v>
      </c>
      <c r="AC3081">
        <v>2.6765544000000001</v>
      </c>
    </row>
    <row r="3082" spans="1:29" x14ac:dyDescent="0.3">
      <c r="A3082">
        <v>148480</v>
      </c>
      <c r="B3082" s="25" t="s">
        <v>5984</v>
      </c>
      <c r="C3082" t="s">
        <v>20</v>
      </c>
      <c r="D3082" t="s">
        <v>21</v>
      </c>
      <c r="E3082">
        <v>2222222</v>
      </c>
      <c r="F3082" s="8" t="s">
        <v>22</v>
      </c>
      <c r="G3082" s="2">
        <v>98</v>
      </c>
      <c r="H3082" t="s">
        <v>4372</v>
      </c>
      <c r="J3082" s="9" t="s">
        <v>4910</v>
      </c>
      <c r="K3082" t="s">
        <v>5165</v>
      </c>
      <c r="L3082" s="2">
        <v>1</v>
      </c>
      <c r="M3082" s="24" t="s">
        <v>5971</v>
      </c>
      <c r="N3082" s="2" t="s">
        <v>23</v>
      </c>
      <c r="O3082" s="18" t="s">
        <v>2405</v>
      </c>
      <c r="P3082" s="18" t="s">
        <v>3781</v>
      </c>
      <c r="Q3082" s="6" t="s">
        <v>4475</v>
      </c>
      <c r="T3082" s="23">
        <v>45966</v>
      </c>
      <c r="U3082" s="23">
        <v>46696</v>
      </c>
      <c r="X3082" s="20">
        <v>3000</v>
      </c>
      <c r="Z3082" s="6" t="s">
        <v>5978</v>
      </c>
      <c r="AA3082" s="14">
        <f t="shared" si="408"/>
        <v>5.9999999999999995E-4</v>
      </c>
      <c r="AB3082">
        <v>1.265952</v>
      </c>
      <c r="AC3082">
        <v>1.3165900800000001</v>
      </c>
    </row>
    <row r="3083" spans="1:29" x14ac:dyDescent="0.3">
      <c r="A3083">
        <v>148587</v>
      </c>
      <c r="B3083" s="25" t="s">
        <v>5984</v>
      </c>
      <c r="C3083" t="s">
        <v>20</v>
      </c>
      <c r="D3083" t="s">
        <v>21</v>
      </c>
      <c r="E3083">
        <v>2222222</v>
      </c>
      <c r="F3083" s="8" t="s">
        <v>22</v>
      </c>
      <c r="G3083" s="2">
        <v>98</v>
      </c>
      <c r="H3083" t="s">
        <v>4372</v>
      </c>
      <c r="J3083" s="9" t="s">
        <v>5288</v>
      </c>
      <c r="K3083" t="s">
        <v>4965</v>
      </c>
      <c r="L3083" s="2">
        <v>1</v>
      </c>
      <c r="M3083" s="24" t="s">
        <v>5971</v>
      </c>
      <c r="N3083" s="2" t="s">
        <v>23</v>
      </c>
      <c r="O3083" s="18" t="s">
        <v>2406</v>
      </c>
      <c r="P3083" s="18" t="s">
        <v>0</v>
      </c>
      <c r="Q3083" s="6" t="s">
        <v>4475</v>
      </c>
      <c r="T3083" s="23">
        <v>45784</v>
      </c>
      <c r="U3083" s="23">
        <v>47973</v>
      </c>
      <c r="X3083" s="20">
        <v>10010</v>
      </c>
      <c r="Z3083" s="6" t="s">
        <v>5978</v>
      </c>
      <c r="AA3083" s="14">
        <f t="shared" si="408"/>
        <v>5.9999999999999995E-4</v>
      </c>
      <c r="AB3083">
        <v>5.2361759999999986</v>
      </c>
      <c r="AC3083">
        <v>5.4456230399999983</v>
      </c>
    </row>
    <row r="3084" spans="1:29" x14ac:dyDescent="0.3">
      <c r="A3084">
        <v>148597</v>
      </c>
      <c r="B3084" s="25" t="s">
        <v>5984</v>
      </c>
      <c r="C3084" t="s">
        <v>20</v>
      </c>
      <c r="D3084" t="s">
        <v>21</v>
      </c>
      <c r="E3084">
        <v>2222222</v>
      </c>
      <c r="F3084" s="8" t="s">
        <v>22</v>
      </c>
      <c r="G3084" s="2">
        <v>98</v>
      </c>
      <c r="H3084" t="s">
        <v>4372</v>
      </c>
      <c r="J3084" s="9" t="s">
        <v>5107</v>
      </c>
      <c r="K3084" t="s">
        <v>4935</v>
      </c>
      <c r="L3084" s="2">
        <v>1</v>
      </c>
      <c r="M3084" s="24" t="s">
        <v>5971</v>
      </c>
      <c r="N3084" s="2" t="s">
        <v>23</v>
      </c>
      <c r="O3084" s="18" t="s">
        <v>2407</v>
      </c>
      <c r="P3084" s="18" t="s">
        <v>0</v>
      </c>
      <c r="Q3084" s="6" t="s">
        <v>4475</v>
      </c>
      <c r="T3084" s="23">
        <v>45856</v>
      </c>
      <c r="U3084" s="23">
        <v>46944</v>
      </c>
      <c r="X3084" s="20">
        <v>4800</v>
      </c>
      <c r="Z3084" s="6" t="s">
        <v>5978</v>
      </c>
      <c r="AA3084" s="14">
        <f t="shared" si="408"/>
        <v>5.9999999999999995E-4</v>
      </c>
      <c r="AB3084">
        <v>0.65032199999999984</v>
      </c>
      <c r="AC3084">
        <v>0.67633487999999986</v>
      </c>
    </row>
    <row r="3085" spans="1:29" x14ac:dyDescent="0.3">
      <c r="A3085">
        <v>151156</v>
      </c>
      <c r="B3085" s="25" t="s">
        <v>5984</v>
      </c>
      <c r="C3085" t="s">
        <v>20</v>
      </c>
      <c r="D3085" t="s">
        <v>21</v>
      </c>
      <c r="E3085">
        <v>2222222</v>
      </c>
      <c r="F3085" s="8" t="s">
        <v>22</v>
      </c>
      <c r="G3085" s="2">
        <v>98</v>
      </c>
      <c r="H3085" t="s">
        <v>4372</v>
      </c>
      <c r="J3085" s="9" t="s">
        <v>5316</v>
      </c>
      <c r="K3085" t="s">
        <v>4961</v>
      </c>
      <c r="L3085" s="2">
        <v>1</v>
      </c>
      <c r="M3085" s="24" t="s">
        <v>5971</v>
      </c>
      <c r="N3085" s="2" t="s">
        <v>23</v>
      </c>
      <c r="O3085" s="18" t="s">
        <v>2408</v>
      </c>
      <c r="P3085" s="18" t="s">
        <v>0</v>
      </c>
      <c r="Q3085" s="6" t="s">
        <v>4475</v>
      </c>
      <c r="T3085" s="23">
        <v>46141</v>
      </c>
      <c r="U3085" s="23">
        <v>47239</v>
      </c>
      <c r="X3085" s="20">
        <v>2940</v>
      </c>
      <c r="Z3085" s="6" t="s">
        <v>5978</v>
      </c>
      <c r="AA3085" s="14">
        <f t="shared" si="408"/>
        <v>5.9999999999999995E-4</v>
      </c>
      <c r="AB3085">
        <v>1.6872479999999999</v>
      </c>
      <c r="AC3085">
        <v>1.75473792</v>
      </c>
    </row>
    <row r="3086" spans="1:29" x14ac:dyDescent="0.3">
      <c r="A3086">
        <v>151349</v>
      </c>
      <c r="B3086" s="25" t="s">
        <v>5984</v>
      </c>
      <c r="C3086" t="s">
        <v>20</v>
      </c>
      <c r="D3086" t="s">
        <v>21</v>
      </c>
      <c r="E3086">
        <v>2222222</v>
      </c>
      <c r="F3086" s="8" t="s">
        <v>22</v>
      </c>
      <c r="G3086" s="2">
        <v>98</v>
      </c>
      <c r="H3086" t="s">
        <v>4372</v>
      </c>
      <c r="J3086" s="9" t="s">
        <v>4826</v>
      </c>
      <c r="K3086" t="s">
        <v>5197</v>
      </c>
      <c r="L3086" s="2">
        <v>1</v>
      </c>
      <c r="M3086" s="24" t="s">
        <v>5971</v>
      </c>
      <c r="N3086" s="2" t="s">
        <v>23</v>
      </c>
      <c r="O3086" s="18" t="s">
        <v>2409</v>
      </c>
      <c r="P3086" s="18" t="s">
        <v>0</v>
      </c>
      <c r="Q3086" s="6" t="s">
        <v>4475</v>
      </c>
      <c r="T3086" s="23">
        <v>46173</v>
      </c>
      <c r="U3086" s="23">
        <v>47633</v>
      </c>
      <c r="X3086" s="20">
        <v>20000</v>
      </c>
      <c r="Z3086" s="6" t="s">
        <v>5978</v>
      </c>
      <c r="AA3086" s="14">
        <f t="shared" si="408"/>
        <v>5.9999999999999995E-4</v>
      </c>
      <c r="AB3086">
        <v>11.634683999999998</v>
      </c>
      <c r="AC3086">
        <v>12.100071359999999</v>
      </c>
    </row>
    <row r="3087" spans="1:29" x14ac:dyDescent="0.3">
      <c r="A3087">
        <v>128704</v>
      </c>
      <c r="B3087" s="25" t="s">
        <v>5984</v>
      </c>
      <c r="C3087" t="s">
        <v>20</v>
      </c>
      <c r="D3087" t="s">
        <v>21</v>
      </c>
      <c r="E3087">
        <v>2222222</v>
      </c>
      <c r="F3087" s="8" t="s">
        <v>22</v>
      </c>
      <c r="G3087" s="2">
        <v>98</v>
      </c>
      <c r="H3087" t="s">
        <v>4373</v>
      </c>
      <c r="J3087" s="9" t="s">
        <v>4901</v>
      </c>
      <c r="K3087" t="s">
        <v>4953</v>
      </c>
      <c r="L3087" s="2">
        <v>1</v>
      </c>
      <c r="M3087" s="24" t="s">
        <v>5971</v>
      </c>
      <c r="N3087" s="2" t="s">
        <v>23</v>
      </c>
      <c r="O3087" s="18" t="s">
        <v>2410</v>
      </c>
      <c r="P3087" s="18" t="s">
        <v>0</v>
      </c>
      <c r="Q3087" s="6" t="s">
        <v>4475</v>
      </c>
      <c r="T3087" s="23">
        <v>44739</v>
      </c>
      <c r="U3087" s="23">
        <v>45470</v>
      </c>
      <c r="X3087" s="20">
        <v>3130</v>
      </c>
      <c r="Z3087" s="6" t="s">
        <v>5978</v>
      </c>
      <c r="AA3087" s="15">
        <f>+(0.42/1000)</f>
        <v>4.1999999999999996E-4</v>
      </c>
      <c r="AB3087">
        <v>0.49003919999999995</v>
      </c>
      <c r="AC3087">
        <v>0.50964076800000002</v>
      </c>
    </row>
    <row r="3088" spans="1:29" x14ac:dyDescent="0.3">
      <c r="A3088">
        <v>134160</v>
      </c>
      <c r="B3088" s="25" t="s">
        <v>5984</v>
      </c>
      <c r="C3088" t="s">
        <v>20</v>
      </c>
      <c r="D3088" t="s">
        <v>21</v>
      </c>
      <c r="E3088">
        <v>2222222</v>
      </c>
      <c r="F3088" s="8" t="s">
        <v>22</v>
      </c>
      <c r="G3088" s="2">
        <v>98</v>
      </c>
      <c r="H3088" t="s">
        <v>4373</v>
      </c>
      <c r="J3088" s="9" t="s">
        <v>4911</v>
      </c>
      <c r="K3088" t="s">
        <v>5409</v>
      </c>
      <c r="L3088" s="2">
        <v>1</v>
      </c>
      <c r="M3088" s="24" t="s">
        <v>5971</v>
      </c>
      <c r="N3088" s="2" t="s">
        <v>23</v>
      </c>
      <c r="O3088" s="18" t="s">
        <v>2411</v>
      </c>
      <c r="P3088" s="18" t="s">
        <v>3781</v>
      </c>
      <c r="Q3088" s="6" t="s">
        <v>4475</v>
      </c>
      <c r="T3088" s="23">
        <v>45039</v>
      </c>
      <c r="U3088" s="23">
        <v>46226</v>
      </c>
      <c r="X3088" s="20">
        <v>2855</v>
      </c>
      <c r="Z3088" s="6" t="s">
        <v>5978</v>
      </c>
      <c r="AA3088" s="13">
        <f>+(0.56/1000)</f>
        <v>5.6000000000000006E-4</v>
      </c>
      <c r="AB3088">
        <v>8.6671200000000018E-2</v>
      </c>
      <c r="AC3088">
        <v>9.0138048000000026E-2</v>
      </c>
    </row>
    <row r="3089" spans="1:29" x14ac:dyDescent="0.3">
      <c r="A3089">
        <v>141626</v>
      </c>
      <c r="B3089" s="25" t="s">
        <v>5984</v>
      </c>
      <c r="C3089" t="s">
        <v>20</v>
      </c>
      <c r="D3089" t="s">
        <v>21</v>
      </c>
      <c r="E3089">
        <v>2222222</v>
      </c>
      <c r="F3089" s="8" t="s">
        <v>22</v>
      </c>
      <c r="G3089" s="2">
        <v>98</v>
      </c>
      <c r="H3089" t="s">
        <v>4373</v>
      </c>
      <c r="J3089" s="9" t="s">
        <v>4911</v>
      </c>
      <c r="K3089" t="s">
        <v>5409</v>
      </c>
      <c r="L3089" s="2">
        <v>1</v>
      </c>
      <c r="M3089" s="24" t="s">
        <v>5971</v>
      </c>
      <c r="N3089" s="2" t="s">
        <v>23</v>
      </c>
      <c r="O3089" s="18" t="s">
        <v>2411</v>
      </c>
      <c r="P3089" s="18" t="s">
        <v>3781</v>
      </c>
      <c r="Q3089" s="6" t="s">
        <v>4475</v>
      </c>
      <c r="T3089" s="23">
        <v>45474</v>
      </c>
      <c r="U3089" s="23">
        <v>46934</v>
      </c>
      <c r="X3089" s="20">
        <v>8230</v>
      </c>
      <c r="Z3089" s="6" t="s">
        <v>5978</v>
      </c>
      <c r="AA3089" s="14">
        <f t="shared" ref="AA3089:AA3092" si="409">+(0.6/1000)</f>
        <v>5.9999999999999995E-4</v>
      </c>
      <c r="AB3089">
        <v>2.8265039999999999</v>
      </c>
      <c r="AC3089">
        <v>2.9395641600000002</v>
      </c>
    </row>
    <row r="3090" spans="1:29" x14ac:dyDescent="0.3">
      <c r="A3090">
        <v>147095</v>
      </c>
      <c r="B3090" s="25" t="s">
        <v>5984</v>
      </c>
      <c r="C3090" t="s">
        <v>20</v>
      </c>
      <c r="D3090" t="s">
        <v>21</v>
      </c>
      <c r="E3090">
        <v>2222222</v>
      </c>
      <c r="F3090" s="8" t="s">
        <v>22</v>
      </c>
      <c r="G3090" s="2">
        <v>98</v>
      </c>
      <c r="H3090" t="s">
        <v>4373</v>
      </c>
      <c r="J3090" s="9" t="s">
        <v>5322</v>
      </c>
      <c r="K3090" t="s">
        <v>5035</v>
      </c>
      <c r="L3090" s="2">
        <v>1</v>
      </c>
      <c r="M3090" s="24" t="s">
        <v>5971</v>
      </c>
      <c r="N3090" s="2" t="s">
        <v>23</v>
      </c>
      <c r="O3090" s="18" t="s">
        <v>2412</v>
      </c>
      <c r="P3090" s="18" t="s">
        <v>0</v>
      </c>
      <c r="Q3090" s="6" t="s">
        <v>4475</v>
      </c>
      <c r="T3090" s="23">
        <v>45863</v>
      </c>
      <c r="U3090" s="23">
        <v>47323</v>
      </c>
      <c r="X3090" s="20">
        <v>5000</v>
      </c>
      <c r="Z3090" s="6" t="s">
        <v>5978</v>
      </c>
      <c r="AA3090" s="14">
        <f t="shared" si="409"/>
        <v>5.9999999999999995E-4</v>
      </c>
      <c r="AB3090">
        <v>2.4386099999999997</v>
      </c>
      <c r="AC3090">
        <v>2.5361543999999996</v>
      </c>
    </row>
    <row r="3091" spans="1:29" x14ac:dyDescent="0.3">
      <c r="A3091">
        <v>151590</v>
      </c>
      <c r="B3091" s="25" t="s">
        <v>5984</v>
      </c>
      <c r="C3091" t="s">
        <v>20</v>
      </c>
      <c r="D3091" t="s">
        <v>21</v>
      </c>
      <c r="E3091">
        <v>2222222</v>
      </c>
      <c r="F3091" s="8" t="s">
        <v>22</v>
      </c>
      <c r="G3091" s="2">
        <v>98</v>
      </c>
      <c r="H3091" t="s">
        <v>4373</v>
      </c>
      <c r="J3091" s="9" t="s">
        <v>5048</v>
      </c>
      <c r="K3091" t="s">
        <v>4980</v>
      </c>
      <c r="L3091" s="2">
        <v>1</v>
      </c>
      <c r="M3091" s="24" t="s">
        <v>5971</v>
      </c>
      <c r="N3091" s="2" t="s">
        <v>23</v>
      </c>
      <c r="O3091" s="18" t="s">
        <v>2413</v>
      </c>
      <c r="P3091" s="18" t="s">
        <v>3781</v>
      </c>
      <c r="Q3091" s="6" t="s">
        <v>4475</v>
      </c>
      <c r="T3091" s="23">
        <v>46174</v>
      </c>
      <c r="U3091" s="23">
        <v>46600</v>
      </c>
      <c r="X3091" s="20">
        <v>1300</v>
      </c>
      <c r="Z3091" s="6" t="s">
        <v>5978</v>
      </c>
      <c r="AA3091" s="14">
        <f t="shared" si="409"/>
        <v>5.9999999999999995E-4</v>
      </c>
      <c r="AB3091">
        <v>0.72914999999999996</v>
      </c>
      <c r="AC3091">
        <v>0.75831599999999999</v>
      </c>
    </row>
    <row r="3092" spans="1:29" x14ac:dyDescent="0.3">
      <c r="A3092">
        <v>152177</v>
      </c>
      <c r="B3092" s="25" t="s">
        <v>5984</v>
      </c>
      <c r="C3092" t="s">
        <v>20</v>
      </c>
      <c r="D3092" t="s">
        <v>21</v>
      </c>
      <c r="E3092">
        <v>2222222</v>
      </c>
      <c r="F3092" s="8" t="s">
        <v>22</v>
      </c>
      <c r="G3092" s="2">
        <v>98</v>
      </c>
      <c r="H3092" t="s">
        <v>4373</v>
      </c>
      <c r="J3092" s="9" t="s">
        <v>5322</v>
      </c>
      <c r="K3092" t="s">
        <v>5035</v>
      </c>
      <c r="L3092" s="2">
        <v>1</v>
      </c>
      <c r="M3092" s="24" t="s">
        <v>5971</v>
      </c>
      <c r="N3092" s="2" t="s">
        <v>23</v>
      </c>
      <c r="O3092" s="18" t="s">
        <v>2412</v>
      </c>
      <c r="P3092" s="18" t="s">
        <v>0</v>
      </c>
      <c r="Q3092" s="6" t="s">
        <v>4475</v>
      </c>
      <c r="T3092" s="23">
        <v>46217</v>
      </c>
      <c r="U3092" s="23">
        <v>46307</v>
      </c>
      <c r="X3092" s="20">
        <v>3000</v>
      </c>
      <c r="Z3092" s="6" t="s">
        <v>5978</v>
      </c>
      <c r="AA3092" s="14">
        <f t="shared" si="409"/>
        <v>5.9999999999999995E-4</v>
      </c>
      <c r="AB3092">
        <v>1.7999999999999998</v>
      </c>
      <c r="AC3092">
        <v>1.8719999999999999</v>
      </c>
    </row>
    <row r="3093" spans="1:29" x14ac:dyDescent="0.3">
      <c r="A3093">
        <v>135559</v>
      </c>
      <c r="B3093" s="25" t="s">
        <v>5984</v>
      </c>
      <c r="C3093" t="s">
        <v>20</v>
      </c>
      <c r="D3093" t="s">
        <v>21</v>
      </c>
      <c r="E3093">
        <v>2222222</v>
      </c>
      <c r="F3093" s="8" t="s">
        <v>22</v>
      </c>
      <c r="G3093" s="2">
        <v>98</v>
      </c>
      <c r="H3093" t="s">
        <v>4374</v>
      </c>
      <c r="J3093" s="9" t="s">
        <v>5164</v>
      </c>
      <c r="K3093" t="s">
        <v>4924</v>
      </c>
      <c r="L3093" s="2">
        <v>1</v>
      </c>
      <c r="M3093" s="24" t="s">
        <v>5971</v>
      </c>
      <c r="N3093" s="2" t="s">
        <v>23</v>
      </c>
      <c r="O3093" s="18" t="s">
        <v>2414</v>
      </c>
      <c r="P3093" s="18" t="s">
        <v>3781</v>
      </c>
      <c r="Q3093" s="6" t="s">
        <v>4475</v>
      </c>
      <c r="T3093" s="23">
        <v>45119</v>
      </c>
      <c r="U3093" s="23">
        <v>46579</v>
      </c>
      <c r="X3093" s="20">
        <v>5000</v>
      </c>
      <c r="Z3093" s="6" t="s">
        <v>5978</v>
      </c>
      <c r="AA3093" s="13">
        <f t="shared" ref="AA3093:AA3095" si="410">+(0.56/1000)</f>
        <v>5.6000000000000006E-4</v>
      </c>
      <c r="AB3093">
        <v>2.5470928000000002</v>
      </c>
      <c r="AC3093">
        <v>2.6489765120000004</v>
      </c>
    </row>
    <row r="3094" spans="1:29" x14ac:dyDescent="0.3">
      <c r="A3094">
        <v>136076</v>
      </c>
      <c r="B3094" s="25" t="s">
        <v>5984</v>
      </c>
      <c r="C3094" t="s">
        <v>20</v>
      </c>
      <c r="D3094" t="s">
        <v>21</v>
      </c>
      <c r="E3094">
        <v>2222222</v>
      </c>
      <c r="F3094" s="8" t="s">
        <v>22</v>
      </c>
      <c r="G3094" s="2">
        <v>98</v>
      </c>
      <c r="H3094" t="s">
        <v>4374</v>
      </c>
      <c r="J3094" s="9" t="s">
        <v>5617</v>
      </c>
      <c r="K3094" t="s">
        <v>4836</v>
      </c>
      <c r="L3094" s="2">
        <v>1</v>
      </c>
      <c r="M3094" s="24" t="s">
        <v>5971</v>
      </c>
      <c r="N3094" s="2" t="s">
        <v>23</v>
      </c>
      <c r="O3094" s="18" t="s">
        <v>2415</v>
      </c>
      <c r="P3094" s="18" t="s">
        <v>3781</v>
      </c>
      <c r="Q3094" s="6" t="s">
        <v>4475</v>
      </c>
      <c r="T3094" s="23">
        <v>45161</v>
      </c>
      <c r="U3094" s="23">
        <v>46987</v>
      </c>
      <c r="X3094" s="20">
        <v>20000</v>
      </c>
      <c r="Z3094" s="6" t="s">
        <v>5978</v>
      </c>
      <c r="AA3094" s="13">
        <f t="shared" si="410"/>
        <v>5.6000000000000006E-4</v>
      </c>
      <c r="AB3094">
        <v>5.6687344000000008</v>
      </c>
      <c r="AC3094">
        <v>5.8954837760000007</v>
      </c>
    </row>
    <row r="3095" spans="1:29" x14ac:dyDescent="0.3">
      <c r="A3095">
        <v>140605</v>
      </c>
      <c r="B3095" s="25" t="s">
        <v>5984</v>
      </c>
      <c r="C3095" t="s">
        <v>20</v>
      </c>
      <c r="D3095" t="s">
        <v>21</v>
      </c>
      <c r="E3095">
        <v>2222222</v>
      </c>
      <c r="F3095" s="8" t="s">
        <v>22</v>
      </c>
      <c r="G3095" s="2">
        <v>98</v>
      </c>
      <c r="H3095" t="s">
        <v>4374</v>
      </c>
      <c r="J3095" s="9" t="s">
        <v>4891</v>
      </c>
      <c r="K3095" t="s">
        <v>5732</v>
      </c>
      <c r="L3095" s="2">
        <v>1</v>
      </c>
      <c r="M3095" s="24" t="s">
        <v>5971</v>
      </c>
      <c r="N3095" s="2" t="s">
        <v>23</v>
      </c>
      <c r="O3095" s="18" t="s">
        <v>2416</v>
      </c>
      <c r="P3095" s="18" t="s">
        <v>3781</v>
      </c>
      <c r="Q3095" s="6" t="s">
        <v>4475</v>
      </c>
      <c r="T3095" s="23">
        <v>45399</v>
      </c>
      <c r="U3095" s="23">
        <v>46494</v>
      </c>
      <c r="X3095" s="20">
        <v>2500</v>
      </c>
      <c r="Z3095" s="6" t="s">
        <v>5978</v>
      </c>
      <c r="AA3095" s="13">
        <f t="shared" si="410"/>
        <v>5.6000000000000006E-4</v>
      </c>
      <c r="AB3095">
        <v>0.42455280000000006</v>
      </c>
      <c r="AC3095">
        <v>0.44153491200000006</v>
      </c>
    </row>
    <row r="3096" spans="1:29" x14ac:dyDescent="0.3">
      <c r="A3096">
        <v>141236</v>
      </c>
      <c r="B3096" s="25" t="s">
        <v>5984</v>
      </c>
      <c r="C3096" t="s">
        <v>20</v>
      </c>
      <c r="D3096" t="s">
        <v>21</v>
      </c>
      <c r="E3096">
        <v>2222222</v>
      </c>
      <c r="F3096" s="8" t="s">
        <v>22</v>
      </c>
      <c r="G3096" s="2">
        <v>98</v>
      </c>
      <c r="H3096" t="s">
        <v>4374</v>
      </c>
      <c r="J3096" s="9" t="s">
        <v>4838</v>
      </c>
      <c r="K3096" t="s">
        <v>5271</v>
      </c>
      <c r="L3096" s="2">
        <v>1</v>
      </c>
      <c r="M3096" s="24" t="s">
        <v>5971</v>
      </c>
      <c r="N3096" s="2" t="s">
        <v>23</v>
      </c>
      <c r="O3096" s="18" t="s">
        <v>2417</v>
      </c>
      <c r="P3096" s="18" t="s">
        <v>0</v>
      </c>
      <c r="Q3096" s="6" t="s">
        <v>4475</v>
      </c>
      <c r="T3096" s="23">
        <v>45441</v>
      </c>
      <c r="U3096" s="23">
        <v>47266</v>
      </c>
      <c r="X3096" s="20">
        <v>9320</v>
      </c>
      <c r="Z3096" s="6" t="s">
        <v>5978</v>
      </c>
      <c r="AA3096" s="14">
        <f t="shared" ref="AA3096:AA3099" si="411">+(0.6/1000)</f>
        <v>5.9999999999999995E-4</v>
      </c>
      <c r="AB3096">
        <v>3.7582379999999995</v>
      </c>
      <c r="AC3096">
        <v>3.9085675199999996</v>
      </c>
    </row>
    <row r="3097" spans="1:29" x14ac:dyDescent="0.3">
      <c r="A3097">
        <v>145754</v>
      </c>
      <c r="B3097" s="25" t="s">
        <v>5984</v>
      </c>
      <c r="C3097" t="s">
        <v>20</v>
      </c>
      <c r="D3097" t="s">
        <v>21</v>
      </c>
      <c r="E3097">
        <v>2222222</v>
      </c>
      <c r="F3097" s="8" t="s">
        <v>22</v>
      </c>
      <c r="G3097" s="2">
        <v>98</v>
      </c>
      <c r="H3097" t="s">
        <v>4374</v>
      </c>
      <c r="J3097" s="9" t="s">
        <v>5098</v>
      </c>
      <c r="K3097" t="s">
        <v>4924</v>
      </c>
      <c r="L3097" s="2">
        <v>1</v>
      </c>
      <c r="M3097" s="24" t="s">
        <v>5971</v>
      </c>
      <c r="N3097" s="2" t="s">
        <v>23</v>
      </c>
      <c r="O3097" s="18" t="s">
        <v>2418</v>
      </c>
      <c r="P3097" s="18" t="s">
        <v>3781</v>
      </c>
      <c r="Q3097" s="6" t="s">
        <v>4475</v>
      </c>
      <c r="T3097" s="23">
        <v>45785</v>
      </c>
      <c r="U3097" s="23">
        <v>47610</v>
      </c>
      <c r="X3097" s="20">
        <v>22000</v>
      </c>
      <c r="Z3097" s="6" t="s">
        <v>5978</v>
      </c>
      <c r="AA3097" s="14">
        <f t="shared" si="411"/>
        <v>5.9999999999999995E-4</v>
      </c>
      <c r="AB3097">
        <v>10.891517999999998</v>
      </c>
      <c r="AC3097">
        <v>11.327178719999997</v>
      </c>
    </row>
    <row r="3098" spans="1:29" x14ac:dyDescent="0.3">
      <c r="A3098">
        <v>149475</v>
      </c>
      <c r="B3098" s="25" t="s">
        <v>5984</v>
      </c>
      <c r="C3098" t="s">
        <v>20</v>
      </c>
      <c r="D3098" t="s">
        <v>21</v>
      </c>
      <c r="E3098">
        <v>2222222</v>
      </c>
      <c r="F3098" s="8" t="s">
        <v>22</v>
      </c>
      <c r="G3098" s="2">
        <v>98</v>
      </c>
      <c r="H3098" t="s">
        <v>4374</v>
      </c>
      <c r="J3098" s="9" t="s">
        <v>4861</v>
      </c>
      <c r="K3098" t="s">
        <v>4999</v>
      </c>
      <c r="L3098" s="2">
        <v>1</v>
      </c>
      <c r="M3098" s="24" t="s">
        <v>5971</v>
      </c>
      <c r="N3098" s="2" t="s">
        <v>23</v>
      </c>
      <c r="O3098" s="18" t="s">
        <v>2419</v>
      </c>
      <c r="P3098" s="18" t="s">
        <v>3781</v>
      </c>
      <c r="Q3098" s="6" t="s">
        <v>4475</v>
      </c>
      <c r="T3098" s="23">
        <v>46028</v>
      </c>
      <c r="U3098" s="23">
        <v>47123</v>
      </c>
      <c r="X3098" s="20">
        <v>1500</v>
      </c>
      <c r="Z3098" s="6" t="s">
        <v>5978</v>
      </c>
      <c r="AA3098" s="14">
        <f t="shared" si="411"/>
        <v>5.9999999999999995E-4</v>
      </c>
      <c r="AB3098">
        <v>0.77904600000000002</v>
      </c>
      <c r="AC3098">
        <v>0.81020784000000001</v>
      </c>
    </row>
    <row r="3099" spans="1:29" x14ac:dyDescent="0.3">
      <c r="A3099">
        <v>150460</v>
      </c>
      <c r="B3099" s="25" t="s">
        <v>5984</v>
      </c>
      <c r="C3099" t="s">
        <v>20</v>
      </c>
      <c r="D3099" t="s">
        <v>21</v>
      </c>
      <c r="E3099">
        <v>2222222</v>
      </c>
      <c r="F3099" s="8" t="s">
        <v>22</v>
      </c>
      <c r="G3099" s="2">
        <v>98</v>
      </c>
      <c r="H3099" t="s">
        <v>4374</v>
      </c>
      <c r="J3099" s="9" t="s">
        <v>5124</v>
      </c>
      <c r="K3099" t="s">
        <v>5375</v>
      </c>
      <c r="L3099" s="2">
        <v>1</v>
      </c>
      <c r="M3099" s="24" t="s">
        <v>5971</v>
      </c>
      <c r="N3099" s="2" t="s">
        <v>23</v>
      </c>
      <c r="O3099" s="18" t="s">
        <v>2420</v>
      </c>
      <c r="P3099" s="18" t="s">
        <v>0</v>
      </c>
      <c r="Q3099" s="6" t="s">
        <v>4475</v>
      </c>
      <c r="T3099" s="23">
        <v>46097</v>
      </c>
      <c r="U3099" s="23">
        <v>46827</v>
      </c>
      <c r="X3099" s="20">
        <v>2600</v>
      </c>
      <c r="Z3099" s="6" t="s">
        <v>5978</v>
      </c>
      <c r="AA3099" s="14">
        <f t="shared" si="411"/>
        <v>5.9999999999999995E-4</v>
      </c>
      <c r="AB3099">
        <v>1.3351139999999999</v>
      </c>
      <c r="AC3099">
        <v>1.3885185599999998</v>
      </c>
    </row>
    <row r="3100" spans="1:29" x14ac:dyDescent="0.3">
      <c r="A3100">
        <v>126628</v>
      </c>
      <c r="B3100" s="25" t="s">
        <v>5984</v>
      </c>
      <c r="C3100" t="s">
        <v>20</v>
      </c>
      <c r="D3100" t="s">
        <v>21</v>
      </c>
      <c r="E3100">
        <v>2222222</v>
      </c>
      <c r="F3100" s="8" t="s">
        <v>22</v>
      </c>
      <c r="G3100" s="2">
        <v>98</v>
      </c>
      <c r="H3100" t="s">
        <v>4375</v>
      </c>
      <c r="J3100" s="9" t="s">
        <v>4873</v>
      </c>
      <c r="K3100" t="s">
        <v>5146</v>
      </c>
      <c r="L3100" s="2">
        <v>1</v>
      </c>
      <c r="M3100" s="24" t="s">
        <v>5971</v>
      </c>
      <c r="N3100" s="2" t="s">
        <v>23</v>
      </c>
      <c r="O3100" s="18" t="s">
        <v>1967</v>
      </c>
      <c r="P3100" s="18" t="s">
        <v>3781</v>
      </c>
      <c r="Q3100" s="6" t="s">
        <v>4475</v>
      </c>
      <c r="T3100" s="23">
        <v>44635</v>
      </c>
      <c r="U3100" s="23">
        <v>46460</v>
      </c>
      <c r="X3100" s="20">
        <v>18000</v>
      </c>
      <c r="Z3100" s="6" t="s">
        <v>5978</v>
      </c>
      <c r="AA3100" s="15">
        <f>+(0.42/1000)</f>
        <v>4.1999999999999996E-4</v>
      </c>
      <c r="AB3100">
        <v>1.3950089999999997</v>
      </c>
      <c r="AC3100">
        <v>1.4508093599999998</v>
      </c>
    </row>
    <row r="3101" spans="1:29" x14ac:dyDescent="0.3">
      <c r="A3101">
        <v>131791</v>
      </c>
      <c r="B3101" s="25" t="s">
        <v>5984</v>
      </c>
      <c r="C3101" t="s">
        <v>20</v>
      </c>
      <c r="D3101" t="s">
        <v>21</v>
      </c>
      <c r="E3101">
        <v>2222222</v>
      </c>
      <c r="F3101" s="8" t="s">
        <v>22</v>
      </c>
      <c r="G3101" s="2">
        <v>98</v>
      </c>
      <c r="H3101" t="s">
        <v>4375</v>
      </c>
      <c r="J3101" s="9" t="s">
        <v>5400</v>
      </c>
      <c r="L3101" s="2">
        <v>1</v>
      </c>
      <c r="M3101" s="24" t="s">
        <v>5971</v>
      </c>
      <c r="N3101" s="2" t="s">
        <v>23</v>
      </c>
      <c r="O3101" s="18" t="s">
        <v>2421</v>
      </c>
      <c r="P3101" s="18" t="s">
        <v>3781</v>
      </c>
      <c r="Q3101" s="6" t="s">
        <v>4475</v>
      </c>
      <c r="T3101" s="23">
        <v>44908</v>
      </c>
      <c r="U3101" s="23">
        <v>48650</v>
      </c>
      <c r="X3101" s="20">
        <v>32800</v>
      </c>
      <c r="Z3101" s="6" t="s">
        <v>5978</v>
      </c>
      <c r="AA3101" s="13">
        <f>+(0.56/1000)</f>
        <v>5.6000000000000006E-4</v>
      </c>
      <c r="AB3101">
        <v>15.202650400000001</v>
      </c>
      <c r="AC3101">
        <v>15.810756416000002</v>
      </c>
    </row>
    <row r="3102" spans="1:29" x14ac:dyDescent="0.3">
      <c r="A3102">
        <v>148190</v>
      </c>
      <c r="B3102" s="25" t="s">
        <v>5984</v>
      </c>
      <c r="C3102" t="s">
        <v>20</v>
      </c>
      <c r="D3102" t="s">
        <v>21</v>
      </c>
      <c r="E3102">
        <v>2222222</v>
      </c>
      <c r="F3102" s="8" t="s">
        <v>22</v>
      </c>
      <c r="G3102" s="2">
        <v>98</v>
      </c>
      <c r="H3102" t="s">
        <v>4375</v>
      </c>
      <c r="J3102" s="9" t="s">
        <v>4836</v>
      </c>
      <c r="K3102" t="s">
        <v>5148</v>
      </c>
      <c r="L3102" s="2">
        <v>1</v>
      </c>
      <c r="M3102" s="24" t="s">
        <v>5971</v>
      </c>
      <c r="N3102" s="2" t="s">
        <v>23</v>
      </c>
      <c r="O3102" s="18" t="s">
        <v>2422</v>
      </c>
      <c r="P3102" s="18" t="s">
        <v>3781</v>
      </c>
      <c r="Q3102" s="6" t="s">
        <v>4475</v>
      </c>
      <c r="T3102" s="23">
        <v>45944</v>
      </c>
      <c r="U3102" s="23">
        <v>47039</v>
      </c>
      <c r="X3102" s="20">
        <v>3300</v>
      </c>
      <c r="Z3102" s="6" t="s">
        <v>5978</v>
      </c>
      <c r="AA3102" s="14">
        <f t="shared" ref="AA3102:AA3103" si="412">+(0.6/1000)</f>
        <v>5.9999999999999995E-4</v>
      </c>
      <c r="AB3102">
        <v>1.5742499999999999</v>
      </c>
      <c r="AC3102">
        <v>1.6372199999999999</v>
      </c>
    </row>
    <row r="3103" spans="1:29" x14ac:dyDescent="0.3">
      <c r="A3103">
        <v>147239</v>
      </c>
      <c r="B3103" s="25" t="s">
        <v>5984</v>
      </c>
      <c r="C3103" t="s">
        <v>20</v>
      </c>
      <c r="D3103" t="s">
        <v>21</v>
      </c>
      <c r="E3103">
        <v>2222222</v>
      </c>
      <c r="F3103" s="8" t="s">
        <v>22</v>
      </c>
      <c r="G3103" s="2">
        <v>98</v>
      </c>
      <c r="H3103" t="s">
        <v>4376</v>
      </c>
      <c r="J3103" s="9" t="s">
        <v>4892</v>
      </c>
      <c r="K3103" t="s">
        <v>4887</v>
      </c>
      <c r="L3103" s="2">
        <v>1</v>
      </c>
      <c r="M3103" s="24" t="s">
        <v>5971</v>
      </c>
      <c r="N3103" s="2" t="s">
        <v>23</v>
      </c>
      <c r="O3103" s="18" t="s">
        <v>2423</v>
      </c>
      <c r="P3103" s="18" t="s">
        <v>3781</v>
      </c>
      <c r="Q3103" s="6" t="s">
        <v>4475</v>
      </c>
      <c r="T3103" s="23">
        <v>45875</v>
      </c>
      <c r="U3103" s="23">
        <v>46240</v>
      </c>
      <c r="X3103" s="20">
        <v>500</v>
      </c>
      <c r="Z3103" s="6" t="s">
        <v>5978</v>
      </c>
      <c r="AA3103" s="14">
        <f t="shared" si="412"/>
        <v>5.9999999999999995E-4</v>
      </c>
      <c r="AB3103">
        <v>2.6837999999999997E-2</v>
      </c>
      <c r="AC3103">
        <v>2.7911519999999999E-2</v>
      </c>
    </row>
    <row r="3104" spans="1:29" x14ac:dyDescent="0.3">
      <c r="A3104">
        <v>138926</v>
      </c>
      <c r="B3104" s="25" t="s">
        <v>5984</v>
      </c>
      <c r="C3104" t="s">
        <v>20</v>
      </c>
      <c r="D3104" t="s">
        <v>21</v>
      </c>
      <c r="E3104">
        <v>2222222</v>
      </c>
      <c r="F3104" s="8" t="s">
        <v>22</v>
      </c>
      <c r="G3104" s="2">
        <v>98</v>
      </c>
      <c r="H3104" t="s">
        <v>4377</v>
      </c>
      <c r="J3104" s="9" t="s">
        <v>4969</v>
      </c>
      <c r="K3104" t="s">
        <v>4832</v>
      </c>
      <c r="L3104" s="2">
        <v>1</v>
      </c>
      <c r="M3104" s="24" t="s">
        <v>5971</v>
      </c>
      <c r="N3104" s="2" t="s">
        <v>23</v>
      </c>
      <c r="O3104" s="18" t="s">
        <v>2424</v>
      </c>
      <c r="P3104" s="18" t="s">
        <v>3781</v>
      </c>
      <c r="Q3104" s="6" t="s">
        <v>4475</v>
      </c>
      <c r="T3104" s="23">
        <v>45310</v>
      </c>
      <c r="U3104" s="23">
        <v>46405</v>
      </c>
      <c r="X3104" s="20">
        <v>5000</v>
      </c>
      <c r="Z3104" s="6" t="s">
        <v>5978</v>
      </c>
      <c r="AA3104" s="13">
        <f>+(0.56/1000)</f>
        <v>5.6000000000000006E-4</v>
      </c>
      <c r="AB3104">
        <v>0.58245040000000003</v>
      </c>
      <c r="AC3104">
        <v>0.60574841600000007</v>
      </c>
    </row>
    <row r="3105" spans="1:29" x14ac:dyDescent="0.3">
      <c r="A3105">
        <v>146254</v>
      </c>
      <c r="B3105" s="25" t="s">
        <v>5984</v>
      </c>
      <c r="C3105" t="s">
        <v>20</v>
      </c>
      <c r="D3105" t="s">
        <v>21</v>
      </c>
      <c r="E3105">
        <v>2222222</v>
      </c>
      <c r="F3105" s="8" t="s">
        <v>22</v>
      </c>
      <c r="G3105" s="2">
        <v>98</v>
      </c>
      <c r="H3105" t="s">
        <v>4377</v>
      </c>
      <c r="J3105" s="9" t="s">
        <v>4969</v>
      </c>
      <c r="K3105" t="s">
        <v>4832</v>
      </c>
      <c r="L3105" s="2">
        <v>1</v>
      </c>
      <c r="M3105" s="24" t="s">
        <v>5971</v>
      </c>
      <c r="N3105" s="2" t="s">
        <v>23</v>
      </c>
      <c r="O3105" s="18" t="s">
        <v>2424</v>
      </c>
      <c r="P3105" s="18" t="s">
        <v>3781</v>
      </c>
      <c r="Q3105" s="6" t="s">
        <v>4475</v>
      </c>
      <c r="T3105" s="23">
        <v>45806</v>
      </c>
      <c r="U3105" s="23">
        <v>46535</v>
      </c>
      <c r="X3105" s="20">
        <v>2000</v>
      </c>
      <c r="Z3105" s="6" t="s">
        <v>5978</v>
      </c>
      <c r="AA3105" s="14">
        <f t="shared" ref="AA3105:AA3107" si="413">+(0.6/1000)</f>
        <v>5.9999999999999995E-4</v>
      </c>
      <c r="AB3105">
        <v>0.54998399999999992</v>
      </c>
      <c r="AC3105">
        <v>0.57198335999999994</v>
      </c>
    </row>
    <row r="3106" spans="1:29" x14ac:dyDescent="0.3">
      <c r="A3106">
        <v>149921</v>
      </c>
      <c r="B3106" s="25" t="s">
        <v>5984</v>
      </c>
      <c r="C3106" t="s">
        <v>20</v>
      </c>
      <c r="D3106" t="s">
        <v>21</v>
      </c>
      <c r="E3106">
        <v>2222222</v>
      </c>
      <c r="F3106" s="8" t="s">
        <v>22</v>
      </c>
      <c r="G3106" s="2">
        <v>98</v>
      </c>
      <c r="H3106" t="s">
        <v>4377</v>
      </c>
      <c r="J3106" s="9" t="s">
        <v>4911</v>
      </c>
      <c r="K3106" t="s">
        <v>4924</v>
      </c>
      <c r="L3106" s="2">
        <v>1</v>
      </c>
      <c r="M3106" s="24" t="s">
        <v>5971</v>
      </c>
      <c r="N3106" s="2" t="s">
        <v>23</v>
      </c>
      <c r="O3106" s="18" t="s">
        <v>2425</v>
      </c>
      <c r="P3106" s="18" t="s">
        <v>3781</v>
      </c>
      <c r="Q3106" s="6" t="s">
        <v>4475</v>
      </c>
      <c r="T3106" s="23">
        <v>46062</v>
      </c>
      <c r="U3106" s="23">
        <v>46429</v>
      </c>
      <c r="X3106" s="20">
        <v>5000</v>
      </c>
      <c r="Z3106" s="6" t="s">
        <v>5978</v>
      </c>
      <c r="AA3106" s="14">
        <f t="shared" si="413"/>
        <v>5.9999999999999995E-4</v>
      </c>
      <c r="AB3106">
        <v>1.8155339999999998</v>
      </c>
      <c r="AC3106">
        <v>1.8881553599999998</v>
      </c>
    </row>
    <row r="3107" spans="1:29" x14ac:dyDescent="0.3">
      <c r="A3107">
        <v>148579</v>
      </c>
      <c r="B3107" s="25" t="s">
        <v>5984</v>
      </c>
      <c r="C3107" t="s">
        <v>20</v>
      </c>
      <c r="D3107" t="s">
        <v>21</v>
      </c>
      <c r="E3107">
        <v>2222222</v>
      </c>
      <c r="F3107" s="8" t="s">
        <v>22</v>
      </c>
      <c r="G3107" s="2">
        <v>98</v>
      </c>
      <c r="H3107" t="s">
        <v>4378</v>
      </c>
      <c r="J3107" s="9" t="s">
        <v>4836</v>
      </c>
      <c r="K3107" t="s">
        <v>4894</v>
      </c>
      <c r="L3107" s="2">
        <v>1</v>
      </c>
      <c r="M3107" s="24" t="s">
        <v>5971</v>
      </c>
      <c r="N3107" s="2" t="s">
        <v>23</v>
      </c>
      <c r="O3107" s="18" t="s">
        <v>679</v>
      </c>
      <c r="P3107" s="18" t="s">
        <v>3781</v>
      </c>
      <c r="Q3107" s="6" t="s">
        <v>4475</v>
      </c>
      <c r="T3107" s="23">
        <v>45753</v>
      </c>
      <c r="U3107" s="23">
        <v>46665</v>
      </c>
      <c r="X3107" s="20">
        <v>3810</v>
      </c>
      <c r="Z3107" s="6" t="s">
        <v>5978</v>
      </c>
      <c r="AA3107" s="14">
        <f t="shared" si="413"/>
        <v>5.9999999999999995E-4</v>
      </c>
      <c r="AB3107">
        <v>1.2562259999999998</v>
      </c>
      <c r="AC3107">
        <v>1.3064750399999998</v>
      </c>
    </row>
    <row r="3108" spans="1:29" x14ac:dyDescent="0.3">
      <c r="A3108">
        <v>148536</v>
      </c>
      <c r="B3108" s="25" t="s">
        <v>5984</v>
      </c>
      <c r="C3108" t="s">
        <v>20</v>
      </c>
      <c r="D3108" t="s">
        <v>21</v>
      </c>
      <c r="E3108">
        <v>2222222</v>
      </c>
      <c r="F3108" s="8" t="s">
        <v>22</v>
      </c>
      <c r="G3108" s="2">
        <v>98</v>
      </c>
      <c r="H3108" t="s">
        <v>4379</v>
      </c>
      <c r="J3108" s="9" t="s">
        <v>5247</v>
      </c>
      <c r="K3108" t="s">
        <v>4964</v>
      </c>
      <c r="L3108" s="2">
        <v>1</v>
      </c>
      <c r="M3108" s="24" t="s">
        <v>5971</v>
      </c>
      <c r="N3108" s="2" t="s">
        <v>23</v>
      </c>
      <c r="O3108" s="18" t="s">
        <v>2426</v>
      </c>
      <c r="P3108" s="18" t="s">
        <v>0</v>
      </c>
      <c r="Q3108" s="6" t="s">
        <v>4475</v>
      </c>
      <c r="T3108" s="23">
        <v>44945</v>
      </c>
      <c r="U3108" s="23">
        <v>46772</v>
      </c>
      <c r="X3108" s="20">
        <v>29100</v>
      </c>
      <c r="Z3108" s="6" t="s">
        <v>5978</v>
      </c>
      <c r="AA3108" s="13">
        <f>+(0.56/1000)</f>
        <v>5.6000000000000006E-4</v>
      </c>
      <c r="AB3108">
        <v>7.1527960000000013</v>
      </c>
      <c r="AC3108">
        <v>7.4389078400000015</v>
      </c>
    </row>
    <row r="3109" spans="1:29" x14ac:dyDescent="0.3">
      <c r="A3109">
        <v>54403</v>
      </c>
      <c r="B3109" s="25" t="s">
        <v>5984</v>
      </c>
      <c r="C3109" t="s">
        <v>20</v>
      </c>
      <c r="D3109" t="s">
        <v>21</v>
      </c>
      <c r="E3109">
        <v>2222222</v>
      </c>
      <c r="F3109" s="8" t="s">
        <v>22</v>
      </c>
      <c r="G3109" s="2">
        <v>98</v>
      </c>
      <c r="H3109" t="s">
        <v>4380</v>
      </c>
      <c r="J3109" s="9" t="s">
        <v>5093</v>
      </c>
      <c r="K3109" t="s">
        <v>5169</v>
      </c>
      <c r="L3109" s="2">
        <v>1</v>
      </c>
      <c r="M3109" s="24" t="s">
        <v>5971</v>
      </c>
      <c r="N3109" s="2" t="s">
        <v>23</v>
      </c>
      <c r="O3109" s="18" t="s">
        <v>1936</v>
      </c>
      <c r="P3109" s="18" t="s">
        <v>3781</v>
      </c>
      <c r="Q3109" s="6" t="s">
        <v>4475</v>
      </c>
      <c r="T3109" s="23">
        <v>41570</v>
      </c>
      <c r="U3109" s="23">
        <v>43396</v>
      </c>
      <c r="X3109" s="20">
        <v>20000</v>
      </c>
      <c r="Z3109" s="6" t="s">
        <v>5978</v>
      </c>
      <c r="AA3109" s="16">
        <f>+(0.36/1000)</f>
        <v>3.5999999999999997E-4</v>
      </c>
      <c r="AB3109">
        <v>5.0127084000000002</v>
      </c>
      <c r="AC3109">
        <v>5.2132167360000006</v>
      </c>
    </row>
    <row r="3110" spans="1:29" x14ac:dyDescent="0.3">
      <c r="A3110">
        <v>136523</v>
      </c>
      <c r="B3110" s="25" t="s">
        <v>5984</v>
      </c>
      <c r="C3110" t="s">
        <v>20</v>
      </c>
      <c r="D3110" t="s">
        <v>21</v>
      </c>
      <c r="E3110">
        <v>2222222</v>
      </c>
      <c r="F3110" s="8" t="s">
        <v>22</v>
      </c>
      <c r="G3110" s="2">
        <v>98</v>
      </c>
      <c r="H3110" t="s">
        <v>4380</v>
      </c>
      <c r="J3110" s="9" t="s">
        <v>4865</v>
      </c>
      <c r="K3110" t="s">
        <v>5288</v>
      </c>
      <c r="L3110" s="2">
        <v>1</v>
      </c>
      <c r="M3110" s="24" t="s">
        <v>5971</v>
      </c>
      <c r="N3110" s="2" t="s">
        <v>23</v>
      </c>
      <c r="O3110" s="18" t="s">
        <v>2427</v>
      </c>
      <c r="P3110" s="18" t="s">
        <v>0</v>
      </c>
      <c r="Q3110" s="6" t="s">
        <v>4475</v>
      </c>
      <c r="T3110" s="23">
        <v>45176</v>
      </c>
      <c r="U3110" s="23">
        <v>46272</v>
      </c>
      <c r="X3110" s="20">
        <v>5000</v>
      </c>
      <c r="Z3110" s="6" t="s">
        <v>5978</v>
      </c>
      <c r="AA3110" s="13">
        <f t="shared" ref="AA3110:AA3111" si="414">+(0.56/1000)</f>
        <v>5.6000000000000006E-4</v>
      </c>
      <c r="AB3110">
        <v>0.201964</v>
      </c>
      <c r="AC3110">
        <v>0.21004256000000002</v>
      </c>
    </row>
    <row r="3111" spans="1:29" x14ac:dyDescent="0.3">
      <c r="A3111">
        <v>136795</v>
      </c>
      <c r="B3111" s="25" t="s">
        <v>5984</v>
      </c>
      <c r="C3111" t="s">
        <v>20</v>
      </c>
      <c r="D3111" t="s">
        <v>21</v>
      </c>
      <c r="E3111">
        <v>2222222</v>
      </c>
      <c r="F3111" s="8" t="s">
        <v>22</v>
      </c>
      <c r="G3111" s="2">
        <v>98</v>
      </c>
      <c r="H3111" t="s">
        <v>4380</v>
      </c>
      <c r="J3111" s="9" t="s">
        <v>5240</v>
      </c>
      <c r="K3111" t="s">
        <v>5440</v>
      </c>
      <c r="L3111" s="2">
        <v>1</v>
      </c>
      <c r="M3111" s="24" t="s">
        <v>5971</v>
      </c>
      <c r="N3111" s="2" t="s">
        <v>23</v>
      </c>
      <c r="O3111" s="18" t="s">
        <v>2428</v>
      </c>
      <c r="P3111" s="18" t="s">
        <v>0</v>
      </c>
      <c r="Q3111" s="6" t="s">
        <v>4475</v>
      </c>
      <c r="T3111" s="23">
        <v>45191</v>
      </c>
      <c r="U3111" s="23">
        <v>45922</v>
      </c>
      <c r="X3111" s="20">
        <v>993</v>
      </c>
      <c r="Z3111" s="6" t="s">
        <v>5978</v>
      </c>
      <c r="AA3111" s="13">
        <f t="shared" si="414"/>
        <v>5.6000000000000006E-4</v>
      </c>
      <c r="AB3111">
        <v>0.10744720000000002</v>
      </c>
      <c r="AC3111">
        <v>0.11174508800000002</v>
      </c>
    </row>
    <row r="3112" spans="1:29" x14ac:dyDescent="0.3">
      <c r="A3112">
        <v>141058</v>
      </c>
      <c r="B3112" s="25" t="s">
        <v>5984</v>
      </c>
      <c r="C3112" t="s">
        <v>20</v>
      </c>
      <c r="D3112" t="s">
        <v>21</v>
      </c>
      <c r="E3112">
        <v>2222222</v>
      </c>
      <c r="F3112" s="8" t="s">
        <v>22</v>
      </c>
      <c r="G3112" s="2">
        <v>98</v>
      </c>
      <c r="H3112" t="s">
        <v>4380</v>
      </c>
      <c r="J3112" s="9" t="s">
        <v>4826</v>
      </c>
      <c r="K3112" t="s">
        <v>5089</v>
      </c>
      <c r="L3112" s="2">
        <v>1</v>
      </c>
      <c r="M3112" s="24" t="s">
        <v>5971</v>
      </c>
      <c r="N3112" s="2" t="s">
        <v>23</v>
      </c>
      <c r="O3112" s="18" t="s">
        <v>2429</v>
      </c>
      <c r="P3112" s="18" t="s">
        <v>0</v>
      </c>
      <c r="Q3112" s="6" t="s">
        <v>4475</v>
      </c>
      <c r="T3112" s="23">
        <v>45435</v>
      </c>
      <c r="U3112" s="23">
        <v>46529</v>
      </c>
      <c r="X3112" s="20">
        <v>11000</v>
      </c>
      <c r="Z3112" s="6" t="s">
        <v>5978</v>
      </c>
      <c r="AA3112" s="14">
        <f t="shared" ref="AA3112:AA3125" si="415">+(0.6/1000)</f>
        <v>5.9999999999999995E-4</v>
      </c>
      <c r="AB3112">
        <v>2.120466</v>
      </c>
      <c r="AC3112">
        <v>2.2052846399999999</v>
      </c>
    </row>
    <row r="3113" spans="1:29" x14ac:dyDescent="0.3">
      <c r="A3113">
        <v>142303</v>
      </c>
      <c r="B3113" s="25" t="s">
        <v>5984</v>
      </c>
      <c r="C3113" t="s">
        <v>20</v>
      </c>
      <c r="D3113" t="s">
        <v>21</v>
      </c>
      <c r="E3113">
        <v>2222222</v>
      </c>
      <c r="F3113" s="8" t="s">
        <v>22</v>
      </c>
      <c r="G3113" s="2">
        <v>98</v>
      </c>
      <c r="H3113" t="s">
        <v>4380</v>
      </c>
      <c r="J3113" s="9" t="s">
        <v>4779</v>
      </c>
      <c r="K3113" t="s">
        <v>4875</v>
      </c>
      <c r="L3113" s="2">
        <v>1</v>
      </c>
      <c r="M3113" s="24" t="s">
        <v>5971</v>
      </c>
      <c r="N3113" s="2" t="s">
        <v>23</v>
      </c>
      <c r="O3113" s="18" t="s">
        <v>2430</v>
      </c>
      <c r="P3113" s="18" t="s">
        <v>0</v>
      </c>
      <c r="Q3113" s="6" t="s">
        <v>4475</v>
      </c>
      <c r="T3113" s="23">
        <v>45510</v>
      </c>
      <c r="U3113" s="23">
        <v>46604</v>
      </c>
      <c r="X3113" s="20">
        <v>4000</v>
      </c>
      <c r="Z3113" s="6" t="s">
        <v>5978</v>
      </c>
      <c r="AA3113" s="14">
        <f t="shared" si="415"/>
        <v>5.9999999999999995E-4</v>
      </c>
      <c r="AB3113">
        <v>1.026624</v>
      </c>
      <c r="AC3113">
        <v>1.0676889599999999</v>
      </c>
    </row>
    <row r="3114" spans="1:29" x14ac:dyDescent="0.3">
      <c r="A3114">
        <v>143865</v>
      </c>
      <c r="B3114" s="25" t="s">
        <v>5984</v>
      </c>
      <c r="C3114" t="s">
        <v>20</v>
      </c>
      <c r="D3114" t="s">
        <v>21</v>
      </c>
      <c r="E3114">
        <v>2222222</v>
      </c>
      <c r="F3114" s="8" t="s">
        <v>22</v>
      </c>
      <c r="G3114" s="2">
        <v>98</v>
      </c>
      <c r="H3114" t="s">
        <v>4380</v>
      </c>
      <c r="J3114" s="9" t="s">
        <v>4876</v>
      </c>
      <c r="K3114" t="s">
        <v>4875</v>
      </c>
      <c r="L3114" s="2">
        <v>1</v>
      </c>
      <c r="M3114" s="24" t="s">
        <v>5971</v>
      </c>
      <c r="N3114" s="2" t="s">
        <v>23</v>
      </c>
      <c r="O3114" s="18" t="s">
        <v>2431</v>
      </c>
      <c r="P3114" s="18" t="s">
        <v>0</v>
      </c>
      <c r="Q3114" s="6" t="s">
        <v>4475</v>
      </c>
      <c r="T3114" s="23">
        <v>45622</v>
      </c>
      <c r="U3114" s="23">
        <v>47448</v>
      </c>
      <c r="X3114" s="20">
        <v>3530</v>
      </c>
      <c r="Z3114" s="6" t="s">
        <v>5978</v>
      </c>
      <c r="AA3114" s="14">
        <f t="shared" si="415"/>
        <v>5.9999999999999995E-4</v>
      </c>
      <c r="AB3114">
        <v>1.6736819999999997</v>
      </c>
      <c r="AC3114">
        <v>1.7406292799999996</v>
      </c>
    </row>
    <row r="3115" spans="1:29" x14ac:dyDescent="0.3">
      <c r="A3115">
        <v>144275</v>
      </c>
      <c r="B3115" s="25" t="s">
        <v>5984</v>
      </c>
      <c r="C3115" t="s">
        <v>20</v>
      </c>
      <c r="D3115" t="s">
        <v>21</v>
      </c>
      <c r="E3115">
        <v>2222222</v>
      </c>
      <c r="F3115" s="8" t="s">
        <v>22</v>
      </c>
      <c r="G3115" s="2">
        <v>98</v>
      </c>
      <c r="H3115" t="s">
        <v>4380</v>
      </c>
      <c r="J3115" s="9" t="s">
        <v>5372</v>
      </c>
      <c r="K3115" t="s">
        <v>5733</v>
      </c>
      <c r="L3115" s="2">
        <v>1</v>
      </c>
      <c r="M3115" s="24" t="s">
        <v>5971</v>
      </c>
      <c r="N3115" s="2" t="s">
        <v>23</v>
      </c>
      <c r="O3115" s="18" t="s">
        <v>2432</v>
      </c>
      <c r="P3115" s="18" t="s">
        <v>3781</v>
      </c>
      <c r="Q3115" s="6" t="s">
        <v>4475</v>
      </c>
      <c r="T3115" s="23">
        <v>45652</v>
      </c>
      <c r="U3115" s="23">
        <v>47567</v>
      </c>
      <c r="X3115" s="20">
        <v>5650</v>
      </c>
      <c r="Z3115" s="6" t="s">
        <v>5978</v>
      </c>
      <c r="AA3115" s="14">
        <f t="shared" si="415"/>
        <v>5.9999999999999995E-4</v>
      </c>
      <c r="AB3115">
        <v>3.0806219999999995</v>
      </c>
      <c r="AC3115">
        <v>3.2038468799999995</v>
      </c>
    </row>
    <row r="3116" spans="1:29" x14ac:dyDescent="0.3">
      <c r="A3116">
        <v>145144</v>
      </c>
      <c r="B3116" s="25" t="s">
        <v>5984</v>
      </c>
      <c r="C3116" t="s">
        <v>20</v>
      </c>
      <c r="D3116" t="s">
        <v>21</v>
      </c>
      <c r="E3116">
        <v>2222222</v>
      </c>
      <c r="F3116" s="8" t="s">
        <v>22</v>
      </c>
      <c r="G3116" s="2">
        <v>98</v>
      </c>
      <c r="H3116" t="s">
        <v>4380</v>
      </c>
      <c r="J3116" s="9" t="s">
        <v>5424</v>
      </c>
      <c r="K3116" t="s">
        <v>5090</v>
      </c>
      <c r="L3116" s="2">
        <v>1</v>
      </c>
      <c r="M3116" s="24" t="s">
        <v>5971</v>
      </c>
      <c r="N3116" s="2" t="s">
        <v>23</v>
      </c>
      <c r="O3116" s="18" t="s">
        <v>2433</v>
      </c>
      <c r="P3116" s="18" t="s">
        <v>3781</v>
      </c>
      <c r="Q3116" s="6" t="s">
        <v>4475</v>
      </c>
      <c r="T3116" s="23">
        <v>45715</v>
      </c>
      <c r="U3116" s="23">
        <v>47177</v>
      </c>
      <c r="X3116" s="20">
        <v>5000</v>
      </c>
      <c r="Z3116" s="6" t="s">
        <v>5978</v>
      </c>
      <c r="AA3116" s="14">
        <f t="shared" si="415"/>
        <v>5.9999999999999995E-4</v>
      </c>
      <c r="AB3116">
        <v>0.92377799999999999</v>
      </c>
      <c r="AC3116">
        <v>0.96072911999999999</v>
      </c>
    </row>
    <row r="3117" spans="1:29" x14ac:dyDescent="0.3">
      <c r="A3117">
        <v>146196</v>
      </c>
      <c r="B3117" s="25" t="s">
        <v>5984</v>
      </c>
      <c r="C3117" t="s">
        <v>20</v>
      </c>
      <c r="D3117" t="s">
        <v>21</v>
      </c>
      <c r="E3117">
        <v>2222222</v>
      </c>
      <c r="F3117" s="8" t="s">
        <v>22</v>
      </c>
      <c r="G3117" s="2">
        <v>98</v>
      </c>
      <c r="H3117" t="s">
        <v>4380</v>
      </c>
      <c r="J3117" s="9" t="s">
        <v>4916</v>
      </c>
      <c r="K3117" t="s">
        <v>5030</v>
      </c>
      <c r="L3117" s="2">
        <v>1</v>
      </c>
      <c r="M3117" s="24" t="s">
        <v>5971</v>
      </c>
      <c r="N3117" s="2" t="s">
        <v>23</v>
      </c>
      <c r="O3117" s="18" t="s">
        <v>2434</v>
      </c>
      <c r="P3117" s="18" t="s">
        <v>3781</v>
      </c>
      <c r="Q3117" s="6" t="s">
        <v>4475</v>
      </c>
      <c r="T3117" s="23">
        <v>45798</v>
      </c>
      <c r="U3117" s="23">
        <v>46893</v>
      </c>
      <c r="X3117" s="20">
        <v>3000</v>
      </c>
      <c r="Z3117" s="6" t="s">
        <v>5978</v>
      </c>
      <c r="AA3117" s="14">
        <f t="shared" si="415"/>
        <v>5.9999999999999995E-4</v>
      </c>
      <c r="AB3117">
        <v>1.2532619999999999</v>
      </c>
      <c r="AC3117">
        <v>1.3033924799999999</v>
      </c>
    </row>
    <row r="3118" spans="1:29" x14ac:dyDescent="0.3">
      <c r="A3118">
        <v>146394</v>
      </c>
      <c r="B3118" s="25" t="s">
        <v>5984</v>
      </c>
      <c r="C3118" t="s">
        <v>20</v>
      </c>
      <c r="D3118" t="s">
        <v>21</v>
      </c>
      <c r="E3118">
        <v>2222222</v>
      </c>
      <c r="F3118" s="8" t="s">
        <v>22</v>
      </c>
      <c r="G3118" s="2">
        <v>98</v>
      </c>
      <c r="H3118" t="s">
        <v>4380</v>
      </c>
      <c r="J3118" s="9" t="s">
        <v>4779</v>
      </c>
      <c r="K3118" t="s">
        <v>4875</v>
      </c>
      <c r="L3118" s="2">
        <v>1</v>
      </c>
      <c r="M3118" s="24" t="s">
        <v>5971</v>
      </c>
      <c r="N3118" s="2" t="s">
        <v>23</v>
      </c>
      <c r="O3118" s="18" t="s">
        <v>2430</v>
      </c>
      <c r="P3118" s="18" t="s">
        <v>0</v>
      </c>
      <c r="Q3118" s="6" t="s">
        <v>4475</v>
      </c>
      <c r="T3118" s="23">
        <v>45814</v>
      </c>
      <c r="U3118" s="23">
        <v>47275</v>
      </c>
      <c r="X3118" s="20">
        <v>5000</v>
      </c>
      <c r="Z3118" s="6" t="s">
        <v>5978</v>
      </c>
      <c r="AA3118" s="14">
        <f t="shared" si="415"/>
        <v>5.9999999999999995E-4</v>
      </c>
      <c r="AB3118">
        <v>2.3882219999999998</v>
      </c>
      <c r="AC3118">
        <v>2.4837508800000001</v>
      </c>
    </row>
    <row r="3119" spans="1:29" x14ac:dyDescent="0.3">
      <c r="A3119">
        <v>148291</v>
      </c>
      <c r="B3119" s="25" t="s">
        <v>5984</v>
      </c>
      <c r="C3119" t="s">
        <v>20</v>
      </c>
      <c r="D3119" t="s">
        <v>21</v>
      </c>
      <c r="E3119">
        <v>2222222</v>
      </c>
      <c r="F3119" s="8" t="s">
        <v>22</v>
      </c>
      <c r="G3119" s="2">
        <v>98</v>
      </c>
      <c r="H3119" t="s">
        <v>4380</v>
      </c>
      <c r="J3119" s="9" t="s">
        <v>5164</v>
      </c>
      <c r="K3119" t="s">
        <v>5344</v>
      </c>
      <c r="L3119" s="2">
        <v>1</v>
      </c>
      <c r="M3119" s="24" t="s">
        <v>5971</v>
      </c>
      <c r="N3119" s="2" t="s">
        <v>23</v>
      </c>
      <c r="O3119" s="18" t="s">
        <v>2435</v>
      </c>
      <c r="P3119" s="18" t="s">
        <v>3781</v>
      </c>
      <c r="Q3119" s="6" t="s">
        <v>4475</v>
      </c>
      <c r="T3119" s="23">
        <v>45951</v>
      </c>
      <c r="U3119" s="23">
        <v>47776</v>
      </c>
      <c r="X3119" s="20">
        <v>3760</v>
      </c>
      <c r="Z3119" s="6" t="s">
        <v>5978</v>
      </c>
      <c r="AA3119" s="14">
        <f t="shared" si="415"/>
        <v>5.9999999999999995E-4</v>
      </c>
      <c r="AB3119">
        <v>2.0376659999999998</v>
      </c>
      <c r="AC3119">
        <v>2.1191726399999999</v>
      </c>
    </row>
    <row r="3120" spans="1:29" x14ac:dyDescent="0.3">
      <c r="A3120">
        <v>148550</v>
      </c>
      <c r="B3120" s="25" t="s">
        <v>5984</v>
      </c>
      <c r="C3120" t="s">
        <v>20</v>
      </c>
      <c r="D3120" t="s">
        <v>21</v>
      </c>
      <c r="E3120">
        <v>2222222</v>
      </c>
      <c r="F3120" s="8" t="s">
        <v>22</v>
      </c>
      <c r="G3120" s="2">
        <v>98</v>
      </c>
      <c r="H3120" t="s">
        <v>4380</v>
      </c>
      <c r="J3120" s="9" t="s">
        <v>5734</v>
      </c>
      <c r="K3120" t="s">
        <v>4924</v>
      </c>
      <c r="L3120" s="2">
        <v>1</v>
      </c>
      <c r="M3120" s="24" t="s">
        <v>5971</v>
      </c>
      <c r="N3120" s="2" t="s">
        <v>23</v>
      </c>
      <c r="O3120" s="18" t="s">
        <v>2436</v>
      </c>
      <c r="P3120" s="18" t="s">
        <v>3781</v>
      </c>
      <c r="Q3120" s="6" t="s">
        <v>4475</v>
      </c>
      <c r="T3120" s="23">
        <v>45421</v>
      </c>
      <c r="U3120" s="23">
        <v>47702</v>
      </c>
      <c r="X3120" s="20">
        <v>10590</v>
      </c>
      <c r="Z3120" s="6" t="s">
        <v>5978</v>
      </c>
      <c r="AA3120" s="14">
        <f t="shared" si="415"/>
        <v>5.9999999999999995E-4</v>
      </c>
      <c r="AB3120">
        <v>4.9954979999999995</v>
      </c>
      <c r="AC3120">
        <v>5.1953179199999999</v>
      </c>
    </row>
    <row r="3121" spans="1:29" x14ac:dyDescent="0.3">
      <c r="A3121">
        <v>148551</v>
      </c>
      <c r="B3121" s="25" t="s">
        <v>5984</v>
      </c>
      <c r="C3121" t="s">
        <v>20</v>
      </c>
      <c r="D3121" t="s">
        <v>21</v>
      </c>
      <c r="E3121">
        <v>2222222</v>
      </c>
      <c r="F3121" s="8" t="s">
        <v>22</v>
      </c>
      <c r="G3121" s="2">
        <v>98</v>
      </c>
      <c r="H3121" t="s">
        <v>4380</v>
      </c>
      <c r="J3121" s="9" t="s">
        <v>4836</v>
      </c>
      <c r="K3121" t="s">
        <v>5170</v>
      </c>
      <c r="L3121" s="2">
        <v>1</v>
      </c>
      <c r="M3121" s="24" t="s">
        <v>5971</v>
      </c>
      <c r="N3121" s="2" t="s">
        <v>23</v>
      </c>
      <c r="O3121" s="18" t="s">
        <v>2437</v>
      </c>
      <c r="P3121" s="18" t="s">
        <v>3781</v>
      </c>
      <c r="Q3121" s="6" t="s">
        <v>4475</v>
      </c>
      <c r="T3121" s="23">
        <v>45544</v>
      </c>
      <c r="U3121" s="23">
        <v>46639</v>
      </c>
      <c r="X3121" s="20">
        <v>4235</v>
      </c>
      <c r="Z3121" s="6" t="s">
        <v>5978</v>
      </c>
      <c r="AA3121" s="14">
        <f t="shared" si="415"/>
        <v>5.9999999999999995E-4</v>
      </c>
      <c r="AB3121">
        <v>1.1362439999999998</v>
      </c>
      <c r="AC3121">
        <v>1.1816937599999999</v>
      </c>
    </row>
    <row r="3122" spans="1:29" x14ac:dyDescent="0.3">
      <c r="A3122">
        <v>148771</v>
      </c>
      <c r="B3122" s="25" t="s">
        <v>5984</v>
      </c>
      <c r="C3122" t="s">
        <v>20</v>
      </c>
      <c r="D3122" t="s">
        <v>21</v>
      </c>
      <c r="E3122">
        <v>2222222</v>
      </c>
      <c r="F3122" s="8" t="s">
        <v>22</v>
      </c>
      <c r="G3122" s="2">
        <v>98</v>
      </c>
      <c r="H3122" t="s">
        <v>4380</v>
      </c>
      <c r="J3122" s="9" t="s">
        <v>5735</v>
      </c>
      <c r="K3122" t="s">
        <v>4980</v>
      </c>
      <c r="L3122" s="2">
        <v>1</v>
      </c>
      <c r="M3122" s="24" t="s">
        <v>5971</v>
      </c>
      <c r="N3122" s="2" t="s">
        <v>23</v>
      </c>
      <c r="O3122" s="18" t="s">
        <v>2438</v>
      </c>
      <c r="P3122" s="18" t="s">
        <v>3781</v>
      </c>
      <c r="Q3122" s="6" t="s">
        <v>4475</v>
      </c>
      <c r="T3122" s="23">
        <v>46010</v>
      </c>
      <c r="U3122" s="23">
        <v>49661</v>
      </c>
      <c r="X3122" s="20">
        <v>100000</v>
      </c>
      <c r="Z3122" s="6" t="s">
        <v>5978</v>
      </c>
      <c r="AA3122" s="14">
        <f t="shared" si="415"/>
        <v>5.9999999999999995E-4</v>
      </c>
      <c r="AB3122">
        <v>58.38456</v>
      </c>
      <c r="AC3122">
        <v>60.719942400000001</v>
      </c>
    </row>
    <row r="3123" spans="1:29" x14ac:dyDescent="0.3">
      <c r="A3123">
        <v>148868</v>
      </c>
      <c r="B3123" s="25" t="s">
        <v>5984</v>
      </c>
      <c r="C3123" t="s">
        <v>20</v>
      </c>
      <c r="D3123" t="s">
        <v>21</v>
      </c>
      <c r="E3123">
        <v>2222222</v>
      </c>
      <c r="F3123" s="8" t="s">
        <v>22</v>
      </c>
      <c r="G3123" s="2">
        <v>98</v>
      </c>
      <c r="H3123" t="s">
        <v>4380</v>
      </c>
      <c r="J3123" s="9" t="s">
        <v>5178</v>
      </c>
      <c r="K3123" t="s">
        <v>4887</v>
      </c>
      <c r="L3123" s="2">
        <v>1</v>
      </c>
      <c r="M3123" s="24" t="s">
        <v>5971</v>
      </c>
      <c r="N3123" s="2" t="s">
        <v>23</v>
      </c>
      <c r="O3123" s="18" t="s">
        <v>2439</v>
      </c>
      <c r="P3123" s="18" t="s">
        <v>3781</v>
      </c>
      <c r="Q3123" s="6" t="s">
        <v>4475</v>
      </c>
      <c r="T3123" s="23">
        <v>45984</v>
      </c>
      <c r="U3123" s="23">
        <v>47080</v>
      </c>
      <c r="X3123" s="20">
        <v>2500</v>
      </c>
      <c r="Z3123" s="6" t="s">
        <v>5978</v>
      </c>
      <c r="AA3123" s="14">
        <f t="shared" si="415"/>
        <v>5.9999999999999995E-4</v>
      </c>
      <c r="AB3123">
        <v>1.2646319999999998</v>
      </c>
      <c r="AC3123">
        <v>1.3152172799999997</v>
      </c>
    </row>
    <row r="3124" spans="1:29" x14ac:dyDescent="0.3">
      <c r="A3124">
        <v>151536</v>
      </c>
      <c r="B3124" s="25" t="s">
        <v>5984</v>
      </c>
      <c r="C3124" t="s">
        <v>20</v>
      </c>
      <c r="D3124" t="s">
        <v>21</v>
      </c>
      <c r="E3124">
        <v>2222222</v>
      </c>
      <c r="F3124" s="8" t="s">
        <v>22</v>
      </c>
      <c r="G3124" s="2">
        <v>98</v>
      </c>
      <c r="H3124" t="s">
        <v>4380</v>
      </c>
      <c r="J3124" s="9" t="s">
        <v>4916</v>
      </c>
      <c r="K3124" t="s">
        <v>5030</v>
      </c>
      <c r="L3124" s="2">
        <v>1</v>
      </c>
      <c r="M3124" s="24" t="s">
        <v>5971</v>
      </c>
      <c r="N3124" s="2" t="s">
        <v>23</v>
      </c>
      <c r="O3124" s="18" t="s">
        <v>2434</v>
      </c>
      <c r="P3124" s="18" t="s">
        <v>3781</v>
      </c>
      <c r="Q3124" s="6" t="s">
        <v>4475</v>
      </c>
      <c r="T3124" s="23">
        <v>46171</v>
      </c>
      <c r="U3124" s="23">
        <v>47996</v>
      </c>
      <c r="X3124" s="20">
        <v>4470</v>
      </c>
      <c r="Z3124" s="6" t="s">
        <v>5978</v>
      </c>
      <c r="AA3124" s="14">
        <f t="shared" si="415"/>
        <v>5.9999999999999995E-4</v>
      </c>
      <c r="AB3124">
        <v>2.6506139999999996</v>
      </c>
      <c r="AC3124">
        <v>2.7566385599999998</v>
      </c>
    </row>
    <row r="3125" spans="1:29" x14ac:dyDescent="0.3">
      <c r="A3125">
        <v>151584</v>
      </c>
      <c r="B3125" s="25" t="s">
        <v>5984</v>
      </c>
      <c r="C3125" t="s">
        <v>20</v>
      </c>
      <c r="D3125" t="s">
        <v>21</v>
      </c>
      <c r="E3125">
        <v>2222222</v>
      </c>
      <c r="F3125" s="8" t="s">
        <v>22</v>
      </c>
      <c r="G3125" s="2">
        <v>98</v>
      </c>
      <c r="H3125" t="s">
        <v>4380</v>
      </c>
      <c r="J3125" s="9" t="s">
        <v>4838</v>
      </c>
      <c r="K3125" t="s">
        <v>4853</v>
      </c>
      <c r="L3125" s="2">
        <v>1</v>
      </c>
      <c r="M3125" s="24" t="s">
        <v>5971</v>
      </c>
      <c r="N3125" s="2" t="s">
        <v>23</v>
      </c>
      <c r="O3125" s="18" t="s">
        <v>2440</v>
      </c>
      <c r="P3125" s="18" t="s">
        <v>0</v>
      </c>
      <c r="Q3125" s="6" t="s">
        <v>4475</v>
      </c>
      <c r="T3125" s="23">
        <v>46174</v>
      </c>
      <c r="U3125" s="23">
        <v>46539</v>
      </c>
      <c r="X3125" s="20">
        <v>1330</v>
      </c>
      <c r="Z3125" s="6" t="s">
        <v>5978</v>
      </c>
      <c r="AA3125" s="14">
        <f t="shared" si="415"/>
        <v>5.9999999999999995E-4</v>
      </c>
      <c r="AB3125">
        <v>0.73558799999999991</v>
      </c>
      <c r="AC3125">
        <v>0.76501151999999994</v>
      </c>
    </row>
    <row r="3126" spans="1:29" x14ac:dyDescent="0.3">
      <c r="A3126">
        <v>132144</v>
      </c>
      <c r="B3126" s="25" t="s">
        <v>5984</v>
      </c>
      <c r="C3126" t="s">
        <v>20</v>
      </c>
      <c r="D3126" t="s">
        <v>21</v>
      </c>
      <c r="E3126">
        <v>2222222</v>
      </c>
      <c r="F3126" s="8" t="s">
        <v>22</v>
      </c>
      <c r="G3126" s="2">
        <v>98</v>
      </c>
      <c r="H3126" t="s">
        <v>4381</v>
      </c>
      <c r="J3126" s="9" t="s">
        <v>4903</v>
      </c>
      <c r="K3126" t="s">
        <v>4925</v>
      </c>
      <c r="L3126" s="2">
        <v>1</v>
      </c>
      <c r="M3126" s="24" t="s">
        <v>5971</v>
      </c>
      <c r="N3126" s="2" t="s">
        <v>23</v>
      </c>
      <c r="O3126" s="18" t="s">
        <v>2441</v>
      </c>
      <c r="P3126" s="18" t="s">
        <v>3781</v>
      </c>
      <c r="Q3126" s="6" t="s">
        <v>4475</v>
      </c>
      <c r="T3126" s="23">
        <v>44935</v>
      </c>
      <c r="U3126" s="23">
        <v>46395</v>
      </c>
      <c r="X3126" s="20">
        <v>5000</v>
      </c>
      <c r="Z3126" s="6" t="s">
        <v>5978</v>
      </c>
      <c r="AA3126" s="13">
        <f>+(0.56/1000)</f>
        <v>5.6000000000000006E-4</v>
      </c>
      <c r="AB3126">
        <v>2.5945304000000005</v>
      </c>
      <c r="AC3126">
        <v>2.6983116160000007</v>
      </c>
    </row>
    <row r="3127" spans="1:29" x14ac:dyDescent="0.3">
      <c r="A3127">
        <v>147924</v>
      </c>
      <c r="B3127" s="25" t="s">
        <v>5984</v>
      </c>
      <c r="C3127" t="s">
        <v>20</v>
      </c>
      <c r="D3127" t="s">
        <v>21</v>
      </c>
      <c r="E3127">
        <v>2222222</v>
      </c>
      <c r="F3127" s="8" t="s">
        <v>22</v>
      </c>
      <c r="G3127" s="2">
        <v>98</v>
      </c>
      <c r="H3127" t="s">
        <v>4381</v>
      </c>
      <c r="J3127" s="9" t="s">
        <v>5605</v>
      </c>
      <c r="K3127" t="s">
        <v>4932</v>
      </c>
      <c r="L3127" s="2">
        <v>1</v>
      </c>
      <c r="M3127" s="24" t="s">
        <v>5971</v>
      </c>
      <c r="N3127" s="2" t="s">
        <v>23</v>
      </c>
      <c r="O3127" s="18" t="s">
        <v>2442</v>
      </c>
      <c r="P3127" s="18" t="s">
        <v>3781</v>
      </c>
      <c r="Q3127" s="6" t="s">
        <v>4475</v>
      </c>
      <c r="T3127" s="23">
        <v>45945</v>
      </c>
      <c r="U3127" s="23">
        <v>49596</v>
      </c>
      <c r="X3127" s="20">
        <v>70000</v>
      </c>
      <c r="Z3127" s="6" t="s">
        <v>5978</v>
      </c>
      <c r="AA3127" s="14">
        <f t="shared" ref="AA3127:AA3129" si="416">+(0.6/1000)</f>
        <v>5.9999999999999995E-4</v>
      </c>
      <c r="AB3127">
        <v>38.850017999999999</v>
      </c>
      <c r="AC3127">
        <v>40.404018720000003</v>
      </c>
    </row>
    <row r="3128" spans="1:29" x14ac:dyDescent="0.3">
      <c r="A3128">
        <v>151961</v>
      </c>
      <c r="B3128" s="25" t="s">
        <v>5984</v>
      </c>
      <c r="C3128" t="s">
        <v>20</v>
      </c>
      <c r="D3128" t="s">
        <v>21</v>
      </c>
      <c r="E3128">
        <v>2222222</v>
      </c>
      <c r="F3128" s="8" t="s">
        <v>22</v>
      </c>
      <c r="G3128" s="2">
        <v>98</v>
      </c>
      <c r="H3128" t="s">
        <v>4381</v>
      </c>
      <c r="J3128" s="9" t="s">
        <v>5055</v>
      </c>
      <c r="K3128" t="s">
        <v>4993</v>
      </c>
      <c r="L3128" s="2">
        <v>1</v>
      </c>
      <c r="M3128" s="24" t="s">
        <v>5971</v>
      </c>
      <c r="N3128" s="2" t="s">
        <v>23</v>
      </c>
      <c r="O3128" s="18" t="s">
        <v>446</v>
      </c>
      <c r="P3128" s="18" t="s">
        <v>3781</v>
      </c>
      <c r="Q3128" s="6" t="s">
        <v>4475</v>
      </c>
      <c r="T3128" s="23">
        <v>46202</v>
      </c>
      <c r="U3128" s="23">
        <v>47298</v>
      </c>
      <c r="X3128" s="20">
        <v>3330</v>
      </c>
      <c r="Z3128" s="6" t="s">
        <v>5978</v>
      </c>
      <c r="AA3128" s="14">
        <f t="shared" si="416"/>
        <v>5.9999999999999995E-4</v>
      </c>
      <c r="AB3128">
        <v>1.9528319999999997</v>
      </c>
      <c r="AC3128">
        <v>2.0309452799999996</v>
      </c>
    </row>
    <row r="3129" spans="1:29" x14ac:dyDescent="0.3">
      <c r="A3129">
        <v>151703</v>
      </c>
      <c r="B3129" s="25" t="s">
        <v>5984</v>
      </c>
      <c r="C3129" t="s">
        <v>20</v>
      </c>
      <c r="D3129" t="s">
        <v>21</v>
      </c>
      <c r="E3129">
        <v>2222222</v>
      </c>
      <c r="F3129" s="8" t="s">
        <v>22</v>
      </c>
      <c r="G3129" s="2">
        <v>98</v>
      </c>
      <c r="H3129" t="s">
        <v>4382</v>
      </c>
      <c r="J3129" s="9" t="s">
        <v>5736</v>
      </c>
      <c r="K3129" t="s">
        <v>4924</v>
      </c>
      <c r="L3129" s="2">
        <v>1</v>
      </c>
      <c r="M3129" s="24" t="s">
        <v>5971</v>
      </c>
      <c r="N3129" s="2" t="s">
        <v>23</v>
      </c>
      <c r="O3129" s="18" t="s">
        <v>2443</v>
      </c>
      <c r="P3129" s="18" t="s">
        <v>3781</v>
      </c>
      <c r="Q3129" s="6" t="s">
        <v>4475</v>
      </c>
      <c r="T3129" s="23">
        <v>46182</v>
      </c>
      <c r="U3129" s="23">
        <v>47643</v>
      </c>
      <c r="X3129" s="20">
        <v>5000</v>
      </c>
      <c r="Z3129" s="6" t="s">
        <v>5978</v>
      </c>
      <c r="AA3129" s="14">
        <f t="shared" si="416"/>
        <v>5.9999999999999995E-4</v>
      </c>
      <c r="AB3129">
        <v>0.17855399999999996</v>
      </c>
      <c r="AC3129">
        <v>0.18569615999999997</v>
      </c>
    </row>
    <row r="3130" spans="1:29" x14ac:dyDescent="0.3">
      <c r="A3130">
        <v>135808</v>
      </c>
      <c r="B3130" s="25" t="s">
        <v>5984</v>
      </c>
      <c r="C3130" t="s">
        <v>20</v>
      </c>
      <c r="D3130" t="s">
        <v>21</v>
      </c>
      <c r="E3130">
        <v>2222222</v>
      </c>
      <c r="F3130" s="8" t="s">
        <v>22</v>
      </c>
      <c r="G3130" s="2">
        <v>98</v>
      </c>
      <c r="H3130" t="s">
        <v>4383</v>
      </c>
      <c r="J3130" s="9" t="s">
        <v>5096</v>
      </c>
      <c r="K3130" t="s">
        <v>4956</v>
      </c>
      <c r="L3130" s="2">
        <v>1</v>
      </c>
      <c r="M3130" s="24" t="s">
        <v>5971</v>
      </c>
      <c r="N3130" s="2" t="s">
        <v>23</v>
      </c>
      <c r="O3130" s="18" t="s">
        <v>2444</v>
      </c>
      <c r="P3130" s="18" t="s">
        <v>3781</v>
      </c>
      <c r="Q3130" s="6" t="s">
        <v>4475</v>
      </c>
      <c r="T3130" s="23">
        <v>45136</v>
      </c>
      <c r="U3130" s="23">
        <v>46420</v>
      </c>
      <c r="X3130" s="20">
        <v>3000</v>
      </c>
      <c r="Z3130" s="6" t="s">
        <v>5978</v>
      </c>
      <c r="AA3130" s="13">
        <f>+(0.56/1000)</f>
        <v>5.6000000000000006E-4</v>
      </c>
      <c r="AB3130">
        <v>0.45591840000000006</v>
      </c>
      <c r="AC3130">
        <v>0.47415513600000009</v>
      </c>
    </row>
    <row r="3131" spans="1:29" x14ac:dyDescent="0.3">
      <c r="A3131">
        <v>141487</v>
      </c>
      <c r="B3131" s="25" t="s">
        <v>5984</v>
      </c>
      <c r="C3131" t="s">
        <v>20</v>
      </c>
      <c r="D3131" t="s">
        <v>21</v>
      </c>
      <c r="E3131">
        <v>2222222</v>
      </c>
      <c r="F3131" s="8" t="s">
        <v>22</v>
      </c>
      <c r="G3131" s="2">
        <v>98</v>
      </c>
      <c r="H3131" t="s">
        <v>4383</v>
      </c>
      <c r="J3131" s="9" t="s">
        <v>4939</v>
      </c>
      <c r="K3131" t="s">
        <v>5085</v>
      </c>
      <c r="L3131" s="2">
        <v>1</v>
      </c>
      <c r="M3131" s="24" t="s">
        <v>5971</v>
      </c>
      <c r="N3131" s="2" t="s">
        <v>23</v>
      </c>
      <c r="O3131" s="18" t="s">
        <v>2445</v>
      </c>
      <c r="P3131" s="18" t="s">
        <v>0</v>
      </c>
      <c r="Q3131" s="6" t="s">
        <v>4475</v>
      </c>
      <c r="T3131" s="23">
        <v>45468</v>
      </c>
      <c r="U3131" s="23">
        <v>50946</v>
      </c>
      <c r="X3131" s="20">
        <v>72000</v>
      </c>
      <c r="Z3131" s="6" t="s">
        <v>5978</v>
      </c>
      <c r="AA3131" s="14">
        <f t="shared" ref="AA3131:AA3136" si="417">+(0.6/1000)</f>
        <v>5.9999999999999995E-4</v>
      </c>
      <c r="AB3131">
        <v>40.438344000000001</v>
      </c>
      <c r="AC3131">
        <v>42.055877760000001</v>
      </c>
    </row>
    <row r="3132" spans="1:29" x14ac:dyDescent="0.3">
      <c r="A3132">
        <v>151422</v>
      </c>
      <c r="B3132" s="25" t="s">
        <v>5984</v>
      </c>
      <c r="C3132" t="s">
        <v>20</v>
      </c>
      <c r="D3132" t="s">
        <v>21</v>
      </c>
      <c r="E3132">
        <v>2222222</v>
      </c>
      <c r="F3132" s="8" t="s">
        <v>22</v>
      </c>
      <c r="G3132" s="2">
        <v>98</v>
      </c>
      <c r="H3132" t="s">
        <v>4383</v>
      </c>
      <c r="J3132" s="9" t="s">
        <v>4877</v>
      </c>
      <c r="K3132" t="s">
        <v>5737</v>
      </c>
      <c r="L3132" s="2">
        <v>1</v>
      </c>
      <c r="M3132" s="24" t="s">
        <v>5971</v>
      </c>
      <c r="N3132" s="2" t="s">
        <v>23</v>
      </c>
      <c r="O3132" s="18" t="s">
        <v>2446</v>
      </c>
      <c r="P3132" s="18" t="s">
        <v>0</v>
      </c>
      <c r="Q3132" s="6" t="s">
        <v>4475</v>
      </c>
      <c r="T3132" s="23">
        <v>46162</v>
      </c>
      <c r="U3132" s="23">
        <v>46526</v>
      </c>
      <c r="X3132" s="20">
        <v>1050</v>
      </c>
      <c r="Z3132" s="6" t="s">
        <v>5978</v>
      </c>
      <c r="AA3132" s="14">
        <f t="shared" si="417"/>
        <v>5.9999999999999995E-4</v>
      </c>
      <c r="AB3132">
        <v>0.53210999999999997</v>
      </c>
      <c r="AC3132">
        <v>0.55339439999999995</v>
      </c>
    </row>
    <row r="3133" spans="1:29" x14ac:dyDescent="0.3">
      <c r="A3133">
        <v>146082</v>
      </c>
      <c r="B3133" s="25" t="s">
        <v>5984</v>
      </c>
      <c r="C3133" t="s">
        <v>20</v>
      </c>
      <c r="D3133" t="s">
        <v>21</v>
      </c>
      <c r="E3133">
        <v>2222222</v>
      </c>
      <c r="F3133" s="8" t="s">
        <v>22</v>
      </c>
      <c r="G3133" s="2">
        <v>98</v>
      </c>
      <c r="H3133" t="s">
        <v>4384</v>
      </c>
      <c r="J3133" s="9" t="s">
        <v>4917</v>
      </c>
      <c r="K3133" t="s">
        <v>5081</v>
      </c>
      <c r="L3133" s="2">
        <v>1</v>
      </c>
      <c r="M3133" s="24" t="s">
        <v>5971</v>
      </c>
      <c r="N3133" s="2" t="s">
        <v>23</v>
      </c>
      <c r="O3133" s="18" t="s">
        <v>2447</v>
      </c>
      <c r="P3133" s="18" t="s">
        <v>3781</v>
      </c>
      <c r="Q3133" s="6" t="s">
        <v>4475</v>
      </c>
      <c r="T3133" s="23">
        <v>45789</v>
      </c>
      <c r="U3133" s="23">
        <v>46518</v>
      </c>
      <c r="X3133" s="20">
        <v>3000</v>
      </c>
      <c r="Z3133" s="6" t="s">
        <v>5978</v>
      </c>
      <c r="AA3133" s="14">
        <f t="shared" si="417"/>
        <v>5.9999999999999995E-4</v>
      </c>
      <c r="AB3133">
        <v>0.82494000000000001</v>
      </c>
      <c r="AC3133">
        <v>0.85793760000000008</v>
      </c>
    </row>
    <row r="3134" spans="1:29" x14ac:dyDescent="0.3">
      <c r="A3134">
        <v>142341</v>
      </c>
      <c r="B3134" s="25" t="s">
        <v>5984</v>
      </c>
      <c r="C3134" t="s">
        <v>20</v>
      </c>
      <c r="D3134" t="s">
        <v>21</v>
      </c>
      <c r="E3134">
        <v>2222222</v>
      </c>
      <c r="F3134" s="8" t="s">
        <v>22</v>
      </c>
      <c r="G3134" s="2">
        <v>98</v>
      </c>
      <c r="H3134" t="s">
        <v>4385</v>
      </c>
      <c r="J3134" s="9" t="s">
        <v>4815</v>
      </c>
      <c r="K3134" t="s">
        <v>4844</v>
      </c>
      <c r="L3134" s="2">
        <v>1</v>
      </c>
      <c r="M3134" s="24" t="s">
        <v>5971</v>
      </c>
      <c r="N3134" s="2" t="s">
        <v>23</v>
      </c>
      <c r="O3134" s="18" t="s">
        <v>2448</v>
      </c>
      <c r="P3134" s="18" t="s">
        <v>0</v>
      </c>
      <c r="Q3134" s="6" t="s">
        <v>4475</v>
      </c>
      <c r="T3134" s="23">
        <v>45512</v>
      </c>
      <c r="U3134" s="23">
        <v>46606</v>
      </c>
      <c r="X3134" s="20">
        <v>9000</v>
      </c>
      <c r="Z3134" s="6" t="s">
        <v>5978</v>
      </c>
      <c r="AA3134" s="14">
        <f t="shared" si="417"/>
        <v>5.9999999999999995E-4</v>
      </c>
      <c r="AB3134">
        <v>2.7404099999999998</v>
      </c>
      <c r="AC3134">
        <v>2.8500264</v>
      </c>
    </row>
    <row r="3135" spans="1:29" x14ac:dyDescent="0.3">
      <c r="A3135">
        <v>145109</v>
      </c>
      <c r="B3135" s="25" t="s">
        <v>5984</v>
      </c>
      <c r="C3135" t="s">
        <v>20</v>
      </c>
      <c r="D3135" t="s">
        <v>21</v>
      </c>
      <c r="E3135">
        <v>2222222</v>
      </c>
      <c r="F3135" s="8" t="s">
        <v>22</v>
      </c>
      <c r="G3135" s="2">
        <v>98</v>
      </c>
      <c r="H3135" t="s">
        <v>4386</v>
      </c>
      <c r="J3135" s="9" t="s">
        <v>4858</v>
      </c>
      <c r="K3135" t="s">
        <v>4991</v>
      </c>
      <c r="L3135" s="2">
        <v>1</v>
      </c>
      <c r="M3135" s="24" t="s">
        <v>5971</v>
      </c>
      <c r="N3135" s="2" t="s">
        <v>23</v>
      </c>
      <c r="O3135" s="18" t="s">
        <v>2449</v>
      </c>
      <c r="P3135" s="18" t="s">
        <v>3781</v>
      </c>
      <c r="Q3135" s="6" t="s">
        <v>4475</v>
      </c>
      <c r="T3135" s="23">
        <v>45712</v>
      </c>
      <c r="U3135" s="23">
        <v>48270</v>
      </c>
      <c r="X3135" s="20">
        <v>5180</v>
      </c>
      <c r="Z3135" s="6" t="s">
        <v>5978</v>
      </c>
      <c r="AA3135" s="14">
        <f t="shared" si="417"/>
        <v>5.9999999999999995E-4</v>
      </c>
      <c r="AB3135">
        <v>3.0444839999999997</v>
      </c>
      <c r="AC3135">
        <v>3.1662633599999999</v>
      </c>
    </row>
    <row r="3136" spans="1:29" x14ac:dyDescent="0.3">
      <c r="A3136">
        <v>150397</v>
      </c>
      <c r="B3136" s="25" t="s">
        <v>5984</v>
      </c>
      <c r="C3136" t="s">
        <v>20</v>
      </c>
      <c r="D3136" t="s">
        <v>21</v>
      </c>
      <c r="E3136">
        <v>2222222</v>
      </c>
      <c r="F3136" s="8" t="s">
        <v>22</v>
      </c>
      <c r="G3136" s="2">
        <v>98</v>
      </c>
      <c r="H3136" t="s">
        <v>4386</v>
      </c>
      <c r="J3136" s="9" t="s">
        <v>4929</v>
      </c>
      <c r="K3136" t="s">
        <v>4964</v>
      </c>
      <c r="L3136" s="2">
        <v>1</v>
      </c>
      <c r="M3136" s="24" t="s">
        <v>5971</v>
      </c>
      <c r="N3136" s="2" t="s">
        <v>23</v>
      </c>
      <c r="O3136" s="18" t="s">
        <v>971</v>
      </c>
      <c r="P3136" s="18" t="s">
        <v>0</v>
      </c>
      <c r="Q3136" s="6" t="s">
        <v>4475</v>
      </c>
      <c r="T3136" s="23">
        <v>46091</v>
      </c>
      <c r="U3136" s="23">
        <v>46821</v>
      </c>
      <c r="X3136" s="20">
        <v>5000</v>
      </c>
      <c r="Z3136" s="6" t="s">
        <v>5978</v>
      </c>
      <c r="AA3136" s="14">
        <f t="shared" si="417"/>
        <v>5.9999999999999995E-4</v>
      </c>
      <c r="AB3136">
        <v>2.5713299999999997</v>
      </c>
      <c r="AC3136">
        <v>2.6741831999999999</v>
      </c>
    </row>
    <row r="3137" spans="1:29" x14ac:dyDescent="0.3">
      <c r="A3137">
        <v>139412</v>
      </c>
      <c r="B3137" s="25" t="s">
        <v>5984</v>
      </c>
      <c r="C3137" t="s">
        <v>20</v>
      </c>
      <c r="D3137" t="s">
        <v>21</v>
      </c>
      <c r="E3137">
        <v>2222222</v>
      </c>
      <c r="F3137" s="8" t="s">
        <v>22</v>
      </c>
      <c r="G3137" s="2">
        <v>98</v>
      </c>
      <c r="H3137" t="s">
        <v>4387</v>
      </c>
      <c r="J3137" s="9" t="s">
        <v>4826</v>
      </c>
      <c r="K3137" t="s">
        <v>5236</v>
      </c>
      <c r="L3137" s="2">
        <v>1</v>
      </c>
      <c r="M3137" s="24" t="s">
        <v>5971</v>
      </c>
      <c r="N3137" s="2" t="s">
        <v>23</v>
      </c>
      <c r="O3137" s="18" t="s">
        <v>2450</v>
      </c>
      <c r="P3137" s="18" t="s">
        <v>0</v>
      </c>
      <c r="Q3137" s="6" t="s">
        <v>4475</v>
      </c>
      <c r="T3137" s="23">
        <v>45329</v>
      </c>
      <c r="U3137" s="23">
        <v>46791</v>
      </c>
      <c r="X3137" s="20">
        <v>3300</v>
      </c>
      <c r="Z3137" s="6" t="s">
        <v>5978</v>
      </c>
      <c r="AA3137" s="13">
        <f t="shared" ref="AA3137:AA3139" si="418">+(0.56/1000)</f>
        <v>5.6000000000000006E-4</v>
      </c>
      <c r="AB3137">
        <v>0.90337520000000016</v>
      </c>
      <c r="AC3137">
        <v>0.93951020800000018</v>
      </c>
    </row>
    <row r="3138" spans="1:29" x14ac:dyDescent="0.3">
      <c r="A3138">
        <v>134510</v>
      </c>
      <c r="B3138" s="25" t="s">
        <v>5984</v>
      </c>
      <c r="C3138" t="s">
        <v>20</v>
      </c>
      <c r="D3138" t="s">
        <v>21</v>
      </c>
      <c r="E3138">
        <v>2222222</v>
      </c>
      <c r="F3138" s="8" t="s">
        <v>22</v>
      </c>
      <c r="G3138" s="2">
        <v>98</v>
      </c>
      <c r="H3138" t="s">
        <v>4388</v>
      </c>
      <c r="J3138" s="9" t="s">
        <v>5542</v>
      </c>
      <c r="K3138" t="s">
        <v>5357</v>
      </c>
      <c r="L3138" s="2">
        <v>1</v>
      </c>
      <c r="M3138" s="24" t="s">
        <v>5971</v>
      </c>
      <c r="N3138" s="2" t="s">
        <v>23</v>
      </c>
      <c r="O3138" s="18" t="s">
        <v>2451</v>
      </c>
      <c r="P3138" s="18" t="s">
        <v>3781</v>
      </c>
      <c r="Q3138" s="6" t="s">
        <v>4475</v>
      </c>
      <c r="T3138" s="23">
        <v>45065</v>
      </c>
      <c r="U3138" s="23">
        <v>46160</v>
      </c>
      <c r="X3138" s="20">
        <v>4000</v>
      </c>
      <c r="Z3138" s="6" t="s">
        <v>5978</v>
      </c>
      <c r="AA3138" s="13">
        <f t="shared" si="418"/>
        <v>5.6000000000000006E-4</v>
      </c>
      <c r="AB3138">
        <v>2.0959288000000003</v>
      </c>
      <c r="AC3138">
        <v>2.1797659520000003</v>
      </c>
    </row>
    <row r="3139" spans="1:29" x14ac:dyDescent="0.3">
      <c r="A3139">
        <v>138055</v>
      </c>
      <c r="B3139" s="25" t="s">
        <v>5984</v>
      </c>
      <c r="C3139" t="s">
        <v>20</v>
      </c>
      <c r="D3139" t="s">
        <v>21</v>
      </c>
      <c r="E3139">
        <v>2222222</v>
      </c>
      <c r="F3139" s="8" t="s">
        <v>22</v>
      </c>
      <c r="G3139" s="2">
        <v>98</v>
      </c>
      <c r="H3139" t="s">
        <v>4388</v>
      </c>
      <c r="J3139" s="9" t="s">
        <v>5372</v>
      </c>
      <c r="K3139" t="s">
        <v>5019</v>
      </c>
      <c r="L3139" s="2">
        <v>1</v>
      </c>
      <c r="M3139" s="24" t="s">
        <v>5971</v>
      </c>
      <c r="N3139" s="2" t="s">
        <v>23</v>
      </c>
      <c r="O3139" s="18" t="s">
        <v>2452</v>
      </c>
      <c r="P3139" s="18" t="s">
        <v>3781</v>
      </c>
      <c r="Q3139" s="6" t="s">
        <v>4475</v>
      </c>
      <c r="T3139" s="23">
        <v>45281</v>
      </c>
      <c r="U3139" s="23">
        <v>47197</v>
      </c>
      <c r="X3139" s="20">
        <v>13400</v>
      </c>
      <c r="Z3139" s="6" t="s">
        <v>5978</v>
      </c>
      <c r="AA3139" s="13">
        <f t="shared" si="418"/>
        <v>5.6000000000000006E-4</v>
      </c>
      <c r="AB3139">
        <v>4.9494144000000002</v>
      </c>
      <c r="AC3139">
        <v>5.1473909760000005</v>
      </c>
    </row>
    <row r="3140" spans="1:29" x14ac:dyDescent="0.3">
      <c r="A3140">
        <v>142302</v>
      </c>
      <c r="B3140" s="25" t="s">
        <v>5984</v>
      </c>
      <c r="C3140" t="s">
        <v>20</v>
      </c>
      <c r="D3140" t="s">
        <v>21</v>
      </c>
      <c r="E3140">
        <v>2222222</v>
      </c>
      <c r="F3140" s="8" t="s">
        <v>22</v>
      </c>
      <c r="G3140" s="2">
        <v>98</v>
      </c>
      <c r="H3140" t="s">
        <v>4389</v>
      </c>
      <c r="J3140" s="9" t="s">
        <v>5738</v>
      </c>
      <c r="K3140" t="s">
        <v>5212</v>
      </c>
      <c r="L3140" s="2">
        <v>1</v>
      </c>
      <c r="M3140" s="24" t="s">
        <v>5971</v>
      </c>
      <c r="N3140" s="2" t="s">
        <v>23</v>
      </c>
      <c r="O3140" s="18" t="s">
        <v>2453</v>
      </c>
      <c r="P3140" s="18" t="s">
        <v>0</v>
      </c>
      <c r="Q3140" s="6" t="s">
        <v>4475</v>
      </c>
      <c r="T3140" s="23">
        <v>45510</v>
      </c>
      <c r="U3140" s="23">
        <v>46696</v>
      </c>
      <c r="X3140" s="20">
        <v>4000</v>
      </c>
      <c r="Z3140" s="6" t="s">
        <v>5978</v>
      </c>
      <c r="AA3140" s="14">
        <f t="shared" ref="AA3140:AA3141" si="419">+(0.6/1000)</f>
        <v>5.9999999999999995E-4</v>
      </c>
      <c r="AB3140">
        <v>2.0321879999999997</v>
      </c>
      <c r="AC3140">
        <v>2.1134755199999997</v>
      </c>
    </row>
    <row r="3141" spans="1:29" x14ac:dyDescent="0.3">
      <c r="A3141">
        <v>143438</v>
      </c>
      <c r="B3141" s="25" t="s">
        <v>5984</v>
      </c>
      <c r="C3141" t="s">
        <v>20</v>
      </c>
      <c r="D3141" t="s">
        <v>21</v>
      </c>
      <c r="E3141">
        <v>2222222</v>
      </c>
      <c r="F3141" s="8" t="s">
        <v>22</v>
      </c>
      <c r="G3141" s="2">
        <v>98</v>
      </c>
      <c r="H3141" t="s">
        <v>4389</v>
      </c>
      <c r="J3141" s="9" t="s">
        <v>5739</v>
      </c>
      <c r="K3141" t="s">
        <v>5740</v>
      </c>
      <c r="L3141" s="2">
        <v>1</v>
      </c>
      <c r="M3141" s="24" t="s">
        <v>5971</v>
      </c>
      <c r="N3141" s="2" t="s">
        <v>23</v>
      </c>
      <c r="O3141" s="18" t="s">
        <v>2454</v>
      </c>
      <c r="P3141" s="18" t="s">
        <v>3781</v>
      </c>
      <c r="Q3141" s="6" t="s">
        <v>4475</v>
      </c>
      <c r="T3141" s="23">
        <v>45593</v>
      </c>
      <c r="U3141" s="23">
        <v>47510</v>
      </c>
      <c r="X3141" s="20">
        <v>3775</v>
      </c>
      <c r="Z3141" s="6" t="s">
        <v>5978</v>
      </c>
      <c r="AA3141" s="14">
        <f t="shared" si="419"/>
        <v>5.9999999999999995E-4</v>
      </c>
      <c r="AB3141">
        <v>1.7530139999999999</v>
      </c>
      <c r="AC3141">
        <v>1.82313456</v>
      </c>
    </row>
    <row r="3142" spans="1:29" x14ac:dyDescent="0.3">
      <c r="A3142">
        <v>132803</v>
      </c>
      <c r="B3142" s="25" t="s">
        <v>5984</v>
      </c>
      <c r="C3142" t="s">
        <v>20</v>
      </c>
      <c r="D3142" t="s">
        <v>21</v>
      </c>
      <c r="E3142">
        <v>2222222</v>
      </c>
      <c r="F3142" s="8" t="s">
        <v>22</v>
      </c>
      <c r="G3142" s="2">
        <v>98</v>
      </c>
      <c r="H3142" t="s">
        <v>4390</v>
      </c>
      <c r="J3142" s="9" t="s">
        <v>5741</v>
      </c>
      <c r="K3142" t="s">
        <v>5409</v>
      </c>
      <c r="L3142" s="2">
        <v>1</v>
      </c>
      <c r="M3142" s="24" t="s">
        <v>5971</v>
      </c>
      <c r="N3142" s="2" t="s">
        <v>23</v>
      </c>
      <c r="O3142" s="18" t="s">
        <v>2455</v>
      </c>
      <c r="P3142" s="18" t="s">
        <v>3781</v>
      </c>
      <c r="Q3142" s="6" t="s">
        <v>4475</v>
      </c>
      <c r="T3142" s="23">
        <v>44965</v>
      </c>
      <c r="U3142" s="23">
        <v>47524</v>
      </c>
      <c r="X3142" s="20">
        <v>30000</v>
      </c>
      <c r="Z3142" s="6" t="s">
        <v>5978</v>
      </c>
      <c r="AA3142" s="13">
        <f>+(0.56/1000)</f>
        <v>5.6000000000000006E-4</v>
      </c>
      <c r="AB3142">
        <v>10.635385600000001</v>
      </c>
      <c r="AC3142">
        <v>11.060801024000002</v>
      </c>
    </row>
    <row r="3143" spans="1:29" x14ac:dyDescent="0.3">
      <c r="A3143">
        <v>144433</v>
      </c>
      <c r="B3143" s="25" t="s">
        <v>5984</v>
      </c>
      <c r="C3143" t="s">
        <v>20</v>
      </c>
      <c r="D3143" t="s">
        <v>21</v>
      </c>
      <c r="E3143">
        <v>2222222</v>
      </c>
      <c r="F3143" s="8" t="s">
        <v>22</v>
      </c>
      <c r="G3143" s="2">
        <v>98</v>
      </c>
      <c r="H3143" t="s">
        <v>4390</v>
      </c>
      <c r="J3143" s="9" t="s">
        <v>5742</v>
      </c>
      <c r="K3143" t="s">
        <v>5633</v>
      </c>
      <c r="L3143" s="2">
        <v>1</v>
      </c>
      <c r="M3143" s="24" t="s">
        <v>5971</v>
      </c>
      <c r="N3143" s="2" t="s">
        <v>23</v>
      </c>
      <c r="O3143" s="18" t="s">
        <v>2456</v>
      </c>
      <c r="P3143" s="18" t="s">
        <v>3781</v>
      </c>
      <c r="Q3143" s="6" t="s">
        <v>4475</v>
      </c>
      <c r="T3143" s="23">
        <v>45663</v>
      </c>
      <c r="U3143" s="23">
        <v>46757</v>
      </c>
      <c r="X3143" s="20">
        <v>5000</v>
      </c>
      <c r="Z3143" s="6" t="s">
        <v>5978</v>
      </c>
      <c r="AA3143" s="14">
        <f t="shared" ref="AA3143:AA3147" si="420">+(0.6/1000)</f>
        <v>5.9999999999999995E-4</v>
      </c>
      <c r="AB3143">
        <v>1.6983119999999998</v>
      </c>
      <c r="AC3143">
        <v>1.7662444799999999</v>
      </c>
    </row>
    <row r="3144" spans="1:29" x14ac:dyDescent="0.3">
      <c r="A3144">
        <v>145578</v>
      </c>
      <c r="B3144" s="25" t="s">
        <v>5984</v>
      </c>
      <c r="C3144" t="s">
        <v>20</v>
      </c>
      <c r="D3144" t="s">
        <v>21</v>
      </c>
      <c r="E3144">
        <v>2222222</v>
      </c>
      <c r="F3144" s="8" t="s">
        <v>22</v>
      </c>
      <c r="G3144" s="2">
        <v>98</v>
      </c>
      <c r="H3144" t="s">
        <v>4390</v>
      </c>
      <c r="J3144" s="9" t="s">
        <v>4512</v>
      </c>
      <c r="K3144" t="s">
        <v>4827</v>
      </c>
      <c r="L3144" s="2">
        <v>1</v>
      </c>
      <c r="M3144" s="24" t="s">
        <v>5971</v>
      </c>
      <c r="N3144" s="2" t="s">
        <v>23</v>
      </c>
      <c r="O3144" s="18" t="s">
        <v>2457</v>
      </c>
      <c r="P3144" s="18" t="s">
        <v>0</v>
      </c>
      <c r="Q3144" s="6" t="s">
        <v>4475</v>
      </c>
      <c r="T3144" s="23">
        <v>45776</v>
      </c>
      <c r="U3144" s="23">
        <v>47606</v>
      </c>
      <c r="X3144" s="20">
        <v>9200</v>
      </c>
      <c r="Z3144" s="6" t="s">
        <v>5978</v>
      </c>
      <c r="AA3144" s="14">
        <f t="shared" si="420"/>
        <v>5.9999999999999995E-4</v>
      </c>
      <c r="AB3144">
        <v>4.5961559999999997</v>
      </c>
      <c r="AC3144">
        <v>4.78000224</v>
      </c>
    </row>
    <row r="3145" spans="1:29" x14ac:dyDescent="0.3">
      <c r="A3145">
        <v>147258</v>
      </c>
      <c r="B3145" s="25" t="s">
        <v>5984</v>
      </c>
      <c r="C3145" t="s">
        <v>20</v>
      </c>
      <c r="D3145" t="s">
        <v>21</v>
      </c>
      <c r="E3145">
        <v>2222222</v>
      </c>
      <c r="F3145" s="8" t="s">
        <v>22</v>
      </c>
      <c r="G3145" s="2">
        <v>98</v>
      </c>
      <c r="H3145" t="s">
        <v>4390</v>
      </c>
      <c r="J3145" s="9" t="s">
        <v>5248</v>
      </c>
      <c r="K3145" t="s">
        <v>4997</v>
      </c>
      <c r="L3145" s="2">
        <v>1</v>
      </c>
      <c r="M3145" s="24" t="s">
        <v>5971</v>
      </c>
      <c r="N3145" s="2" t="s">
        <v>23</v>
      </c>
      <c r="O3145" s="18" t="s">
        <v>2458</v>
      </c>
      <c r="P3145" s="18" t="s">
        <v>3781</v>
      </c>
      <c r="Q3145" s="6" t="s">
        <v>4475</v>
      </c>
      <c r="T3145" s="23">
        <v>45882</v>
      </c>
      <c r="U3145" s="23">
        <v>51360</v>
      </c>
      <c r="X3145" s="20">
        <v>44000</v>
      </c>
      <c r="Z3145" s="6" t="s">
        <v>5978</v>
      </c>
      <c r="AA3145" s="14">
        <f t="shared" si="420"/>
        <v>5.9999999999999995E-4</v>
      </c>
      <c r="AB3145">
        <v>25.783415999999999</v>
      </c>
      <c r="AC3145">
        <v>26.814752639999998</v>
      </c>
    </row>
    <row r="3146" spans="1:29" x14ac:dyDescent="0.3">
      <c r="A3146">
        <v>149929</v>
      </c>
      <c r="B3146" s="25" t="s">
        <v>5984</v>
      </c>
      <c r="C3146" t="s">
        <v>20</v>
      </c>
      <c r="D3146" t="s">
        <v>21</v>
      </c>
      <c r="E3146">
        <v>2222222</v>
      </c>
      <c r="F3146" s="8" t="s">
        <v>22</v>
      </c>
      <c r="G3146" s="2">
        <v>98</v>
      </c>
      <c r="H3146" t="s">
        <v>4390</v>
      </c>
      <c r="J3146" s="9" t="s">
        <v>5742</v>
      </c>
      <c r="K3146" t="s">
        <v>5633</v>
      </c>
      <c r="L3146" s="2">
        <v>1</v>
      </c>
      <c r="M3146" s="24" t="s">
        <v>5971</v>
      </c>
      <c r="N3146" s="2" t="s">
        <v>23</v>
      </c>
      <c r="O3146" s="18" t="s">
        <v>2456</v>
      </c>
      <c r="P3146" s="18" t="s">
        <v>3781</v>
      </c>
      <c r="Q3146" s="6" t="s">
        <v>4475</v>
      </c>
      <c r="T3146" s="23">
        <v>46058</v>
      </c>
      <c r="U3146" s="23">
        <v>46790</v>
      </c>
      <c r="X3146" s="20">
        <v>2000</v>
      </c>
      <c r="Z3146" s="6" t="s">
        <v>5978</v>
      </c>
      <c r="AA3146" s="14">
        <f t="shared" si="420"/>
        <v>5.9999999999999995E-4</v>
      </c>
      <c r="AB3146">
        <v>0.98264999999999991</v>
      </c>
      <c r="AC3146">
        <v>1.0219559999999999</v>
      </c>
    </row>
    <row r="3147" spans="1:29" x14ac:dyDescent="0.3">
      <c r="A3147">
        <v>152349</v>
      </c>
      <c r="B3147" s="25" t="s">
        <v>5984</v>
      </c>
      <c r="C3147" t="s">
        <v>20</v>
      </c>
      <c r="D3147" t="s">
        <v>21</v>
      </c>
      <c r="E3147">
        <v>2222222</v>
      </c>
      <c r="F3147" s="8" t="s">
        <v>22</v>
      </c>
      <c r="G3147" s="2">
        <v>98</v>
      </c>
      <c r="H3147" t="s">
        <v>4390</v>
      </c>
      <c r="J3147" s="9" t="s">
        <v>5160</v>
      </c>
      <c r="K3147" t="s">
        <v>5089</v>
      </c>
      <c r="L3147" s="2">
        <v>1</v>
      </c>
      <c r="M3147" s="24" t="s">
        <v>5971</v>
      </c>
      <c r="N3147" s="2" t="s">
        <v>23</v>
      </c>
      <c r="O3147" s="18" t="s">
        <v>2459</v>
      </c>
      <c r="P3147" s="18" t="s">
        <v>0</v>
      </c>
      <c r="Q3147" s="6" t="s">
        <v>4475</v>
      </c>
      <c r="T3147" s="23">
        <v>46231</v>
      </c>
      <c r="U3147" s="23">
        <v>46600</v>
      </c>
      <c r="X3147" s="20">
        <v>3000</v>
      </c>
      <c r="Z3147" s="6" t="s">
        <v>5978</v>
      </c>
      <c r="AA3147" s="14">
        <f t="shared" si="420"/>
        <v>5.9999999999999995E-4</v>
      </c>
      <c r="AB3147">
        <v>1.7999999999999998</v>
      </c>
      <c r="AC3147">
        <v>1.8719999999999999</v>
      </c>
    </row>
    <row r="3148" spans="1:29" x14ac:dyDescent="0.3">
      <c r="A3148">
        <v>138169</v>
      </c>
      <c r="B3148" s="25" t="s">
        <v>5984</v>
      </c>
      <c r="C3148" t="s">
        <v>20</v>
      </c>
      <c r="D3148" t="s">
        <v>21</v>
      </c>
      <c r="E3148">
        <v>2222222</v>
      </c>
      <c r="F3148" s="8" t="s">
        <v>22</v>
      </c>
      <c r="G3148" s="2">
        <v>98</v>
      </c>
      <c r="H3148" t="s">
        <v>4391</v>
      </c>
      <c r="J3148" s="9" t="s">
        <v>4864</v>
      </c>
      <c r="K3148" t="s">
        <v>4950</v>
      </c>
      <c r="L3148" s="2">
        <v>1</v>
      </c>
      <c r="M3148" s="24" t="s">
        <v>5971</v>
      </c>
      <c r="N3148" s="2" t="s">
        <v>23</v>
      </c>
      <c r="O3148" s="18" t="s">
        <v>1242</v>
      </c>
      <c r="P3148" s="18" t="s">
        <v>0</v>
      </c>
      <c r="Q3148" s="6" t="s">
        <v>4475</v>
      </c>
      <c r="T3148" s="23">
        <v>45263</v>
      </c>
      <c r="U3148" s="23">
        <v>46358</v>
      </c>
      <c r="X3148" s="20">
        <v>3350</v>
      </c>
      <c r="Z3148" s="6" t="s">
        <v>5978</v>
      </c>
      <c r="AA3148" s="13">
        <f>+(0.56/1000)</f>
        <v>5.6000000000000006E-4</v>
      </c>
      <c r="AB3148">
        <v>0.31180800000000003</v>
      </c>
      <c r="AC3148">
        <v>0.32428032000000007</v>
      </c>
    </row>
    <row r="3149" spans="1:29" x14ac:dyDescent="0.3">
      <c r="A3149">
        <v>149213</v>
      </c>
      <c r="B3149" s="25" t="s">
        <v>5984</v>
      </c>
      <c r="C3149" t="s">
        <v>20</v>
      </c>
      <c r="D3149" t="s">
        <v>21</v>
      </c>
      <c r="E3149">
        <v>2222222</v>
      </c>
      <c r="F3149" s="8" t="s">
        <v>22</v>
      </c>
      <c r="G3149" s="2">
        <v>98</v>
      </c>
      <c r="H3149" t="s">
        <v>4391</v>
      </c>
      <c r="J3149" s="9" t="s">
        <v>5112</v>
      </c>
      <c r="K3149" t="s">
        <v>4940</v>
      </c>
      <c r="L3149" s="2">
        <v>1</v>
      </c>
      <c r="M3149" s="24" t="s">
        <v>5971</v>
      </c>
      <c r="N3149" s="2" t="s">
        <v>23</v>
      </c>
      <c r="O3149" s="18" t="s">
        <v>2460</v>
      </c>
      <c r="P3149" s="18" t="s">
        <v>0</v>
      </c>
      <c r="Q3149" s="6" t="s">
        <v>4475</v>
      </c>
      <c r="T3149" s="23">
        <v>46006</v>
      </c>
      <c r="U3149" s="23">
        <v>46735</v>
      </c>
      <c r="X3149" s="20">
        <v>2990</v>
      </c>
      <c r="Z3149" s="6" t="s">
        <v>5978</v>
      </c>
      <c r="AA3149" s="14">
        <f t="shared" ref="AA3149:AA3150" si="421">+(0.6/1000)</f>
        <v>5.9999999999999995E-4</v>
      </c>
      <c r="AB3149">
        <v>1.3309499999999999</v>
      </c>
      <c r="AC3149">
        <v>1.384188</v>
      </c>
    </row>
    <row r="3150" spans="1:29" x14ac:dyDescent="0.3">
      <c r="A3150">
        <v>146431</v>
      </c>
      <c r="B3150" s="25" t="s">
        <v>5984</v>
      </c>
      <c r="C3150" t="s">
        <v>20</v>
      </c>
      <c r="D3150" t="s">
        <v>21</v>
      </c>
      <c r="E3150">
        <v>2222222</v>
      </c>
      <c r="F3150" s="8" t="s">
        <v>22</v>
      </c>
      <c r="G3150" s="2">
        <v>98</v>
      </c>
      <c r="H3150" t="s">
        <v>4392</v>
      </c>
      <c r="J3150" s="9" t="s">
        <v>4894</v>
      </c>
      <c r="K3150" t="s">
        <v>5743</v>
      </c>
      <c r="L3150" s="2">
        <v>1</v>
      </c>
      <c r="M3150" s="24" t="s">
        <v>5971</v>
      </c>
      <c r="N3150" s="2" t="s">
        <v>23</v>
      </c>
      <c r="O3150" s="18" t="s">
        <v>2461</v>
      </c>
      <c r="P3150" s="18" t="s">
        <v>0</v>
      </c>
      <c r="Q3150" s="6" t="s">
        <v>4475</v>
      </c>
      <c r="T3150" s="23">
        <v>45866</v>
      </c>
      <c r="U3150" s="23">
        <v>49517</v>
      </c>
      <c r="X3150" s="20">
        <v>100000</v>
      </c>
      <c r="Z3150" s="6" t="s">
        <v>5978</v>
      </c>
      <c r="AA3150" s="14">
        <f t="shared" si="421"/>
        <v>5.9999999999999995E-4</v>
      </c>
      <c r="AB3150">
        <v>56.611853999999994</v>
      </c>
      <c r="AC3150">
        <v>58.876328159999993</v>
      </c>
    </row>
    <row r="3151" spans="1:29" x14ac:dyDescent="0.3">
      <c r="A3151">
        <v>53207</v>
      </c>
      <c r="B3151" s="25" t="s">
        <v>5984</v>
      </c>
      <c r="C3151" t="s">
        <v>20</v>
      </c>
      <c r="D3151" t="s">
        <v>21</v>
      </c>
      <c r="E3151">
        <v>2222222</v>
      </c>
      <c r="F3151" s="8" t="s">
        <v>22</v>
      </c>
      <c r="G3151" s="2">
        <v>98</v>
      </c>
      <c r="H3151" t="s">
        <v>4393</v>
      </c>
      <c r="J3151" s="9" t="s">
        <v>4967</v>
      </c>
      <c r="K3151" t="s">
        <v>5196</v>
      </c>
      <c r="L3151" s="2">
        <v>1</v>
      </c>
      <c r="M3151" s="24" t="s">
        <v>5971</v>
      </c>
      <c r="N3151" s="2" t="s">
        <v>23</v>
      </c>
      <c r="O3151" s="18" t="s">
        <v>2462</v>
      </c>
      <c r="P3151" s="18" t="s">
        <v>3781</v>
      </c>
      <c r="Q3151" s="6" t="s">
        <v>4475</v>
      </c>
      <c r="T3151" s="23">
        <v>41422</v>
      </c>
      <c r="U3151" s="23">
        <v>41973</v>
      </c>
      <c r="X3151" s="20">
        <v>1000</v>
      </c>
      <c r="Z3151" s="6" t="s">
        <v>5978</v>
      </c>
      <c r="AA3151" s="16">
        <f>+(0.36/1000)</f>
        <v>3.5999999999999997E-4</v>
      </c>
      <c r="AB3151">
        <v>0.34233119999999995</v>
      </c>
      <c r="AC3151">
        <v>0.35602444799999994</v>
      </c>
    </row>
    <row r="3152" spans="1:29" x14ac:dyDescent="0.3">
      <c r="A3152">
        <v>113694</v>
      </c>
      <c r="B3152" s="25" t="s">
        <v>5984</v>
      </c>
      <c r="C3152" t="s">
        <v>20</v>
      </c>
      <c r="D3152" t="s">
        <v>21</v>
      </c>
      <c r="E3152">
        <v>2222222</v>
      </c>
      <c r="F3152" s="8" t="s">
        <v>22</v>
      </c>
      <c r="G3152" s="2">
        <v>98</v>
      </c>
      <c r="H3152" t="s">
        <v>4393</v>
      </c>
      <c r="J3152" s="9" t="s">
        <v>5038</v>
      </c>
      <c r="K3152" t="s">
        <v>4863</v>
      </c>
      <c r="L3152" s="2">
        <v>1</v>
      </c>
      <c r="M3152" s="24" t="s">
        <v>5971</v>
      </c>
      <c r="N3152" s="2" t="s">
        <v>23</v>
      </c>
      <c r="O3152" s="18" t="s">
        <v>2463</v>
      </c>
      <c r="P3152" s="18" t="s">
        <v>3781</v>
      </c>
      <c r="Q3152" s="6" t="s">
        <v>4475</v>
      </c>
      <c r="T3152" s="23">
        <v>44027</v>
      </c>
      <c r="U3152" s="23">
        <v>46582</v>
      </c>
      <c r="X3152" s="20">
        <v>11150</v>
      </c>
      <c r="Z3152" s="6" t="s">
        <v>5978</v>
      </c>
      <c r="AA3152" s="15">
        <f t="shared" ref="AA3152:AA3153" si="422">+(0.42/1000)</f>
        <v>4.1999999999999996E-4</v>
      </c>
      <c r="AB3152">
        <v>1.2013469999999999</v>
      </c>
      <c r="AC3152">
        <v>1.24940088</v>
      </c>
    </row>
    <row r="3153" spans="1:29" x14ac:dyDescent="0.3">
      <c r="A3153">
        <v>80025</v>
      </c>
      <c r="B3153" s="25" t="s">
        <v>5984</v>
      </c>
      <c r="C3153" t="s">
        <v>20</v>
      </c>
      <c r="D3153" t="s">
        <v>21</v>
      </c>
      <c r="E3153">
        <v>2222222</v>
      </c>
      <c r="F3153" s="8" t="s">
        <v>22</v>
      </c>
      <c r="G3153" s="2">
        <v>98</v>
      </c>
      <c r="H3153" t="s">
        <v>4394</v>
      </c>
      <c r="J3153" s="9" t="s">
        <v>4911</v>
      </c>
      <c r="K3153" t="s">
        <v>5181</v>
      </c>
      <c r="L3153" s="2">
        <v>1</v>
      </c>
      <c r="M3153" s="24" t="s">
        <v>5971</v>
      </c>
      <c r="N3153" s="2" t="s">
        <v>23</v>
      </c>
      <c r="O3153" s="18" t="s">
        <v>2464</v>
      </c>
      <c r="P3153" s="18" t="s">
        <v>3781</v>
      </c>
      <c r="Q3153" s="6" t="s">
        <v>4475</v>
      </c>
      <c r="T3153" s="23">
        <v>42789</v>
      </c>
      <c r="U3153" s="23">
        <v>43892</v>
      </c>
      <c r="X3153" s="20">
        <v>4500</v>
      </c>
      <c r="Z3153" s="6" t="s">
        <v>5978</v>
      </c>
      <c r="AA3153" s="15">
        <f t="shared" si="422"/>
        <v>4.1999999999999996E-4</v>
      </c>
      <c r="AB3153">
        <v>1.3748405999999997</v>
      </c>
      <c r="AC3153">
        <v>1.4298342239999997</v>
      </c>
    </row>
    <row r="3154" spans="1:29" x14ac:dyDescent="0.3">
      <c r="A3154">
        <v>130096</v>
      </c>
      <c r="B3154" s="25" t="s">
        <v>5984</v>
      </c>
      <c r="C3154" t="s">
        <v>20</v>
      </c>
      <c r="D3154" t="s">
        <v>21</v>
      </c>
      <c r="E3154">
        <v>2222222</v>
      </c>
      <c r="F3154" s="8" t="s">
        <v>22</v>
      </c>
      <c r="G3154" s="2">
        <v>98</v>
      </c>
      <c r="H3154" t="s">
        <v>4395</v>
      </c>
      <c r="J3154" s="9" t="s">
        <v>5243</v>
      </c>
      <c r="K3154" t="s">
        <v>5201</v>
      </c>
      <c r="L3154" s="2">
        <v>1</v>
      </c>
      <c r="M3154" s="24" t="s">
        <v>5971</v>
      </c>
      <c r="N3154" s="2" t="s">
        <v>23</v>
      </c>
      <c r="O3154" s="18" t="s">
        <v>2465</v>
      </c>
      <c r="P3154" s="18" t="s">
        <v>0</v>
      </c>
      <c r="Q3154" s="6" t="s">
        <v>4475</v>
      </c>
      <c r="T3154" s="23">
        <v>44816</v>
      </c>
      <c r="U3154" s="23">
        <v>45912</v>
      </c>
      <c r="X3154" s="20">
        <v>5000</v>
      </c>
      <c r="Z3154" s="6" t="s">
        <v>5978</v>
      </c>
      <c r="AA3154" s="13">
        <f>+(0.56/1000)</f>
        <v>5.6000000000000006E-4</v>
      </c>
      <c r="AB3154">
        <v>2.2779288000000002</v>
      </c>
      <c r="AC3154">
        <v>2.3690459520000005</v>
      </c>
    </row>
    <row r="3155" spans="1:29" x14ac:dyDescent="0.3">
      <c r="A3155">
        <v>120319</v>
      </c>
      <c r="B3155" s="25" t="s">
        <v>5984</v>
      </c>
      <c r="C3155" t="s">
        <v>20</v>
      </c>
      <c r="D3155" t="s">
        <v>21</v>
      </c>
      <c r="E3155">
        <v>2222222</v>
      </c>
      <c r="F3155" s="8" t="s">
        <v>22</v>
      </c>
      <c r="G3155" s="2">
        <v>98</v>
      </c>
      <c r="H3155" t="s">
        <v>4396</v>
      </c>
      <c r="J3155" s="9" t="s">
        <v>5342</v>
      </c>
      <c r="K3155" t="s">
        <v>4851</v>
      </c>
      <c r="L3155" s="2">
        <v>1</v>
      </c>
      <c r="M3155" s="24" t="s">
        <v>5971</v>
      </c>
      <c r="N3155" s="2" t="s">
        <v>23</v>
      </c>
      <c r="O3155" s="18" t="s">
        <v>2466</v>
      </c>
      <c r="P3155" s="18" t="s">
        <v>3781</v>
      </c>
      <c r="Q3155" s="6" t="s">
        <v>4475</v>
      </c>
      <c r="T3155" s="23">
        <v>44313</v>
      </c>
      <c r="U3155" s="23">
        <v>49810</v>
      </c>
      <c r="X3155" s="20">
        <v>15705</v>
      </c>
      <c r="Z3155" s="6" t="s">
        <v>5978</v>
      </c>
      <c r="AA3155" s="15">
        <f>+(0.42/1000)</f>
        <v>4.1999999999999996E-4</v>
      </c>
      <c r="AB3155">
        <v>6.5960999999999999</v>
      </c>
      <c r="AC3155">
        <v>6.8599440000000005</v>
      </c>
    </row>
    <row r="3156" spans="1:29" x14ac:dyDescent="0.3">
      <c r="A3156">
        <v>144180</v>
      </c>
      <c r="B3156" s="25" t="s">
        <v>5984</v>
      </c>
      <c r="C3156" t="s">
        <v>20</v>
      </c>
      <c r="D3156" t="s">
        <v>21</v>
      </c>
      <c r="E3156">
        <v>2222222</v>
      </c>
      <c r="F3156" s="8" t="s">
        <v>22</v>
      </c>
      <c r="G3156" s="2">
        <v>98</v>
      </c>
      <c r="H3156" t="s">
        <v>4396</v>
      </c>
      <c r="J3156" s="9" t="s">
        <v>5744</v>
      </c>
      <c r="L3156" s="2">
        <v>1</v>
      </c>
      <c r="M3156" s="24" t="s">
        <v>5971</v>
      </c>
      <c r="N3156" s="2" t="s">
        <v>23</v>
      </c>
      <c r="O3156" s="18" t="s">
        <v>2467</v>
      </c>
      <c r="P3156" s="18" t="s">
        <v>3781</v>
      </c>
      <c r="Q3156" s="6" t="s">
        <v>4475</v>
      </c>
      <c r="T3156" s="23">
        <v>45653</v>
      </c>
      <c r="U3156" s="23">
        <v>48208</v>
      </c>
      <c r="X3156" s="20">
        <v>20000</v>
      </c>
      <c r="Z3156" s="6" t="s">
        <v>5978</v>
      </c>
      <c r="AA3156" s="14">
        <f>+(0.6/1000)</f>
        <v>5.9999999999999995E-4</v>
      </c>
      <c r="AB3156">
        <v>10.420097999999999</v>
      </c>
      <c r="AC3156">
        <v>10.836901919999999</v>
      </c>
    </row>
    <row r="3157" spans="1:29" x14ac:dyDescent="0.3">
      <c r="A3157">
        <v>115579</v>
      </c>
      <c r="B3157" s="25" t="s">
        <v>5984</v>
      </c>
      <c r="C3157" t="s">
        <v>20</v>
      </c>
      <c r="D3157" t="s">
        <v>21</v>
      </c>
      <c r="E3157">
        <v>2222222</v>
      </c>
      <c r="F3157" s="8" t="s">
        <v>22</v>
      </c>
      <c r="G3157" s="2">
        <v>98</v>
      </c>
      <c r="H3157" t="s">
        <v>4397</v>
      </c>
      <c r="J3157" s="9" t="s">
        <v>5745</v>
      </c>
      <c r="K3157" t="s">
        <v>5746</v>
      </c>
      <c r="L3157" s="2">
        <v>1</v>
      </c>
      <c r="M3157" s="24" t="s">
        <v>5971</v>
      </c>
      <c r="N3157" s="2" t="s">
        <v>23</v>
      </c>
      <c r="O3157" s="18" t="s">
        <v>2468</v>
      </c>
      <c r="P3157" s="18" t="s">
        <v>3781</v>
      </c>
      <c r="Q3157" s="6" t="s">
        <v>4475</v>
      </c>
      <c r="T3157" s="23">
        <v>44098</v>
      </c>
      <c r="U3157" s="23">
        <v>46284</v>
      </c>
      <c r="X3157" s="20">
        <v>9795</v>
      </c>
      <c r="Z3157" s="6" t="s">
        <v>5978</v>
      </c>
      <c r="AA3157" s="15">
        <f>+(0.42/1000)</f>
        <v>4.1999999999999996E-4</v>
      </c>
      <c r="AB3157">
        <v>0.66003839999999991</v>
      </c>
      <c r="AC3157">
        <v>0.68643993599999997</v>
      </c>
    </row>
    <row r="3158" spans="1:29" x14ac:dyDescent="0.3">
      <c r="A3158">
        <v>131947</v>
      </c>
      <c r="B3158" s="25" t="s">
        <v>5984</v>
      </c>
      <c r="C3158" t="s">
        <v>20</v>
      </c>
      <c r="D3158" t="s">
        <v>21</v>
      </c>
      <c r="E3158">
        <v>2222222</v>
      </c>
      <c r="F3158" s="8" t="s">
        <v>22</v>
      </c>
      <c r="G3158" s="2">
        <v>98</v>
      </c>
      <c r="H3158" t="s">
        <v>4397</v>
      </c>
      <c r="J3158" s="9" t="s">
        <v>5048</v>
      </c>
      <c r="K3158" t="s">
        <v>4980</v>
      </c>
      <c r="L3158" s="2">
        <v>1</v>
      </c>
      <c r="M3158" s="24" t="s">
        <v>5971</v>
      </c>
      <c r="N3158" s="2" t="s">
        <v>23</v>
      </c>
      <c r="O3158" s="18" t="s">
        <v>2469</v>
      </c>
      <c r="P3158" s="18" t="s">
        <v>3781</v>
      </c>
      <c r="Q3158" s="6" t="s">
        <v>4475</v>
      </c>
      <c r="T3158" s="23">
        <v>44925</v>
      </c>
      <c r="U3158" s="23">
        <v>46754</v>
      </c>
      <c r="X3158" s="20">
        <v>12100</v>
      </c>
      <c r="Z3158" s="6" t="s">
        <v>5978</v>
      </c>
      <c r="AA3158" s="13">
        <f t="shared" ref="AA3158:AA3161" si="423">+(0.56/1000)</f>
        <v>5.6000000000000006E-4</v>
      </c>
      <c r="AB3158">
        <v>2.6231800000000001</v>
      </c>
      <c r="AC3158">
        <v>2.7281072000000002</v>
      </c>
    </row>
    <row r="3159" spans="1:29" x14ac:dyDescent="0.3">
      <c r="A3159">
        <v>132162</v>
      </c>
      <c r="B3159" s="25" t="s">
        <v>5984</v>
      </c>
      <c r="C3159" t="s">
        <v>20</v>
      </c>
      <c r="D3159" t="s">
        <v>21</v>
      </c>
      <c r="E3159">
        <v>2222222</v>
      </c>
      <c r="F3159" s="8" t="s">
        <v>22</v>
      </c>
      <c r="G3159" s="2">
        <v>98</v>
      </c>
      <c r="H3159" t="s">
        <v>4397</v>
      </c>
      <c r="J3159" s="9" t="s">
        <v>5270</v>
      </c>
      <c r="K3159" t="s">
        <v>5585</v>
      </c>
      <c r="L3159" s="2">
        <v>1</v>
      </c>
      <c r="M3159" s="24" t="s">
        <v>5971</v>
      </c>
      <c r="N3159" s="2" t="s">
        <v>23</v>
      </c>
      <c r="O3159" s="18" t="s">
        <v>2470</v>
      </c>
      <c r="P3159" s="18" t="s">
        <v>0</v>
      </c>
      <c r="Q3159" s="6" t="s">
        <v>4475</v>
      </c>
      <c r="T3159" s="23">
        <v>44925</v>
      </c>
      <c r="U3159" s="23">
        <v>48672</v>
      </c>
      <c r="X3159" s="20">
        <v>17615</v>
      </c>
      <c r="Z3159" s="6" t="s">
        <v>5978</v>
      </c>
      <c r="AA3159" s="13">
        <f t="shared" si="423"/>
        <v>5.6000000000000006E-4</v>
      </c>
      <c r="AB3159">
        <v>8.1621904000000001</v>
      </c>
      <c r="AC3159">
        <v>8.4886780159999997</v>
      </c>
    </row>
    <row r="3160" spans="1:29" x14ac:dyDescent="0.3">
      <c r="A3160">
        <v>134106</v>
      </c>
      <c r="B3160" s="25" t="s">
        <v>5984</v>
      </c>
      <c r="C3160" t="s">
        <v>20</v>
      </c>
      <c r="D3160" t="s">
        <v>21</v>
      </c>
      <c r="E3160">
        <v>2222222</v>
      </c>
      <c r="F3160" s="8" t="s">
        <v>22</v>
      </c>
      <c r="G3160" s="2">
        <v>98</v>
      </c>
      <c r="H3160" t="s">
        <v>4397</v>
      </c>
      <c r="J3160" s="9" t="s">
        <v>4949</v>
      </c>
      <c r="K3160" t="s">
        <v>4964</v>
      </c>
      <c r="L3160" s="2">
        <v>1</v>
      </c>
      <c r="M3160" s="24" t="s">
        <v>5971</v>
      </c>
      <c r="N3160" s="2" t="s">
        <v>23</v>
      </c>
      <c r="O3160" s="18" t="s">
        <v>2471</v>
      </c>
      <c r="P3160" s="18" t="s">
        <v>0</v>
      </c>
      <c r="Q3160" s="6" t="s">
        <v>4475</v>
      </c>
      <c r="T3160" s="23">
        <v>45043</v>
      </c>
      <c r="U3160" s="23">
        <v>46858</v>
      </c>
      <c r="X3160" s="20">
        <v>7000</v>
      </c>
      <c r="Z3160" s="6" t="s">
        <v>5978</v>
      </c>
      <c r="AA3160" s="13">
        <f t="shared" si="423"/>
        <v>5.6000000000000006E-4</v>
      </c>
      <c r="AB3160">
        <v>1.7093160000000001</v>
      </c>
      <c r="AC3160">
        <v>1.77768864</v>
      </c>
    </row>
    <row r="3161" spans="1:29" x14ac:dyDescent="0.3">
      <c r="A3161">
        <v>139330</v>
      </c>
      <c r="B3161" s="25" t="s">
        <v>5984</v>
      </c>
      <c r="C3161" t="s">
        <v>20</v>
      </c>
      <c r="D3161" t="s">
        <v>21</v>
      </c>
      <c r="E3161">
        <v>2222222</v>
      </c>
      <c r="F3161" s="8" t="s">
        <v>22</v>
      </c>
      <c r="G3161" s="2">
        <v>98</v>
      </c>
      <c r="H3161" t="s">
        <v>4397</v>
      </c>
      <c r="J3161" s="9" t="s">
        <v>5747</v>
      </c>
      <c r="K3161" t="s">
        <v>4924</v>
      </c>
      <c r="L3161" s="2">
        <v>1</v>
      </c>
      <c r="M3161" s="24" t="s">
        <v>5971</v>
      </c>
      <c r="N3161" s="2" t="s">
        <v>23</v>
      </c>
      <c r="O3161" s="18" t="s">
        <v>2472</v>
      </c>
      <c r="P3161" s="18" t="s">
        <v>3781</v>
      </c>
      <c r="Q3161" s="6" t="s">
        <v>4475</v>
      </c>
      <c r="T3161" s="23">
        <v>45324</v>
      </c>
      <c r="U3161" s="23">
        <v>46421</v>
      </c>
      <c r="X3161" s="20">
        <v>5000</v>
      </c>
      <c r="Z3161" s="6" t="s">
        <v>5978</v>
      </c>
      <c r="AA3161" s="13">
        <f t="shared" si="423"/>
        <v>5.6000000000000006E-4</v>
      </c>
      <c r="AB3161">
        <v>0.64877680000000004</v>
      </c>
      <c r="AC3161">
        <v>0.67472787200000006</v>
      </c>
    </row>
    <row r="3162" spans="1:29" x14ac:dyDescent="0.3">
      <c r="A3162">
        <v>147899</v>
      </c>
      <c r="B3162" s="25" t="s">
        <v>5984</v>
      </c>
      <c r="C3162" t="s">
        <v>20</v>
      </c>
      <c r="D3162" t="s">
        <v>21</v>
      </c>
      <c r="E3162">
        <v>2222222</v>
      </c>
      <c r="F3162" s="8" t="s">
        <v>22</v>
      </c>
      <c r="G3162" s="2">
        <v>98</v>
      </c>
      <c r="H3162" t="s">
        <v>4397</v>
      </c>
      <c r="J3162" s="9" t="s">
        <v>4911</v>
      </c>
      <c r="K3162" t="s">
        <v>5748</v>
      </c>
      <c r="L3162" s="2">
        <v>1</v>
      </c>
      <c r="M3162" s="24" t="s">
        <v>5971</v>
      </c>
      <c r="N3162" s="2" t="s">
        <v>23</v>
      </c>
      <c r="O3162" s="18" t="s">
        <v>2473</v>
      </c>
      <c r="P3162" s="18" t="s">
        <v>3781</v>
      </c>
      <c r="Q3162" s="6" t="s">
        <v>4475</v>
      </c>
      <c r="T3162" s="23">
        <v>45921</v>
      </c>
      <c r="U3162" s="23">
        <v>47382</v>
      </c>
      <c r="X3162" s="20">
        <v>5000</v>
      </c>
      <c r="Z3162" s="6" t="s">
        <v>5978</v>
      </c>
      <c r="AA3162" s="14">
        <f t="shared" ref="AA3162:AA3168" si="424">+(0.6/1000)</f>
        <v>5.9999999999999995E-4</v>
      </c>
      <c r="AB3162">
        <v>2.5388099999999998</v>
      </c>
      <c r="AC3162">
        <v>2.6403623999999999</v>
      </c>
    </row>
    <row r="3163" spans="1:29" x14ac:dyDescent="0.3">
      <c r="A3163">
        <v>149210</v>
      </c>
      <c r="B3163" s="25" t="s">
        <v>5984</v>
      </c>
      <c r="C3163" t="s">
        <v>20</v>
      </c>
      <c r="D3163" t="s">
        <v>21</v>
      </c>
      <c r="E3163">
        <v>2222222</v>
      </c>
      <c r="F3163" s="8" t="s">
        <v>22</v>
      </c>
      <c r="G3163" s="2">
        <v>98</v>
      </c>
      <c r="H3163" t="s">
        <v>4397</v>
      </c>
      <c r="J3163" s="9" t="s">
        <v>5141</v>
      </c>
      <c r="K3163" t="s">
        <v>4861</v>
      </c>
      <c r="L3163" s="2">
        <v>1</v>
      </c>
      <c r="M3163" s="24" t="s">
        <v>5971</v>
      </c>
      <c r="N3163" s="2" t="s">
        <v>23</v>
      </c>
      <c r="O3163" s="18" t="s">
        <v>1987</v>
      </c>
      <c r="P3163" s="18" t="s">
        <v>3781</v>
      </c>
      <c r="Q3163" s="6" t="s">
        <v>4475</v>
      </c>
      <c r="T3163" s="23">
        <v>46005</v>
      </c>
      <c r="U3163" s="23">
        <v>47100</v>
      </c>
      <c r="X3163" s="20">
        <v>2630</v>
      </c>
      <c r="Z3163" s="6" t="s">
        <v>5978</v>
      </c>
      <c r="AA3163" s="14">
        <f t="shared" si="424"/>
        <v>5.9999999999999995E-4</v>
      </c>
      <c r="AB3163">
        <v>1.3296359999999998</v>
      </c>
      <c r="AC3163">
        <v>1.3828214399999998</v>
      </c>
    </row>
    <row r="3164" spans="1:29" x14ac:dyDescent="0.3">
      <c r="A3164">
        <v>151007</v>
      </c>
      <c r="B3164" s="25" t="s">
        <v>5984</v>
      </c>
      <c r="C3164" t="s">
        <v>20</v>
      </c>
      <c r="D3164" t="s">
        <v>21</v>
      </c>
      <c r="E3164">
        <v>2222222</v>
      </c>
      <c r="F3164" s="8" t="s">
        <v>22</v>
      </c>
      <c r="G3164" s="2">
        <v>98</v>
      </c>
      <c r="H3164" t="s">
        <v>4397</v>
      </c>
      <c r="J3164" s="9" t="s">
        <v>4978</v>
      </c>
      <c r="K3164" t="s">
        <v>5130</v>
      </c>
      <c r="L3164" s="2">
        <v>1</v>
      </c>
      <c r="M3164" s="24" t="s">
        <v>5971</v>
      </c>
      <c r="N3164" s="2" t="s">
        <v>23</v>
      </c>
      <c r="O3164" s="18" t="s">
        <v>2474</v>
      </c>
      <c r="P3164" s="18" t="s">
        <v>0</v>
      </c>
      <c r="Q3164" s="6" t="s">
        <v>4475</v>
      </c>
      <c r="T3164" s="23">
        <v>46133</v>
      </c>
      <c r="U3164" s="23">
        <v>47229</v>
      </c>
      <c r="X3164" s="20">
        <v>3500</v>
      </c>
      <c r="Z3164" s="6" t="s">
        <v>5978</v>
      </c>
      <c r="AA3164" s="14">
        <f t="shared" si="424"/>
        <v>5.9999999999999995E-4</v>
      </c>
      <c r="AB3164">
        <v>1.9629359999999998</v>
      </c>
      <c r="AC3164">
        <v>2.0414534399999997</v>
      </c>
    </row>
    <row r="3165" spans="1:29" x14ac:dyDescent="0.3">
      <c r="A3165">
        <v>151438</v>
      </c>
      <c r="B3165" s="25" t="s">
        <v>5984</v>
      </c>
      <c r="C3165" t="s">
        <v>20</v>
      </c>
      <c r="D3165" t="s">
        <v>21</v>
      </c>
      <c r="E3165">
        <v>2222222</v>
      </c>
      <c r="F3165" s="8" t="s">
        <v>22</v>
      </c>
      <c r="G3165" s="2">
        <v>98</v>
      </c>
      <c r="H3165" t="s">
        <v>4397</v>
      </c>
      <c r="J3165" s="9" t="s">
        <v>4883</v>
      </c>
      <c r="K3165" t="s">
        <v>5749</v>
      </c>
      <c r="L3165" s="2">
        <v>1</v>
      </c>
      <c r="M3165" s="24" t="s">
        <v>5971</v>
      </c>
      <c r="N3165" s="2" t="s">
        <v>23</v>
      </c>
      <c r="O3165" s="18" t="s">
        <v>2475</v>
      </c>
      <c r="P3165" s="18" t="s">
        <v>3781</v>
      </c>
      <c r="Q3165" s="6" t="s">
        <v>4475</v>
      </c>
      <c r="T3165" s="23">
        <v>46163</v>
      </c>
      <c r="U3165" s="23">
        <v>47625</v>
      </c>
      <c r="X3165" s="20">
        <v>5000</v>
      </c>
      <c r="Z3165" s="6" t="s">
        <v>5978</v>
      </c>
      <c r="AA3165" s="14">
        <f t="shared" si="424"/>
        <v>5.9999999999999995E-4</v>
      </c>
      <c r="AB3165">
        <v>2.9123100000000002</v>
      </c>
      <c r="AC3165">
        <v>3.0288024000000004</v>
      </c>
    </row>
    <row r="3166" spans="1:29" x14ac:dyDescent="0.3">
      <c r="A3166">
        <v>151510</v>
      </c>
      <c r="B3166" s="25" t="s">
        <v>5984</v>
      </c>
      <c r="C3166" t="s">
        <v>20</v>
      </c>
      <c r="D3166" t="s">
        <v>21</v>
      </c>
      <c r="E3166">
        <v>2222222</v>
      </c>
      <c r="F3166" s="8" t="s">
        <v>22</v>
      </c>
      <c r="G3166" s="2">
        <v>98</v>
      </c>
      <c r="H3166" t="s">
        <v>4397</v>
      </c>
      <c r="J3166" s="9" t="s">
        <v>5038</v>
      </c>
      <c r="K3166" t="s">
        <v>4910</v>
      </c>
      <c r="L3166" s="2">
        <v>1</v>
      </c>
      <c r="M3166" s="24" t="s">
        <v>5971</v>
      </c>
      <c r="N3166" s="2" t="s">
        <v>23</v>
      </c>
      <c r="O3166" s="18" t="s">
        <v>696</v>
      </c>
      <c r="P3166" s="18" t="s">
        <v>3781</v>
      </c>
      <c r="Q3166" s="6" t="s">
        <v>4475</v>
      </c>
      <c r="T3166" s="23">
        <v>46169</v>
      </c>
      <c r="U3166" s="23">
        <v>47264</v>
      </c>
      <c r="X3166" s="20">
        <v>5000</v>
      </c>
      <c r="Z3166" s="6" t="s">
        <v>5978</v>
      </c>
      <c r="AA3166" s="14">
        <f t="shared" si="424"/>
        <v>5.9999999999999995E-4</v>
      </c>
      <c r="AB3166">
        <v>2.8713719999999996</v>
      </c>
      <c r="AC3166">
        <v>2.9862268799999998</v>
      </c>
    </row>
    <row r="3167" spans="1:29" x14ac:dyDescent="0.3">
      <c r="A3167">
        <v>152075</v>
      </c>
      <c r="B3167" s="25" t="s">
        <v>5984</v>
      </c>
      <c r="C3167" t="s">
        <v>20</v>
      </c>
      <c r="D3167" t="s">
        <v>21</v>
      </c>
      <c r="E3167">
        <v>2222222</v>
      </c>
      <c r="F3167" s="8" t="s">
        <v>22</v>
      </c>
      <c r="G3167" s="2">
        <v>98</v>
      </c>
      <c r="H3167" t="s">
        <v>4397</v>
      </c>
      <c r="J3167" s="9" t="s">
        <v>4877</v>
      </c>
      <c r="K3167" t="s">
        <v>4853</v>
      </c>
      <c r="L3167" s="2">
        <v>1</v>
      </c>
      <c r="M3167" s="24" t="s">
        <v>5971</v>
      </c>
      <c r="N3167" s="2" t="s">
        <v>23</v>
      </c>
      <c r="O3167" s="18" t="s">
        <v>2476</v>
      </c>
      <c r="P3167" s="18" t="s">
        <v>0</v>
      </c>
      <c r="Q3167" s="6" t="s">
        <v>4475</v>
      </c>
      <c r="T3167" s="23">
        <v>46211</v>
      </c>
      <c r="U3167" s="23">
        <v>46575</v>
      </c>
      <c r="X3167" s="20">
        <v>1000</v>
      </c>
      <c r="Z3167" s="6" t="s">
        <v>5978</v>
      </c>
      <c r="AA3167" s="14">
        <f t="shared" si="424"/>
        <v>5.9999999999999995E-4</v>
      </c>
      <c r="AB3167">
        <v>0.6</v>
      </c>
      <c r="AC3167">
        <v>0.624</v>
      </c>
    </row>
    <row r="3168" spans="1:29" x14ac:dyDescent="0.3">
      <c r="A3168">
        <v>146118</v>
      </c>
      <c r="B3168" s="25" t="s">
        <v>5984</v>
      </c>
      <c r="C3168" t="s">
        <v>20</v>
      </c>
      <c r="D3168" t="s">
        <v>21</v>
      </c>
      <c r="E3168">
        <v>2222222</v>
      </c>
      <c r="F3168" s="8" t="s">
        <v>22</v>
      </c>
      <c r="G3168" s="2">
        <v>98</v>
      </c>
      <c r="H3168" t="s">
        <v>4398</v>
      </c>
      <c r="J3168" s="9" t="s">
        <v>5750</v>
      </c>
      <c r="K3168" t="s">
        <v>4876</v>
      </c>
      <c r="L3168" s="2">
        <v>1</v>
      </c>
      <c r="M3168" s="24" t="s">
        <v>5971</v>
      </c>
      <c r="N3168" s="2" t="s">
        <v>23</v>
      </c>
      <c r="O3168" s="18" t="s">
        <v>2477</v>
      </c>
      <c r="P3168" s="18" t="s">
        <v>0</v>
      </c>
      <c r="Q3168" s="6" t="s">
        <v>4475</v>
      </c>
      <c r="T3168" s="23">
        <v>45791</v>
      </c>
      <c r="U3168" s="23">
        <v>46520</v>
      </c>
      <c r="X3168" s="20">
        <v>2780</v>
      </c>
      <c r="Z3168" s="6" t="s">
        <v>5978</v>
      </c>
      <c r="AA3168" s="14">
        <f t="shared" si="424"/>
        <v>5.9999999999999995E-4</v>
      </c>
      <c r="AB3168">
        <v>0.75224999999999997</v>
      </c>
      <c r="AC3168">
        <v>0.78234000000000004</v>
      </c>
    </row>
    <row r="3169" spans="1:29" x14ac:dyDescent="0.3">
      <c r="A3169">
        <v>113863</v>
      </c>
      <c r="B3169" s="25" t="s">
        <v>5984</v>
      </c>
      <c r="C3169" t="s">
        <v>20</v>
      </c>
      <c r="D3169" t="s">
        <v>21</v>
      </c>
      <c r="E3169">
        <v>2222222</v>
      </c>
      <c r="F3169" s="8" t="s">
        <v>22</v>
      </c>
      <c r="G3169" s="2">
        <v>98</v>
      </c>
      <c r="H3169" t="s">
        <v>4399</v>
      </c>
      <c r="J3169" s="9" t="s">
        <v>4852</v>
      </c>
      <c r="K3169" t="s">
        <v>5751</v>
      </c>
      <c r="L3169" s="2">
        <v>1</v>
      </c>
      <c r="M3169" s="24" t="s">
        <v>5971</v>
      </c>
      <c r="N3169" s="2" t="s">
        <v>23</v>
      </c>
      <c r="O3169" s="18" t="s">
        <v>2478</v>
      </c>
      <c r="P3169" s="18" t="s">
        <v>0</v>
      </c>
      <c r="Q3169" s="6" t="s">
        <v>4475</v>
      </c>
      <c r="T3169" s="23">
        <v>44027</v>
      </c>
      <c r="U3169" s="23">
        <v>45122</v>
      </c>
      <c r="X3169" s="20">
        <v>3000</v>
      </c>
      <c r="Z3169" s="6" t="s">
        <v>5978</v>
      </c>
      <c r="AA3169" s="15">
        <f t="shared" ref="AA3169:AA3172" si="425">+(0.42/1000)</f>
        <v>4.1999999999999996E-4</v>
      </c>
      <c r="AB3169">
        <v>0.80194799999999999</v>
      </c>
      <c r="AC3169">
        <v>0.83402591999999998</v>
      </c>
    </row>
    <row r="3170" spans="1:29" x14ac:dyDescent="0.3">
      <c r="A3170">
        <v>116768</v>
      </c>
      <c r="B3170" s="25" t="s">
        <v>5984</v>
      </c>
      <c r="C3170" t="s">
        <v>20</v>
      </c>
      <c r="D3170" t="s">
        <v>21</v>
      </c>
      <c r="E3170">
        <v>2222222</v>
      </c>
      <c r="F3170" s="8" t="s">
        <v>22</v>
      </c>
      <c r="G3170" s="2">
        <v>98</v>
      </c>
      <c r="H3170" t="s">
        <v>4399</v>
      </c>
      <c r="J3170" s="9" t="s">
        <v>4852</v>
      </c>
      <c r="K3170" t="s">
        <v>5751</v>
      </c>
      <c r="L3170" s="2">
        <v>1</v>
      </c>
      <c r="M3170" s="24" t="s">
        <v>5971</v>
      </c>
      <c r="N3170" s="2" t="s">
        <v>23</v>
      </c>
      <c r="O3170" s="18" t="s">
        <v>2478</v>
      </c>
      <c r="P3170" s="18" t="s">
        <v>0</v>
      </c>
      <c r="Q3170" s="6" t="s">
        <v>4475</v>
      </c>
      <c r="T3170" s="23">
        <v>44153</v>
      </c>
      <c r="U3170" s="23">
        <v>44243</v>
      </c>
      <c r="X3170" s="20">
        <v>1980</v>
      </c>
      <c r="Z3170" s="6" t="s">
        <v>5978</v>
      </c>
      <c r="AA3170" s="15">
        <f t="shared" si="425"/>
        <v>4.1999999999999996E-4</v>
      </c>
      <c r="AB3170">
        <v>0.83159999999999989</v>
      </c>
      <c r="AC3170">
        <v>0.86486399999999997</v>
      </c>
    </row>
    <row r="3171" spans="1:29" x14ac:dyDescent="0.3">
      <c r="A3171">
        <v>117950</v>
      </c>
      <c r="B3171" s="25" t="s">
        <v>5984</v>
      </c>
      <c r="C3171" t="s">
        <v>20</v>
      </c>
      <c r="D3171" t="s">
        <v>21</v>
      </c>
      <c r="E3171">
        <v>2222222</v>
      </c>
      <c r="F3171" s="8" t="s">
        <v>22</v>
      </c>
      <c r="G3171" s="2">
        <v>98</v>
      </c>
      <c r="H3171" t="s">
        <v>4399</v>
      </c>
      <c r="J3171" s="9" t="s">
        <v>4852</v>
      </c>
      <c r="K3171" t="s">
        <v>5751</v>
      </c>
      <c r="L3171" s="2">
        <v>1</v>
      </c>
      <c r="M3171" s="24" t="s">
        <v>5971</v>
      </c>
      <c r="N3171" s="2" t="s">
        <v>23</v>
      </c>
      <c r="O3171" s="18" t="s">
        <v>2478</v>
      </c>
      <c r="P3171" s="18" t="s">
        <v>0</v>
      </c>
      <c r="Q3171" s="6" t="s">
        <v>4475</v>
      </c>
      <c r="T3171" s="23">
        <v>44202</v>
      </c>
      <c r="U3171" s="23">
        <v>44292</v>
      </c>
      <c r="X3171" s="20">
        <v>3310</v>
      </c>
      <c r="Z3171" s="6" t="s">
        <v>5978</v>
      </c>
      <c r="AA3171" s="15">
        <f t="shared" si="425"/>
        <v>4.1999999999999996E-4</v>
      </c>
      <c r="AB3171">
        <v>1.3067544</v>
      </c>
      <c r="AC3171">
        <v>1.3590245759999999</v>
      </c>
    </row>
    <row r="3172" spans="1:29" x14ac:dyDescent="0.3">
      <c r="A3172">
        <v>117951</v>
      </c>
      <c r="B3172" s="25" t="s">
        <v>5984</v>
      </c>
      <c r="C3172" t="s">
        <v>20</v>
      </c>
      <c r="D3172" t="s">
        <v>21</v>
      </c>
      <c r="E3172">
        <v>2222222</v>
      </c>
      <c r="F3172" s="8" t="s">
        <v>22</v>
      </c>
      <c r="G3172" s="2">
        <v>98</v>
      </c>
      <c r="H3172" t="s">
        <v>4399</v>
      </c>
      <c r="J3172" s="9" t="s">
        <v>4852</v>
      </c>
      <c r="K3172" t="s">
        <v>5751</v>
      </c>
      <c r="L3172" s="2">
        <v>1</v>
      </c>
      <c r="M3172" s="24" t="s">
        <v>5971</v>
      </c>
      <c r="N3172" s="2" t="s">
        <v>23</v>
      </c>
      <c r="O3172" s="18" t="s">
        <v>2478</v>
      </c>
      <c r="P3172" s="18" t="s">
        <v>0</v>
      </c>
      <c r="Q3172" s="6" t="s">
        <v>4475</v>
      </c>
      <c r="T3172" s="23">
        <v>44202</v>
      </c>
      <c r="U3172" s="23">
        <v>44292</v>
      </c>
      <c r="X3172" s="20">
        <v>2000</v>
      </c>
      <c r="Z3172" s="6" t="s">
        <v>5978</v>
      </c>
      <c r="AA3172" s="15">
        <f t="shared" si="425"/>
        <v>4.1999999999999996E-4</v>
      </c>
      <c r="AB3172">
        <v>0.84</v>
      </c>
      <c r="AC3172">
        <v>0.87360000000000004</v>
      </c>
    </row>
    <row r="3173" spans="1:29" x14ac:dyDescent="0.3">
      <c r="A3173">
        <v>136135</v>
      </c>
      <c r="B3173" s="25" t="s">
        <v>5984</v>
      </c>
      <c r="C3173" t="s">
        <v>20</v>
      </c>
      <c r="D3173" t="s">
        <v>21</v>
      </c>
      <c r="E3173">
        <v>2222222</v>
      </c>
      <c r="F3173" s="8" t="s">
        <v>22</v>
      </c>
      <c r="G3173" s="2">
        <v>98</v>
      </c>
      <c r="H3173" t="s">
        <v>4399</v>
      </c>
      <c r="J3173" s="9" t="s">
        <v>4911</v>
      </c>
      <c r="K3173" t="s">
        <v>4917</v>
      </c>
      <c r="L3173" s="2">
        <v>1</v>
      </c>
      <c r="M3173" s="24" t="s">
        <v>5971</v>
      </c>
      <c r="N3173" s="2" t="s">
        <v>23</v>
      </c>
      <c r="O3173" s="18" t="s">
        <v>1124</v>
      </c>
      <c r="P3173" s="18" t="s">
        <v>3781</v>
      </c>
      <c r="Q3173" s="6" t="s">
        <v>4475</v>
      </c>
      <c r="T3173" s="23">
        <v>45155</v>
      </c>
      <c r="U3173" s="23">
        <v>46707</v>
      </c>
      <c r="X3173" s="20">
        <v>5000</v>
      </c>
      <c r="Z3173" s="6" t="s">
        <v>5978</v>
      </c>
      <c r="AA3173" s="13">
        <f>+(0.56/1000)</f>
        <v>5.6000000000000006E-4</v>
      </c>
      <c r="AB3173">
        <v>1.2420184000000001</v>
      </c>
      <c r="AC3173">
        <v>1.2916991360000001</v>
      </c>
    </row>
    <row r="3174" spans="1:29" x14ac:dyDescent="0.3">
      <c r="A3174">
        <v>146818</v>
      </c>
      <c r="B3174" s="25" t="s">
        <v>5984</v>
      </c>
      <c r="C3174" t="s">
        <v>20</v>
      </c>
      <c r="D3174" t="s">
        <v>21</v>
      </c>
      <c r="E3174">
        <v>2222222</v>
      </c>
      <c r="F3174" s="8" t="s">
        <v>22</v>
      </c>
      <c r="G3174" s="2">
        <v>98</v>
      </c>
      <c r="H3174" t="s">
        <v>4399</v>
      </c>
      <c r="J3174" s="9" t="s">
        <v>4967</v>
      </c>
      <c r="K3174" t="s">
        <v>4979</v>
      </c>
      <c r="L3174" s="2">
        <v>1</v>
      </c>
      <c r="M3174" s="24" t="s">
        <v>5971</v>
      </c>
      <c r="N3174" s="2" t="s">
        <v>23</v>
      </c>
      <c r="O3174" s="18" t="s">
        <v>2479</v>
      </c>
      <c r="P3174" s="18" t="s">
        <v>3781</v>
      </c>
      <c r="Q3174" s="6" t="s">
        <v>4475</v>
      </c>
      <c r="T3174" s="23">
        <v>45846</v>
      </c>
      <c r="U3174" s="23">
        <v>46394</v>
      </c>
      <c r="X3174" s="20">
        <v>2000</v>
      </c>
      <c r="Z3174" s="6" t="s">
        <v>5978</v>
      </c>
      <c r="AA3174" s="14">
        <f t="shared" ref="AA3174:AA3176" si="426">+(0.6/1000)</f>
        <v>5.9999999999999995E-4</v>
      </c>
      <c r="AB3174">
        <v>0.43437599999999998</v>
      </c>
      <c r="AC3174">
        <v>0.45175103999999999</v>
      </c>
    </row>
    <row r="3175" spans="1:29" x14ac:dyDescent="0.3">
      <c r="A3175">
        <v>151347</v>
      </c>
      <c r="B3175" s="25" t="s">
        <v>5984</v>
      </c>
      <c r="C3175" t="s">
        <v>20</v>
      </c>
      <c r="D3175" t="s">
        <v>21</v>
      </c>
      <c r="E3175">
        <v>2222222</v>
      </c>
      <c r="F3175" s="8" t="s">
        <v>22</v>
      </c>
      <c r="G3175" s="2">
        <v>98</v>
      </c>
      <c r="H3175" t="s">
        <v>4399</v>
      </c>
      <c r="J3175" s="9" t="s">
        <v>4967</v>
      </c>
      <c r="K3175" t="s">
        <v>4979</v>
      </c>
      <c r="L3175" s="2">
        <v>1</v>
      </c>
      <c r="M3175" s="24" t="s">
        <v>5971</v>
      </c>
      <c r="N3175" s="2" t="s">
        <v>23</v>
      </c>
      <c r="O3175" s="18" t="s">
        <v>2479</v>
      </c>
      <c r="P3175" s="18" t="s">
        <v>3781</v>
      </c>
      <c r="Q3175" s="6" t="s">
        <v>4475</v>
      </c>
      <c r="T3175" s="23">
        <v>46157</v>
      </c>
      <c r="U3175" s="23">
        <v>46247</v>
      </c>
      <c r="X3175" s="20">
        <v>500</v>
      </c>
      <c r="Z3175" s="6" t="s">
        <v>5978</v>
      </c>
      <c r="AA3175" s="14">
        <f t="shared" si="426"/>
        <v>5.9999999999999995E-4</v>
      </c>
      <c r="AB3175">
        <v>0.3</v>
      </c>
      <c r="AC3175">
        <v>0.312</v>
      </c>
    </row>
    <row r="3176" spans="1:29" x14ac:dyDescent="0.3">
      <c r="A3176">
        <v>151519</v>
      </c>
      <c r="B3176" s="25" t="s">
        <v>5984</v>
      </c>
      <c r="C3176" t="s">
        <v>20</v>
      </c>
      <c r="D3176" t="s">
        <v>21</v>
      </c>
      <c r="E3176">
        <v>2222222</v>
      </c>
      <c r="F3176" s="8" t="s">
        <v>22</v>
      </c>
      <c r="G3176" s="2">
        <v>98</v>
      </c>
      <c r="H3176" t="s">
        <v>4399</v>
      </c>
      <c r="J3176" s="9" t="s">
        <v>4911</v>
      </c>
      <c r="K3176" t="s">
        <v>4917</v>
      </c>
      <c r="L3176" s="2">
        <v>1</v>
      </c>
      <c r="M3176" s="24" t="s">
        <v>5971</v>
      </c>
      <c r="N3176" s="2" t="s">
        <v>23</v>
      </c>
      <c r="O3176" s="18" t="s">
        <v>1124</v>
      </c>
      <c r="P3176" s="18" t="s">
        <v>3781</v>
      </c>
      <c r="Q3176" s="6" t="s">
        <v>4475</v>
      </c>
      <c r="T3176" s="23">
        <v>46170</v>
      </c>
      <c r="U3176" s="23">
        <v>46260</v>
      </c>
      <c r="X3176" s="20">
        <v>2470</v>
      </c>
      <c r="Z3176" s="6" t="s">
        <v>5978</v>
      </c>
      <c r="AA3176" s="14">
        <f t="shared" si="426"/>
        <v>5.9999999999999995E-4</v>
      </c>
      <c r="AB3176">
        <v>1.4819999999999998</v>
      </c>
      <c r="AC3176">
        <v>1.5412799999999998</v>
      </c>
    </row>
    <row r="3177" spans="1:29" x14ac:dyDescent="0.3">
      <c r="A3177">
        <v>113072</v>
      </c>
      <c r="B3177" s="25" t="s">
        <v>5984</v>
      </c>
      <c r="C3177" t="s">
        <v>20</v>
      </c>
      <c r="D3177" t="s">
        <v>21</v>
      </c>
      <c r="E3177">
        <v>2222222</v>
      </c>
      <c r="F3177" s="8" t="s">
        <v>22</v>
      </c>
      <c r="G3177" s="2">
        <v>98</v>
      </c>
      <c r="H3177" t="s">
        <v>4400</v>
      </c>
      <c r="J3177" s="9" t="s">
        <v>4836</v>
      </c>
      <c r="K3177" t="s">
        <v>5030</v>
      </c>
      <c r="L3177" s="2">
        <v>1</v>
      </c>
      <c r="M3177" s="24" t="s">
        <v>5971</v>
      </c>
      <c r="N3177" s="2" t="s">
        <v>23</v>
      </c>
      <c r="O3177" s="18" t="s">
        <v>2480</v>
      </c>
      <c r="P3177" s="18" t="s">
        <v>3781</v>
      </c>
      <c r="Q3177" s="6" t="s">
        <v>4475</v>
      </c>
      <c r="T3177" s="23">
        <v>43997</v>
      </c>
      <c r="U3177" s="23">
        <v>45097</v>
      </c>
      <c r="X3177" s="20">
        <v>3000</v>
      </c>
      <c r="Z3177" s="6" t="s">
        <v>5978</v>
      </c>
      <c r="AA3177" s="15">
        <f>+(0.42/1000)</f>
        <v>4.1999999999999996E-4</v>
      </c>
      <c r="AB3177">
        <v>1.0369463999999999</v>
      </c>
      <c r="AC3177">
        <v>1.0784242559999999</v>
      </c>
    </row>
    <row r="3178" spans="1:29" x14ac:dyDescent="0.3">
      <c r="A3178">
        <v>140246</v>
      </c>
      <c r="B3178" s="25" t="s">
        <v>5984</v>
      </c>
      <c r="C3178" t="s">
        <v>20</v>
      </c>
      <c r="D3178" t="s">
        <v>21</v>
      </c>
      <c r="E3178">
        <v>2222222</v>
      </c>
      <c r="F3178" s="8" t="s">
        <v>22</v>
      </c>
      <c r="G3178" s="2">
        <v>98</v>
      </c>
      <c r="H3178" t="s">
        <v>4401</v>
      </c>
      <c r="J3178" s="9" t="s">
        <v>5059</v>
      </c>
      <c r="K3178" t="s">
        <v>5291</v>
      </c>
      <c r="L3178" s="2">
        <v>1</v>
      </c>
      <c r="M3178" s="24" t="s">
        <v>5971</v>
      </c>
      <c r="N3178" s="2" t="s">
        <v>23</v>
      </c>
      <c r="O3178" s="18" t="s">
        <v>2481</v>
      </c>
      <c r="P3178" s="18" t="s">
        <v>0</v>
      </c>
      <c r="Q3178" s="6" t="s">
        <v>4475</v>
      </c>
      <c r="T3178" s="23">
        <v>45386</v>
      </c>
      <c r="U3178" s="23">
        <v>46481</v>
      </c>
      <c r="X3178" s="20">
        <v>6500</v>
      </c>
      <c r="Z3178" s="6" t="s">
        <v>5978</v>
      </c>
      <c r="AA3178" s="13">
        <f>+(0.56/1000)</f>
        <v>5.6000000000000006E-4</v>
      </c>
      <c r="AB3178">
        <v>1.0816344000000002</v>
      </c>
      <c r="AC3178">
        <v>1.1248997760000004</v>
      </c>
    </row>
    <row r="3179" spans="1:29" x14ac:dyDescent="0.3">
      <c r="A3179">
        <v>149969</v>
      </c>
      <c r="B3179" s="25" t="s">
        <v>5984</v>
      </c>
      <c r="C3179" t="s">
        <v>20</v>
      </c>
      <c r="D3179" t="s">
        <v>21</v>
      </c>
      <c r="E3179">
        <v>2222222</v>
      </c>
      <c r="F3179" s="8" t="s">
        <v>22</v>
      </c>
      <c r="G3179" s="2">
        <v>98</v>
      </c>
      <c r="H3179" t="s">
        <v>4401</v>
      </c>
      <c r="J3179" s="9" t="s">
        <v>4917</v>
      </c>
      <c r="K3179" t="s">
        <v>5132</v>
      </c>
      <c r="L3179" s="2">
        <v>1</v>
      </c>
      <c r="M3179" s="24" t="s">
        <v>5971</v>
      </c>
      <c r="N3179" s="2" t="s">
        <v>23</v>
      </c>
      <c r="O3179" s="18" t="s">
        <v>2482</v>
      </c>
      <c r="P3179" s="18" t="s">
        <v>3781</v>
      </c>
      <c r="Q3179" s="6" t="s">
        <v>4475</v>
      </c>
      <c r="T3179" s="23">
        <v>46071</v>
      </c>
      <c r="U3179" s="23">
        <v>47169</v>
      </c>
      <c r="X3179" s="20">
        <v>3500</v>
      </c>
      <c r="Z3179" s="6" t="s">
        <v>5978</v>
      </c>
      <c r="AA3179" s="14">
        <f t="shared" ref="AA3179:AA3181" si="427">+(0.6/1000)</f>
        <v>5.9999999999999995E-4</v>
      </c>
      <c r="AB3179">
        <v>1.8685799999999999</v>
      </c>
      <c r="AC3179">
        <v>1.9433232</v>
      </c>
    </row>
    <row r="3180" spans="1:29" x14ac:dyDescent="0.3">
      <c r="A3180">
        <v>150650</v>
      </c>
      <c r="B3180" s="25" t="s">
        <v>5984</v>
      </c>
      <c r="C3180" t="s">
        <v>20</v>
      </c>
      <c r="D3180" t="s">
        <v>21</v>
      </c>
      <c r="E3180">
        <v>2222222</v>
      </c>
      <c r="F3180" s="8" t="s">
        <v>22</v>
      </c>
      <c r="G3180" s="2">
        <v>98</v>
      </c>
      <c r="H3180" t="s">
        <v>4401</v>
      </c>
      <c r="J3180" s="9" t="s">
        <v>4936</v>
      </c>
      <c r="K3180" t="s">
        <v>4485</v>
      </c>
      <c r="L3180" s="2">
        <v>1</v>
      </c>
      <c r="M3180" s="24" t="s">
        <v>5971</v>
      </c>
      <c r="N3180" s="2" t="s">
        <v>23</v>
      </c>
      <c r="O3180" s="18" t="s">
        <v>2483</v>
      </c>
      <c r="P3180" s="18" t="s">
        <v>0</v>
      </c>
      <c r="Q3180" s="6" t="s">
        <v>4475</v>
      </c>
      <c r="T3180" s="23">
        <v>46111</v>
      </c>
      <c r="U3180" s="23">
        <v>47571</v>
      </c>
      <c r="X3180" s="20">
        <v>5000</v>
      </c>
      <c r="Z3180" s="6" t="s">
        <v>5978</v>
      </c>
      <c r="AA3180" s="14">
        <f t="shared" si="427"/>
        <v>5.9999999999999995E-4</v>
      </c>
      <c r="AB3180">
        <v>2.8234439999999998</v>
      </c>
      <c r="AC3180">
        <v>2.9363817599999997</v>
      </c>
    </row>
    <row r="3181" spans="1:29" x14ac:dyDescent="0.3">
      <c r="A3181">
        <v>144533</v>
      </c>
      <c r="B3181" s="25" t="s">
        <v>5984</v>
      </c>
      <c r="C3181" t="s">
        <v>20</v>
      </c>
      <c r="D3181" t="s">
        <v>21</v>
      </c>
      <c r="E3181">
        <v>2222222</v>
      </c>
      <c r="F3181" s="8" t="s">
        <v>22</v>
      </c>
      <c r="G3181" s="2">
        <v>98</v>
      </c>
      <c r="H3181" t="s">
        <v>4402</v>
      </c>
      <c r="J3181" s="9" t="s">
        <v>4908</v>
      </c>
      <c r="K3181" t="s">
        <v>4848</v>
      </c>
      <c r="L3181" s="2">
        <v>1</v>
      </c>
      <c r="M3181" s="24" t="s">
        <v>5971</v>
      </c>
      <c r="N3181" s="2" t="s">
        <v>23</v>
      </c>
      <c r="O3181" s="18" t="s">
        <v>2484</v>
      </c>
      <c r="P3181" s="18" t="s">
        <v>0</v>
      </c>
      <c r="Q3181" s="6" t="s">
        <v>4475</v>
      </c>
      <c r="T3181" s="23">
        <v>45674</v>
      </c>
      <c r="U3181" s="23">
        <v>47499</v>
      </c>
      <c r="X3181" s="20">
        <v>20000</v>
      </c>
      <c r="Z3181" s="6" t="s">
        <v>5978</v>
      </c>
      <c r="AA3181" s="14">
        <f t="shared" si="427"/>
        <v>5.9999999999999995E-4</v>
      </c>
      <c r="AB3181">
        <v>9.2271660000000004</v>
      </c>
      <c r="AC3181">
        <v>9.5962526400000012</v>
      </c>
    </row>
    <row r="3182" spans="1:29" x14ac:dyDescent="0.3">
      <c r="A3182">
        <v>135208</v>
      </c>
      <c r="B3182" s="25" t="s">
        <v>5984</v>
      </c>
      <c r="C3182" t="s">
        <v>20</v>
      </c>
      <c r="D3182" t="s">
        <v>21</v>
      </c>
      <c r="E3182">
        <v>2222222</v>
      </c>
      <c r="F3182" s="8" t="s">
        <v>22</v>
      </c>
      <c r="G3182" s="2">
        <v>98</v>
      </c>
      <c r="H3182" t="s">
        <v>4403</v>
      </c>
      <c r="J3182" s="9" t="s">
        <v>4936</v>
      </c>
      <c r="K3182" t="s">
        <v>4965</v>
      </c>
      <c r="L3182" s="2">
        <v>1</v>
      </c>
      <c r="M3182" s="24" t="s">
        <v>5971</v>
      </c>
      <c r="N3182" s="2" t="s">
        <v>23</v>
      </c>
      <c r="O3182" s="18" t="s">
        <v>2485</v>
      </c>
      <c r="P3182" s="18" t="s">
        <v>0</v>
      </c>
      <c r="Q3182" s="6" t="s">
        <v>4475</v>
      </c>
      <c r="T3182" s="23">
        <v>45099</v>
      </c>
      <c r="U3182" s="23">
        <v>46560</v>
      </c>
      <c r="X3182" s="20">
        <v>5000</v>
      </c>
      <c r="Z3182" s="6" t="s">
        <v>5978</v>
      </c>
      <c r="AA3182" s="13">
        <f>+(0.56/1000)</f>
        <v>5.6000000000000006E-4</v>
      </c>
      <c r="AB3182">
        <v>0.91401520000000014</v>
      </c>
      <c r="AC3182">
        <v>0.95057580800000019</v>
      </c>
    </row>
    <row r="3183" spans="1:29" x14ac:dyDescent="0.3">
      <c r="A3183">
        <v>149735</v>
      </c>
      <c r="B3183" s="25" t="s">
        <v>5984</v>
      </c>
      <c r="C3183" t="s">
        <v>20</v>
      </c>
      <c r="D3183" t="s">
        <v>21</v>
      </c>
      <c r="E3183">
        <v>2222222</v>
      </c>
      <c r="F3183" s="8" t="s">
        <v>22</v>
      </c>
      <c r="G3183" s="2">
        <v>98</v>
      </c>
      <c r="H3183" t="s">
        <v>4403</v>
      </c>
      <c r="J3183" s="9" t="s">
        <v>5422</v>
      </c>
      <c r="K3183" t="s">
        <v>5752</v>
      </c>
      <c r="L3183" s="2">
        <v>1</v>
      </c>
      <c r="M3183" s="24" t="s">
        <v>5971</v>
      </c>
      <c r="N3183" s="2" t="s">
        <v>23</v>
      </c>
      <c r="O3183" s="18" t="s">
        <v>723</v>
      </c>
      <c r="P3183" s="18" t="s">
        <v>3781</v>
      </c>
      <c r="Q3183" s="6" t="s">
        <v>4475</v>
      </c>
      <c r="T3183" s="23">
        <v>46045</v>
      </c>
      <c r="U3183" s="23">
        <v>46956</v>
      </c>
      <c r="X3183" s="20">
        <v>1030</v>
      </c>
      <c r="Z3183" s="6" t="s">
        <v>5978</v>
      </c>
      <c r="AA3183" s="14">
        <f t="shared" ref="AA3183:AA3184" si="428">+(0.6/1000)</f>
        <v>5.9999999999999995E-4</v>
      </c>
      <c r="AB3183">
        <v>0.51385199999999998</v>
      </c>
      <c r="AC3183">
        <v>0.53440608000000001</v>
      </c>
    </row>
    <row r="3184" spans="1:29" x14ac:dyDescent="0.3">
      <c r="A3184">
        <v>151848</v>
      </c>
      <c r="B3184" s="25" t="s">
        <v>5984</v>
      </c>
      <c r="C3184" t="s">
        <v>20</v>
      </c>
      <c r="D3184" t="s">
        <v>21</v>
      </c>
      <c r="E3184">
        <v>2222222</v>
      </c>
      <c r="F3184" s="8" t="s">
        <v>22</v>
      </c>
      <c r="G3184" s="2">
        <v>98</v>
      </c>
      <c r="H3184" t="s">
        <v>4403</v>
      </c>
      <c r="J3184" s="9" t="s">
        <v>5486</v>
      </c>
      <c r="K3184" t="s">
        <v>4904</v>
      </c>
      <c r="L3184" s="2">
        <v>1</v>
      </c>
      <c r="M3184" s="24" t="s">
        <v>5971</v>
      </c>
      <c r="N3184" s="2" t="s">
        <v>23</v>
      </c>
      <c r="O3184" s="18" t="s">
        <v>2486</v>
      </c>
      <c r="P3184" s="18" t="s">
        <v>3781</v>
      </c>
      <c r="Q3184" s="6" t="s">
        <v>4475</v>
      </c>
      <c r="T3184" s="23">
        <v>46211</v>
      </c>
      <c r="U3184" s="23">
        <v>47306</v>
      </c>
      <c r="X3184" s="20">
        <v>6230</v>
      </c>
      <c r="Z3184" s="6" t="s">
        <v>5978</v>
      </c>
      <c r="AA3184" s="14">
        <f t="shared" si="428"/>
        <v>5.9999999999999995E-4</v>
      </c>
      <c r="AB3184">
        <v>3.7379999999999995</v>
      </c>
      <c r="AC3184">
        <v>3.8875199999999999</v>
      </c>
    </row>
    <row r="3185" spans="1:29" x14ac:dyDescent="0.3">
      <c r="A3185">
        <v>3678</v>
      </c>
      <c r="B3185" s="25" t="s">
        <v>5984</v>
      </c>
      <c r="C3185" t="s">
        <v>20</v>
      </c>
      <c r="D3185" t="s">
        <v>21</v>
      </c>
      <c r="E3185">
        <v>2222222</v>
      </c>
      <c r="F3185" s="8" t="s">
        <v>22</v>
      </c>
      <c r="G3185" s="2">
        <v>98</v>
      </c>
      <c r="H3185" t="s">
        <v>4404</v>
      </c>
      <c r="J3185" s="9" t="s">
        <v>5506</v>
      </c>
      <c r="K3185" t="s">
        <v>5048</v>
      </c>
      <c r="L3185" s="2">
        <v>1</v>
      </c>
      <c r="M3185" s="24" t="s">
        <v>5971</v>
      </c>
      <c r="N3185" s="2" t="s">
        <v>23</v>
      </c>
      <c r="O3185" s="18" t="s">
        <v>2402</v>
      </c>
      <c r="P3185" s="18" t="s">
        <v>3781</v>
      </c>
      <c r="Q3185" s="6" t="s">
        <v>4475</v>
      </c>
      <c r="T3185" s="23">
        <v>40350</v>
      </c>
      <c r="U3185" s="23">
        <v>41446</v>
      </c>
      <c r="X3185" s="20">
        <v>2000</v>
      </c>
      <c r="Z3185" s="6" t="s">
        <v>5978</v>
      </c>
      <c r="AA3185" s="16">
        <f>+(0.36/1000)</f>
        <v>3.5999999999999997E-4</v>
      </c>
      <c r="AB3185">
        <v>0.14047199999999999</v>
      </c>
      <c r="AC3185">
        <v>0.14609087999999998</v>
      </c>
    </row>
    <row r="3186" spans="1:29" x14ac:dyDescent="0.3">
      <c r="A3186">
        <v>123694</v>
      </c>
      <c r="B3186" s="25" t="s">
        <v>5984</v>
      </c>
      <c r="C3186" t="s">
        <v>20</v>
      </c>
      <c r="D3186" t="s">
        <v>21</v>
      </c>
      <c r="E3186">
        <v>2222222</v>
      </c>
      <c r="F3186" s="8" t="s">
        <v>22</v>
      </c>
      <c r="G3186" s="2">
        <v>98</v>
      </c>
      <c r="H3186" t="s">
        <v>4405</v>
      </c>
      <c r="J3186" s="9" t="s">
        <v>4901</v>
      </c>
      <c r="K3186" t="s">
        <v>5421</v>
      </c>
      <c r="L3186" s="2">
        <v>1</v>
      </c>
      <c r="M3186" s="24" t="s">
        <v>5971</v>
      </c>
      <c r="N3186" s="2" t="s">
        <v>23</v>
      </c>
      <c r="O3186" s="18" t="s">
        <v>2487</v>
      </c>
      <c r="P3186" s="18" t="s">
        <v>0</v>
      </c>
      <c r="Q3186" s="6" t="s">
        <v>4475</v>
      </c>
      <c r="T3186" s="23">
        <v>44490</v>
      </c>
      <c r="U3186" s="23">
        <v>46680</v>
      </c>
      <c r="X3186" s="20">
        <v>14000</v>
      </c>
      <c r="Z3186" s="6" t="s">
        <v>5978</v>
      </c>
      <c r="AA3186" s="15">
        <f t="shared" ref="AA3186:AA3190" si="429">+(0.42/1000)</f>
        <v>4.1999999999999996E-4</v>
      </c>
      <c r="AB3186">
        <v>1.7274474</v>
      </c>
      <c r="AC3186">
        <v>1.7965452960000001</v>
      </c>
    </row>
    <row r="3187" spans="1:29" x14ac:dyDescent="0.3">
      <c r="A3187">
        <v>124363</v>
      </c>
      <c r="B3187" s="25" t="s">
        <v>5984</v>
      </c>
      <c r="C3187" t="s">
        <v>20</v>
      </c>
      <c r="D3187" t="s">
        <v>21</v>
      </c>
      <c r="E3187">
        <v>2222222</v>
      </c>
      <c r="F3187" s="8" t="s">
        <v>22</v>
      </c>
      <c r="G3187" s="2">
        <v>98</v>
      </c>
      <c r="H3187" t="s">
        <v>4405</v>
      </c>
      <c r="J3187" s="9" t="s">
        <v>5373</v>
      </c>
      <c r="K3187" t="s">
        <v>4845</v>
      </c>
      <c r="L3187" s="2">
        <v>1</v>
      </c>
      <c r="M3187" s="24" t="s">
        <v>5971</v>
      </c>
      <c r="N3187" s="2" t="s">
        <v>23</v>
      </c>
      <c r="O3187" s="18" t="s">
        <v>2488</v>
      </c>
      <c r="P3187" s="18" t="s">
        <v>3781</v>
      </c>
      <c r="Q3187" s="6" t="s">
        <v>4475</v>
      </c>
      <c r="T3187" s="23">
        <v>44531</v>
      </c>
      <c r="U3187" s="23">
        <v>47180</v>
      </c>
      <c r="X3187" s="20">
        <v>70000</v>
      </c>
      <c r="Z3187" s="6" t="s">
        <v>5978</v>
      </c>
      <c r="AA3187" s="15">
        <f t="shared" si="429"/>
        <v>4.1999999999999996E-4</v>
      </c>
      <c r="AB3187">
        <v>15.164549399999999</v>
      </c>
      <c r="AC3187">
        <v>15.771131376</v>
      </c>
    </row>
    <row r="3188" spans="1:29" x14ac:dyDescent="0.3">
      <c r="A3188">
        <v>125011</v>
      </c>
      <c r="B3188" s="25" t="s">
        <v>5984</v>
      </c>
      <c r="C3188" t="s">
        <v>20</v>
      </c>
      <c r="D3188" t="s">
        <v>21</v>
      </c>
      <c r="E3188">
        <v>2222222</v>
      </c>
      <c r="F3188" s="8" t="s">
        <v>22</v>
      </c>
      <c r="G3188" s="2">
        <v>98</v>
      </c>
      <c r="H3188" t="s">
        <v>4405</v>
      </c>
      <c r="J3188" s="9" t="s">
        <v>4929</v>
      </c>
      <c r="K3188" t="s">
        <v>4870</v>
      </c>
      <c r="L3188" s="2">
        <v>1</v>
      </c>
      <c r="M3188" s="24" t="s">
        <v>5971</v>
      </c>
      <c r="N3188" s="2" t="s">
        <v>23</v>
      </c>
      <c r="O3188" s="18" t="s">
        <v>2489</v>
      </c>
      <c r="P3188" s="18" t="s">
        <v>0</v>
      </c>
      <c r="Q3188" s="6" t="s">
        <v>4475</v>
      </c>
      <c r="T3188" s="23">
        <v>44558</v>
      </c>
      <c r="U3188" s="23">
        <v>46756</v>
      </c>
      <c r="X3188" s="20">
        <v>15000</v>
      </c>
      <c r="Z3188" s="6" t="s">
        <v>5978</v>
      </c>
      <c r="AA3188" s="15">
        <f t="shared" si="429"/>
        <v>4.1999999999999996E-4</v>
      </c>
      <c r="AB3188">
        <v>2.2545053999999998</v>
      </c>
      <c r="AC3188">
        <v>2.344685616</v>
      </c>
    </row>
    <row r="3189" spans="1:29" x14ac:dyDescent="0.3">
      <c r="A3189">
        <v>126106</v>
      </c>
      <c r="B3189" s="25" t="s">
        <v>5984</v>
      </c>
      <c r="C3189" t="s">
        <v>20</v>
      </c>
      <c r="D3189" t="s">
        <v>21</v>
      </c>
      <c r="E3189">
        <v>2222222</v>
      </c>
      <c r="F3189" s="8" t="s">
        <v>22</v>
      </c>
      <c r="G3189" s="2">
        <v>98</v>
      </c>
      <c r="H3189" t="s">
        <v>4405</v>
      </c>
      <c r="J3189" s="9" t="s">
        <v>5063</v>
      </c>
      <c r="K3189" t="s">
        <v>4980</v>
      </c>
      <c r="L3189" s="2">
        <v>1</v>
      </c>
      <c r="M3189" s="24" t="s">
        <v>5971</v>
      </c>
      <c r="N3189" s="2" t="s">
        <v>23</v>
      </c>
      <c r="O3189" s="18" t="s">
        <v>792</v>
      </c>
      <c r="P3189" s="18" t="s">
        <v>0</v>
      </c>
      <c r="Q3189" s="6" t="s">
        <v>4475</v>
      </c>
      <c r="T3189" s="23">
        <v>44602</v>
      </c>
      <c r="U3189" s="23">
        <v>45700</v>
      </c>
      <c r="X3189" s="20">
        <v>2300</v>
      </c>
      <c r="Z3189" s="6" t="s">
        <v>5978</v>
      </c>
      <c r="AA3189" s="15">
        <f t="shared" si="429"/>
        <v>4.1999999999999996E-4</v>
      </c>
      <c r="AB3189">
        <v>0.81015059999999994</v>
      </c>
      <c r="AC3189">
        <v>0.84255662399999998</v>
      </c>
    </row>
    <row r="3190" spans="1:29" x14ac:dyDescent="0.3">
      <c r="A3190">
        <v>128435</v>
      </c>
      <c r="B3190" s="25" t="s">
        <v>5984</v>
      </c>
      <c r="C3190" t="s">
        <v>20</v>
      </c>
      <c r="D3190" t="s">
        <v>21</v>
      </c>
      <c r="E3190">
        <v>2222222</v>
      </c>
      <c r="F3190" s="8" t="s">
        <v>22</v>
      </c>
      <c r="G3190" s="2">
        <v>98</v>
      </c>
      <c r="H3190" t="s">
        <v>4405</v>
      </c>
      <c r="J3190" s="9" t="s">
        <v>5237</v>
      </c>
      <c r="K3190" t="s">
        <v>5118</v>
      </c>
      <c r="L3190" s="2">
        <v>1</v>
      </c>
      <c r="M3190" s="24" t="s">
        <v>5971</v>
      </c>
      <c r="N3190" s="2" t="s">
        <v>23</v>
      </c>
      <c r="O3190" s="18" t="s">
        <v>2490</v>
      </c>
      <c r="P3190" s="18" t="s">
        <v>3781</v>
      </c>
      <c r="Q3190" s="6" t="s">
        <v>4475</v>
      </c>
      <c r="T3190" s="23">
        <v>44771</v>
      </c>
      <c r="U3190" s="23">
        <v>46596</v>
      </c>
      <c r="X3190" s="20">
        <v>45000</v>
      </c>
      <c r="Z3190" s="6" t="s">
        <v>5978</v>
      </c>
      <c r="AA3190" s="15">
        <f t="shared" si="429"/>
        <v>4.1999999999999996E-4</v>
      </c>
      <c r="AB3190">
        <v>4.9170113999999998</v>
      </c>
      <c r="AC3190">
        <v>5.113691856</v>
      </c>
    </row>
    <row r="3191" spans="1:29" x14ac:dyDescent="0.3">
      <c r="A3191">
        <v>129833</v>
      </c>
      <c r="B3191" s="25" t="s">
        <v>5984</v>
      </c>
      <c r="C3191" t="s">
        <v>20</v>
      </c>
      <c r="D3191" t="s">
        <v>21</v>
      </c>
      <c r="E3191">
        <v>2222222</v>
      </c>
      <c r="F3191" s="8" t="s">
        <v>22</v>
      </c>
      <c r="G3191" s="2">
        <v>98</v>
      </c>
      <c r="H3191" t="s">
        <v>4405</v>
      </c>
      <c r="J3191" s="9" t="s">
        <v>4924</v>
      </c>
      <c r="K3191" t="s">
        <v>4863</v>
      </c>
      <c r="L3191" s="2">
        <v>1</v>
      </c>
      <c r="M3191" s="24" t="s">
        <v>5971</v>
      </c>
      <c r="N3191" s="2" t="s">
        <v>23</v>
      </c>
      <c r="O3191" s="18" t="s">
        <v>2491</v>
      </c>
      <c r="P3191" s="18" t="s">
        <v>3781</v>
      </c>
      <c r="Q3191" s="6" t="s">
        <v>4475</v>
      </c>
      <c r="T3191" s="23">
        <v>44812</v>
      </c>
      <c r="U3191" s="23">
        <v>46273</v>
      </c>
      <c r="X3191" s="20">
        <v>35000</v>
      </c>
      <c r="Z3191" s="6" t="s">
        <v>5978</v>
      </c>
      <c r="AA3191" s="13">
        <f t="shared" ref="AA3191:AA3203" si="430">+(0.56/1000)</f>
        <v>5.6000000000000006E-4</v>
      </c>
      <c r="AB3191">
        <v>1.0946096000000001</v>
      </c>
      <c r="AC3191">
        <v>1.1383939840000001</v>
      </c>
    </row>
    <row r="3192" spans="1:29" x14ac:dyDescent="0.3">
      <c r="A3192">
        <v>130773</v>
      </c>
      <c r="B3192" s="25" t="s">
        <v>5984</v>
      </c>
      <c r="C3192" t="s">
        <v>20</v>
      </c>
      <c r="D3192" t="s">
        <v>21</v>
      </c>
      <c r="E3192">
        <v>2222222</v>
      </c>
      <c r="F3192" s="8" t="s">
        <v>22</v>
      </c>
      <c r="G3192" s="2">
        <v>98</v>
      </c>
      <c r="H3192" t="s">
        <v>4405</v>
      </c>
      <c r="J3192" s="9" t="s">
        <v>5204</v>
      </c>
      <c r="K3192" t="s">
        <v>5753</v>
      </c>
      <c r="L3192" s="2">
        <v>1</v>
      </c>
      <c r="M3192" s="24" t="s">
        <v>5971</v>
      </c>
      <c r="N3192" s="2" t="s">
        <v>23</v>
      </c>
      <c r="O3192" s="18" t="s">
        <v>2492</v>
      </c>
      <c r="P3192" s="18" t="s">
        <v>0</v>
      </c>
      <c r="Q3192" s="6" t="s">
        <v>4475</v>
      </c>
      <c r="T3192" s="23">
        <v>45189</v>
      </c>
      <c r="U3192" s="23">
        <v>47016</v>
      </c>
      <c r="X3192" s="20">
        <v>32700</v>
      </c>
      <c r="Z3192" s="6" t="s">
        <v>5978</v>
      </c>
      <c r="AA3192" s="13">
        <f t="shared" si="430"/>
        <v>5.6000000000000006E-4</v>
      </c>
      <c r="AB3192">
        <v>9.7570256000000004</v>
      </c>
      <c r="AC3192">
        <v>10.147306624</v>
      </c>
    </row>
    <row r="3193" spans="1:29" x14ac:dyDescent="0.3">
      <c r="A3193">
        <v>131128</v>
      </c>
      <c r="B3193" s="25" t="s">
        <v>5984</v>
      </c>
      <c r="C3193" t="s">
        <v>20</v>
      </c>
      <c r="D3193" t="s">
        <v>21</v>
      </c>
      <c r="E3193">
        <v>2222222</v>
      </c>
      <c r="F3193" s="8" t="s">
        <v>22</v>
      </c>
      <c r="G3193" s="2">
        <v>98</v>
      </c>
      <c r="H3193" t="s">
        <v>4405</v>
      </c>
      <c r="J3193" s="9" t="s">
        <v>4929</v>
      </c>
      <c r="K3193" t="s">
        <v>4852</v>
      </c>
      <c r="L3193" s="2">
        <v>1</v>
      </c>
      <c r="M3193" s="24" t="s">
        <v>5971</v>
      </c>
      <c r="N3193" s="2" t="s">
        <v>23</v>
      </c>
      <c r="O3193" s="18" t="s">
        <v>2493</v>
      </c>
      <c r="P3193" s="18" t="s">
        <v>0</v>
      </c>
      <c r="Q3193" s="6" t="s">
        <v>4475</v>
      </c>
      <c r="T3193" s="23">
        <v>44874</v>
      </c>
      <c r="U3193" s="23">
        <v>45970</v>
      </c>
      <c r="X3193" s="20">
        <v>4000</v>
      </c>
      <c r="Z3193" s="6" t="s">
        <v>5978</v>
      </c>
      <c r="AA3193" s="13">
        <f t="shared" si="430"/>
        <v>5.6000000000000006E-4</v>
      </c>
      <c r="AB3193">
        <v>0.60738159999999997</v>
      </c>
      <c r="AC3193">
        <v>0.631676864</v>
      </c>
    </row>
    <row r="3194" spans="1:29" x14ac:dyDescent="0.3">
      <c r="A3194">
        <v>132999</v>
      </c>
      <c r="B3194" s="25" t="s">
        <v>5984</v>
      </c>
      <c r="C3194" t="s">
        <v>20</v>
      </c>
      <c r="D3194" t="s">
        <v>21</v>
      </c>
      <c r="E3194">
        <v>2222222</v>
      </c>
      <c r="F3194" s="8" t="s">
        <v>22</v>
      </c>
      <c r="G3194" s="2">
        <v>98</v>
      </c>
      <c r="H3194" t="s">
        <v>4405</v>
      </c>
      <c r="J3194" s="9" t="s">
        <v>5754</v>
      </c>
      <c r="K3194" t="s">
        <v>4904</v>
      </c>
      <c r="L3194" s="2">
        <v>1</v>
      </c>
      <c r="M3194" s="24" t="s">
        <v>5971</v>
      </c>
      <c r="N3194" s="2" t="s">
        <v>23</v>
      </c>
      <c r="O3194" s="18" t="s">
        <v>2494</v>
      </c>
      <c r="P3194" s="18" t="s">
        <v>3781</v>
      </c>
      <c r="Q3194" s="6" t="s">
        <v>4475</v>
      </c>
      <c r="T3194" s="23">
        <v>44970</v>
      </c>
      <c r="U3194" s="23">
        <v>46433</v>
      </c>
      <c r="X3194" s="20">
        <v>5000</v>
      </c>
      <c r="Z3194" s="6" t="s">
        <v>5978</v>
      </c>
      <c r="AA3194" s="13">
        <f t="shared" si="430"/>
        <v>5.6000000000000006E-4</v>
      </c>
      <c r="AB3194">
        <v>0.6299608000000001</v>
      </c>
      <c r="AC3194">
        <v>0.65515923200000015</v>
      </c>
    </row>
    <row r="3195" spans="1:29" x14ac:dyDescent="0.3">
      <c r="A3195">
        <v>133410</v>
      </c>
      <c r="B3195" s="25" t="s">
        <v>5984</v>
      </c>
      <c r="C3195" t="s">
        <v>20</v>
      </c>
      <c r="D3195" t="s">
        <v>21</v>
      </c>
      <c r="E3195">
        <v>2222222</v>
      </c>
      <c r="F3195" s="8" t="s">
        <v>22</v>
      </c>
      <c r="G3195" s="2">
        <v>98</v>
      </c>
      <c r="H3195" t="s">
        <v>4405</v>
      </c>
      <c r="J3195" s="9" t="s">
        <v>5277</v>
      </c>
      <c r="K3195" t="s">
        <v>4926</v>
      </c>
      <c r="L3195" s="2">
        <v>1</v>
      </c>
      <c r="M3195" s="24" t="s">
        <v>5971</v>
      </c>
      <c r="N3195" s="2" t="s">
        <v>23</v>
      </c>
      <c r="O3195" s="18" t="s">
        <v>2495</v>
      </c>
      <c r="P3195" s="18" t="s">
        <v>3781</v>
      </c>
      <c r="Q3195" s="6" t="s">
        <v>4475</v>
      </c>
      <c r="T3195" s="23">
        <v>44995</v>
      </c>
      <c r="U3195" s="23">
        <v>46455</v>
      </c>
      <c r="X3195" s="20">
        <v>5000</v>
      </c>
      <c r="Z3195" s="6" t="s">
        <v>5978</v>
      </c>
      <c r="AA3195" s="13">
        <f t="shared" si="430"/>
        <v>5.6000000000000006E-4</v>
      </c>
      <c r="AB3195">
        <v>0.62834240000000008</v>
      </c>
      <c r="AC3195">
        <v>0.65347609600000012</v>
      </c>
    </row>
    <row r="3196" spans="1:29" x14ac:dyDescent="0.3">
      <c r="A3196">
        <v>133501</v>
      </c>
      <c r="B3196" s="25" t="s">
        <v>5984</v>
      </c>
      <c r="C3196" t="s">
        <v>20</v>
      </c>
      <c r="D3196" t="s">
        <v>21</v>
      </c>
      <c r="E3196">
        <v>2222222</v>
      </c>
      <c r="F3196" s="8" t="s">
        <v>22</v>
      </c>
      <c r="G3196" s="2">
        <v>98</v>
      </c>
      <c r="H3196" t="s">
        <v>4405</v>
      </c>
      <c r="J3196" s="9" t="s">
        <v>4832</v>
      </c>
      <c r="L3196" s="2">
        <v>1</v>
      </c>
      <c r="M3196" s="24" t="s">
        <v>5971</v>
      </c>
      <c r="N3196" s="2" t="s">
        <v>23</v>
      </c>
      <c r="O3196" s="18" t="s">
        <v>2496</v>
      </c>
      <c r="P3196" s="18" t="s">
        <v>3781</v>
      </c>
      <c r="Q3196" s="6" t="s">
        <v>4475</v>
      </c>
      <c r="T3196" s="23">
        <v>45008</v>
      </c>
      <c r="U3196" s="23">
        <v>46468</v>
      </c>
      <c r="X3196" s="20">
        <v>8000</v>
      </c>
      <c r="Z3196" s="6" t="s">
        <v>5978</v>
      </c>
      <c r="AA3196" s="13">
        <f t="shared" si="430"/>
        <v>5.6000000000000006E-4</v>
      </c>
      <c r="AB3196">
        <v>0.96260640000000008</v>
      </c>
      <c r="AC3196">
        <v>1.001110656</v>
      </c>
    </row>
    <row r="3197" spans="1:29" x14ac:dyDescent="0.3">
      <c r="A3197">
        <v>134090</v>
      </c>
      <c r="B3197" s="25" t="s">
        <v>5984</v>
      </c>
      <c r="C3197" t="s">
        <v>20</v>
      </c>
      <c r="D3197" t="s">
        <v>21</v>
      </c>
      <c r="E3197">
        <v>2222222</v>
      </c>
      <c r="F3197" s="8" t="s">
        <v>22</v>
      </c>
      <c r="G3197" s="2">
        <v>98</v>
      </c>
      <c r="H3197" t="s">
        <v>4405</v>
      </c>
      <c r="J3197" s="9" t="s">
        <v>4951</v>
      </c>
      <c r="K3197" t="s">
        <v>4961</v>
      </c>
      <c r="L3197" s="2">
        <v>1</v>
      </c>
      <c r="M3197" s="24" t="s">
        <v>5971</v>
      </c>
      <c r="N3197" s="2" t="s">
        <v>23</v>
      </c>
      <c r="O3197" s="18" t="s">
        <v>1589</v>
      </c>
      <c r="P3197" s="18" t="s">
        <v>0</v>
      </c>
      <c r="Q3197" s="6" t="s">
        <v>4475</v>
      </c>
      <c r="T3197" s="23">
        <v>45036</v>
      </c>
      <c r="U3197" s="23">
        <v>46588</v>
      </c>
      <c r="X3197" s="20">
        <v>15000</v>
      </c>
      <c r="Z3197" s="6" t="s">
        <v>5978</v>
      </c>
      <c r="AA3197" s="13">
        <f t="shared" si="430"/>
        <v>5.6000000000000006E-4</v>
      </c>
      <c r="AB3197">
        <v>3.6160936000000006</v>
      </c>
      <c r="AC3197">
        <v>3.7607373440000007</v>
      </c>
    </row>
    <row r="3198" spans="1:29" x14ac:dyDescent="0.3">
      <c r="A3198">
        <v>136168</v>
      </c>
      <c r="B3198" s="25" t="s">
        <v>5984</v>
      </c>
      <c r="C3198" t="s">
        <v>20</v>
      </c>
      <c r="D3198" t="s">
        <v>21</v>
      </c>
      <c r="E3198">
        <v>2222222</v>
      </c>
      <c r="F3198" s="8" t="s">
        <v>22</v>
      </c>
      <c r="G3198" s="2">
        <v>98</v>
      </c>
      <c r="H3198" t="s">
        <v>4405</v>
      </c>
      <c r="J3198" s="9" t="s">
        <v>4981</v>
      </c>
      <c r="K3198" t="s">
        <v>5083</v>
      </c>
      <c r="L3198" s="2">
        <v>1</v>
      </c>
      <c r="M3198" s="24" t="s">
        <v>5971</v>
      </c>
      <c r="N3198" s="2" t="s">
        <v>23</v>
      </c>
      <c r="O3198" s="18" t="s">
        <v>2497</v>
      </c>
      <c r="P3198" s="18" t="s">
        <v>3781</v>
      </c>
      <c r="Q3198" s="6" t="s">
        <v>4475</v>
      </c>
      <c r="T3198" s="23">
        <v>45158</v>
      </c>
      <c r="U3198" s="23">
        <v>46253</v>
      </c>
      <c r="X3198" s="20">
        <v>4000</v>
      </c>
      <c r="Z3198" s="6" t="s">
        <v>5978</v>
      </c>
      <c r="AA3198" s="13">
        <f t="shared" si="430"/>
        <v>5.6000000000000006E-4</v>
      </c>
      <c r="AB3198">
        <v>0.23641520000000005</v>
      </c>
      <c r="AC3198">
        <v>0.24587180800000005</v>
      </c>
    </row>
    <row r="3199" spans="1:29" x14ac:dyDescent="0.3">
      <c r="A3199">
        <v>136882</v>
      </c>
      <c r="B3199" s="25" t="s">
        <v>5984</v>
      </c>
      <c r="C3199" t="s">
        <v>20</v>
      </c>
      <c r="D3199" t="s">
        <v>21</v>
      </c>
      <c r="E3199">
        <v>2222222</v>
      </c>
      <c r="F3199" s="8" t="s">
        <v>22</v>
      </c>
      <c r="G3199" s="2">
        <v>98</v>
      </c>
      <c r="H3199" t="s">
        <v>4405</v>
      </c>
      <c r="J3199" s="9" t="s">
        <v>4988</v>
      </c>
      <c r="K3199" t="s">
        <v>5010</v>
      </c>
      <c r="L3199" s="2">
        <v>1</v>
      </c>
      <c r="M3199" s="24" t="s">
        <v>5971</v>
      </c>
      <c r="N3199" s="2" t="s">
        <v>23</v>
      </c>
      <c r="O3199" s="18" t="s">
        <v>2498</v>
      </c>
      <c r="P3199" s="18" t="s">
        <v>0</v>
      </c>
      <c r="Q3199" s="6" t="s">
        <v>4475</v>
      </c>
      <c r="T3199" s="23">
        <v>45195</v>
      </c>
      <c r="U3199" s="23">
        <v>46291</v>
      </c>
      <c r="X3199" s="20">
        <v>2300</v>
      </c>
      <c r="Z3199" s="6" t="s">
        <v>5978</v>
      </c>
      <c r="AA3199" s="13">
        <f t="shared" si="430"/>
        <v>5.6000000000000006E-4</v>
      </c>
      <c r="AB3199">
        <v>9.1705599999999998E-2</v>
      </c>
      <c r="AC3199">
        <v>9.5373823999999996E-2</v>
      </c>
    </row>
    <row r="3200" spans="1:29" x14ac:dyDescent="0.3">
      <c r="A3200">
        <v>137527</v>
      </c>
      <c r="B3200" s="25" t="s">
        <v>5984</v>
      </c>
      <c r="C3200" t="s">
        <v>20</v>
      </c>
      <c r="D3200" t="s">
        <v>21</v>
      </c>
      <c r="E3200">
        <v>2222222</v>
      </c>
      <c r="F3200" s="8" t="s">
        <v>22</v>
      </c>
      <c r="G3200" s="2">
        <v>98</v>
      </c>
      <c r="H3200" t="s">
        <v>4405</v>
      </c>
      <c r="J3200" s="9" t="s">
        <v>4951</v>
      </c>
      <c r="K3200" t="s">
        <v>4961</v>
      </c>
      <c r="L3200" s="2">
        <v>1</v>
      </c>
      <c r="M3200" s="24" t="s">
        <v>5971</v>
      </c>
      <c r="N3200" s="2" t="s">
        <v>23</v>
      </c>
      <c r="O3200" s="18" t="s">
        <v>1589</v>
      </c>
      <c r="P3200" s="18" t="s">
        <v>0</v>
      </c>
      <c r="Q3200" s="6" t="s">
        <v>4475</v>
      </c>
      <c r="T3200" s="23">
        <v>45226</v>
      </c>
      <c r="U3200" s="23">
        <v>46327</v>
      </c>
      <c r="X3200" s="20">
        <v>3000</v>
      </c>
      <c r="Z3200" s="6" t="s">
        <v>5978</v>
      </c>
      <c r="AA3200" s="13">
        <f t="shared" si="430"/>
        <v>5.6000000000000006E-4</v>
      </c>
      <c r="AB3200">
        <v>0.80906000000000011</v>
      </c>
      <c r="AC3200">
        <v>0.84142240000000013</v>
      </c>
    </row>
    <row r="3201" spans="1:29" x14ac:dyDescent="0.3">
      <c r="A3201">
        <v>138722</v>
      </c>
      <c r="B3201" s="25" t="s">
        <v>5984</v>
      </c>
      <c r="C3201" t="s">
        <v>20</v>
      </c>
      <c r="D3201" t="s">
        <v>21</v>
      </c>
      <c r="E3201">
        <v>2222222</v>
      </c>
      <c r="F3201" s="8" t="s">
        <v>22</v>
      </c>
      <c r="G3201" s="2">
        <v>98</v>
      </c>
      <c r="H3201" t="s">
        <v>4405</v>
      </c>
      <c r="J3201" s="9" t="s">
        <v>5241</v>
      </c>
      <c r="K3201" t="s">
        <v>5484</v>
      </c>
      <c r="L3201" s="2">
        <v>1</v>
      </c>
      <c r="M3201" s="24" t="s">
        <v>5971</v>
      </c>
      <c r="N3201" s="2" t="s">
        <v>23</v>
      </c>
      <c r="O3201" s="18" t="s">
        <v>2499</v>
      </c>
      <c r="P3201" s="18" t="s">
        <v>0</v>
      </c>
      <c r="Q3201" s="6" t="s">
        <v>4475</v>
      </c>
      <c r="T3201" s="23">
        <v>45294</v>
      </c>
      <c r="U3201" s="23">
        <v>47120</v>
      </c>
      <c r="X3201" s="20">
        <v>5000</v>
      </c>
      <c r="Z3201" s="6" t="s">
        <v>5978</v>
      </c>
      <c r="AA3201" s="13">
        <f t="shared" si="430"/>
        <v>5.6000000000000006E-4</v>
      </c>
      <c r="AB3201">
        <v>1.6510088000000003</v>
      </c>
      <c r="AC3201">
        <v>1.7170491520000004</v>
      </c>
    </row>
    <row r="3202" spans="1:29" x14ac:dyDescent="0.3">
      <c r="A3202">
        <v>139013</v>
      </c>
      <c r="B3202" s="25" t="s">
        <v>5984</v>
      </c>
      <c r="C3202" t="s">
        <v>20</v>
      </c>
      <c r="D3202" t="s">
        <v>21</v>
      </c>
      <c r="E3202">
        <v>2222222</v>
      </c>
      <c r="F3202" s="8" t="s">
        <v>22</v>
      </c>
      <c r="G3202" s="2">
        <v>98</v>
      </c>
      <c r="H3202" t="s">
        <v>4405</v>
      </c>
      <c r="J3202" s="9" t="s">
        <v>5754</v>
      </c>
      <c r="K3202" t="s">
        <v>4904</v>
      </c>
      <c r="L3202" s="2">
        <v>1</v>
      </c>
      <c r="M3202" s="24" t="s">
        <v>5971</v>
      </c>
      <c r="N3202" s="2" t="s">
        <v>23</v>
      </c>
      <c r="O3202" s="18" t="s">
        <v>2494</v>
      </c>
      <c r="P3202" s="18" t="s">
        <v>3781</v>
      </c>
      <c r="Q3202" s="6" t="s">
        <v>4475</v>
      </c>
      <c r="T3202" s="23">
        <v>45310</v>
      </c>
      <c r="U3202" s="23">
        <v>46770</v>
      </c>
      <c r="X3202" s="20">
        <v>4100</v>
      </c>
      <c r="Z3202" s="6" t="s">
        <v>5978</v>
      </c>
      <c r="AA3202" s="13">
        <f t="shared" si="430"/>
        <v>5.6000000000000006E-4</v>
      </c>
      <c r="AB3202">
        <v>1.07576</v>
      </c>
      <c r="AC3202">
        <v>1.1187904000000002</v>
      </c>
    </row>
    <row r="3203" spans="1:29" x14ac:dyDescent="0.3">
      <c r="A3203">
        <v>139587</v>
      </c>
      <c r="B3203" s="25" t="s">
        <v>5984</v>
      </c>
      <c r="C3203" t="s">
        <v>20</v>
      </c>
      <c r="D3203" t="s">
        <v>21</v>
      </c>
      <c r="E3203">
        <v>2222222</v>
      </c>
      <c r="F3203" s="8" t="s">
        <v>22</v>
      </c>
      <c r="G3203" s="2">
        <v>98</v>
      </c>
      <c r="H3203" t="s">
        <v>4405</v>
      </c>
      <c r="J3203" s="9" t="s">
        <v>5234</v>
      </c>
      <c r="K3203" t="s">
        <v>5460</v>
      </c>
      <c r="L3203" s="2">
        <v>1</v>
      </c>
      <c r="M3203" s="24" t="s">
        <v>5971</v>
      </c>
      <c r="N3203" s="2" t="s">
        <v>23</v>
      </c>
      <c r="O3203" s="18" t="s">
        <v>2500</v>
      </c>
      <c r="P3203" s="18" t="s">
        <v>0</v>
      </c>
      <c r="Q3203" s="6" t="s">
        <v>4475</v>
      </c>
      <c r="T3203" s="23">
        <v>45340</v>
      </c>
      <c r="U3203" s="23">
        <v>46437</v>
      </c>
      <c r="X3203" s="20">
        <v>5000</v>
      </c>
      <c r="Z3203" s="6" t="s">
        <v>5978</v>
      </c>
      <c r="AA3203" s="13">
        <f t="shared" si="430"/>
        <v>5.6000000000000006E-4</v>
      </c>
      <c r="AB3203">
        <v>0.67782400000000009</v>
      </c>
      <c r="AC3203">
        <v>0.70493696000000017</v>
      </c>
    </row>
    <row r="3204" spans="1:29" x14ac:dyDescent="0.3">
      <c r="A3204">
        <v>140316</v>
      </c>
      <c r="B3204" s="25" t="s">
        <v>5984</v>
      </c>
      <c r="C3204" t="s">
        <v>20</v>
      </c>
      <c r="D3204" t="s">
        <v>21</v>
      </c>
      <c r="E3204">
        <v>2222222</v>
      </c>
      <c r="F3204" s="8" t="s">
        <v>22</v>
      </c>
      <c r="G3204" s="2">
        <v>98</v>
      </c>
      <c r="H3204" t="s">
        <v>4405</v>
      </c>
      <c r="J3204" s="9" t="s">
        <v>5152</v>
      </c>
      <c r="K3204" t="s">
        <v>5520</v>
      </c>
      <c r="L3204" s="2">
        <v>1</v>
      </c>
      <c r="M3204" s="24" t="s">
        <v>5971</v>
      </c>
      <c r="N3204" s="2" t="s">
        <v>23</v>
      </c>
      <c r="O3204" s="18" t="s">
        <v>2501</v>
      </c>
      <c r="P3204" s="18" t="s">
        <v>3781</v>
      </c>
      <c r="Q3204" s="6" t="s">
        <v>4475</v>
      </c>
      <c r="T3204" s="23">
        <v>45421</v>
      </c>
      <c r="U3204" s="23">
        <v>46881</v>
      </c>
      <c r="X3204" s="20">
        <v>100000</v>
      </c>
      <c r="Z3204" s="6" t="s">
        <v>5978</v>
      </c>
      <c r="AA3204" s="14">
        <f t="shared" ref="AA3204:AA3267" si="431">+(0.6/1000)</f>
        <v>5.9999999999999995E-4</v>
      </c>
      <c r="AB3204">
        <v>31.695930000000001</v>
      </c>
      <c r="AC3204">
        <v>32.963767199999999</v>
      </c>
    </row>
    <row r="3205" spans="1:29" x14ac:dyDescent="0.3">
      <c r="A3205">
        <v>141520</v>
      </c>
      <c r="B3205" s="25" t="s">
        <v>5984</v>
      </c>
      <c r="C3205" t="s">
        <v>20</v>
      </c>
      <c r="D3205" t="s">
        <v>21</v>
      </c>
      <c r="E3205">
        <v>2222222</v>
      </c>
      <c r="F3205" s="8" t="s">
        <v>22</v>
      </c>
      <c r="G3205" s="2">
        <v>98</v>
      </c>
      <c r="H3205" t="s">
        <v>4405</v>
      </c>
      <c r="J3205" s="9" t="s">
        <v>5093</v>
      </c>
      <c r="K3205" t="s">
        <v>4907</v>
      </c>
      <c r="L3205" s="2">
        <v>1</v>
      </c>
      <c r="M3205" s="24" t="s">
        <v>5971</v>
      </c>
      <c r="N3205" s="2" t="s">
        <v>23</v>
      </c>
      <c r="O3205" s="18" t="s">
        <v>2502</v>
      </c>
      <c r="P3205" s="18" t="s">
        <v>3781</v>
      </c>
      <c r="Q3205" s="6" t="s">
        <v>4475</v>
      </c>
      <c r="T3205" s="23">
        <v>45469</v>
      </c>
      <c r="U3205" s="23">
        <v>48025</v>
      </c>
      <c r="X3205" s="20">
        <v>40000</v>
      </c>
      <c r="Z3205" s="6" t="s">
        <v>5978</v>
      </c>
      <c r="AA3205" s="14">
        <f t="shared" si="431"/>
        <v>5.9999999999999995E-4</v>
      </c>
      <c r="AB3205">
        <v>19.767527999999995</v>
      </c>
      <c r="AC3205">
        <v>20.558229119999996</v>
      </c>
    </row>
    <row r="3206" spans="1:29" x14ac:dyDescent="0.3">
      <c r="A3206">
        <v>141906</v>
      </c>
      <c r="B3206" s="25" t="s">
        <v>5984</v>
      </c>
      <c r="C3206" t="s">
        <v>20</v>
      </c>
      <c r="D3206" t="s">
        <v>21</v>
      </c>
      <c r="E3206">
        <v>2222222</v>
      </c>
      <c r="F3206" s="8" t="s">
        <v>22</v>
      </c>
      <c r="G3206" s="2">
        <v>98</v>
      </c>
      <c r="H3206" t="s">
        <v>4405</v>
      </c>
      <c r="J3206" s="9" t="s">
        <v>4981</v>
      </c>
      <c r="K3206" t="s">
        <v>5083</v>
      </c>
      <c r="L3206" s="2">
        <v>1</v>
      </c>
      <c r="M3206" s="24" t="s">
        <v>5971</v>
      </c>
      <c r="N3206" s="2" t="s">
        <v>23</v>
      </c>
      <c r="O3206" s="18" t="s">
        <v>2497</v>
      </c>
      <c r="P3206" s="18" t="s">
        <v>3781</v>
      </c>
      <c r="Q3206" s="6" t="s">
        <v>4475</v>
      </c>
      <c r="T3206" s="23">
        <v>45483</v>
      </c>
      <c r="U3206" s="23">
        <v>46577</v>
      </c>
      <c r="X3206" s="20">
        <v>5000</v>
      </c>
      <c r="Z3206" s="6" t="s">
        <v>5978</v>
      </c>
      <c r="AA3206" s="14">
        <f t="shared" si="431"/>
        <v>5.9999999999999995E-4</v>
      </c>
      <c r="AB3206">
        <v>1.194858</v>
      </c>
      <c r="AC3206">
        <v>1.2426523199999999</v>
      </c>
    </row>
    <row r="3207" spans="1:29" x14ac:dyDescent="0.3">
      <c r="A3207">
        <v>142060</v>
      </c>
      <c r="B3207" s="25" t="s">
        <v>5984</v>
      </c>
      <c r="C3207" t="s">
        <v>20</v>
      </c>
      <c r="D3207" t="s">
        <v>21</v>
      </c>
      <c r="E3207">
        <v>2222222</v>
      </c>
      <c r="F3207" s="8" t="s">
        <v>22</v>
      </c>
      <c r="G3207" s="2">
        <v>98</v>
      </c>
      <c r="H3207" t="s">
        <v>4405</v>
      </c>
      <c r="J3207" s="9" t="s">
        <v>5160</v>
      </c>
      <c r="K3207" t="s">
        <v>5197</v>
      </c>
      <c r="L3207" s="2">
        <v>1</v>
      </c>
      <c r="M3207" s="24" t="s">
        <v>5971</v>
      </c>
      <c r="N3207" s="2" t="s">
        <v>23</v>
      </c>
      <c r="O3207" s="18" t="s">
        <v>2503</v>
      </c>
      <c r="P3207" s="18" t="s">
        <v>0</v>
      </c>
      <c r="Q3207" s="6" t="s">
        <v>4475</v>
      </c>
      <c r="T3207" s="23">
        <v>45495</v>
      </c>
      <c r="U3207" s="23">
        <v>46589</v>
      </c>
      <c r="X3207" s="20">
        <v>5000</v>
      </c>
      <c r="Z3207" s="6" t="s">
        <v>5978</v>
      </c>
      <c r="AA3207" s="14">
        <f t="shared" si="431"/>
        <v>5.9999999999999995E-4</v>
      </c>
      <c r="AB3207">
        <v>1.194858</v>
      </c>
      <c r="AC3207">
        <v>1.2426523199999999</v>
      </c>
    </row>
    <row r="3208" spans="1:29" x14ac:dyDescent="0.3">
      <c r="A3208">
        <v>142356</v>
      </c>
      <c r="B3208" s="25" t="s">
        <v>5984</v>
      </c>
      <c r="C3208" t="s">
        <v>20</v>
      </c>
      <c r="D3208" t="s">
        <v>21</v>
      </c>
      <c r="E3208">
        <v>2222222</v>
      </c>
      <c r="F3208" s="8" t="s">
        <v>22</v>
      </c>
      <c r="G3208" s="2">
        <v>98</v>
      </c>
      <c r="H3208" t="s">
        <v>4405</v>
      </c>
      <c r="J3208" s="9" t="s">
        <v>4891</v>
      </c>
      <c r="K3208" t="s">
        <v>5338</v>
      </c>
      <c r="L3208" s="2">
        <v>1</v>
      </c>
      <c r="M3208" s="24" t="s">
        <v>5971</v>
      </c>
      <c r="N3208" s="2" t="s">
        <v>23</v>
      </c>
      <c r="O3208" s="18" t="s">
        <v>2504</v>
      </c>
      <c r="P3208" s="18" t="s">
        <v>3781</v>
      </c>
      <c r="Q3208" s="6" t="s">
        <v>4475</v>
      </c>
      <c r="T3208" s="23">
        <v>45512</v>
      </c>
      <c r="U3208" s="23">
        <v>46972</v>
      </c>
      <c r="X3208" s="20">
        <v>5000</v>
      </c>
      <c r="Z3208" s="6" t="s">
        <v>5978</v>
      </c>
      <c r="AA3208" s="14">
        <f t="shared" si="431"/>
        <v>5.9999999999999995E-4</v>
      </c>
      <c r="AB3208">
        <v>1.8410879999999998</v>
      </c>
      <c r="AC3208">
        <v>1.9147315199999999</v>
      </c>
    </row>
    <row r="3209" spans="1:29" x14ac:dyDescent="0.3">
      <c r="A3209">
        <v>142572</v>
      </c>
      <c r="B3209" s="25" t="s">
        <v>5984</v>
      </c>
      <c r="C3209" t="s">
        <v>20</v>
      </c>
      <c r="D3209" t="s">
        <v>21</v>
      </c>
      <c r="E3209">
        <v>2222222</v>
      </c>
      <c r="F3209" s="8" t="s">
        <v>22</v>
      </c>
      <c r="G3209" s="2">
        <v>98</v>
      </c>
      <c r="H3209" t="s">
        <v>4405</v>
      </c>
      <c r="J3209" s="9" t="s">
        <v>5126</v>
      </c>
      <c r="K3209" t="s">
        <v>5174</v>
      </c>
      <c r="L3209" s="2">
        <v>1</v>
      </c>
      <c r="M3209" s="24" t="s">
        <v>5971</v>
      </c>
      <c r="N3209" s="2" t="s">
        <v>23</v>
      </c>
      <c r="O3209" s="18" t="s">
        <v>2505</v>
      </c>
      <c r="P3209" s="18" t="s">
        <v>0</v>
      </c>
      <c r="Q3209" s="6" t="s">
        <v>4475</v>
      </c>
      <c r="T3209" s="23">
        <v>45531</v>
      </c>
      <c r="U3209" s="23">
        <v>46260</v>
      </c>
      <c r="X3209" s="20">
        <v>4000</v>
      </c>
      <c r="Z3209" s="6" t="s">
        <v>5978</v>
      </c>
      <c r="AA3209" s="14">
        <f t="shared" si="431"/>
        <v>5.9999999999999995E-4</v>
      </c>
      <c r="AB3209">
        <v>0.11777399999999999</v>
      </c>
      <c r="AC3209">
        <v>0.12248495999999999</v>
      </c>
    </row>
    <row r="3210" spans="1:29" x14ac:dyDescent="0.3">
      <c r="A3210">
        <v>142734</v>
      </c>
      <c r="B3210" s="25" t="s">
        <v>5984</v>
      </c>
      <c r="C3210" t="s">
        <v>20</v>
      </c>
      <c r="D3210" t="s">
        <v>21</v>
      </c>
      <c r="E3210">
        <v>2222222</v>
      </c>
      <c r="F3210" s="8" t="s">
        <v>22</v>
      </c>
      <c r="G3210" s="2">
        <v>98</v>
      </c>
      <c r="H3210" t="s">
        <v>4405</v>
      </c>
      <c r="J3210" s="9" t="s">
        <v>4929</v>
      </c>
      <c r="K3210" t="s">
        <v>4848</v>
      </c>
      <c r="L3210" s="2">
        <v>1</v>
      </c>
      <c r="M3210" s="24" t="s">
        <v>5971</v>
      </c>
      <c r="N3210" s="2" t="s">
        <v>23</v>
      </c>
      <c r="O3210" s="18" t="s">
        <v>1849</v>
      </c>
      <c r="P3210" s="18" t="s">
        <v>0</v>
      </c>
      <c r="Q3210" s="6" t="s">
        <v>4475</v>
      </c>
      <c r="T3210" s="23">
        <v>45540</v>
      </c>
      <c r="U3210" s="23">
        <v>46270</v>
      </c>
      <c r="X3210" s="20">
        <v>3000</v>
      </c>
      <c r="Z3210" s="6" t="s">
        <v>5978</v>
      </c>
      <c r="AA3210" s="14">
        <f t="shared" si="431"/>
        <v>5.9999999999999995E-4</v>
      </c>
      <c r="AB3210">
        <v>0.17699399999999998</v>
      </c>
      <c r="AC3210">
        <v>0.18407376</v>
      </c>
    </row>
    <row r="3211" spans="1:29" x14ac:dyDescent="0.3">
      <c r="A3211">
        <v>142913</v>
      </c>
      <c r="B3211" s="25" t="s">
        <v>5984</v>
      </c>
      <c r="C3211" t="s">
        <v>20</v>
      </c>
      <c r="D3211" t="s">
        <v>21</v>
      </c>
      <c r="E3211">
        <v>2222222</v>
      </c>
      <c r="F3211" s="8" t="s">
        <v>22</v>
      </c>
      <c r="G3211" s="2">
        <v>98</v>
      </c>
      <c r="H3211" t="s">
        <v>4405</v>
      </c>
      <c r="J3211" s="9" t="s">
        <v>5334</v>
      </c>
      <c r="K3211" t="s">
        <v>4966</v>
      </c>
      <c r="L3211" s="2">
        <v>1</v>
      </c>
      <c r="M3211" s="24" t="s">
        <v>5971</v>
      </c>
      <c r="N3211" s="2" t="s">
        <v>23</v>
      </c>
      <c r="O3211" s="18" t="s">
        <v>2506</v>
      </c>
      <c r="P3211" s="18" t="s">
        <v>0</v>
      </c>
      <c r="Q3211" s="6" t="s">
        <v>4475</v>
      </c>
      <c r="T3211" s="23">
        <v>45563</v>
      </c>
      <c r="U3211" s="23">
        <v>47389</v>
      </c>
      <c r="X3211" s="20">
        <v>35000</v>
      </c>
      <c r="Z3211" s="6" t="s">
        <v>5978</v>
      </c>
      <c r="AA3211" s="14">
        <f t="shared" si="431"/>
        <v>5.9999999999999995E-4</v>
      </c>
      <c r="AB3211">
        <v>15.572405999999997</v>
      </c>
      <c r="AC3211">
        <v>16.195302239999997</v>
      </c>
    </row>
    <row r="3212" spans="1:29" x14ac:dyDescent="0.3">
      <c r="A3212">
        <v>142964</v>
      </c>
      <c r="B3212" s="25" t="s">
        <v>5984</v>
      </c>
      <c r="C3212" t="s">
        <v>20</v>
      </c>
      <c r="D3212" t="s">
        <v>21</v>
      </c>
      <c r="E3212">
        <v>2222222</v>
      </c>
      <c r="F3212" s="8" t="s">
        <v>22</v>
      </c>
      <c r="G3212" s="2">
        <v>98</v>
      </c>
      <c r="H3212" t="s">
        <v>4405</v>
      </c>
      <c r="J3212" s="9" t="s">
        <v>5082</v>
      </c>
      <c r="K3212" t="s">
        <v>4928</v>
      </c>
      <c r="L3212" s="2">
        <v>1</v>
      </c>
      <c r="M3212" s="24" t="s">
        <v>5971</v>
      </c>
      <c r="N3212" s="2" t="s">
        <v>23</v>
      </c>
      <c r="O3212" s="18" t="s">
        <v>2507</v>
      </c>
      <c r="P3212" s="18" t="s">
        <v>3781</v>
      </c>
      <c r="Q3212" s="6" t="s">
        <v>4475</v>
      </c>
      <c r="T3212" s="23">
        <v>45558</v>
      </c>
      <c r="U3212" s="23">
        <v>47019</v>
      </c>
      <c r="X3212" s="20">
        <v>4500</v>
      </c>
      <c r="Z3212" s="6" t="s">
        <v>5978</v>
      </c>
      <c r="AA3212" s="14">
        <f t="shared" si="431"/>
        <v>5.9999999999999995E-4</v>
      </c>
      <c r="AB3212">
        <v>1.7114099999999999</v>
      </c>
      <c r="AC3212">
        <v>1.7798664</v>
      </c>
    </row>
    <row r="3213" spans="1:29" x14ac:dyDescent="0.3">
      <c r="A3213">
        <v>143480</v>
      </c>
      <c r="B3213" s="25" t="s">
        <v>5984</v>
      </c>
      <c r="C3213" t="s">
        <v>20</v>
      </c>
      <c r="D3213" t="s">
        <v>21</v>
      </c>
      <c r="E3213">
        <v>2222222</v>
      </c>
      <c r="F3213" s="8" t="s">
        <v>22</v>
      </c>
      <c r="G3213" s="2">
        <v>98</v>
      </c>
      <c r="H3213" t="s">
        <v>4405</v>
      </c>
      <c r="J3213" s="9" t="s">
        <v>5220</v>
      </c>
      <c r="K3213" t="s">
        <v>5426</v>
      </c>
      <c r="L3213" s="2">
        <v>1</v>
      </c>
      <c r="M3213" s="24" t="s">
        <v>5971</v>
      </c>
      <c r="N3213" s="2" t="s">
        <v>23</v>
      </c>
      <c r="O3213" s="18" t="s">
        <v>2508</v>
      </c>
      <c r="P3213" s="18" t="s">
        <v>0</v>
      </c>
      <c r="Q3213" s="6" t="s">
        <v>4475</v>
      </c>
      <c r="T3213" s="23">
        <v>45596</v>
      </c>
      <c r="U3213" s="23">
        <v>49247</v>
      </c>
      <c r="X3213" s="20">
        <v>20000</v>
      </c>
      <c r="Z3213" s="6" t="s">
        <v>5978</v>
      </c>
      <c r="AA3213" s="14">
        <f t="shared" si="431"/>
        <v>5.9999999999999995E-4</v>
      </c>
      <c r="AB3213">
        <v>10.849241999999998</v>
      </c>
      <c r="AC3213">
        <v>11.283211679999999</v>
      </c>
    </row>
    <row r="3214" spans="1:29" x14ac:dyDescent="0.3">
      <c r="A3214">
        <v>144559</v>
      </c>
      <c r="B3214" s="25" t="s">
        <v>5984</v>
      </c>
      <c r="C3214" t="s">
        <v>20</v>
      </c>
      <c r="D3214" t="s">
        <v>21</v>
      </c>
      <c r="E3214">
        <v>2222222</v>
      </c>
      <c r="F3214" s="8" t="s">
        <v>22</v>
      </c>
      <c r="G3214" s="2">
        <v>98</v>
      </c>
      <c r="H3214" t="s">
        <v>4405</v>
      </c>
      <c r="J3214" s="9" t="s">
        <v>5204</v>
      </c>
      <c r="K3214" t="s">
        <v>5755</v>
      </c>
      <c r="L3214" s="2">
        <v>1</v>
      </c>
      <c r="M3214" s="24" t="s">
        <v>5971</v>
      </c>
      <c r="N3214" s="2" t="s">
        <v>23</v>
      </c>
      <c r="O3214" s="18" t="s">
        <v>2509</v>
      </c>
      <c r="P3214" s="18" t="s">
        <v>0</v>
      </c>
      <c r="Q3214" s="6" t="s">
        <v>4475</v>
      </c>
      <c r="T3214" s="23">
        <v>45677</v>
      </c>
      <c r="U3214" s="23">
        <v>47137</v>
      </c>
      <c r="X3214" s="20">
        <v>4000</v>
      </c>
      <c r="Z3214" s="6" t="s">
        <v>5978</v>
      </c>
      <c r="AA3214" s="14">
        <f t="shared" si="431"/>
        <v>5.9999999999999995E-4</v>
      </c>
      <c r="AB3214">
        <v>1.5308759999999999</v>
      </c>
      <c r="AC3214">
        <v>1.59211104</v>
      </c>
    </row>
    <row r="3215" spans="1:29" x14ac:dyDescent="0.3">
      <c r="A3215">
        <v>144762</v>
      </c>
      <c r="B3215" s="25" t="s">
        <v>5984</v>
      </c>
      <c r="C3215" t="s">
        <v>20</v>
      </c>
      <c r="D3215" t="s">
        <v>21</v>
      </c>
      <c r="E3215">
        <v>2222222</v>
      </c>
      <c r="F3215" s="8" t="s">
        <v>22</v>
      </c>
      <c r="G3215" s="2">
        <v>98</v>
      </c>
      <c r="H3215" t="s">
        <v>4405</v>
      </c>
      <c r="J3215" s="9" t="s">
        <v>4917</v>
      </c>
      <c r="K3215" t="s">
        <v>4861</v>
      </c>
      <c r="L3215" s="2">
        <v>1</v>
      </c>
      <c r="M3215" s="24" t="s">
        <v>5971</v>
      </c>
      <c r="N3215" s="2" t="s">
        <v>23</v>
      </c>
      <c r="O3215" s="18" t="s">
        <v>2510</v>
      </c>
      <c r="P3215" s="18" t="s">
        <v>3781</v>
      </c>
      <c r="Q3215" s="6" t="s">
        <v>4475</v>
      </c>
      <c r="T3215" s="23">
        <v>45686</v>
      </c>
      <c r="U3215" s="23">
        <v>46415</v>
      </c>
      <c r="X3215" s="20">
        <v>575</v>
      </c>
      <c r="Z3215" s="6" t="s">
        <v>5978</v>
      </c>
      <c r="AA3215" s="14">
        <f t="shared" si="431"/>
        <v>5.9999999999999995E-4</v>
      </c>
      <c r="AB3215">
        <v>9.7248000000000001E-2</v>
      </c>
      <c r="AC3215">
        <v>0.10113792000000001</v>
      </c>
    </row>
    <row r="3216" spans="1:29" x14ac:dyDescent="0.3">
      <c r="A3216">
        <v>144799</v>
      </c>
      <c r="B3216" s="25" t="s">
        <v>5984</v>
      </c>
      <c r="C3216" t="s">
        <v>20</v>
      </c>
      <c r="D3216" t="s">
        <v>21</v>
      </c>
      <c r="E3216">
        <v>2222222</v>
      </c>
      <c r="F3216" s="8" t="s">
        <v>22</v>
      </c>
      <c r="G3216" s="2">
        <v>98</v>
      </c>
      <c r="H3216" t="s">
        <v>4405</v>
      </c>
      <c r="J3216" s="9" t="s">
        <v>4836</v>
      </c>
      <c r="K3216" t="s">
        <v>5756</v>
      </c>
      <c r="L3216" s="2">
        <v>1</v>
      </c>
      <c r="M3216" s="24" t="s">
        <v>5971</v>
      </c>
      <c r="N3216" s="2" t="s">
        <v>23</v>
      </c>
      <c r="O3216" s="18" t="s">
        <v>2511</v>
      </c>
      <c r="P3216" s="18" t="s">
        <v>3781</v>
      </c>
      <c r="Q3216" s="6" t="s">
        <v>4475</v>
      </c>
      <c r="T3216" s="23">
        <v>45688</v>
      </c>
      <c r="U3216" s="23">
        <v>46236</v>
      </c>
      <c r="X3216" s="20">
        <v>620</v>
      </c>
      <c r="Z3216" s="6" t="s">
        <v>5978</v>
      </c>
      <c r="AA3216" s="14">
        <f t="shared" si="431"/>
        <v>5.9999999999999995E-4</v>
      </c>
      <c r="AB3216">
        <v>0.31530599999999998</v>
      </c>
      <c r="AC3216">
        <v>0.32791823999999997</v>
      </c>
    </row>
    <row r="3217" spans="1:29" x14ac:dyDescent="0.3">
      <c r="A3217">
        <v>144964</v>
      </c>
      <c r="B3217" s="25" t="s">
        <v>5984</v>
      </c>
      <c r="C3217" t="s">
        <v>20</v>
      </c>
      <c r="D3217" t="s">
        <v>21</v>
      </c>
      <c r="E3217">
        <v>2222222</v>
      </c>
      <c r="F3217" s="8" t="s">
        <v>22</v>
      </c>
      <c r="G3217" s="2">
        <v>98</v>
      </c>
      <c r="H3217" t="s">
        <v>4405</v>
      </c>
      <c r="J3217" s="9" t="s">
        <v>5502</v>
      </c>
      <c r="K3217" t="s">
        <v>5081</v>
      </c>
      <c r="L3217" s="2">
        <v>1</v>
      </c>
      <c r="M3217" s="24" t="s">
        <v>5971</v>
      </c>
      <c r="N3217" s="2" t="s">
        <v>23</v>
      </c>
      <c r="O3217" s="18" t="s">
        <v>2512</v>
      </c>
      <c r="P3217" s="18" t="s">
        <v>3781</v>
      </c>
      <c r="Q3217" s="6" t="s">
        <v>4475</v>
      </c>
      <c r="T3217" s="23">
        <v>45702</v>
      </c>
      <c r="U3217" s="23">
        <v>46434</v>
      </c>
      <c r="X3217" s="20">
        <v>905</v>
      </c>
      <c r="Z3217" s="6" t="s">
        <v>5978</v>
      </c>
      <c r="AA3217" s="14">
        <f t="shared" si="431"/>
        <v>5.9999999999999995E-4</v>
      </c>
      <c r="AB3217">
        <v>0.20210999999999998</v>
      </c>
      <c r="AC3217">
        <v>0.2101944</v>
      </c>
    </row>
    <row r="3218" spans="1:29" x14ac:dyDescent="0.3">
      <c r="A3218">
        <v>144987</v>
      </c>
      <c r="B3218" s="25" t="s">
        <v>5984</v>
      </c>
      <c r="C3218" t="s">
        <v>20</v>
      </c>
      <c r="D3218" t="s">
        <v>21</v>
      </c>
      <c r="E3218">
        <v>2222222</v>
      </c>
      <c r="F3218" s="8" t="s">
        <v>22</v>
      </c>
      <c r="G3218" s="2">
        <v>98</v>
      </c>
      <c r="H3218" t="s">
        <v>4405</v>
      </c>
      <c r="J3218" s="9" t="s">
        <v>4924</v>
      </c>
      <c r="K3218" t="s">
        <v>4863</v>
      </c>
      <c r="L3218" s="2">
        <v>1</v>
      </c>
      <c r="M3218" s="24" t="s">
        <v>5971</v>
      </c>
      <c r="N3218" s="2" t="s">
        <v>23</v>
      </c>
      <c r="O3218" s="18" t="s">
        <v>2491</v>
      </c>
      <c r="P3218" s="18" t="s">
        <v>3781</v>
      </c>
      <c r="Q3218" s="6" t="s">
        <v>4475</v>
      </c>
      <c r="T3218" s="23">
        <v>45705</v>
      </c>
      <c r="U3218" s="23">
        <v>46802</v>
      </c>
      <c r="X3218" s="20">
        <v>3500</v>
      </c>
      <c r="Z3218" s="6" t="s">
        <v>5978</v>
      </c>
      <c r="AA3218" s="14">
        <f t="shared" si="431"/>
        <v>5.9999999999999995E-4</v>
      </c>
      <c r="AB3218">
        <v>1.2982319999999998</v>
      </c>
      <c r="AC3218">
        <v>1.3501612799999998</v>
      </c>
    </row>
    <row r="3219" spans="1:29" x14ac:dyDescent="0.3">
      <c r="A3219">
        <v>145022</v>
      </c>
      <c r="B3219" s="25" t="s">
        <v>5984</v>
      </c>
      <c r="C3219" t="s">
        <v>20</v>
      </c>
      <c r="D3219" t="s">
        <v>21</v>
      </c>
      <c r="E3219">
        <v>2222222</v>
      </c>
      <c r="F3219" s="8" t="s">
        <v>22</v>
      </c>
      <c r="G3219" s="2">
        <v>98</v>
      </c>
      <c r="H3219" t="s">
        <v>4405</v>
      </c>
      <c r="J3219" s="9" t="s">
        <v>4884</v>
      </c>
      <c r="K3219" t="s">
        <v>5246</v>
      </c>
      <c r="L3219" s="2">
        <v>1</v>
      </c>
      <c r="M3219" s="24" t="s">
        <v>5971</v>
      </c>
      <c r="N3219" s="2" t="s">
        <v>23</v>
      </c>
      <c r="O3219" s="18" t="s">
        <v>1632</v>
      </c>
      <c r="P3219" s="18" t="s">
        <v>3781</v>
      </c>
      <c r="Q3219" s="6" t="s">
        <v>4475</v>
      </c>
      <c r="T3219" s="23">
        <v>45712</v>
      </c>
      <c r="U3219" s="23">
        <v>53019</v>
      </c>
      <c r="X3219" s="20">
        <v>35000</v>
      </c>
      <c r="Z3219" s="6" t="s">
        <v>5978</v>
      </c>
      <c r="AA3219" s="14">
        <f t="shared" si="431"/>
        <v>5.9999999999999995E-4</v>
      </c>
      <c r="AB3219">
        <v>20.529845999999999</v>
      </c>
      <c r="AC3219">
        <v>21.351039839999999</v>
      </c>
    </row>
    <row r="3220" spans="1:29" x14ac:dyDescent="0.3">
      <c r="A3220">
        <v>145099</v>
      </c>
      <c r="B3220" s="25" t="s">
        <v>5984</v>
      </c>
      <c r="C3220" t="s">
        <v>20</v>
      </c>
      <c r="D3220" t="s">
        <v>21</v>
      </c>
      <c r="E3220">
        <v>2222222</v>
      </c>
      <c r="F3220" s="8" t="s">
        <v>22</v>
      </c>
      <c r="G3220" s="2">
        <v>98</v>
      </c>
      <c r="H3220" t="s">
        <v>4405</v>
      </c>
      <c r="J3220" s="9" t="s">
        <v>4911</v>
      </c>
      <c r="K3220" t="s">
        <v>5757</v>
      </c>
      <c r="L3220" s="2">
        <v>1</v>
      </c>
      <c r="M3220" s="24" t="s">
        <v>5971</v>
      </c>
      <c r="N3220" s="2" t="s">
        <v>23</v>
      </c>
      <c r="O3220" s="18" t="s">
        <v>2513</v>
      </c>
      <c r="P3220" s="18" t="s">
        <v>3781</v>
      </c>
      <c r="Q3220" s="6" t="s">
        <v>4475</v>
      </c>
      <c r="T3220" s="23">
        <v>45712</v>
      </c>
      <c r="U3220" s="23">
        <v>46447</v>
      </c>
      <c r="X3220" s="20">
        <v>1500</v>
      </c>
      <c r="Z3220" s="6" t="s">
        <v>5978</v>
      </c>
      <c r="AA3220" s="14">
        <f t="shared" si="431"/>
        <v>5.9999999999999995E-4</v>
      </c>
      <c r="AB3220">
        <v>0.33469199999999999</v>
      </c>
      <c r="AC3220">
        <v>0.34807968</v>
      </c>
    </row>
    <row r="3221" spans="1:29" x14ac:dyDescent="0.3">
      <c r="A3221">
        <v>145124</v>
      </c>
      <c r="B3221" s="25" t="s">
        <v>5984</v>
      </c>
      <c r="C3221" t="s">
        <v>20</v>
      </c>
      <c r="D3221" t="s">
        <v>21</v>
      </c>
      <c r="E3221">
        <v>2222222</v>
      </c>
      <c r="F3221" s="8" t="s">
        <v>22</v>
      </c>
      <c r="G3221" s="2">
        <v>98</v>
      </c>
      <c r="H3221" t="s">
        <v>4405</v>
      </c>
      <c r="J3221" s="9" t="s">
        <v>5020</v>
      </c>
      <c r="K3221" t="s">
        <v>4961</v>
      </c>
      <c r="L3221" s="2">
        <v>1</v>
      </c>
      <c r="M3221" s="24" t="s">
        <v>5971</v>
      </c>
      <c r="N3221" s="2" t="s">
        <v>23</v>
      </c>
      <c r="O3221" s="18" t="s">
        <v>2514</v>
      </c>
      <c r="P3221" s="18" t="s">
        <v>0</v>
      </c>
      <c r="Q3221" s="6" t="s">
        <v>4475</v>
      </c>
      <c r="T3221" s="23">
        <v>45729</v>
      </c>
      <c r="U3221" s="23">
        <v>46824</v>
      </c>
      <c r="X3221" s="20">
        <v>11500</v>
      </c>
      <c r="Z3221" s="6" t="s">
        <v>5978</v>
      </c>
      <c r="AA3221" s="14">
        <f t="shared" si="431"/>
        <v>5.9999999999999995E-4</v>
      </c>
      <c r="AB3221">
        <v>4.4224019999999999</v>
      </c>
      <c r="AC3221">
        <v>4.5992980800000005</v>
      </c>
    </row>
    <row r="3222" spans="1:29" x14ac:dyDescent="0.3">
      <c r="A3222">
        <v>145221</v>
      </c>
      <c r="B3222" s="25" t="s">
        <v>5984</v>
      </c>
      <c r="C3222" t="s">
        <v>20</v>
      </c>
      <c r="D3222" t="s">
        <v>21</v>
      </c>
      <c r="E3222">
        <v>2222222</v>
      </c>
      <c r="F3222" s="8" t="s">
        <v>22</v>
      </c>
      <c r="G3222" s="2">
        <v>98</v>
      </c>
      <c r="H3222" t="s">
        <v>4405</v>
      </c>
      <c r="J3222" s="9" t="s">
        <v>5098</v>
      </c>
      <c r="K3222" t="s">
        <v>5276</v>
      </c>
      <c r="L3222" s="2">
        <v>1</v>
      </c>
      <c r="M3222" s="24" t="s">
        <v>5971</v>
      </c>
      <c r="N3222" s="2" t="s">
        <v>23</v>
      </c>
      <c r="O3222" s="18" t="s">
        <v>2515</v>
      </c>
      <c r="P3222" s="18" t="s">
        <v>3781</v>
      </c>
      <c r="Q3222" s="6" t="s">
        <v>4475</v>
      </c>
      <c r="T3222" s="23">
        <v>45723</v>
      </c>
      <c r="U3222" s="23">
        <v>47209</v>
      </c>
      <c r="X3222" s="20">
        <v>5000</v>
      </c>
      <c r="Z3222" s="6" t="s">
        <v>5978</v>
      </c>
      <c r="AA3222" s="14">
        <f t="shared" si="431"/>
        <v>5.9999999999999995E-4</v>
      </c>
      <c r="AB3222">
        <v>2.388312</v>
      </c>
      <c r="AC3222">
        <v>2.4838444800000001</v>
      </c>
    </row>
    <row r="3223" spans="1:29" x14ac:dyDescent="0.3">
      <c r="A3223">
        <v>145412</v>
      </c>
      <c r="B3223" s="25" t="s">
        <v>5984</v>
      </c>
      <c r="C3223" t="s">
        <v>20</v>
      </c>
      <c r="D3223" t="s">
        <v>21</v>
      </c>
      <c r="E3223">
        <v>2222222</v>
      </c>
      <c r="F3223" s="8" t="s">
        <v>22</v>
      </c>
      <c r="G3223" s="2">
        <v>98</v>
      </c>
      <c r="H3223" t="s">
        <v>4405</v>
      </c>
      <c r="J3223" s="9" t="s">
        <v>4852</v>
      </c>
      <c r="K3223" t="s">
        <v>5160</v>
      </c>
      <c r="L3223" s="2">
        <v>1</v>
      </c>
      <c r="M3223" s="24" t="s">
        <v>5971</v>
      </c>
      <c r="N3223" s="2" t="s">
        <v>23</v>
      </c>
      <c r="O3223" s="18" t="s">
        <v>2516</v>
      </c>
      <c r="P3223" s="18" t="s">
        <v>0</v>
      </c>
      <c r="Q3223" s="6" t="s">
        <v>4475</v>
      </c>
      <c r="T3223" s="23">
        <v>45735</v>
      </c>
      <c r="U3223" s="23">
        <v>46830</v>
      </c>
      <c r="X3223" s="20">
        <v>5000</v>
      </c>
      <c r="Z3223" s="6" t="s">
        <v>5978</v>
      </c>
      <c r="AA3223" s="14">
        <f t="shared" si="431"/>
        <v>5.9999999999999995E-4</v>
      </c>
      <c r="AB3223">
        <v>1.8211259999999998</v>
      </c>
      <c r="AC3223">
        <v>1.8939710399999998</v>
      </c>
    </row>
    <row r="3224" spans="1:29" x14ac:dyDescent="0.3">
      <c r="A3224">
        <v>146497</v>
      </c>
      <c r="B3224" s="25" t="s">
        <v>5984</v>
      </c>
      <c r="C3224" t="s">
        <v>20</v>
      </c>
      <c r="D3224" t="s">
        <v>21</v>
      </c>
      <c r="E3224">
        <v>2222222</v>
      </c>
      <c r="F3224" s="8" t="s">
        <v>22</v>
      </c>
      <c r="G3224" s="2">
        <v>98</v>
      </c>
      <c r="H3224" t="s">
        <v>4405</v>
      </c>
      <c r="J3224" s="9" t="s">
        <v>5057</v>
      </c>
      <c r="K3224" t="s">
        <v>5056</v>
      </c>
      <c r="L3224" s="2">
        <v>1</v>
      </c>
      <c r="M3224" s="24" t="s">
        <v>5971</v>
      </c>
      <c r="N3224" s="2" t="s">
        <v>23</v>
      </c>
      <c r="O3224" s="18" t="s">
        <v>973</v>
      </c>
      <c r="P3224" s="18" t="s">
        <v>3781</v>
      </c>
      <c r="Q3224" s="6" t="s">
        <v>4475</v>
      </c>
      <c r="T3224" s="23">
        <v>45821</v>
      </c>
      <c r="U3224" s="23">
        <v>47282</v>
      </c>
      <c r="X3224" s="20">
        <v>5000</v>
      </c>
      <c r="Z3224" s="6" t="s">
        <v>5978</v>
      </c>
      <c r="AA3224" s="14">
        <f t="shared" si="431"/>
        <v>5.9999999999999995E-4</v>
      </c>
      <c r="AB3224">
        <v>2.1420300000000001</v>
      </c>
      <c r="AC3224">
        <v>2.2277112000000003</v>
      </c>
    </row>
    <row r="3225" spans="1:29" x14ac:dyDescent="0.3">
      <c r="A3225">
        <v>146533</v>
      </c>
      <c r="B3225" s="25" t="s">
        <v>5984</v>
      </c>
      <c r="C3225" t="s">
        <v>20</v>
      </c>
      <c r="D3225" t="s">
        <v>21</v>
      </c>
      <c r="E3225">
        <v>2222222</v>
      </c>
      <c r="F3225" s="8" t="s">
        <v>22</v>
      </c>
      <c r="G3225" s="2">
        <v>98</v>
      </c>
      <c r="H3225" t="s">
        <v>4405</v>
      </c>
      <c r="J3225" s="9" t="s">
        <v>5532</v>
      </c>
      <c r="K3225" t="s">
        <v>4949</v>
      </c>
      <c r="L3225" s="2">
        <v>1</v>
      </c>
      <c r="M3225" s="24" t="s">
        <v>5971</v>
      </c>
      <c r="N3225" s="2" t="s">
        <v>23</v>
      </c>
      <c r="O3225" s="18" t="s">
        <v>2517</v>
      </c>
      <c r="P3225" s="18" t="s">
        <v>0</v>
      </c>
      <c r="Q3225" s="6" t="s">
        <v>4475</v>
      </c>
      <c r="T3225" s="23">
        <v>45824</v>
      </c>
      <c r="U3225" s="23">
        <v>47650</v>
      </c>
      <c r="X3225" s="20">
        <v>3790</v>
      </c>
      <c r="Z3225" s="6" t="s">
        <v>5978</v>
      </c>
      <c r="AA3225" s="14">
        <f t="shared" si="431"/>
        <v>5.9999999999999995E-4</v>
      </c>
      <c r="AB3225">
        <v>1.9072979999999997</v>
      </c>
      <c r="AC3225">
        <v>1.9835899199999998</v>
      </c>
    </row>
    <row r="3226" spans="1:29" x14ac:dyDescent="0.3">
      <c r="A3226">
        <v>146556</v>
      </c>
      <c r="B3226" s="25" t="s">
        <v>5984</v>
      </c>
      <c r="C3226" t="s">
        <v>20</v>
      </c>
      <c r="D3226" t="s">
        <v>21</v>
      </c>
      <c r="E3226">
        <v>2222222</v>
      </c>
      <c r="F3226" s="8" t="s">
        <v>22</v>
      </c>
      <c r="G3226" s="2">
        <v>98</v>
      </c>
      <c r="H3226" t="s">
        <v>4405</v>
      </c>
      <c r="J3226" s="9" t="s">
        <v>5013</v>
      </c>
      <c r="K3226" t="s">
        <v>4846</v>
      </c>
      <c r="L3226" s="2">
        <v>1</v>
      </c>
      <c r="M3226" s="24" t="s">
        <v>5971</v>
      </c>
      <c r="N3226" s="2" t="s">
        <v>23</v>
      </c>
      <c r="O3226" s="18" t="s">
        <v>2518</v>
      </c>
      <c r="P3226" s="18" t="s">
        <v>0</v>
      </c>
      <c r="Q3226" s="6" t="s">
        <v>4475</v>
      </c>
      <c r="T3226" s="23">
        <v>45825</v>
      </c>
      <c r="U3226" s="23">
        <v>46555</v>
      </c>
      <c r="X3226" s="20">
        <v>1900</v>
      </c>
      <c r="Z3226" s="6" t="s">
        <v>5978</v>
      </c>
      <c r="AA3226" s="14">
        <f t="shared" si="431"/>
        <v>5.9999999999999995E-4</v>
      </c>
      <c r="AB3226">
        <v>0.57099599999999995</v>
      </c>
      <c r="AC3226">
        <v>0.59383584</v>
      </c>
    </row>
    <row r="3227" spans="1:29" x14ac:dyDescent="0.3">
      <c r="A3227">
        <v>146770</v>
      </c>
      <c r="B3227" s="25" t="s">
        <v>5984</v>
      </c>
      <c r="C3227" t="s">
        <v>20</v>
      </c>
      <c r="D3227" t="s">
        <v>21</v>
      </c>
      <c r="E3227">
        <v>2222222</v>
      </c>
      <c r="F3227" s="8" t="s">
        <v>22</v>
      </c>
      <c r="G3227" s="2">
        <v>98</v>
      </c>
      <c r="H3227" t="s">
        <v>4405</v>
      </c>
      <c r="J3227" s="9" t="s">
        <v>4852</v>
      </c>
      <c r="K3227" t="s">
        <v>4856</v>
      </c>
      <c r="L3227" s="2">
        <v>1</v>
      </c>
      <c r="M3227" s="24" t="s">
        <v>5971</v>
      </c>
      <c r="N3227" s="2" t="s">
        <v>23</v>
      </c>
      <c r="O3227" s="18" t="s">
        <v>2519</v>
      </c>
      <c r="P3227" s="18" t="s">
        <v>0</v>
      </c>
      <c r="Q3227" s="6" t="s">
        <v>4475</v>
      </c>
      <c r="T3227" s="23">
        <v>45849</v>
      </c>
      <c r="U3227" s="23">
        <v>48039</v>
      </c>
      <c r="X3227" s="20">
        <v>10500</v>
      </c>
      <c r="Z3227" s="6" t="s">
        <v>5978</v>
      </c>
      <c r="AA3227" s="14">
        <f t="shared" si="431"/>
        <v>5.9999999999999995E-4</v>
      </c>
      <c r="AB3227">
        <v>5.6213579999999999</v>
      </c>
      <c r="AC3227">
        <v>5.8462123200000002</v>
      </c>
    </row>
    <row r="3228" spans="1:29" x14ac:dyDescent="0.3">
      <c r="A3228">
        <v>146866</v>
      </c>
      <c r="B3228" s="25" t="s">
        <v>5984</v>
      </c>
      <c r="C3228" t="s">
        <v>20</v>
      </c>
      <c r="D3228" t="s">
        <v>21</v>
      </c>
      <c r="E3228">
        <v>2222222</v>
      </c>
      <c r="F3228" s="8" t="s">
        <v>22</v>
      </c>
      <c r="G3228" s="2">
        <v>98</v>
      </c>
      <c r="H3228" t="s">
        <v>4405</v>
      </c>
      <c r="J3228" s="9" t="s">
        <v>4779</v>
      </c>
      <c r="K3228" t="s">
        <v>5010</v>
      </c>
      <c r="L3228" s="2">
        <v>1</v>
      </c>
      <c r="M3228" s="24" t="s">
        <v>5971</v>
      </c>
      <c r="N3228" s="2" t="s">
        <v>23</v>
      </c>
      <c r="O3228" s="18" t="s">
        <v>2520</v>
      </c>
      <c r="P3228" s="18" t="s">
        <v>0</v>
      </c>
      <c r="Q3228" s="6" t="s">
        <v>4475</v>
      </c>
      <c r="T3228" s="23">
        <v>45848</v>
      </c>
      <c r="U3228" s="23">
        <v>46943</v>
      </c>
      <c r="X3228" s="20">
        <v>2910</v>
      </c>
      <c r="Z3228" s="6" t="s">
        <v>5978</v>
      </c>
      <c r="AA3228" s="14">
        <f t="shared" si="431"/>
        <v>5.9999999999999995E-4</v>
      </c>
      <c r="AB3228">
        <v>1.2596219999999998</v>
      </c>
      <c r="AC3228">
        <v>1.3100068799999998</v>
      </c>
    </row>
    <row r="3229" spans="1:29" x14ac:dyDescent="0.3">
      <c r="A3229">
        <v>146899</v>
      </c>
      <c r="B3229" s="25" t="s">
        <v>5984</v>
      </c>
      <c r="C3229" t="s">
        <v>20</v>
      </c>
      <c r="D3229" t="s">
        <v>21</v>
      </c>
      <c r="E3229">
        <v>2222222</v>
      </c>
      <c r="F3229" s="8" t="s">
        <v>22</v>
      </c>
      <c r="G3229" s="2">
        <v>98</v>
      </c>
      <c r="H3229" t="s">
        <v>4405</v>
      </c>
      <c r="J3229" s="9" t="s">
        <v>5055</v>
      </c>
      <c r="K3229" t="s">
        <v>4991</v>
      </c>
      <c r="L3229" s="2">
        <v>1</v>
      </c>
      <c r="M3229" s="24" t="s">
        <v>5971</v>
      </c>
      <c r="N3229" s="2" t="s">
        <v>23</v>
      </c>
      <c r="O3229" s="18" t="s">
        <v>884</v>
      </c>
      <c r="P3229" s="18" t="s">
        <v>3781</v>
      </c>
      <c r="Q3229" s="6" t="s">
        <v>4475</v>
      </c>
      <c r="T3229" s="23">
        <v>45852</v>
      </c>
      <c r="U3229" s="23">
        <v>47312</v>
      </c>
      <c r="X3229" s="20">
        <v>4320</v>
      </c>
      <c r="Z3229" s="6" t="s">
        <v>5978</v>
      </c>
      <c r="AA3229" s="14">
        <f t="shared" si="431"/>
        <v>5.9999999999999995E-4</v>
      </c>
      <c r="AB3229">
        <v>2.1069299999999997</v>
      </c>
      <c r="AC3229">
        <v>2.1912072</v>
      </c>
    </row>
    <row r="3230" spans="1:29" x14ac:dyDescent="0.3">
      <c r="A3230">
        <v>147002</v>
      </c>
      <c r="B3230" s="25" t="s">
        <v>5984</v>
      </c>
      <c r="C3230" t="s">
        <v>20</v>
      </c>
      <c r="D3230" t="s">
        <v>21</v>
      </c>
      <c r="E3230">
        <v>2222222</v>
      </c>
      <c r="F3230" s="8" t="s">
        <v>22</v>
      </c>
      <c r="G3230" s="2">
        <v>98</v>
      </c>
      <c r="H3230" t="s">
        <v>4405</v>
      </c>
      <c r="J3230" s="9" t="s">
        <v>5109</v>
      </c>
      <c r="K3230" t="s">
        <v>5117</v>
      </c>
      <c r="L3230" s="2">
        <v>1</v>
      </c>
      <c r="M3230" s="24" t="s">
        <v>5971</v>
      </c>
      <c r="N3230" s="2" t="s">
        <v>23</v>
      </c>
      <c r="O3230" s="18" t="s">
        <v>2521</v>
      </c>
      <c r="P3230" s="18" t="s">
        <v>0</v>
      </c>
      <c r="Q3230" s="6" t="s">
        <v>4475</v>
      </c>
      <c r="T3230" s="23">
        <v>45868</v>
      </c>
      <c r="U3230" s="23">
        <v>48058</v>
      </c>
      <c r="X3230" s="20">
        <v>42000</v>
      </c>
      <c r="Z3230" s="6" t="s">
        <v>5978</v>
      </c>
      <c r="AA3230" s="14">
        <f t="shared" si="431"/>
        <v>5.9999999999999995E-4</v>
      </c>
      <c r="AB3230">
        <v>22.322963999999999</v>
      </c>
      <c r="AC3230">
        <v>23.215882560000001</v>
      </c>
    </row>
    <row r="3231" spans="1:29" x14ac:dyDescent="0.3">
      <c r="A3231">
        <v>147088</v>
      </c>
      <c r="B3231" s="25" t="s">
        <v>5984</v>
      </c>
      <c r="C3231" t="s">
        <v>20</v>
      </c>
      <c r="D3231" t="s">
        <v>21</v>
      </c>
      <c r="E3231">
        <v>2222222</v>
      </c>
      <c r="F3231" s="8" t="s">
        <v>22</v>
      </c>
      <c r="G3231" s="2">
        <v>98</v>
      </c>
      <c r="H3231" t="s">
        <v>4405</v>
      </c>
      <c r="J3231" s="9" t="s">
        <v>4876</v>
      </c>
      <c r="K3231" t="s">
        <v>5469</v>
      </c>
      <c r="L3231" s="2">
        <v>1</v>
      </c>
      <c r="M3231" s="24" t="s">
        <v>5971</v>
      </c>
      <c r="N3231" s="2" t="s">
        <v>23</v>
      </c>
      <c r="O3231" s="18" t="s">
        <v>2522</v>
      </c>
      <c r="P3231" s="18" t="s">
        <v>0</v>
      </c>
      <c r="Q3231" s="6" t="s">
        <v>4475</v>
      </c>
      <c r="T3231" s="23">
        <v>45863</v>
      </c>
      <c r="U3231" s="23">
        <v>47323</v>
      </c>
      <c r="X3231" s="20">
        <v>5000</v>
      </c>
      <c r="Z3231" s="6" t="s">
        <v>5978</v>
      </c>
      <c r="AA3231" s="14">
        <f t="shared" si="431"/>
        <v>5.9999999999999995E-4</v>
      </c>
      <c r="AB3231">
        <v>2.4386099999999997</v>
      </c>
      <c r="AC3231">
        <v>2.5361543999999996</v>
      </c>
    </row>
    <row r="3232" spans="1:29" x14ac:dyDescent="0.3">
      <c r="A3232">
        <v>147222</v>
      </c>
      <c r="B3232" s="25" t="s">
        <v>5984</v>
      </c>
      <c r="C3232" t="s">
        <v>20</v>
      </c>
      <c r="D3232" t="s">
        <v>21</v>
      </c>
      <c r="E3232">
        <v>2222222</v>
      </c>
      <c r="F3232" s="8" t="s">
        <v>22</v>
      </c>
      <c r="G3232" s="2">
        <v>98</v>
      </c>
      <c r="H3232" t="s">
        <v>4405</v>
      </c>
      <c r="J3232" s="9" t="s">
        <v>4887</v>
      </c>
      <c r="K3232" t="s">
        <v>4894</v>
      </c>
      <c r="L3232" s="2">
        <v>1</v>
      </c>
      <c r="M3232" s="24" t="s">
        <v>5971</v>
      </c>
      <c r="N3232" s="2" t="s">
        <v>23</v>
      </c>
      <c r="O3232" s="18" t="s">
        <v>2523</v>
      </c>
      <c r="P3232" s="18" t="s">
        <v>3781</v>
      </c>
      <c r="Q3232" s="6" t="s">
        <v>4475</v>
      </c>
      <c r="T3232" s="23">
        <v>45873</v>
      </c>
      <c r="U3232" s="23">
        <v>47338</v>
      </c>
      <c r="X3232" s="20">
        <v>5000</v>
      </c>
      <c r="Z3232" s="6" t="s">
        <v>5978</v>
      </c>
      <c r="AA3232" s="14">
        <f t="shared" si="431"/>
        <v>5.9999999999999995E-4</v>
      </c>
      <c r="AB3232">
        <v>2.4882239999999998</v>
      </c>
      <c r="AC3232">
        <v>2.58775296</v>
      </c>
    </row>
    <row r="3233" spans="1:29" x14ac:dyDescent="0.3">
      <c r="A3233">
        <v>147356</v>
      </c>
      <c r="B3233" s="25" t="s">
        <v>5984</v>
      </c>
      <c r="C3233" t="s">
        <v>20</v>
      </c>
      <c r="D3233" t="s">
        <v>21</v>
      </c>
      <c r="E3233">
        <v>2222222</v>
      </c>
      <c r="F3233" s="8" t="s">
        <v>22</v>
      </c>
      <c r="G3233" s="2">
        <v>98</v>
      </c>
      <c r="H3233" t="s">
        <v>4405</v>
      </c>
      <c r="J3233" s="9" t="s">
        <v>5139</v>
      </c>
      <c r="K3233" t="s">
        <v>5758</v>
      </c>
      <c r="L3233" s="2">
        <v>1</v>
      </c>
      <c r="M3233" s="24" t="s">
        <v>5971</v>
      </c>
      <c r="N3233" s="2" t="s">
        <v>23</v>
      </c>
      <c r="O3233" s="18" t="s">
        <v>2524</v>
      </c>
      <c r="P3233" s="18" t="s">
        <v>3781</v>
      </c>
      <c r="Q3233" s="6" t="s">
        <v>4475</v>
      </c>
      <c r="T3233" s="23">
        <v>45883</v>
      </c>
      <c r="U3233" s="23">
        <v>46796</v>
      </c>
      <c r="X3233" s="20">
        <v>1600</v>
      </c>
      <c r="Z3233" s="6" t="s">
        <v>5978</v>
      </c>
      <c r="AA3233" s="14">
        <f t="shared" si="431"/>
        <v>5.9999999999999995E-4</v>
      </c>
      <c r="AB3233">
        <v>0.65655599999999992</v>
      </c>
      <c r="AC3233">
        <v>0.68281823999999991</v>
      </c>
    </row>
    <row r="3234" spans="1:29" x14ac:dyDescent="0.3">
      <c r="A3234">
        <v>147483</v>
      </c>
      <c r="B3234" s="25" t="s">
        <v>5984</v>
      </c>
      <c r="C3234" t="s">
        <v>20</v>
      </c>
      <c r="D3234" t="s">
        <v>21</v>
      </c>
      <c r="E3234">
        <v>2222222</v>
      </c>
      <c r="F3234" s="8" t="s">
        <v>22</v>
      </c>
      <c r="G3234" s="2">
        <v>98</v>
      </c>
      <c r="H3234" t="s">
        <v>4405</v>
      </c>
      <c r="J3234" s="9" t="s">
        <v>4908</v>
      </c>
      <c r="K3234" t="s">
        <v>5567</v>
      </c>
      <c r="L3234" s="2">
        <v>1</v>
      </c>
      <c r="M3234" s="24" t="s">
        <v>5971</v>
      </c>
      <c r="N3234" s="2" t="s">
        <v>23</v>
      </c>
      <c r="O3234" s="18" t="s">
        <v>2525</v>
      </c>
      <c r="P3234" s="18" t="s">
        <v>0</v>
      </c>
      <c r="Q3234" s="6" t="s">
        <v>4475</v>
      </c>
      <c r="T3234" s="23">
        <v>45891</v>
      </c>
      <c r="U3234" s="23">
        <v>46256</v>
      </c>
      <c r="X3234" s="20">
        <v>500</v>
      </c>
      <c r="Z3234" s="6" t="s">
        <v>5978</v>
      </c>
      <c r="AA3234" s="14">
        <f t="shared" si="431"/>
        <v>5.9999999999999995E-4</v>
      </c>
      <c r="AB3234">
        <v>2.6837999999999997E-2</v>
      </c>
      <c r="AC3234">
        <v>2.7911519999999999E-2</v>
      </c>
    </row>
    <row r="3235" spans="1:29" x14ac:dyDescent="0.3">
      <c r="A3235">
        <v>147635</v>
      </c>
      <c r="B3235" s="25" t="s">
        <v>5984</v>
      </c>
      <c r="C3235" t="s">
        <v>20</v>
      </c>
      <c r="D3235" t="s">
        <v>21</v>
      </c>
      <c r="E3235">
        <v>2222222</v>
      </c>
      <c r="F3235" s="8" t="s">
        <v>22</v>
      </c>
      <c r="G3235" s="2">
        <v>98</v>
      </c>
      <c r="H3235" t="s">
        <v>4405</v>
      </c>
      <c r="J3235" s="9" t="s">
        <v>5336</v>
      </c>
      <c r="K3235" t="s">
        <v>5144</v>
      </c>
      <c r="L3235" s="2">
        <v>1</v>
      </c>
      <c r="M3235" s="24" t="s">
        <v>5971</v>
      </c>
      <c r="N3235" s="2" t="s">
        <v>23</v>
      </c>
      <c r="O3235" s="18" t="s">
        <v>2526</v>
      </c>
      <c r="P3235" s="18" t="s">
        <v>0</v>
      </c>
      <c r="Q3235" s="6" t="s">
        <v>4475</v>
      </c>
      <c r="T3235" s="23">
        <v>45902</v>
      </c>
      <c r="U3235" s="23">
        <v>47363</v>
      </c>
      <c r="X3235" s="20">
        <v>2970</v>
      </c>
      <c r="Z3235" s="6" t="s">
        <v>5978</v>
      </c>
      <c r="AA3235" s="14">
        <f t="shared" si="431"/>
        <v>5.9999999999999995E-4</v>
      </c>
      <c r="AB3235">
        <v>1.5192060000000001</v>
      </c>
      <c r="AC3235">
        <v>1.5799742400000001</v>
      </c>
    </row>
    <row r="3236" spans="1:29" x14ac:dyDescent="0.3">
      <c r="A3236">
        <v>147980</v>
      </c>
      <c r="B3236" s="25" t="s">
        <v>5984</v>
      </c>
      <c r="C3236" t="s">
        <v>20</v>
      </c>
      <c r="D3236" t="s">
        <v>21</v>
      </c>
      <c r="E3236">
        <v>2222222</v>
      </c>
      <c r="F3236" s="8" t="s">
        <v>22</v>
      </c>
      <c r="G3236" s="2">
        <v>98</v>
      </c>
      <c r="H3236" t="s">
        <v>4405</v>
      </c>
      <c r="J3236" s="9" t="s">
        <v>4926</v>
      </c>
      <c r="K3236" t="s">
        <v>5344</v>
      </c>
      <c r="L3236" s="2">
        <v>1</v>
      </c>
      <c r="M3236" s="24" t="s">
        <v>5971</v>
      </c>
      <c r="N3236" s="2" t="s">
        <v>23</v>
      </c>
      <c r="O3236" s="18" t="s">
        <v>364</v>
      </c>
      <c r="P3236" s="18" t="s">
        <v>3781</v>
      </c>
      <c r="Q3236" s="6" t="s">
        <v>4475</v>
      </c>
      <c r="T3236" s="23">
        <v>45946</v>
      </c>
      <c r="U3236" s="23">
        <v>46858</v>
      </c>
      <c r="X3236" s="20">
        <v>28000</v>
      </c>
      <c r="Z3236" s="6" t="s">
        <v>5978</v>
      </c>
      <c r="AA3236" s="14">
        <f t="shared" si="431"/>
        <v>5.9999999999999995E-4</v>
      </c>
      <c r="AB3236">
        <v>11.310101999999999</v>
      </c>
      <c r="AC3236">
        <v>11.76250608</v>
      </c>
    </row>
    <row r="3237" spans="1:29" x14ac:dyDescent="0.3">
      <c r="A3237">
        <v>148027</v>
      </c>
      <c r="B3237" s="25" t="s">
        <v>5984</v>
      </c>
      <c r="C3237" t="s">
        <v>20</v>
      </c>
      <c r="D3237" t="s">
        <v>21</v>
      </c>
      <c r="E3237">
        <v>2222222</v>
      </c>
      <c r="F3237" s="8" t="s">
        <v>22</v>
      </c>
      <c r="G3237" s="2">
        <v>98</v>
      </c>
      <c r="H3237" t="s">
        <v>4405</v>
      </c>
      <c r="J3237" s="9" t="s">
        <v>4934</v>
      </c>
      <c r="K3237" t="s">
        <v>5174</v>
      </c>
      <c r="L3237" s="2">
        <v>1</v>
      </c>
      <c r="M3237" s="24" t="s">
        <v>5971</v>
      </c>
      <c r="N3237" s="2" t="s">
        <v>23</v>
      </c>
      <c r="O3237" s="18" t="s">
        <v>795</v>
      </c>
      <c r="P3237" s="18" t="s">
        <v>0</v>
      </c>
      <c r="Q3237" s="6" t="s">
        <v>4475</v>
      </c>
      <c r="T3237" s="23">
        <v>45930</v>
      </c>
      <c r="U3237" s="23">
        <v>47026</v>
      </c>
      <c r="X3237" s="20">
        <v>5000</v>
      </c>
      <c r="Z3237" s="6" t="s">
        <v>5978</v>
      </c>
      <c r="AA3237" s="14">
        <f t="shared" si="431"/>
        <v>5.9999999999999995E-4</v>
      </c>
      <c r="AB3237">
        <v>1.8751319999999998</v>
      </c>
      <c r="AC3237">
        <v>1.9501372799999999</v>
      </c>
    </row>
    <row r="3238" spans="1:29" x14ac:dyDescent="0.3">
      <c r="A3238">
        <v>148049</v>
      </c>
      <c r="B3238" s="25" t="s">
        <v>5984</v>
      </c>
      <c r="C3238" t="s">
        <v>20</v>
      </c>
      <c r="D3238" t="s">
        <v>21</v>
      </c>
      <c r="E3238">
        <v>2222222</v>
      </c>
      <c r="F3238" s="8" t="s">
        <v>22</v>
      </c>
      <c r="G3238" s="2">
        <v>98</v>
      </c>
      <c r="H3238" t="s">
        <v>4405</v>
      </c>
      <c r="J3238" s="9" t="s">
        <v>4852</v>
      </c>
      <c r="K3238" t="s">
        <v>5160</v>
      </c>
      <c r="L3238" s="2">
        <v>1</v>
      </c>
      <c r="M3238" s="24" t="s">
        <v>5971</v>
      </c>
      <c r="N3238" s="2" t="s">
        <v>23</v>
      </c>
      <c r="O3238" s="18" t="s">
        <v>2516</v>
      </c>
      <c r="P3238" s="18" t="s">
        <v>0</v>
      </c>
      <c r="Q3238" s="6" t="s">
        <v>4475</v>
      </c>
      <c r="T3238" s="23">
        <v>45932</v>
      </c>
      <c r="U3238" s="23">
        <v>46478</v>
      </c>
      <c r="X3238" s="20">
        <v>3000</v>
      </c>
      <c r="Z3238" s="6" t="s">
        <v>5978</v>
      </c>
      <c r="AA3238" s="14">
        <f t="shared" si="431"/>
        <v>5.9999999999999995E-4</v>
      </c>
      <c r="AB3238">
        <v>0.95633999999999997</v>
      </c>
      <c r="AC3238">
        <v>0.99459359999999997</v>
      </c>
    </row>
    <row r="3239" spans="1:29" x14ac:dyDescent="0.3">
      <c r="A3239">
        <v>148149</v>
      </c>
      <c r="B3239" s="25" t="s">
        <v>5984</v>
      </c>
      <c r="C3239" t="s">
        <v>20</v>
      </c>
      <c r="D3239" t="s">
        <v>21</v>
      </c>
      <c r="E3239">
        <v>2222222</v>
      </c>
      <c r="F3239" s="8" t="s">
        <v>22</v>
      </c>
      <c r="G3239" s="2">
        <v>98</v>
      </c>
      <c r="H3239" t="s">
        <v>4405</v>
      </c>
      <c r="J3239" s="9" t="s">
        <v>4836</v>
      </c>
      <c r="K3239" t="s">
        <v>5759</v>
      </c>
      <c r="L3239" s="2">
        <v>1</v>
      </c>
      <c r="M3239" s="24" t="s">
        <v>5971</v>
      </c>
      <c r="N3239" s="2" t="s">
        <v>23</v>
      </c>
      <c r="O3239" s="18" t="s">
        <v>2527</v>
      </c>
      <c r="P3239" s="18" t="s">
        <v>3781</v>
      </c>
      <c r="Q3239" s="6" t="s">
        <v>4475</v>
      </c>
      <c r="T3239" s="23">
        <v>45939</v>
      </c>
      <c r="U3239" s="23">
        <v>46668</v>
      </c>
      <c r="X3239" s="20">
        <v>1500</v>
      </c>
      <c r="Z3239" s="6" t="s">
        <v>5978</v>
      </c>
      <c r="AA3239" s="14">
        <f t="shared" si="431"/>
        <v>5.9999999999999995E-4</v>
      </c>
      <c r="AB3239">
        <v>0.59731199999999995</v>
      </c>
      <c r="AC3239">
        <v>0.62120447999999995</v>
      </c>
    </row>
    <row r="3240" spans="1:29" x14ac:dyDescent="0.3">
      <c r="A3240">
        <v>148366</v>
      </c>
      <c r="B3240" s="25" t="s">
        <v>5984</v>
      </c>
      <c r="C3240" t="s">
        <v>20</v>
      </c>
      <c r="D3240" t="s">
        <v>21</v>
      </c>
      <c r="E3240">
        <v>2222222</v>
      </c>
      <c r="F3240" s="8" t="s">
        <v>22</v>
      </c>
      <c r="G3240" s="2">
        <v>98</v>
      </c>
      <c r="H3240" t="s">
        <v>4405</v>
      </c>
      <c r="J3240" s="9" t="s">
        <v>4929</v>
      </c>
      <c r="K3240" t="s">
        <v>5318</v>
      </c>
      <c r="L3240" s="2">
        <v>1</v>
      </c>
      <c r="M3240" s="24" t="s">
        <v>5971</v>
      </c>
      <c r="N3240" s="2" t="s">
        <v>23</v>
      </c>
      <c r="O3240" s="18" t="s">
        <v>1955</v>
      </c>
      <c r="P3240" s="18" t="s">
        <v>0</v>
      </c>
      <c r="Q3240" s="6" t="s">
        <v>4475</v>
      </c>
      <c r="T3240" s="23">
        <v>45957</v>
      </c>
      <c r="U3240" s="23">
        <v>46238</v>
      </c>
      <c r="X3240" s="20">
        <v>1800</v>
      </c>
      <c r="Z3240" s="6" t="s">
        <v>5978</v>
      </c>
      <c r="AA3240" s="14">
        <f t="shared" si="431"/>
        <v>5.9999999999999995E-4</v>
      </c>
      <c r="AB3240">
        <v>0.12648599999999999</v>
      </c>
      <c r="AC3240">
        <v>0.13154543999999999</v>
      </c>
    </row>
    <row r="3241" spans="1:29" x14ac:dyDescent="0.3">
      <c r="A3241">
        <v>148407</v>
      </c>
      <c r="B3241" s="25" t="s">
        <v>5984</v>
      </c>
      <c r="C3241" t="s">
        <v>20</v>
      </c>
      <c r="D3241" t="s">
        <v>21</v>
      </c>
      <c r="E3241">
        <v>2222222</v>
      </c>
      <c r="F3241" s="8" t="s">
        <v>22</v>
      </c>
      <c r="G3241" s="2">
        <v>98</v>
      </c>
      <c r="H3241" t="s">
        <v>4405</v>
      </c>
      <c r="J3241" s="9" t="s">
        <v>5055</v>
      </c>
      <c r="K3241" t="s">
        <v>5760</v>
      </c>
      <c r="L3241" s="2">
        <v>1</v>
      </c>
      <c r="M3241" s="24" t="s">
        <v>5971</v>
      </c>
      <c r="N3241" s="2" t="s">
        <v>23</v>
      </c>
      <c r="O3241" s="18" t="s">
        <v>2528</v>
      </c>
      <c r="P3241" s="18" t="s">
        <v>3781</v>
      </c>
      <c r="Q3241" s="6" t="s">
        <v>4475</v>
      </c>
      <c r="T3241" s="23">
        <v>45959</v>
      </c>
      <c r="U3241" s="23">
        <v>46693</v>
      </c>
      <c r="X3241" s="20">
        <v>3500</v>
      </c>
      <c r="Z3241" s="6" t="s">
        <v>5978</v>
      </c>
      <c r="AA3241" s="14">
        <f t="shared" si="431"/>
        <v>5.9999999999999995E-4</v>
      </c>
      <c r="AB3241">
        <v>1.4769359999999998</v>
      </c>
      <c r="AC3241">
        <v>1.5360134399999998</v>
      </c>
    </row>
    <row r="3242" spans="1:29" x14ac:dyDescent="0.3">
      <c r="A3242">
        <v>148632</v>
      </c>
      <c r="B3242" s="25" t="s">
        <v>5984</v>
      </c>
      <c r="C3242" t="s">
        <v>20</v>
      </c>
      <c r="D3242" t="s">
        <v>21</v>
      </c>
      <c r="E3242">
        <v>2222222</v>
      </c>
      <c r="F3242" s="8" t="s">
        <v>22</v>
      </c>
      <c r="G3242" s="2">
        <v>98</v>
      </c>
      <c r="H3242" t="s">
        <v>4405</v>
      </c>
      <c r="J3242" s="9" t="s">
        <v>4924</v>
      </c>
      <c r="K3242" t="s">
        <v>4863</v>
      </c>
      <c r="L3242" s="2">
        <v>1</v>
      </c>
      <c r="M3242" s="24" t="s">
        <v>5971</v>
      </c>
      <c r="N3242" s="2" t="s">
        <v>23</v>
      </c>
      <c r="O3242" s="18" t="s">
        <v>2491</v>
      </c>
      <c r="P3242" s="18" t="s">
        <v>3781</v>
      </c>
      <c r="Q3242" s="6" t="s">
        <v>4475</v>
      </c>
      <c r="T3242" s="23">
        <v>45971</v>
      </c>
      <c r="U3242" s="23">
        <v>47067</v>
      </c>
      <c r="X3242" s="20">
        <v>1500</v>
      </c>
      <c r="Z3242" s="6" t="s">
        <v>5978</v>
      </c>
      <c r="AA3242" s="14">
        <f t="shared" si="431"/>
        <v>5.9999999999999995E-4</v>
      </c>
      <c r="AB3242">
        <v>0.76061400000000001</v>
      </c>
      <c r="AC3242">
        <v>0.79103856000000006</v>
      </c>
    </row>
    <row r="3243" spans="1:29" x14ac:dyDescent="0.3">
      <c r="A3243">
        <v>148935</v>
      </c>
      <c r="B3243" s="25" t="s">
        <v>5984</v>
      </c>
      <c r="C3243" t="s">
        <v>20</v>
      </c>
      <c r="D3243" t="s">
        <v>21</v>
      </c>
      <c r="E3243">
        <v>2222222</v>
      </c>
      <c r="F3243" s="8" t="s">
        <v>22</v>
      </c>
      <c r="G3243" s="2">
        <v>98</v>
      </c>
      <c r="H3243" t="s">
        <v>4405</v>
      </c>
      <c r="J3243" s="9" t="s">
        <v>5010</v>
      </c>
      <c r="K3243" t="s">
        <v>5761</v>
      </c>
      <c r="L3243" s="2">
        <v>1</v>
      </c>
      <c r="M3243" s="24" t="s">
        <v>5971</v>
      </c>
      <c r="N3243" s="2" t="s">
        <v>23</v>
      </c>
      <c r="O3243" s="18" t="s">
        <v>2529</v>
      </c>
      <c r="P3243" s="18" t="s">
        <v>0</v>
      </c>
      <c r="Q3243" s="6" t="s">
        <v>4475</v>
      </c>
      <c r="T3243" s="23">
        <v>45988</v>
      </c>
      <c r="U3243" s="23">
        <v>46534</v>
      </c>
      <c r="X3243" s="20">
        <v>1000</v>
      </c>
      <c r="Z3243" s="6" t="s">
        <v>5978</v>
      </c>
      <c r="AA3243" s="14">
        <f t="shared" si="431"/>
        <v>5.9999999999999995E-4</v>
      </c>
      <c r="AB3243">
        <v>0.35191199999999995</v>
      </c>
      <c r="AC3243">
        <v>0.36598847999999995</v>
      </c>
    </row>
    <row r="3244" spans="1:29" x14ac:dyDescent="0.3">
      <c r="A3244">
        <v>148957</v>
      </c>
      <c r="B3244" s="25" t="s">
        <v>5984</v>
      </c>
      <c r="C3244" t="s">
        <v>20</v>
      </c>
      <c r="D3244" t="s">
        <v>21</v>
      </c>
      <c r="E3244">
        <v>2222222</v>
      </c>
      <c r="F3244" s="8" t="s">
        <v>22</v>
      </c>
      <c r="G3244" s="2">
        <v>98</v>
      </c>
      <c r="H3244" t="s">
        <v>4405</v>
      </c>
      <c r="J3244" s="9" t="s">
        <v>4815</v>
      </c>
      <c r="K3244" t="s">
        <v>4827</v>
      </c>
      <c r="L3244" s="2">
        <v>1</v>
      </c>
      <c r="M3244" s="24" t="s">
        <v>5971</v>
      </c>
      <c r="N3244" s="2" t="s">
        <v>23</v>
      </c>
      <c r="O3244" s="18" t="s">
        <v>2530</v>
      </c>
      <c r="P3244" s="18" t="s">
        <v>0</v>
      </c>
      <c r="Q3244" s="6" t="s">
        <v>4475</v>
      </c>
      <c r="T3244" s="23">
        <v>45989</v>
      </c>
      <c r="U3244" s="23">
        <v>46719</v>
      </c>
      <c r="X3244" s="20">
        <v>1400</v>
      </c>
      <c r="Z3244" s="6" t="s">
        <v>5978</v>
      </c>
      <c r="AA3244" s="14">
        <f t="shared" si="431"/>
        <v>5.9999999999999995E-4</v>
      </c>
      <c r="AB3244">
        <v>0.5907659999999999</v>
      </c>
      <c r="AC3244">
        <v>0.61439663999999994</v>
      </c>
    </row>
    <row r="3245" spans="1:29" x14ac:dyDescent="0.3">
      <c r="A3245">
        <v>149126</v>
      </c>
      <c r="B3245" s="25" t="s">
        <v>5984</v>
      </c>
      <c r="C3245" t="s">
        <v>20</v>
      </c>
      <c r="D3245" t="s">
        <v>21</v>
      </c>
      <c r="E3245">
        <v>2222222</v>
      </c>
      <c r="F3245" s="8" t="s">
        <v>22</v>
      </c>
      <c r="G3245" s="2">
        <v>98</v>
      </c>
      <c r="H3245" t="s">
        <v>4405</v>
      </c>
      <c r="J3245" s="9" t="s">
        <v>4891</v>
      </c>
      <c r="K3245" t="s">
        <v>5338</v>
      </c>
      <c r="L3245" s="2">
        <v>1</v>
      </c>
      <c r="M3245" s="24" t="s">
        <v>5971</v>
      </c>
      <c r="N3245" s="2" t="s">
        <v>23</v>
      </c>
      <c r="O3245" s="18" t="s">
        <v>2504</v>
      </c>
      <c r="P3245" s="18" t="s">
        <v>3781</v>
      </c>
      <c r="Q3245" s="6" t="s">
        <v>4475</v>
      </c>
      <c r="T3245" s="23">
        <v>46000</v>
      </c>
      <c r="U3245" s="23">
        <v>47095</v>
      </c>
      <c r="X3245" s="20">
        <v>3500</v>
      </c>
      <c r="Z3245" s="6" t="s">
        <v>5978</v>
      </c>
      <c r="AA3245" s="14">
        <f t="shared" si="431"/>
        <v>5.9999999999999995E-4</v>
      </c>
      <c r="AB3245">
        <v>1.7694839999999998</v>
      </c>
      <c r="AC3245">
        <v>1.8402633599999998</v>
      </c>
    </row>
    <row r="3246" spans="1:29" x14ac:dyDescent="0.3">
      <c r="A3246">
        <v>149352</v>
      </c>
      <c r="B3246" s="25" t="s">
        <v>5984</v>
      </c>
      <c r="C3246" t="s">
        <v>20</v>
      </c>
      <c r="D3246" t="s">
        <v>21</v>
      </c>
      <c r="E3246">
        <v>2222222</v>
      </c>
      <c r="F3246" s="8" t="s">
        <v>22</v>
      </c>
      <c r="G3246" s="2">
        <v>98</v>
      </c>
      <c r="H3246" t="s">
        <v>4405</v>
      </c>
      <c r="J3246" s="9" t="s">
        <v>5323</v>
      </c>
      <c r="K3246" t="s">
        <v>4848</v>
      </c>
      <c r="L3246" s="2">
        <v>1</v>
      </c>
      <c r="M3246" s="24" t="s">
        <v>5971</v>
      </c>
      <c r="N3246" s="2" t="s">
        <v>23</v>
      </c>
      <c r="O3246" s="18" t="s">
        <v>2531</v>
      </c>
      <c r="P3246" s="18" t="s">
        <v>0</v>
      </c>
      <c r="Q3246" s="6" t="s">
        <v>4475</v>
      </c>
      <c r="T3246" s="23">
        <v>46022</v>
      </c>
      <c r="U3246" s="23">
        <v>47847</v>
      </c>
      <c r="X3246" s="20">
        <v>20000</v>
      </c>
      <c r="Z3246" s="6" t="s">
        <v>5978</v>
      </c>
      <c r="AA3246" s="14">
        <f t="shared" si="431"/>
        <v>5.9999999999999995E-4</v>
      </c>
      <c r="AB3246">
        <v>11.178209999999998</v>
      </c>
      <c r="AC3246">
        <v>11.625338399999999</v>
      </c>
    </row>
    <row r="3247" spans="1:29" x14ac:dyDescent="0.3">
      <c r="A3247">
        <v>149432</v>
      </c>
      <c r="B3247" s="25" t="s">
        <v>5984</v>
      </c>
      <c r="C3247" t="s">
        <v>20</v>
      </c>
      <c r="D3247" t="s">
        <v>21</v>
      </c>
      <c r="E3247">
        <v>2222222</v>
      </c>
      <c r="F3247" s="8" t="s">
        <v>22</v>
      </c>
      <c r="G3247" s="2">
        <v>98</v>
      </c>
      <c r="H3247" t="s">
        <v>4405</v>
      </c>
      <c r="J3247" s="9" t="s">
        <v>4913</v>
      </c>
      <c r="K3247" t="s">
        <v>5085</v>
      </c>
      <c r="L3247" s="2">
        <v>1</v>
      </c>
      <c r="M3247" s="24" t="s">
        <v>5971</v>
      </c>
      <c r="N3247" s="2" t="s">
        <v>23</v>
      </c>
      <c r="O3247" s="18" t="s">
        <v>2412</v>
      </c>
      <c r="P3247" s="18" t="s">
        <v>0</v>
      </c>
      <c r="Q3247" s="6" t="s">
        <v>4475</v>
      </c>
      <c r="T3247" s="23">
        <v>46031</v>
      </c>
      <c r="U3247" s="23">
        <v>47246</v>
      </c>
      <c r="X3247" s="20">
        <v>9300</v>
      </c>
      <c r="Z3247" s="6" t="s">
        <v>5978</v>
      </c>
      <c r="AA3247" s="14">
        <f t="shared" si="431"/>
        <v>5.9999999999999995E-4</v>
      </c>
      <c r="AB3247">
        <v>5.0126339999999994</v>
      </c>
      <c r="AC3247">
        <v>5.2131393599999996</v>
      </c>
    </row>
    <row r="3248" spans="1:29" x14ac:dyDescent="0.3">
      <c r="A3248">
        <v>149893</v>
      </c>
      <c r="B3248" s="25" t="s">
        <v>5984</v>
      </c>
      <c r="C3248" t="s">
        <v>20</v>
      </c>
      <c r="D3248" t="s">
        <v>21</v>
      </c>
      <c r="E3248">
        <v>2222222</v>
      </c>
      <c r="F3248" s="8" t="s">
        <v>22</v>
      </c>
      <c r="G3248" s="2">
        <v>98</v>
      </c>
      <c r="H3248" t="s">
        <v>4405</v>
      </c>
      <c r="J3248" s="9" t="s">
        <v>5322</v>
      </c>
      <c r="K3248" t="s">
        <v>5762</v>
      </c>
      <c r="L3248" s="2">
        <v>1</v>
      </c>
      <c r="M3248" s="24" t="s">
        <v>5971</v>
      </c>
      <c r="N3248" s="2" t="s">
        <v>23</v>
      </c>
      <c r="O3248" s="18" t="s">
        <v>2532</v>
      </c>
      <c r="P3248" s="18" t="s">
        <v>0</v>
      </c>
      <c r="Q3248" s="6" t="s">
        <v>4475</v>
      </c>
      <c r="T3248" s="23">
        <v>46056</v>
      </c>
      <c r="U3248" s="23">
        <v>46423</v>
      </c>
      <c r="X3248" s="20">
        <v>780</v>
      </c>
      <c r="Z3248" s="6" t="s">
        <v>5978</v>
      </c>
      <c r="AA3248" s="14">
        <f t="shared" si="431"/>
        <v>5.9999999999999995E-4</v>
      </c>
      <c r="AB3248">
        <v>0.28265999999999997</v>
      </c>
      <c r="AC3248">
        <v>0.29396639999999996</v>
      </c>
    </row>
    <row r="3249" spans="1:29" x14ac:dyDescent="0.3">
      <c r="A3249">
        <v>149932</v>
      </c>
      <c r="B3249" s="25" t="s">
        <v>5984</v>
      </c>
      <c r="C3249" t="s">
        <v>20</v>
      </c>
      <c r="D3249" t="s">
        <v>21</v>
      </c>
      <c r="E3249">
        <v>2222222</v>
      </c>
      <c r="F3249" s="8" t="s">
        <v>22</v>
      </c>
      <c r="G3249" s="2">
        <v>98</v>
      </c>
      <c r="H3249" t="s">
        <v>4405</v>
      </c>
      <c r="J3249" s="9" t="s">
        <v>4929</v>
      </c>
      <c r="K3249" t="s">
        <v>4848</v>
      </c>
      <c r="L3249" s="2">
        <v>1</v>
      </c>
      <c r="M3249" s="24" t="s">
        <v>5971</v>
      </c>
      <c r="N3249" s="2" t="s">
        <v>23</v>
      </c>
      <c r="O3249" s="18" t="s">
        <v>1849</v>
      </c>
      <c r="P3249" s="18" t="s">
        <v>0</v>
      </c>
      <c r="Q3249" s="6" t="s">
        <v>4475</v>
      </c>
      <c r="T3249" s="23">
        <v>46059</v>
      </c>
      <c r="U3249" s="23">
        <v>46607</v>
      </c>
      <c r="X3249" s="20">
        <v>4000</v>
      </c>
      <c r="Z3249" s="6" t="s">
        <v>5978</v>
      </c>
      <c r="AA3249" s="14">
        <f t="shared" si="431"/>
        <v>5.9999999999999995E-4</v>
      </c>
      <c r="AB3249">
        <v>1.7972519999999998</v>
      </c>
      <c r="AC3249">
        <v>1.8691420799999998</v>
      </c>
    </row>
    <row r="3250" spans="1:29" x14ac:dyDescent="0.3">
      <c r="A3250">
        <v>150058</v>
      </c>
      <c r="B3250" s="25" t="s">
        <v>5984</v>
      </c>
      <c r="C3250" t="s">
        <v>20</v>
      </c>
      <c r="D3250" t="s">
        <v>21</v>
      </c>
      <c r="E3250">
        <v>2222222</v>
      </c>
      <c r="F3250" s="8" t="s">
        <v>22</v>
      </c>
      <c r="G3250" s="2">
        <v>98</v>
      </c>
      <c r="H3250" t="s">
        <v>4405</v>
      </c>
      <c r="J3250" s="9" t="s">
        <v>4929</v>
      </c>
      <c r="K3250" t="s">
        <v>4853</v>
      </c>
      <c r="L3250" s="2">
        <v>1</v>
      </c>
      <c r="M3250" s="24" t="s">
        <v>5971</v>
      </c>
      <c r="N3250" s="2" t="s">
        <v>23</v>
      </c>
      <c r="O3250" s="18" t="s">
        <v>2533</v>
      </c>
      <c r="P3250" s="18" t="s">
        <v>0</v>
      </c>
      <c r="Q3250" s="6" t="s">
        <v>4475</v>
      </c>
      <c r="T3250" s="23">
        <v>46071</v>
      </c>
      <c r="U3250" s="23">
        <v>46803</v>
      </c>
      <c r="X3250" s="20">
        <v>1500</v>
      </c>
      <c r="Z3250" s="6" t="s">
        <v>5978</v>
      </c>
      <c r="AA3250" s="14">
        <f t="shared" si="431"/>
        <v>5.9999999999999995E-4</v>
      </c>
      <c r="AB3250">
        <v>0.73699799999999993</v>
      </c>
      <c r="AC3250">
        <v>0.76647791999999992</v>
      </c>
    </row>
    <row r="3251" spans="1:29" x14ac:dyDescent="0.3">
      <c r="A3251">
        <v>150260</v>
      </c>
      <c r="B3251" s="25" t="s">
        <v>5984</v>
      </c>
      <c r="C3251" t="s">
        <v>20</v>
      </c>
      <c r="D3251" t="s">
        <v>21</v>
      </c>
      <c r="E3251">
        <v>2222222</v>
      </c>
      <c r="F3251" s="8" t="s">
        <v>22</v>
      </c>
      <c r="G3251" s="2">
        <v>98</v>
      </c>
      <c r="H3251" t="s">
        <v>4405</v>
      </c>
      <c r="J3251" s="9" t="s">
        <v>5763</v>
      </c>
      <c r="K3251" t="s">
        <v>5130</v>
      </c>
      <c r="L3251" s="2">
        <v>1</v>
      </c>
      <c r="M3251" s="24" t="s">
        <v>5971</v>
      </c>
      <c r="N3251" s="2" t="s">
        <v>23</v>
      </c>
      <c r="O3251" s="18" t="s">
        <v>1399</v>
      </c>
      <c r="P3251" s="18" t="s">
        <v>0</v>
      </c>
      <c r="Q3251" s="6" t="s">
        <v>4475</v>
      </c>
      <c r="T3251" s="23">
        <v>46083</v>
      </c>
      <c r="U3251" s="23">
        <v>47178</v>
      </c>
      <c r="X3251" s="20">
        <v>2300</v>
      </c>
      <c r="Z3251" s="6" t="s">
        <v>5978</v>
      </c>
      <c r="AA3251" s="14">
        <f t="shared" si="431"/>
        <v>5.9999999999999995E-4</v>
      </c>
      <c r="AB3251">
        <v>1.2588239999999999</v>
      </c>
      <c r="AC3251">
        <v>1.3091769600000001</v>
      </c>
    </row>
    <row r="3252" spans="1:29" x14ac:dyDescent="0.3">
      <c r="A3252">
        <v>150339</v>
      </c>
      <c r="B3252" s="25" t="s">
        <v>5984</v>
      </c>
      <c r="C3252" t="s">
        <v>20</v>
      </c>
      <c r="D3252" t="s">
        <v>21</v>
      </c>
      <c r="E3252">
        <v>2222222</v>
      </c>
      <c r="F3252" s="8" t="s">
        <v>22</v>
      </c>
      <c r="G3252" s="2">
        <v>98</v>
      </c>
      <c r="H3252" t="s">
        <v>4405</v>
      </c>
      <c r="J3252" s="9" t="s">
        <v>4900</v>
      </c>
      <c r="K3252" t="s">
        <v>4983</v>
      </c>
      <c r="L3252" s="2">
        <v>1</v>
      </c>
      <c r="M3252" s="24" t="s">
        <v>5971</v>
      </c>
      <c r="N3252" s="2" t="s">
        <v>23</v>
      </c>
      <c r="O3252" s="18" t="s">
        <v>2534</v>
      </c>
      <c r="P3252" s="18" t="s">
        <v>0</v>
      </c>
      <c r="Q3252" s="6" t="s">
        <v>4475</v>
      </c>
      <c r="T3252" s="23">
        <v>46086</v>
      </c>
      <c r="U3252" s="23">
        <v>47546</v>
      </c>
      <c r="X3252" s="20">
        <v>6000</v>
      </c>
      <c r="Z3252" s="6" t="s">
        <v>5978</v>
      </c>
      <c r="AA3252" s="14">
        <f t="shared" si="431"/>
        <v>5.9999999999999995E-4</v>
      </c>
      <c r="AB3252">
        <v>3.3704759999999996</v>
      </c>
      <c r="AC3252">
        <v>3.5052950399999996</v>
      </c>
    </row>
    <row r="3253" spans="1:29" x14ac:dyDescent="0.3">
      <c r="A3253">
        <v>150555</v>
      </c>
      <c r="B3253" s="25" t="s">
        <v>5984</v>
      </c>
      <c r="C3253" t="s">
        <v>20</v>
      </c>
      <c r="D3253" t="s">
        <v>21</v>
      </c>
      <c r="E3253">
        <v>2222222</v>
      </c>
      <c r="F3253" s="8" t="s">
        <v>22</v>
      </c>
      <c r="G3253" s="2">
        <v>98</v>
      </c>
      <c r="H3253" t="s">
        <v>4405</v>
      </c>
      <c r="J3253" s="9" t="s">
        <v>5045</v>
      </c>
      <c r="K3253" t="s">
        <v>4985</v>
      </c>
      <c r="L3253" s="2">
        <v>1</v>
      </c>
      <c r="M3253" s="24" t="s">
        <v>5971</v>
      </c>
      <c r="N3253" s="2" t="s">
        <v>23</v>
      </c>
      <c r="O3253" s="18" t="s">
        <v>2535</v>
      </c>
      <c r="P3253" s="18" t="s">
        <v>3781</v>
      </c>
      <c r="Q3253" s="6" t="s">
        <v>4475</v>
      </c>
      <c r="T3253" s="23">
        <v>46100</v>
      </c>
      <c r="U3253" s="23">
        <v>46465</v>
      </c>
      <c r="X3253" s="20">
        <v>700</v>
      </c>
      <c r="Z3253" s="6" t="s">
        <v>5978</v>
      </c>
      <c r="AA3253" s="14">
        <f t="shared" si="431"/>
        <v>5.9999999999999995E-4</v>
      </c>
      <c r="AB3253">
        <v>0.28777799999999998</v>
      </c>
      <c r="AC3253">
        <v>0.29928911999999996</v>
      </c>
    </row>
    <row r="3254" spans="1:29" x14ac:dyDescent="0.3">
      <c r="A3254">
        <v>150887</v>
      </c>
      <c r="B3254" s="25" t="s">
        <v>5984</v>
      </c>
      <c r="C3254" t="s">
        <v>20</v>
      </c>
      <c r="D3254" t="s">
        <v>21</v>
      </c>
      <c r="E3254">
        <v>2222222</v>
      </c>
      <c r="F3254" s="8" t="s">
        <v>22</v>
      </c>
      <c r="G3254" s="2">
        <v>98</v>
      </c>
      <c r="H3254" t="s">
        <v>4405</v>
      </c>
      <c r="J3254" s="9" t="s">
        <v>5038</v>
      </c>
      <c r="K3254" t="s">
        <v>5151</v>
      </c>
      <c r="L3254" s="2">
        <v>1</v>
      </c>
      <c r="M3254" s="24" t="s">
        <v>5971</v>
      </c>
      <c r="N3254" s="2" t="s">
        <v>23</v>
      </c>
      <c r="O3254" s="18" t="s">
        <v>2536</v>
      </c>
      <c r="P3254" s="18" t="s">
        <v>3781</v>
      </c>
      <c r="Q3254" s="6" t="s">
        <v>4475</v>
      </c>
      <c r="T3254" s="23">
        <v>46125</v>
      </c>
      <c r="U3254" s="23">
        <v>47586</v>
      </c>
      <c r="X3254" s="20">
        <v>5000</v>
      </c>
      <c r="Z3254" s="6" t="s">
        <v>5978</v>
      </c>
      <c r="AA3254" s="14">
        <f t="shared" si="431"/>
        <v>5.9999999999999995E-4</v>
      </c>
      <c r="AB3254">
        <v>2.8689779999999998</v>
      </c>
      <c r="AC3254">
        <v>2.9837371199999998</v>
      </c>
    </row>
    <row r="3255" spans="1:29" x14ac:dyDescent="0.3">
      <c r="A3255">
        <v>150908</v>
      </c>
      <c r="B3255" s="25" t="s">
        <v>5984</v>
      </c>
      <c r="C3255" t="s">
        <v>20</v>
      </c>
      <c r="D3255" t="s">
        <v>21</v>
      </c>
      <c r="E3255">
        <v>2222222</v>
      </c>
      <c r="F3255" s="8" t="s">
        <v>22</v>
      </c>
      <c r="G3255" s="2">
        <v>98</v>
      </c>
      <c r="H3255" t="s">
        <v>4405</v>
      </c>
      <c r="J3255" s="9" t="s">
        <v>5204</v>
      </c>
      <c r="K3255" t="s">
        <v>5753</v>
      </c>
      <c r="L3255" s="2">
        <v>1</v>
      </c>
      <c r="M3255" s="24" t="s">
        <v>5971</v>
      </c>
      <c r="N3255" s="2" t="s">
        <v>23</v>
      </c>
      <c r="O3255" s="18" t="s">
        <v>2492</v>
      </c>
      <c r="P3255" s="18" t="s">
        <v>0</v>
      </c>
      <c r="Q3255" s="6" t="s">
        <v>4475</v>
      </c>
      <c r="T3255" s="23">
        <v>46126</v>
      </c>
      <c r="U3255" s="23">
        <v>46857</v>
      </c>
      <c r="X3255" s="20">
        <v>5000</v>
      </c>
      <c r="Z3255" s="6" t="s">
        <v>5978</v>
      </c>
      <c r="AA3255" s="14">
        <f t="shared" si="431"/>
        <v>5.9999999999999995E-4</v>
      </c>
      <c r="AB3255">
        <v>2.6693579999999999</v>
      </c>
      <c r="AC3255">
        <v>2.7761323199999999</v>
      </c>
    </row>
    <row r="3256" spans="1:29" x14ac:dyDescent="0.3">
      <c r="A3256">
        <v>150967</v>
      </c>
      <c r="B3256" s="25" t="s">
        <v>5984</v>
      </c>
      <c r="C3256" t="s">
        <v>20</v>
      </c>
      <c r="D3256" t="s">
        <v>21</v>
      </c>
      <c r="E3256">
        <v>2222222</v>
      </c>
      <c r="F3256" s="8" t="s">
        <v>22</v>
      </c>
      <c r="G3256" s="2">
        <v>98</v>
      </c>
      <c r="H3256" t="s">
        <v>4405</v>
      </c>
      <c r="J3256" s="9" t="s">
        <v>4867</v>
      </c>
      <c r="K3256" t="s">
        <v>5525</v>
      </c>
      <c r="L3256" s="2">
        <v>1</v>
      </c>
      <c r="M3256" s="24" t="s">
        <v>5971</v>
      </c>
      <c r="N3256" s="2" t="s">
        <v>23</v>
      </c>
      <c r="O3256" s="18" t="s">
        <v>2537</v>
      </c>
      <c r="P3256" s="18" t="s">
        <v>3781</v>
      </c>
      <c r="Q3256" s="6" t="s">
        <v>4475</v>
      </c>
      <c r="T3256" s="23">
        <v>46129</v>
      </c>
      <c r="U3256" s="23">
        <v>47590</v>
      </c>
      <c r="X3256" s="20">
        <v>4550</v>
      </c>
      <c r="Z3256" s="6" t="s">
        <v>5978</v>
      </c>
      <c r="AA3256" s="14">
        <f t="shared" si="431"/>
        <v>5.9999999999999995E-4</v>
      </c>
      <c r="AB3256">
        <v>2.6107739999999997</v>
      </c>
      <c r="AC3256">
        <v>2.7152049599999999</v>
      </c>
    </row>
    <row r="3257" spans="1:29" x14ac:dyDescent="0.3">
      <c r="A3257">
        <v>151072</v>
      </c>
      <c r="B3257" s="25" t="s">
        <v>5984</v>
      </c>
      <c r="C3257" t="s">
        <v>20</v>
      </c>
      <c r="D3257" t="s">
        <v>21</v>
      </c>
      <c r="E3257">
        <v>2222222</v>
      </c>
      <c r="F3257" s="8" t="s">
        <v>22</v>
      </c>
      <c r="G3257" s="2">
        <v>98</v>
      </c>
      <c r="H3257" t="s">
        <v>4405</v>
      </c>
      <c r="J3257" s="9" t="s">
        <v>4898</v>
      </c>
      <c r="K3257" t="s">
        <v>5033</v>
      </c>
      <c r="L3257" s="2">
        <v>1</v>
      </c>
      <c r="M3257" s="24" t="s">
        <v>5971</v>
      </c>
      <c r="N3257" s="2" t="s">
        <v>23</v>
      </c>
      <c r="O3257" s="18" t="s">
        <v>937</v>
      </c>
      <c r="P3257" s="18" t="s">
        <v>3781</v>
      </c>
      <c r="Q3257" s="6" t="s">
        <v>4475</v>
      </c>
      <c r="T3257" s="23">
        <v>46136</v>
      </c>
      <c r="U3257" s="23">
        <v>47962</v>
      </c>
      <c r="X3257" s="20">
        <v>3650</v>
      </c>
      <c r="Z3257" s="6" t="s">
        <v>5978</v>
      </c>
      <c r="AA3257" s="14">
        <f t="shared" si="431"/>
        <v>5.9999999999999995E-4</v>
      </c>
      <c r="AB3257">
        <v>2.1130619999999998</v>
      </c>
      <c r="AC3257">
        <v>2.1975844799999997</v>
      </c>
    </row>
    <row r="3258" spans="1:29" x14ac:dyDescent="0.3">
      <c r="A3258">
        <v>151109</v>
      </c>
      <c r="B3258" s="25" t="s">
        <v>5984</v>
      </c>
      <c r="C3258" t="s">
        <v>20</v>
      </c>
      <c r="D3258" t="s">
        <v>21</v>
      </c>
      <c r="E3258">
        <v>2222222</v>
      </c>
      <c r="F3258" s="8" t="s">
        <v>22</v>
      </c>
      <c r="G3258" s="2">
        <v>98</v>
      </c>
      <c r="H3258" t="s">
        <v>4405</v>
      </c>
      <c r="J3258" s="9" t="s">
        <v>4981</v>
      </c>
      <c r="K3258" t="s">
        <v>5083</v>
      </c>
      <c r="L3258" s="2">
        <v>1</v>
      </c>
      <c r="M3258" s="24" t="s">
        <v>5971</v>
      </c>
      <c r="N3258" s="2" t="s">
        <v>23</v>
      </c>
      <c r="O3258" s="18" t="s">
        <v>2497</v>
      </c>
      <c r="P3258" s="18" t="s">
        <v>3781</v>
      </c>
      <c r="Q3258" s="6" t="s">
        <v>4475</v>
      </c>
      <c r="T3258" s="23">
        <v>46139</v>
      </c>
      <c r="U3258" s="23">
        <v>47965</v>
      </c>
      <c r="X3258" s="20">
        <v>1260</v>
      </c>
      <c r="Z3258" s="6" t="s">
        <v>5978</v>
      </c>
      <c r="AA3258" s="14">
        <f t="shared" si="431"/>
        <v>5.9999999999999995E-4</v>
      </c>
      <c r="AB3258">
        <v>0.72943199999999997</v>
      </c>
      <c r="AC3258">
        <v>0.75860927999999994</v>
      </c>
    </row>
    <row r="3259" spans="1:29" x14ac:dyDescent="0.3">
      <c r="A3259">
        <v>151184</v>
      </c>
      <c r="B3259" s="25" t="s">
        <v>5984</v>
      </c>
      <c r="C3259" t="s">
        <v>20</v>
      </c>
      <c r="D3259" t="s">
        <v>21</v>
      </c>
      <c r="E3259">
        <v>2222222</v>
      </c>
      <c r="F3259" s="8" t="s">
        <v>22</v>
      </c>
      <c r="G3259" s="2">
        <v>98</v>
      </c>
      <c r="H3259" t="s">
        <v>4405</v>
      </c>
      <c r="J3259" s="9" t="s">
        <v>5140</v>
      </c>
      <c r="K3259" t="s">
        <v>5411</v>
      </c>
      <c r="L3259" s="2">
        <v>1</v>
      </c>
      <c r="M3259" s="24" t="s">
        <v>5971</v>
      </c>
      <c r="N3259" s="2" t="s">
        <v>23</v>
      </c>
      <c r="O3259" s="18" t="s">
        <v>2538</v>
      </c>
      <c r="P3259" s="18" t="s">
        <v>3781</v>
      </c>
      <c r="Q3259" s="6" t="s">
        <v>4475</v>
      </c>
      <c r="T3259" s="23">
        <v>46145</v>
      </c>
      <c r="U3259" s="23">
        <v>46297</v>
      </c>
      <c r="X3259" s="20">
        <v>1250</v>
      </c>
      <c r="Z3259" s="6" t="s">
        <v>5978</v>
      </c>
      <c r="AA3259" s="14">
        <f t="shared" si="431"/>
        <v>5.9999999999999995E-4</v>
      </c>
      <c r="AB3259">
        <v>0.45613799999999999</v>
      </c>
      <c r="AC3259">
        <v>0.47438352</v>
      </c>
    </row>
    <row r="3260" spans="1:29" x14ac:dyDescent="0.3">
      <c r="A3260">
        <v>151233</v>
      </c>
      <c r="B3260" s="25" t="s">
        <v>5984</v>
      </c>
      <c r="C3260" t="s">
        <v>20</v>
      </c>
      <c r="D3260" t="s">
        <v>21</v>
      </c>
      <c r="E3260">
        <v>2222222</v>
      </c>
      <c r="F3260" s="8" t="s">
        <v>22</v>
      </c>
      <c r="G3260" s="2">
        <v>98</v>
      </c>
      <c r="H3260" t="s">
        <v>4405</v>
      </c>
      <c r="J3260" s="9" t="s">
        <v>5017</v>
      </c>
      <c r="K3260" t="s">
        <v>5019</v>
      </c>
      <c r="L3260" s="2">
        <v>1</v>
      </c>
      <c r="M3260" s="24" t="s">
        <v>5971</v>
      </c>
      <c r="N3260" s="2" t="s">
        <v>23</v>
      </c>
      <c r="O3260" s="18" t="s">
        <v>2539</v>
      </c>
      <c r="P3260" s="18" t="s">
        <v>3781</v>
      </c>
      <c r="Q3260" s="6" t="s">
        <v>4475</v>
      </c>
      <c r="T3260" s="23">
        <v>46149</v>
      </c>
      <c r="U3260" s="23">
        <v>46239</v>
      </c>
      <c r="X3260" s="20">
        <v>4670</v>
      </c>
      <c r="Z3260" s="6" t="s">
        <v>5978</v>
      </c>
      <c r="AA3260" s="14">
        <f t="shared" si="431"/>
        <v>5.9999999999999995E-4</v>
      </c>
      <c r="AB3260">
        <v>2.8019999999999996</v>
      </c>
      <c r="AC3260">
        <v>2.9140799999999998</v>
      </c>
    </row>
    <row r="3261" spans="1:29" x14ac:dyDescent="0.3">
      <c r="A3261">
        <v>151258</v>
      </c>
      <c r="B3261" s="25" t="s">
        <v>5984</v>
      </c>
      <c r="C3261" t="s">
        <v>20</v>
      </c>
      <c r="D3261" t="s">
        <v>21</v>
      </c>
      <c r="E3261">
        <v>2222222</v>
      </c>
      <c r="F3261" s="8" t="s">
        <v>22</v>
      </c>
      <c r="G3261" s="2">
        <v>98</v>
      </c>
      <c r="H3261" t="s">
        <v>4405</v>
      </c>
      <c r="J3261" s="9" t="s">
        <v>5055</v>
      </c>
      <c r="K3261" t="s">
        <v>4991</v>
      </c>
      <c r="L3261" s="2">
        <v>1</v>
      </c>
      <c r="M3261" s="24" t="s">
        <v>5971</v>
      </c>
      <c r="N3261" s="2" t="s">
        <v>23</v>
      </c>
      <c r="O3261" s="18" t="s">
        <v>884</v>
      </c>
      <c r="P3261" s="18" t="s">
        <v>3781</v>
      </c>
      <c r="Q3261" s="6" t="s">
        <v>4475</v>
      </c>
      <c r="T3261" s="23">
        <v>46150</v>
      </c>
      <c r="U3261" s="23">
        <v>46425</v>
      </c>
      <c r="X3261" s="20">
        <v>500</v>
      </c>
      <c r="Z3261" s="6" t="s">
        <v>5978</v>
      </c>
      <c r="AA3261" s="14">
        <f t="shared" si="431"/>
        <v>5.9999999999999995E-4</v>
      </c>
      <c r="AB3261">
        <v>0.236508</v>
      </c>
      <c r="AC3261">
        <v>0.24596832000000002</v>
      </c>
    </row>
    <row r="3262" spans="1:29" x14ac:dyDescent="0.3">
      <c r="A3262">
        <v>151281</v>
      </c>
      <c r="B3262" s="25" t="s">
        <v>5984</v>
      </c>
      <c r="C3262" t="s">
        <v>20</v>
      </c>
      <c r="D3262" t="s">
        <v>21</v>
      </c>
      <c r="E3262">
        <v>2222222</v>
      </c>
      <c r="F3262" s="8" t="s">
        <v>22</v>
      </c>
      <c r="G3262" s="2">
        <v>98</v>
      </c>
      <c r="H3262" t="s">
        <v>4405</v>
      </c>
      <c r="J3262" s="9" t="s">
        <v>5764</v>
      </c>
      <c r="K3262" t="s">
        <v>4836</v>
      </c>
      <c r="L3262" s="2">
        <v>1</v>
      </c>
      <c r="M3262" s="24" t="s">
        <v>5971</v>
      </c>
      <c r="N3262" s="2" t="s">
        <v>23</v>
      </c>
      <c r="O3262" s="18" t="s">
        <v>2540</v>
      </c>
      <c r="P3262" s="18" t="s">
        <v>3781</v>
      </c>
      <c r="Q3262" s="6" t="s">
        <v>4475</v>
      </c>
      <c r="T3262" s="23">
        <v>46153</v>
      </c>
      <c r="U3262" s="23">
        <v>46243</v>
      </c>
      <c r="X3262" s="20">
        <v>4970</v>
      </c>
      <c r="Z3262" s="6" t="s">
        <v>5978</v>
      </c>
      <c r="AA3262" s="14">
        <f t="shared" si="431"/>
        <v>5.9999999999999995E-4</v>
      </c>
      <c r="AB3262">
        <v>2.9819999999999998</v>
      </c>
      <c r="AC3262">
        <v>3.10128</v>
      </c>
    </row>
    <row r="3263" spans="1:29" x14ac:dyDescent="0.3">
      <c r="A3263">
        <v>151475</v>
      </c>
      <c r="B3263" s="25" t="s">
        <v>5984</v>
      </c>
      <c r="C3263" t="s">
        <v>20</v>
      </c>
      <c r="D3263" t="s">
        <v>21</v>
      </c>
      <c r="E3263">
        <v>2222222</v>
      </c>
      <c r="F3263" s="8" t="s">
        <v>22</v>
      </c>
      <c r="G3263" s="2">
        <v>98</v>
      </c>
      <c r="H3263" t="s">
        <v>4405</v>
      </c>
      <c r="J3263" s="9" t="s">
        <v>4836</v>
      </c>
      <c r="K3263" t="s">
        <v>5765</v>
      </c>
      <c r="L3263" s="2">
        <v>1</v>
      </c>
      <c r="M3263" s="24" t="s">
        <v>5971</v>
      </c>
      <c r="N3263" s="2" t="s">
        <v>23</v>
      </c>
      <c r="O3263" s="18" t="s">
        <v>2541</v>
      </c>
      <c r="P3263" s="18" t="s">
        <v>3781</v>
      </c>
      <c r="Q3263" s="6" t="s">
        <v>4475</v>
      </c>
      <c r="T3263" s="23">
        <v>46168</v>
      </c>
      <c r="U3263" s="23">
        <v>46348</v>
      </c>
      <c r="X3263" s="20">
        <v>170</v>
      </c>
      <c r="Z3263" s="6" t="s">
        <v>5978</v>
      </c>
      <c r="AA3263" s="14">
        <f t="shared" si="431"/>
        <v>5.9999999999999995E-4</v>
      </c>
      <c r="AB3263">
        <v>0.10199999999999999</v>
      </c>
      <c r="AC3263">
        <v>0.10607999999999999</v>
      </c>
    </row>
    <row r="3264" spans="1:29" x14ac:dyDescent="0.3">
      <c r="A3264">
        <v>151476</v>
      </c>
      <c r="B3264" s="25" t="s">
        <v>5984</v>
      </c>
      <c r="C3264" t="s">
        <v>20</v>
      </c>
      <c r="D3264" t="s">
        <v>21</v>
      </c>
      <c r="E3264">
        <v>2222222</v>
      </c>
      <c r="F3264" s="8" t="s">
        <v>22</v>
      </c>
      <c r="G3264" s="2">
        <v>98</v>
      </c>
      <c r="H3264" t="s">
        <v>4405</v>
      </c>
      <c r="J3264" s="9" t="s">
        <v>5334</v>
      </c>
      <c r="K3264" t="s">
        <v>4966</v>
      </c>
      <c r="L3264" s="2">
        <v>1</v>
      </c>
      <c r="M3264" s="24" t="s">
        <v>5971</v>
      </c>
      <c r="N3264" s="2" t="s">
        <v>23</v>
      </c>
      <c r="O3264" s="18" t="s">
        <v>2506</v>
      </c>
      <c r="P3264" s="18" t="s">
        <v>0</v>
      </c>
      <c r="Q3264" s="6" t="s">
        <v>4475</v>
      </c>
      <c r="T3264" s="23">
        <v>46168</v>
      </c>
      <c r="U3264" s="23">
        <v>46258</v>
      </c>
      <c r="X3264" s="20">
        <v>4920</v>
      </c>
      <c r="Z3264" s="6" t="s">
        <v>5978</v>
      </c>
      <c r="AA3264" s="14">
        <f t="shared" si="431"/>
        <v>5.9999999999999995E-4</v>
      </c>
      <c r="AB3264">
        <v>2.952</v>
      </c>
      <c r="AC3264">
        <v>3.0700799999999999</v>
      </c>
    </row>
    <row r="3265" spans="1:29" x14ac:dyDescent="0.3">
      <c r="A3265">
        <v>151528</v>
      </c>
      <c r="B3265" s="25" t="s">
        <v>5984</v>
      </c>
      <c r="C3265" t="s">
        <v>20</v>
      </c>
      <c r="D3265" t="s">
        <v>21</v>
      </c>
      <c r="E3265">
        <v>2222222</v>
      </c>
      <c r="F3265" s="8" t="s">
        <v>22</v>
      </c>
      <c r="G3265" s="2">
        <v>98</v>
      </c>
      <c r="H3265" t="s">
        <v>4405</v>
      </c>
      <c r="J3265" s="9" t="s">
        <v>5152</v>
      </c>
      <c r="K3265" t="s">
        <v>5520</v>
      </c>
      <c r="L3265" s="2">
        <v>1</v>
      </c>
      <c r="M3265" s="24" t="s">
        <v>5971</v>
      </c>
      <c r="N3265" s="2" t="s">
        <v>23</v>
      </c>
      <c r="O3265" s="18" t="s">
        <v>2501</v>
      </c>
      <c r="P3265" s="18" t="s">
        <v>3781</v>
      </c>
      <c r="Q3265" s="6" t="s">
        <v>4475</v>
      </c>
      <c r="T3265" s="23">
        <v>46171</v>
      </c>
      <c r="U3265" s="23">
        <v>46286</v>
      </c>
      <c r="X3265" s="20">
        <v>9150</v>
      </c>
      <c r="Z3265" s="6" t="s">
        <v>5978</v>
      </c>
      <c r="AA3265" s="14">
        <f t="shared" si="431"/>
        <v>5.9999999999999995E-4</v>
      </c>
      <c r="AB3265">
        <v>5.4899999999999993</v>
      </c>
      <c r="AC3265">
        <v>5.7095999999999991</v>
      </c>
    </row>
    <row r="3266" spans="1:29" x14ac:dyDescent="0.3">
      <c r="A3266">
        <v>151551</v>
      </c>
      <c r="B3266" s="25" t="s">
        <v>5984</v>
      </c>
      <c r="C3266" t="s">
        <v>20</v>
      </c>
      <c r="D3266" t="s">
        <v>21</v>
      </c>
      <c r="E3266">
        <v>2222222</v>
      </c>
      <c r="F3266" s="8" t="s">
        <v>22</v>
      </c>
      <c r="G3266" s="2">
        <v>98</v>
      </c>
      <c r="H3266" t="s">
        <v>4405</v>
      </c>
      <c r="J3266" s="9" t="s">
        <v>5164</v>
      </c>
      <c r="K3266" t="s">
        <v>5230</v>
      </c>
      <c r="L3266" s="2">
        <v>1</v>
      </c>
      <c r="M3266" s="24" t="s">
        <v>5971</v>
      </c>
      <c r="N3266" s="2" t="s">
        <v>23</v>
      </c>
      <c r="O3266" s="18" t="s">
        <v>1178</v>
      </c>
      <c r="P3266" s="18" t="s">
        <v>0</v>
      </c>
      <c r="Q3266" s="6" t="s">
        <v>4475</v>
      </c>
      <c r="T3266" s="23">
        <v>46183</v>
      </c>
      <c r="U3266" s="23">
        <v>47279</v>
      </c>
      <c r="X3266" s="20">
        <v>8250</v>
      </c>
      <c r="Z3266" s="6" t="s">
        <v>5978</v>
      </c>
      <c r="AA3266" s="14">
        <f t="shared" si="431"/>
        <v>5.9999999999999995E-4</v>
      </c>
      <c r="AB3266">
        <v>4.8380999999999998</v>
      </c>
      <c r="AC3266">
        <v>5.0316239999999999</v>
      </c>
    </row>
    <row r="3267" spans="1:29" x14ac:dyDescent="0.3">
      <c r="A3267">
        <v>151632</v>
      </c>
      <c r="B3267" s="25" t="s">
        <v>5984</v>
      </c>
      <c r="C3267" t="s">
        <v>20</v>
      </c>
      <c r="D3267" t="s">
        <v>21</v>
      </c>
      <c r="E3267">
        <v>2222222</v>
      </c>
      <c r="F3267" s="8" t="s">
        <v>22</v>
      </c>
      <c r="G3267" s="2">
        <v>98</v>
      </c>
      <c r="H3267" t="s">
        <v>4405</v>
      </c>
      <c r="J3267" s="9" t="s">
        <v>5241</v>
      </c>
      <c r="K3267" t="s">
        <v>5484</v>
      </c>
      <c r="L3267" s="2">
        <v>1</v>
      </c>
      <c r="M3267" s="24" t="s">
        <v>5971</v>
      </c>
      <c r="N3267" s="2" t="s">
        <v>23</v>
      </c>
      <c r="O3267" s="18" t="s">
        <v>2499</v>
      </c>
      <c r="P3267" s="18" t="s">
        <v>0</v>
      </c>
      <c r="Q3267" s="6" t="s">
        <v>4475</v>
      </c>
      <c r="T3267" s="23">
        <v>46176</v>
      </c>
      <c r="U3267" s="23">
        <v>46266</v>
      </c>
      <c r="X3267" s="20">
        <v>500</v>
      </c>
      <c r="Z3267" s="6" t="s">
        <v>5978</v>
      </c>
      <c r="AA3267" s="14">
        <f t="shared" si="431"/>
        <v>5.9999999999999995E-4</v>
      </c>
      <c r="AB3267">
        <v>0.3</v>
      </c>
      <c r="AC3267">
        <v>0.312</v>
      </c>
    </row>
    <row r="3268" spans="1:29" x14ac:dyDescent="0.3">
      <c r="A3268">
        <v>151706</v>
      </c>
      <c r="B3268" s="25" t="s">
        <v>5984</v>
      </c>
      <c r="C3268" t="s">
        <v>20</v>
      </c>
      <c r="D3268" t="s">
        <v>21</v>
      </c>
      <c r="E3268">
        <v>2222222</v>
      </c>
      <c r="F3268" s="8" t="s">
        <v>22</v>
      </c>
      <c r="G3268" s="2">
        <v>98</v>
      </c>
      <c r="H3268" t="s">
        <v>4405</v>
      </c>
      <c r="J3268" s="9" t="s">
        <v>4836</v>
      </c>
      <c r="K3268" t="s">
        <v>5759</v>
      </c>
      <c r="L3268" s="2">
        <v>1</v>
      </c>
      <c r="M3268" s="24" t="s">
        <v>5971</v>
      </c>
      <c r="N3268" s="2" t="s">
        <v>23</v>
      </c>
      <c r="O3268" s="18" t="s">
        <v>2527</v>
      </c>
      <c r="P3268" s="18" t="s">
        <v>3781</v>
      </c>
      <c r="Q3268" s="6" t="s">
        <v>4475</v>
      </c>
      <c r="T3268" s="23">
        <v>46182</v>
      </c>
      <c r="U3268" s="23">
        <v>47643</v>
      </c>
      <c r="X3268" s="20">
        <v>5000</v>
      </c>
      <c r="Z3268" s="6" t="s">
        <v>5978</v>
      </c>
      <c r="AA3268" s="14">
        <f t="shared" ref="AA3268:AA3285" si="432">+(0.6/1000)</f>
        <v>5.9999999999999995E-4</v>
      </c>
      <c r="AB3268">
        <v>2.9564819999999998</v>
      </c>
      <c r="AC3268">
        <v>3.07474128</v>
      </c>
    </row>
    <row r="3269" spans="1:29" x14ac:dyDescent="0.3">
      <c r="A3269">
        <v>151713</v>
      </c>
      <c r="B3269" s="25" t="s">
        <v>5984</v>
      </c>
      <c r="C3269" t="s">
        <v>20</v>
      </c>
      <c r="D3269" t="s">
        <v>21</v>
      </c>
      <c r="E3269">
        <v>2222222</v>
      </c>
      <c r="F3269" s="8" t="s">
        <v>22</v>
      </c>
      <c r="G3269" s="2">
        <v>98</v>
      </c>
      <c r="H3269" t="s">
        <v>4405</v>
      </c>
      <c r="J3269" s="9" t="s">
        <v>5110</v>
      </c>
      <c r="K3269" t="s">
        <v>4832</v>
      </c>
      <c r="L3269" s="2">
        <v>1</v>
      </c>
      <c r="M3269" s="24" t="s">
        <v>5971</v>
      </c>
      <c r="N3269" s="2" t="s">
        <v>23</v>
      </c>
      <c r="O3269" s="18" t="s">
        <v>634</v>
      </c>
      <c r="P3269" s="18" t="s">
        <v>3781</v>
      </c>
      <c r="Q3269" s="6" t="s">
        <v>4475</v>
      </c>
      <c r="T3269" s="23">
        <v>46182</v>
      </c>
      <c r="U3269" s="23">
        <v>46272</v>
      </c>
      <c r="X3269" s="20">
        <v>1110</v>
      </c>
      <c r="Z3269" s="6" t="s">
        <v>5978</v>
      </c>
      <c r="AA3269" s="14">
        <f t="shared" si="432"/>
        <v>5.9999999999999995E-4</v>
      </c>
      <c r="AB3269">
        <v>0.66599999999999993</v>
      </c>
      <c r="AC3269">
        <v>0.69263999999999992</v>
      </c>
    </row>
    <row r="3270" spans="1:29" x14ac:dyDescent="0.3">
      <c r="A3270">
        <v>151853</v>
      </c>
      <c r="B3270" s="25" t="s">
        <v>5984</v>
      </c>
      <c r="C3270" t="s">
        <v>20</v>
      </c>
      <c r="D3270" t="s">
        <v>21</v>
      </c>
      <c r="E3270">
        <v>2222222</v>
      </c>
      <c r="F3270" s="8" t="s">
        <v>22</v>
      </c>
      <c r="G3270" s="2">
        <v>98</v>
      </c>
      <c r="H3270" t="s">
        <v>4405</v>
      </c>
      <c r="J3270" s="9" t="s">
        <v>4852</v>
      </c>
      <c r="K3270" t="s">
        <v>5160</v>
      </c>
      <c r="L3270" s="2">
        <v>1</v>
      </c>
      <c r="M3270" s="24" t="s">
        <v>5971</v>
      </c>
      <c r="N3270" s="2" t="s">
        <v>23</v>
      </c>
      <c r="O3270" s="18" t="s">
        <v>2516</v>
      </c>
      <c r="P3270" s="18" t="s">
        <v>0</v>
      </c>
      <c r="Q3270" s="6" t="s">
        <v>4475</v>
      </c>
      <c r="T3270" s="23">
        <v>46192</v>
      </c>
      <c r="U3270" s="23">
        <v>46312</v>
      </c>
      <c r="X3270" s="20">
        <v>4000</v>
      </c>
      <c r="Z3270" s="6" t="s">
        <v>5978</v>
      </c>
      <c r="AA3270" s="14">
        <f t="shared" si="432"/>
        <v>5.9999999999999995E-4</v>
      </c>
      <c r="AB3270">
        <v>2.4</v>
      </c>
      <c r="AC3270">
        <v>2.496</v>
      </c>
    </row>
    <row r="3271" spans="1:29" x14ac:dyDescent="0.3">
      <c r="A3271">
        <v>151879</v>
      </c>
      <c r="B3271" s="25" t="s">
        <v>5984</v>
      </c>
      <c r="C3271" t="s">
        <v>20</v>
      </c>
      <c r="D3271" t="s">
        <v>21</v>
      </c>
      <c r="E3271">
        <v>2222222</v>
      </c>
      <c r="F3271" s="8" t="s">
        <v>22</v>
      </c>
      <c r="G3271" s="2">
        <v>98</v>
      </c>
      <c r="H3271" t="s">
        <v>4405</v>
      </c>
      <c r="J3271" s="9" t="s">
        <v>5204</v>
      </c>
      <c r="K3271" t="s">
        <v>5493</v>
      </c>
      <c r="L3271" s="2">
        <v>1</v>
      </c>
      <c r="M3271" s="24" t="s">
        <v>5971</v>
      </c>
      <c r="N3271" s="2" t="s">
        <v>23</v>
      </c>
      <c r="O3271" s="18" t="s">
        <v>2542</v>
      </c>
      <c r="P3271" s="18" t="s">
        <v>0</v>
      </c>
      <c r="Q3271" s="6" t="s">
        <v>4475</v>
      </c>
      <c r="T3271" s="23">
        <v>46194</v>
      </c>
      <c r="U3271" s="23">
        <v>46284</v>
      </c>
      <c r="X3271" s="20">
        <v>3950</v>
      </c>
      <c r="Z3271" s="6" t="s">
        <v>5978</v>
      </c>
      <c r="AA3271" s="14">
        <f t="shared" si="432"/>
        <v>5.9999999999999995E-4</v>
      </c>
      <c r="AB3271">
        <v>2.3699999999999997</v>
      </c>
      <c r="AC3271">
        <v>2.4647999999999999</v>
      </c>
    </row>
    <row r="3272" spans="1:29" x14ac:dyDescent="0.3">
      <c r="A3272">
        <v>151910</v>
      </c>
      <c r="B3272" s="25" t="s">
        <v>5984</v>
      </c>
      <c r="C3272" t="s">
        <v>20</v>
      </c>
      <c r="D3272" t="s">
        <v>21</v>
      </c>
      <c r="E3272">
        <v>2222222</v>
      </c>
      <c r="F3272" s="8" t="s">
        <v>22</v>
      </c>
      <c r="G3272" s="2">
        <v>98</v>
      </c>
      <c r="H3272" t="s">
        <v>4405</v>
      </c>
      <c r="J3272" s="9" t="s">
        <v>4836</v>
      </c>
      <c r="K3272" t="s">
        <v>4873</v>
      </c>
      <c r="L3272" s="2">
        <v>1</v>
      </c>
      <c r="M3272" s="24" t="s">
        <v>5971</v>
      </c>
      <c r="N3272" s="2" t="s">
        <v>23</v>
      </c>
      <c r="O3272" s="18" t="s">
        <v>2543</v>
      </c>
      <c r="P3272" s="18" t="s">
        <v>3781</v>
      </c>
      <c r="Q3272" s="6" t="s">
        <v>4475</v>
      </c>
      <c r="T3272" s="23">
        <v>46196</v>
      </c>
      <c r="U3272" s="23">
        <v>46561</v>
      </c>
      <c r="X3272" s="20">
        <v>500</v>
      </c>
      <c r="Z3272" s="6" t="s">
        <v>5978</v>
      </c>
      <c r="AA3272" s="14">
        <f t="shared" si="432"/>
        <v>5.9999999999999995E-4</v>
      </c>
      <c r="AB3272">
        <v>0.27685199999999999</v>
      </c>
      <c r="AC3272">
        <v>0.28792607999999997</v>
      </c>
    </row>
    <row r="3273" spans="1:29" x14ac:dyDescent="0.3">
      <c r="A3273">
        <v>151983</v>
      </c>
      <c r="B3273" s="25" t="s">
        <v>5984</v>
      </c>
      <c r="C3273" t="s">
        <v>20</v>
      </c>
      <c r="D3273" t="s">
        <v>21</v>
      </c>
      <c r="E3273">
        <v>2222222</v>
      </c>
      <c r="F3273" s="8" t="s">
        <v>22</v>
      </c>
      <c r="G3273" s="2">
        <v>98</v>
      </c>
      <c r="H3273" t="s">
        <v>4405</v>
      </c>
      <c r="J3273" s="9" t="s">
        <v>5419</v>
      </c>
      <c r="K3273" t="s">
        <v>4966</v>
      </c>
      <c r="L3273" s="2">
        <v>1</v>
      </c>
      <c r="M3273" s="24" t="s">
        <v>5971</v>
      </c>
      <c r="N3273" s="2" t="s">
        <v>23</v>
      </c>
      <c r="O3273" s="18" t="s">
        <v>2544</v>
      </c>
      <c r="P3273" s="18" t="s">
        <v>0</v>
      </c>
      <c r="Q3273" s="6" t="s">
        <v>4475</v>
      </c>
      <c r="T3273" s="23">
        <v>46203</v>
      </c>
      <c r="U3273" s="23">
        <v>46293</v>
      </c>
      <c r="X3273" s="20">
        <v>700</v>
      </c>
      <c r="Z3273" s="6" t="s">
        <v>5978</v>
      </c>
      <c r="AA3273" s="14">
        <f t="shared" si="432"/>
        <v>5.9999999999999995E-4</v>
      </c>
      <c r="AB3273">
        <v>0.42</v>
      </c>
      <c r="AC3273">
        <v>0.43680000000000002</v>
      </c>
    </row>
    <row r="3274" spans="1:29" x14ac:dyDescent="0.3">
      <c r="A3274">
        <v>151987</v>
      </c>
      <c r="B3274" s="25" t="s">
        <v>5984</v>
      </c>
      <c r="C3274" t="s">
        <v>20</v>
      </c>
      <c r="D3274" t="s">
        <v>21</v>
      </c>
      <c r="E3274">
        <v>2222222</v>
      </c>
      <c r="F3274" s="8" t="s">
        <v>22</v>
      </c>
      <c r="G3274" s="2">
        <v>98</v>
      </c>
      <c r="H3274" t="s">
        <v>4405</v>
      </c>
      <c r="J3274" s="9" t="s">
        <v>4832</v>
      </c>
      <c r="L3274" s="2">
        <v>1</v>
      </c>
      <c r="M3274" s="24" t="s">
        <v>5971</v>
      </c>
      <c r="N3274" s="2" t="s">
        <v>23</v>
      </c>
      <c r="O3274" s="18" t="s">
        <v>2496</v>
      </c>
      <c r="P3274" s="18" t="s">
        <v>3781</v>
      </c>
      <c r="Q3274" s="6" t="s">
        <v>4475</v>
      </c>
      <c r="T3274" s="23">
        <v>46203</v>
      </c>
      <c r="U3274" s="23">
        <v>46293</v>
      </c>
      <c r="X3274" s="20">
        <v>3000</v>
      </c>
      <c r="Z3274" s="6" t="s">
        <v>5978</v>
      </c>
      <c r="AA3274" s="14">
        <f t="shared" si="432"/>
        <v>5.9999999999999995E-4</v>
      </c>
      <c r="AB3274">
        <v>1.7999999999999998</v>
      </c>
      <c r="AC3274">
        <v>1.8719999999999999</v>
      </c>
    </row>
    <row r="3275" spans="1:29" x14ac:dyDescent="0.3">
      <c r="A3275">
        <v>152003</v>
      </c>
      <c r="B3275" s="25" t="s">
        <v>5984</v>
      </c>
      <c r="C3275" t="s">
        <v>20</v>
      </c>
      <c r="D3275" t="s">
        <v>21</v>
      </c>
      <c r="E3275">
        <v>2222222</v>
      </c>
      <c r="F3275" s="8" t="s">
        <v>22</v>
      </c>
      <c r="G3275" s="2">
        <v>98</v>
      </c>
      <c r="H3275" t="s">
        <v>4405</v>
      </c>
      <c r="J3275" s="9" t="s">
        <v>5256</v>
      </c>
      <c r="K3275" t="s">
        <v>5715</v>
      </c>
      <c r="L3275" s="2">
        <v>1</v>
      </c>
      <c r="M3275" s="24" t="s">
        <v>5971</v>
      </c>
      <c r="N3275" s="2" t="s">
        <v>23</v>
      </c>
      <c r="O3275" s="18" t="s">
        <v>2545</v>
      </c>
      <c r="P3275" s="18" t="s">
        <v>0</v>
      </c>
      <c r="Q3275" s="6" t="s">
        <v>4475</v>
      </c>
      <c r="T3275" s="23">
        <v>46204</v>
      </c>
      <c r="U3275" s="23">
        <v>46296</v>
      </c>
      <c r="X3275" s="20">
        <v>1380</v>
      </c>
      <c r="Z3275" s="6" t="s">
        <v>5978</v>
      </c>
      <c r="AA3275" s="14">
        <f t="shared" si="432"/>
        <v>5.9999999999999995E-4</v>
      </c>
      <c r="AB3275">
        <v>0.82799999999999996</v>
      </c>
      <c r="AC3275">
        <v>0.86112</v>
      </c>
    </row>
    <row r="3276" spans="1:29" x14ac:dyDescent="0.3">
      <c r="A3276">
        <v>152061</v>
      </c>
      <c r="B3276" s="25" t="s">
        <v>5984</v>
      </c>
      <c r="C3276" t="s">
        <v>20</v>
      </c>
      <c r="D3276" t="s">
        <v>21</v>
      </c>
      <c r="E3276">
        <v>2222222</v>
      </c>
      <c r="F3276" s="8" t="s">
        <v>22</v>
      </c>
      <c r="G3276" s="2">
        <v>98</v>
      </c>
      <c r="H3276" t="s">
        <v>4405</v>
      </c>
      <c r="J3276" s="9" t="s">
        <v>4901</v>
      </c>
      <c r="K3276" t="s">
        <v>5421</v>
      </c>
      <c r="L3276" s="2">
        <v>1</v>
      </c>
      <c r="M3276" s="24" t="s">
        <v>5971</v>
      </c>
      <c r="N3276" s="2" t="s">
        <v>23</v>
      </c>
      <c r="O3276" s="18" t="s">
        <v>2487</v>
      </c>
      <c r="P3276" s="18" t="s">
        <v>0</v>
      </c>
      <c r="Q3276" s="6" t="s">
        <v>4475</v>
      </c>
      <c r="T3276" s="23">
        <v>46209</v>
      </c>
      <c r="U3276" s="23">
        <v>46299</v>
      </c>
      <c r="X3276" s="20">
        <v>5000</v>
      </c>
      <c r="Z3276" s="6" t="s">
        <v>5978</v>
      </c>
      <c r="AA3276" s="14">
        <f t="shared" si="432"/>
        <v>5.9999999999999995E-4</v>
      </c>
      <c r="AB3276">
        <v>2.9999999999999996</v>
      </c>
      <c r="AC3276">
        <v>3.1199999999999997</v>
      </c>
    </row>
    <row r="3277" spans="1:29" x14ac:dyDescent="0.3">
      <c r="A3277">
        <v>152126</v>
      </c>
      <c r="B3277" s="25" t="s">
        <v>5984</v>
      </c>
      <c r="C3277" t="s">
        <v>20</v>
      </c>
      <c r="D3277" t="s">
        <v>21</v>
      </c>
      <c r="E3277">
        <v>2222222</v>
      </c>
      <c r="F3277" s="8" t="s">
        <v>22</v>
      </c>
      <c r="G3277" s="2">
        <v>98</v>
      </c>
      <c r="H3277" t="s">
        <v>4405</v>
      </c>
      <c r="J3277" s="9" t="s">
        <v>4836</v>
      </c>
      <c r="K3277" t="s">
        <v>4837</v>
      </c>
      <c r="L3277" s="2">
        <v>1</v>
      </c>
      <c r="M3277" s="24" t="s">
        <v>5971</v>
      </c>
      <c r="N3277" s="2" t="s">
        <v>23</v>
      </c>
      <c r="O3277" s="18" t="s">
        <v>2546</v>
      </c>
      <c r="P3277" s="18" t="s">
        <v>3781</v>
      </c>
      <c r="Q3277" s="6" t="s">
        <v>4475</v>
      </c>
      <c r="T3277" s="23">
        <v>46213</v>
      </c>
      <c r="U3277" s="23">
        <v>46303</v>
      </c>
      <c r="X3277" s="20">
        <v>500</v>
      </c>
      <c r="Z3277" s="6" t="s">
        <v>5978</v>
      </c>
      <c r="AA3277" s="14">
        <f t="shared" si="432"/>
        <v>5.9999999999999995E-4</v>
      </c>
      <c r="AB3277">
        <v>0.3</v>
      </c>
      <c r="AC3277">
        <v>0.312</v>
      </c>
    </row>
    <row r="3278" spans="1:29" x14ac:dyDescent="0.3">
      <c r="A3278">
        <v>152201</v>
      </c>
      <c r="B3278" s="25" t="s">
        <v>5984</v>
      </c>
      <c r="C3278" t="s">
        <v>20</v>
      </c>
      <c r="D3278" t="s">
        <v>21</v>
      </c>
      <c r="E3278">
        <v>2222222</v>
      </c>
      <c r="F3278" s="8" t="s">
        <v>22</v>
      </c>
      <c r="G3278" s="2">
        <v>98</v>
      </c>
      <c r="H3278" t="s">
        <v>4405</v>
      </c>
      <c r="J3278" s="9" t="s">
        <v>5204</v>
      </c>
      <c r="K3278" t="s">
        <v>5493</v>
      </c>
      <c r="L3278" s="2">
        <v>1</v>
      </c>
      <c r="M3278" s="24" t="s">
        <v>5971</v>
      </c>
      <c r="N3278" s="2" t="s">
        <v>23</v>
      </c>
      <c r="O3278" s="18" t="s">
        <v>2542</v>
      </c>
      <c r="P3278" s="18" t="s">
        <v>0</v>
      </c>
      <c r="Q3278" s="6" t="s">
        <v>4475</v>
      </c>
      <c r="T3278" s="23">
        <v>46219</v>
      </c>
      <c r="U3278" s="23">
        <v>46309</v>
      </c>
      <c r="X3278" s="20">
        <v>2900</v>
      </c>
      <c r="Z3278" s="6" t="s">
        <v>5978</v>
      </c>
      <c r="AA3278" s="14">
        <f t="shared" si="432"/>
        <v>5.9999999999999995E-4</v>
      </c>
      <c r="AB3278">
        <v>1.7399999999999998</v>
      </c>
      <c r="AC3278">
        <v>1.8095999999999999</v>
      </c>
    </row>
    <row r="3279" spans="1:29" x14ac:dyDescent="0.3">
      <c r="A3279">
        <v>152211</v>
      </c>
      <c r="B3279" s="25" t="s">
        <v>5984</v>
      </c>
      <c r="C3279" t="s">
        <v>20</v>
      </c>
      <c r="D3279" t="s">
        <v>21</v>
      </c>
      <c r="E3279">
        <v>2222222</v>
      </c>
      <c r="F3279" s="8" t="s">
        <v>22</v>
      </c>
      <c r="G3279" s="2">
        <v>98</v>
      </c>
      <c r="H3279" t="s">
        <v>4405</v>
      </c>
      <c r="J3279" s="9" t="s">
        <v>4827</v>
      </c>
      <c r="K3279" t="s">
        <v>5024</v>
      </c>
      <c r="L3279" s="2">
        <v>1</v>
      </c>
      <c r="M3279" s="24" t="s">
        <v>5971</v>
      </c>
      <c r="N3279" s="2" t="s">
        <v>23</v>
      </c>
      <c r="O3279" s="18" t="s">
        <v>2547</v>
      </c>
      <c r="P3279" s="18" t="s">
        <v>0</v>
      </c>
      <c r="Q3279" s="6" t="s">
        <v>4475</v>
      </c>
      <c r="T3279" s="23">
        <v>46219</v>
      </c>
      <c r="U3279" s="23">
        <v>46949</v>
      </c>
      <c r="X3279" s="20">
        <v>2000</v>
      </c>
      <c r="Z3279" s="6" t="s">
        <v>5978</v>
      </c>
      <c r="AA3279" s="14">
        <f t="shared" si="432"/>
        <v>5.9999999999999995E-4</v>
      </c>
      <c r="AB3279">
        <v>1.2</v>
      </c>
      <c r="AC3279">
        <v>1.248</v>
      </c>
    </row>
    <row r="3280" spans="1:29" x14ac:dyDescent="0.3">
      <c r="A3280">
        <v>152284</v>
      </c>
      <c r="B3280" s="25" t="s">
        <v>5984</v>
      </c>
      <c r="C3280" t="s">
        <v>20</v>
      </c>
      <c r="D3280" t="s">
        <v>21</v>
      </c>
      <c r="E3280">
        <v>2222222</v>
      </c>
      <c r="F3280" s="8" t="s">
        <v>22</v>
      </c>
      <c r="G3280" s="2">
        <v>98</v>
      </c>
      <c r="H3280" t="s">
        <v>4405</v>
      </c>
      <c r="J3280" s="9" t="s">
        <v>5000</v>
      </c>
      <c r="K3280" t="s">
        <v>5571</v>
      </c>
      <c r="L3280" s="2">
        <v>1</v>
      </c>
      <c r="M3280" s="24" t="s">
        <v>5971</v>
      </c>
      <c r="N3280" s="2" t="s">
        <v>23</v>
      </c>
      <c r="O3280" s="18" t="s">
        <v>2548</v>
      </c>
      <c r="P3280" s="18" t="s">
        <v>0</v>
      </c>
      <c r="Q3280" s="6" t="s">
        <v>4475</v>
      </c>
      <c r="T3280" s="23">
        <v>46224</v>
      </c>
      <c r="U3280" s="23">
        <v>46314</v>
      </c>
      <c r="X3280" s="20">
        <v>3500</v>
      </c>
      <c r="Z3280" s="6" t="s">
        <v>5978</v>
      </c>
      <c r="AA3280" s="14">
        <f t="shared" si="432"/>
        <v>5.9999999999999995E-4</v>
      </c>
      <c r="AB3280">
        <v>2.0999999999999996</v>
      </c>
      <c r="AC3280">
        <v>2.1839999999999997</v>
      </c>
    </row>
    <row r="3281" spans="1:29" x14ac:dyDescent="0.3">
      <c r="A3281">
        <v>152299</v>
      </c>
      <c r="B3281" s="25" t="s">
        <v>5984</v>
      </c>
      <c r="C3281" t="s">
        <v>20</v>
      </c>
      <c r="D3281" t="s">
        <v>21</v>
      </c>
      <c r="E3281">
        <v>2222222</v>
      </c>
      <c r="F3281" s="8" t="s">
        <v>22</v>
      </c>
      <c r="G3281" s="2">
        <v>98</v>
      </c>
      <c r="H3281" t="s">
        <v>4405</v>
      </c>
      <c r="J3281" s="9" t="s">
        <v>4884</v>
      </c>
      <c r="K3281" t="s">
        <v>5246</v>
      </c>
      <c r="L3281" s="2">
        <v>1</v>
      </c>
      <c r="M3281" s="24" t="s">
        <v>5971</v>
      </c>
      <c r="N3281" s="2" t="s">
        <v>23</v>
      </c>
      <c r="O3281" s="18" t="s">
        <v>1632</v>
      </c>
      <c r="P3281" s="18" t="s">
        <v>3781</v>
      </c>
      <c r="Q3281" s="6" t="s">
        <v>4475</v>
      </c>
      <c r="T3281" s="23">
        <v>46230</v>
      </c>
      <c r="U3281" s="23">
        <v>46320</v>
      </c>
      <c r="X3281" s="20">
        <v>4000</v>
      </c>
      <c r="Z3281" s="6" t="s">
        <v>5978</v>
      </c>
      <c r="AA3281" s="14">
        <f t="shared" si="432"/>
        <v>5.9999999999999995E-4</v>
      </c>
      <c r="AB3281">
        <v>2.4</v>
      </c>
      <c r="AC3281">
        <v>2.496</v>
      </c>
    </row>
    <row r="3282" spans="1:29" x14ac:dyDescent="0.3">
      <c r="A3282">
        <v>152309</v>
      </c>
      <c r="B3282" s="25" t="s">
        <v>5984</v>
      </c>
      <c r="C3282" t="s">
        <v>20</v>
      </c>
      <c r="D3282" t="s">
        <v>21</v>
      </c>
      <c r="E3282">
        <v>2222222</v>
      </c>
      <c r="F3282" s="8" t="s">
        <v>22</v>
      </c>
      <c r="G3282" s="2">
        <v>98</v>
      </c>
      <c r="H3282" t="s">
        <v>4405</v>
      </c>
      <c r="J3282" s="9" t="s">
        <v>5140</v>
      </c>
      <c r="K3282" t="s">
        <v>5031</v>
      </c>
      <c r="L3282" s="2">
        <v>1</v>
      </c>
      <c r="M3282" s="24" t="s">
        <v>5971</v>
      </c>
      <c r="N3282" s="2" t="s">
        <v>23</v>
      </c>
      <c r="O3282" s="18" t="s">
        <v>2549</v>
      </c>
      <c r="P3282" s="18" t="s">
        <v>3781</v>
      </c>
      <c r="Q3282" s="6" t="s">
        <v>4475</v>
      </c>
      <c r="T3282" s="23">
        <v>46227</v>
      </c>
      <c r="U3282" s="23">
        <v>46410</v>
      </c>
      <c r="X3282" s="20">
        <v>2000</v>
      </c>
      <c r="Z3282" s="6" t="s">
        <v>5978</v>
      </c>
      <c r="AA3282" s="14">
        <f t="shared" si="432"/>
        <v>5.9999999999999995E-4</v>
      </c>
      <c r="AB3282">
        <v>1.2</v>
      </c>
      <c r="AC3282">
        <v>1.248</v>
      </c>
    </row>
    <row r="3283" spans="1:29" x14ac:dyDescent="0.3">
      <c r="A3283">
        <v>152320</v>
      </c>
      <c r="B3283" s="25" t="s">
        <v>5984</v>
      </c>
      <c r="C3283" t="s">
        <v>20</v>
      </c>
      <c r="D3283" t="s">
        <v>21</v>
      </c>
      <c r="E3283">
        <v>2222222</v>
      </c>
      <c r="F3283" s="8" t="s">
        <v>22</v>
      </c>
      <c r="G3283" s="2">
        <v>98</v>
      </c>
      <c r="H3283" t="s">
        <v>4405</v>
      </c>
      <c r="J3283" s="9" t="s">
        <v>5766</v>
      </c>
      <c r="K3283" t="s">
        <v>4955</v>
      </c>
      <c r="L3283" s="2">
        <v>1</v>
      </c>
      <c r="M3283" s="24" t="s">
        <v>5971</v>
      </c>
      <c r="N3283" s="2" t="s">
        <v>23</v>
      </c>
      <c r="O3283" s="18" t="s">
        <v>2192</v>
      </c>
      <c r="P3283" s="18" t="s">
        <v>3781</v>
      </c>
      <c r="Q3283" s="6" t="s">
        <v>4475</v>
      </c>
      <c r="T3283" s="23">
        <v>46228</v>
      </c>
      <c r="U3283" s="23">
        <v>46318</v>
      </c>
      <c r="X3283" s="20">
        <v>4300</v>
      </c>
      <c r="Z3283" s="6" t="s">
        <v>5978</v>
      </c>
      <c r="AA3283" s="14">
        <f t="shared" si="432"/>
        <v>5.9999999999999995E-4</v>
      </c>
      <c r="AB3283">
        <v>2.5799999999999996</v>
      </c>
      <c r="AC3283">
        <v>2.6831999999999998</v>
      </c>
    </row>
    <row r="3284" spans="1:29" x14ac:dyDescent="0.3">
      <c r="A3284">
        <v>152333</v>
      </c>
      <c r="B3284" s="25" t="s">
        <v>5984</v>
      </c>
      <c r="C3284" t="s">
        <v>20</v>
      </c>
      <c r="D3284" t="s">
        <v>21</v>
      </c>
      <c r="E3284">
        <v>2222222</v>
      </c>
      <c r="F3284" s="8" t="s">
        <v>22</v>
      </c>
      <c r="G3284" s="2">
        <v>98</v>
      </c>
      <c r="H3284" t="s">
        <v>4405</v>
      </c>
      <c r="J3284" s="9" t="s">
        <v>5277</v>
      </c>
      <c r="K3284" t="s">
        <v>4926</v>
      </c>
      <c r="L3284" s="2">
        <v>1</v>
      </c>
      <c r="M3284" s="24" t="s">
        <v>5971</v>
      </c>
      <c r="N3284" s="2" t="s">
        <v>23</v>
      </c>
      <c r="O3284" s="18" t="s">
        <v>2495</v>
      </c>
      <c r="P3284" s="18" t="s">
        <v>3781</v>
      </c>
      <c r="Q3284" s="6" t="s">
        <v>4475</v>
      </c>
      <c r="T3284" s="23">
        <v>46230</v>
      </c>
      <c r="U3284" s="23">
        <v>46788</v>
      </c>
      <c r="X3284" s="20">
        <v>1000</v>
      </c>
      <c r="Z3284" s="6" t="s">
        <v>5978</v>
      </c>
      <c r="AA3284" s="14">
        <f t="shared" si="432"/>
        <v>5.9999999999999995E-4</v>
      </c>
      <c r="AB3284">
        <v>0.6</v>
      </c>
      <c r="AC3284">
        <v>0.624</v>
      </c>
    </row>
    <row r="3285" spans="1:29" x14ac:dyDescent="0.3">
      <c r="A3285">
        <v>152378</v>
      </c>
      <c r="B3285" s="25" t="s">
        <v>5984</v>
      </c>
      <c r="C3285" t="s">
        <v>20</v>
      </c>
      <c r="D3285" t="s">
        <v>21</v>
      </c>
      <c r="E3285">
        <v>2222222</v>
      </c>
      <c r="F3285" s="8" t="s">
        <v>22</v>
      </c>
      <c r="G3285" s="2">
        <v>98</v>
      </c>
      <c r="H3285" t="s">
        <v>4405</v>
      </c>
      <c r="J3285" s="9" t="s">
        <v>5152</v>
      </c>
      <c r="K3285" t="s">
        <v>5520</v>
      </c>
      <c r="L3285" s="2">
        <v>1</v>
      </c>
      <c r="M3285" s="24" t="s">
        <v>5971</v>
      </c>
      <c r="N3285" s="2" t="s">
        <v>23</v>
      </c>
      <c r="O3285" s="18" t="s">
        <v>2501</v>
      </c>
      <c r="P3285" s="18" t="s">
        <v>3781</v>
      </c>
      <c r="Q3285" s="6" t="s">
        <v>4475</v>
      </c>
      <c r="T3285" s="23">
        <v>46234</v>
      </c>
      <c r="U3285" s="23">
        <v>46264</v>
      </c>
      <c r="X3285" s="20">
        <v>3780</v>
      </c>
      <c r="Z3285" s="6" t="s">
        <v>5978</v>
      </c>
      <c r="AA3285" s="14">
        <f t="shared" si="432"/>
        <v>5.9999999999999995E-4</v>
      </c>
      <c r="AB3285">
        <v>2.2679999999999998</v>
      </c>
      <c r="AC3285">
        <v>2.3587199999999999</v>
      </c>
    </row>
    <row r="3286" spans="1:29" x14ac:dyDescent="0.3">
      <c r="A3286">
        <v>127727</v>
      </c>
      <c r="B3286" s="25" t="s">
        <v>5984</v>
      </c>
      <c r="C3286" t="s">
        <v>20</v>
      </c>
      <c r="D3286" t="s">
        <v>21</v>
      </c>
      <c r="E3286">
        <v>2222222</v>
      </c>
      <c r="F3286" s="8" t="s">
        <v>22</v>
      </c>
      <c r="G3286" s="2">
        <v>98</v>
      </c>
      <c r="H3286" t="s">
        <v>4406</v>
      </c>
      <c r="J3286" s="9" t="s">
        <v>5155</v>
      </c>
      <c r="K3286" t="s">
        <v>4863</v>
      </c>
      <c r="L3286" s="2">
        <v>1</v>
      </c>
      <c r="M3286" s="24" t="s">
        <v>5971</v>
      </c>
      <c r="N3286" s="2" t="s">
        <v>23</v>
      </c>
      <c r="O3286" s="18" t="s">
        <v>2550</v>
      </c>
      <c r="P3286" s="18" t="s">
        <v>3781</v>
      </c>
      <c r="Q3286" s="6" t="s">
        <v>4475</v>
      </c>
      <c r="T3286" s="23">
        <v>44686</v>
      </c>
      <c r="U3286" s="23">
        <v>46146</v>
      </c>
      <c r="X3286" s="20">
        <v>5000</v>
      </c>
      <c r="Z3286" s="6" t="s">
        <v>5978</v>
      </c>
      <c r="AA3286" s="15">
        <f t="shared" ref="AA3286:AA3287" si="433">+(0.42/1000)</f>
        <v>4.1999999999999996E-4</v>
      </c>
      <c r="AB3286">
        <v>1.9482203999999999</v>
      </c>
      <c r="AC3286">
        <v>2.0261492159999999</v>
      </c>
    </row>
    <row r="3287" spans="1:29" x14ac:dyDescent="0.3">
      <c r="A3287">
        <v>128829</v>
      </c>
      <c r="B3287" s="25" t="s">
        <v>5984</v>
      </c>
      <c r="C3287" t="s">
        <v>20</v>
      </c>
      <c r="D3287" t="s">
        <v>21</v>
      </c>
      <c r="E3287">
        <v>2222222</v>
      </c>
      <c r="F3287" s="8" t="s">
        <v>22</v>
      </c>
      <c r="G3287" s="2">
        <v>98</v>
      </c>
      <c r="H3287" t="s">
        <v>4406</v>
      </c>
      <c r="J3287" s="9" t="s">
        <v>5155</v>
      </c>
      <c r="K3287" t="s">
        <v>4863</v>
      </c>
      <c r="L3287" s="2">
        <v>1</v>
      </c>
      <c r="M3287" s="24" t="s">
        <v>5971</v>
      </c>
      <c r="N3287" s="2" t="s">
        <v>23</v>
      </c>
      <c r="O3287" s="18" t="s">
        <v>2550</v>
      </c>
      <c r="P3287" s="18" t="s">
        <v>3781</v>
      </c>
      <c r="Q3287" s="6" t="s">
        <v>4475</v>
      </c>
      <c r="T3287" s="23">
        <v>44746</v>
      </c>
      <c r="U3287" s="23">
        <v>45841</v>
      </c>
      <c r="X3287" s="20">
        <v>4000</v>
      </c>
      <c r="Z3287" s="6" t="s">
        <v>5978</v>
      </c>
      <c r="AA3287" s="15">
        <f t="shared" si="433"/>
        <v>4.1999999999999996E-4</v>
      </c>
      <c r="AB3287">
        <v>1.4965481999999999</v>
      </c>
      <c r="AC3287">
        <v>1.556410128</v>
      </c>
    </row>
    <row r="3288" spans="1:29" x14ac:dyDescent="0.3">
      <c r="A3288">
        <v>141486</v>
      </c>
      <c r="B3288" s="25" t="s">
        <v>5984</v>
      </c>
      <c r="C3288" t="s">
        <v>20</v>
      </c>
      <c r="D3288" t="s">
        <v>21</v>
      </c>
      <c r="E3288">
        <v>2222222</v>
      </c>
      <c r="F3288" s="8" t="s">
        <v>22</v>
      </c>
      <c r="G3288" s="2">
        <v>98</v>
      </c>
      <c r="H3288" t="s">
        <v>4406</v>
      </c>
      <c r="J3288" s="9" t="s">
        <v>5160</v>
      </c>
      <c r="K3288" t="s">
        <v>5291</v>
      </c>
      <c r="L3288" s="2">
        <v>1</v>
      </c>
      <c r="M3288" s="24" t="s">
        <v>5971</v>
      </c>
      <c r="N3288" s="2" t="s">
        <v>23</v>
      </c>
      <c r="O3288" s="18" t="s">
        <v>2551</v>
      </c>
      <c r="P3288" s="18" t="s">
        <v>0</v>
      </c>
      <c r="Q3288" s="6" t="s">
        <v>4475</v>
      </c>
      <c r="T3288" s="23">
        <v>45462</v>
      </c>
      <c r="U3288" s="23">
        <v>47288</v>
      </c>
      <c r="X3288" s="20">
        <v>30000</v>
      </c>
      <c r="Z3288" s="6" t="s">
        <v>5978</v>
      </c>
      <c r="AA3288" s="14">
        <f t="shared" ref="AA3288:AA3292" si="434">+(0.6/1000)</f>
        <v>5.9999999999999995E-4</v>
      </c>
      <c r="AB3288">
        <v>12.473705999999998</v>
      </c>
      <c r="AC3288">
        <v>12.972654239999999</v>
      </c>
    </row>
    <row r="3289" spans="1:29" x14ac:dyDescent="0.3">
      <c r="A3289">
        <v>146669</v>
      </c>
      <c r="B3289" s="25" t="s">
        <v>5984</v>
      </c>
      <c r="C3289" t="s">
        <v>20</v>
      </c>
      <c r="D3289" t="s">
        <v>21</v>
      </c>
      <c r="E3289">
        <v>2222222</v>
      </c>
      <c r="F3289" s="8" t="s">
        <v>22</v>
      </c>
      <c r="G3289" s="2">
        <v>98</v>
      </c>
      <c r="H3289" t="s">
        <v>4406</v>
      </c>
      <c r="J3289" s="9" t="s">
        <v>4908</v>
      </c>
      <c r="K3289" t="s">
        <v>5085</v>
      </c>
      <c r="L3289" s="2">
        <v>1</v>
      </c>
      <c r="M3289" s="24" t="s">
        <v>5971</v>
      </c>
      <c r="N3289" s="2" t="s">
        <v>23</v>
      </c>
      <c r="O3289" s="18" t="s">
        <v>2552</v>
      </c>
      <c r="P3289" s="18" t="s">
        <v>0</v>
      </c>
      <c r="Q3289" s="6" t="s">
        <v>4475</v>
      </c>
      <c r="T3289" s="23">
        <v>45834</v>
      </c>
      <c r="U3289" s="23">
        <v>46930</v>
      </c>
      <c r="X3289" s="20">
        <v>5000</v>
      </c>
      <c r="Z3289" s="6" t="s">
        <v>5978</v>
      </c>
      <c r="AA3289" s="14">
        <f t="shared" si="434"/>
        <v>5.9999999999999995E-4</v>
      </c>
      <c r="AB3289">
        <v>2.0987099999999996</v>
      </c>
      <c r="AC3289">
        <v>2.1826583999999998</v>
      </c>
    </row>
    <row r="3290" spans="1:29" x14ac:dyDescent="0.3">
      <c r="A3290">
        <v>146719</v>
      </c>
      <c r="B3290" s="25" t="s">
        <v>5984</v>
      </c>
      <c r="C3290" t="s">
        <v>20</v>
      </c>
      <c r="D3290" t="s">
        <v>21</v>
      </c>
      <c r="E3290">
        <v>2222222</v>
      </c>
      <c r="F3290" s="8" t="s">
        <v>22</v>
      </c>
      <c r="G3290" s="2">
        <v>98</v>
      </c>
      <c r="H3290" t="s">
        <v>4406</v>
      </c>
      <c r="J3290" s="9" t="s">
        <v>4838</v>
      </c>
      <c r="K3290" t="s">
        <v>4824</v>
      </c>
      <c r="L3290" s="2">
        <v>1</v>
      </c>
      <c r="M3290" s="24" t="s">
        <v>5971</v>
      </c>
      <c r="N3290" s="2" t="s">
        <v>23</v>
      </c>
      <c r="O3290" s="18" t="s">
        <v>2553</v>
      </c>
      <c r="P3290" s="18" t="s">
        <v>0</v>
      </c>
      <c r="Q3290" s="6" t="s">
        <v>4475</v>
      </c>
      <c r="T3290" s="23">
        <v>45838</v>
      </c>
      <c r="U3290" s="23">
        <v>47299</v>
      </c>
      <c r="X3290" s="20">
        <v>5000</v>
      </c>
      <c r="Z3290" s="6" t="s">
        <v>5978</v>
      </c>
      <c r="AA3290" s="14">
        <f t="shared" si="434"/>
        <v>5.9999999999999995E-4</v>
      </c>
      <c r="AB3290">
        <v>2.3881259999999997</v>
      </c>
      <c r="AC3290">
        <v>2.4836510399999998</v>
      </c>
    </row>
    <row r="3291" spans="1:29" x14ac:dyDescent="0.3">
      <c r="A3291">
        <v>148978</v>
      </c>
      <c r="B3291" s="25" t="s">
        <v>5984</v>
      </c>
      <c r="C3291" t="s">
        <v>20</v>
      </c>
      <c r="D3291" t="s">
        <v>21</v>
      </c>
      <c r="E3291">
        <v>2222222</v>
      </c>
      <c r="F3291" s="8" t="s">
        <v>22</v>
      </c>
      <c r="G3291" s="2">
        <v>98</v>
      </c>
      <c r="H3291" t="s">
        <v>4406</v>
      </c>
      <c r="J3291" s="9" t="s">
        <v>4917</v>
      </c>
      <c r="K3291" t="s">
        <v>5075</v>
      </c>
      <c r="L3291" s="2">
        <v>1</v>
      </c>
      <c r="M3291" s="24" t="s">
        <v>5971</v>
      </c>
      <c r="N3291" s="2" t="s">
        <v>23</v>
      </c>
      <c r="O3291" s="18" t="s">
        <v>2554</v>
      </c>
      <c r="P3291" s="18" t="s">
        <v>3781</v>
      </c>
      <c r="Q3291" s="6" t="s">
        <v>4475</v>
      </c>
      <c r="T3291" s="23">
        <v>45990</v>
      </c>
      <c r="U3291" s="23">
        <v>48547</v>
      </c>
      <c r="X3291" s="20">
        <v>14800</v>
      </c>
      <c r="Z3291" s="6" t="s">
        <v>5978</v>
      </c>
      <c r="AA3291" s="14">
        <f t="shared" si="434"/>
        <v>5.9999999999999995E-4</v>
      </c>
      <c r="AB3291">
        <v>8.6009639999999994</v>
      </c>
      <c r="AC3291">
        <v>8.9450025599999989</v>
      </c>
    </row>
    <row r="3292" spans="1:29" x14ac:dyDescent="0.3">
      <c r="A3292">
        <v>151948</v>
      </c>
      <c r="B3292" s="25" t="s">
        <v>5984</v>
      </c>
      <c r="C3292" t="s">
        <v>20</v>
      </c>
      <c r="D3292" t="s">
        <v>21</v>
      </c>
      <c r="E3292">
        <v>2222222</v>
      </c>
      <c r="F3292" s="8" t="s">
        <v>22</v>
      </c>
      <c r="G3292" s="2">
        <v>98</v>
      </c>
      <c r="H3292" t="s">
        <v>4406</v>
      </c>
      <c r="J3292" s="9" t="s">
        <v>5333</v>
      </c>
      <c r="K3292" t="s">
        <v>5767</v>
      </c>
      <c r="L3292" s="2">
        <v>1</v>
      </c>
      <c r="M3292" s="24" t="s">
        <v>5971</v>
      </c>
      <c r="N3292" s="2" t="s">
        <v>23</v>
      </c>
      <c r="O3292" s="18" t="s">
        <v>2555</v>
      </c>
      <c r="P3292" s="18" t="s">
        <v>3781</v>
      </c>
      <c r="Q3292" s="6" t="s">
        <v>4475</v>
      </c>
      <c r="T3292" s="23">
        <v>46201</v>
      </c>
      <c r="U3292" s="23">
        <v>46505</v>
      </c>
      <c r="X3292" s="20">
        <v>380</v>
      </c>
      <c r="Z3292" s="6" t="s">
        <v>5978</v>
      </c>
      <c r="AA3292" s="14">
        <f t="shared" si="434"/>
        <v>5.9999999999999995E-4</v>
      </c>
      <c r="AB3292">
        <v>0.206346</v>
      </c>
      <c r="AC3292">
        <v>0.21459984000000001</v>
      </c>
    </row>
    <row r="3293" spans="1:29" x14ac:dyDescent="0.3">
      <c r="A3293">
        <v>134133</v>
      </c>
      <c r="B3293" s="25" t="s">
        <v>5984</v>
      </c>
      <c r="C3293" t="s">
        <v>20</v>
      </c>
      <c r="D3293" t="s">
        <v>21</v>
      </c>
      <c r="E3293">
        <v>2222222</v>
      </c>
      <c r="F3293" s="8" t="s">
        <v>22</v>
      </c>
      <c r="G3293" s="2">
        <v>98</v>
      </c>
      <c r="H3293" t="s">
        <v>4407</v>
      </c>
      <c r="J3293" s="9" t="s">
        <v>5032</v>
      </c>
      <c r="K3293" t="s">
        <v>4932</v>
      </c>
      <c r="L3293" s="2">
        <v>1</v>
      </c>
      <c r="M3293" s="24" t="s">
        <v>5971</v>
      </c>
      <c r="N3293" s="2" t="s">
        <v>23</v>
      </c>
      <c r="O3293" s="18" t="s">
        <v>2556</v>
      </c>
      <c r="P3293" s="18" t="s">
        <v>3781</v>
      </c>
      <c r="Q3293" s="6" t="s">
        <v>4475</v>
      </c>
      <c r="T3293" s="23">
        <v>45049</v>
      </c>
      <c r="U3293" s="23">
        <v>46975</v>
      </c>
      <c r="X3293" s="20">
        <v>6300</v>
      </c>
      <c r="Z3293" s="6" t="s">
        <v>5978</v>
      </c>
      <c r="AA3293" s="13">
        <f>+(0.56/1000)</f>
        <v>5.6000000000000006E-4</v>
      </c>
      <c r="AB3293">
        <v>2.0985384000000002</v>
      </c>
      <c r="AC3293">
        <v>2.1824799360000005</v>
      </c>
    </row>
    <row r="3294" spans="1:29" x14ac:dyDescent="0.3">
      <c r="A3294">
        <v>146702</v>
      </c>
      <c r="B3294" s="25" t="s">
        <v>5984</v>
      </c>
      <c r="C3294" t="s">
        <v>20</v>
      </c>
      <c r="D3294" t="s">
        <v>21</v>
      </c>
      <c r="E3294">
        <v>2222222</v>
      </c>
      <c r="F3294" s="8" t="s">
        <v>22</v>
      </c>
      <c r="G3294" s="2">
        <v>98</v>
      </c>
      <c r="H3294" t="s">
        <v>4407</v>
      </c>
      <c r="J3294" s="9" t="s">
        <v>5096</v>
      </c>
      <c r="K3294" t="s">
        <v>4942</v>
      </c>
      <c r="L3294" s="2">
        <v>1</v>
      </c>
      <c r="M3294" s="24" t="s">
        <v>5971</v>
      </c>
      <c r="N3294" s="2" t="s">
        <v>23</v>
      </c>
      <c r="O3294" s="18" t="s">
        <v>2557</v>
      </c>
      <c r="P3294" s="18" t="s">
        <v>3781</v>
      </c>
      <c r="Q3294" s="6" t="s">
        <v>4475</v>
      </c>
      <c r="T3294" s="23">
        <v>45838</v>
      </c>
      <c r="U3294" s="23">
        <v>48029</v>
      </c>
      <c r="X3294" s="20">
        <v>12000</v>
      </c>
      <c r="Z3294" s="6" t="s">
        <v>5978</v>
      </c>
      <c r="AA3294" s="14">
        <f t="shared" ref="AA3294:AA3298" si="435">+(0.6/1000)</f>
        <v>5.9999999999999995E-4</v>
      </c>
      <c r="AB3294">
        <v>6.4276079999999993</v>
      </c>
      <c r="AC3294">
        <v>6.6847123199999992</v>
      </c>
    </row>
    <row r="3295" spans="1:29" x14ac:dyDescent="0.3">
      <c r="A3295">
        <v>149941</v>
      </c>
      <c r="B3295" s="25" t="s">
        <v>5984</v>
      </c>
      <c r="C3295" t="s">
        <v>20</v>
      </c>
      <c r="D3295" t="s">
        <v>21</v>
      </c>
      <c r="E3295">
        <v>2222222</v>
      </c>
      <c r="F3295" s="8" t="s">
        <v>22</v>
      </c>
      <c r="G3295" s="2">
        <v>98</v>
      </c>
      <c r="H3295" t="s">
        <v>4407</v>
      </c>
      <c r="J3295" s="9" t="s">
        <v>5336</v>
      </c>
      <c r="K3295" t="s">
        <v>4839</v>
      </c>
      <c r="L3295" s="2">
        <v>1</v>
      </c>
      <c r="M3295" s="24" t="s">
        <v>5971</v>
      </c>
      <c r="N3295" s="2" t="s">
        <v>23</v>
      </c>
      <c r="O3295" s="18" t="s">
        <v>2558</v>
      </c>
      <c r="P3295" s="18" t="s">
        <v>0</v>
      </c>
      <c r="Q3295" s="6" t="s">
        <v>4475</v>
      </c>
      <c r="T3295" s="23">
        <v>46060</v>
      </c>
      <c r="U3295" s="23">
        <v>49714</v>
      </c>
      <c r="X3295" s="20">
        <v>24000</v>
      </c>
      <c r="Z3295" s="6" t="s">
        <v>5978</v>
      </c>
      <c r="AA3295" s="14">
        <f t="shared" si="435"/>
        <v>5.9999999999999995E-4</v>
      </c>
      <c r="AB3295">
        <v>14.118263999999998</v>
      </c>
      <c r="AC3295">
        <v>14.682994559999999</v>
      </c>
    </row>
    <row r="3296" spans="1:29" x14ac:dyDescent="0.3">
      <c r="A3296">
        <v>150334</v>
      </c>
      <c r="B3296" s="25" t="s">
        <v>5984</v>
      </c>
      <c r="C3296" t="s">
        <v>20</v>
      </c>
      <c r="D3296" t="s">
        <v>21</v>
      </c>
      <c r="E3296">
        <v>2222222</v>
      </c>
      <c r="F3296" s="8" t="s">
        <v>22</v>
      </c>
      <c r="G3296" s="2">
        <v>98</v>
      </c>
      <c r="H3296" t="s">
        <v>4407</v>
      </c>
      <c r="J3296" s="9" t="s">
        <v>5194</v>
      </c>
      <c r="K3296" t="s">
        <v>5083</v>
      </c>
      <c r="L3296" s="2">
        <v>1</v>
      </c>
      <c r="M3296" s="24" t="s">
        <v>5971</v>
      </c>
      <c r="N3296" s="2" t="s">
        <v>23</v>
      </c>
      <c r="O3296" s="18" t="s">
        <v>2559</v>
      </c>
      <c r="P3296" s="18" t="s">
        <v>3781</v>
      </c>
      <c r="Q3296" s="6" t="s">
        <v>4475</v>
      </c>
      <c r="T3296" s="23">
        <v>46098</v>
      </c>
      <c r="U3296" s="23">
        <v>48289</v>
      </c>
      <c r="X3296" s="20">
        <v>18000</v>
      </c>
      <c r="Z3296" s="6" t="s">
        <v>5978</v>
      </c>
      <c r="AA3296" s="14">
        <f t="shared" si="435"/>
        <v>5.9999999999999995E-4</v>
      </c>
      <c r="AB3296">
        <v>10.380953999999999</v>
      </c>
      <c r="AC3296">
        <v>10.796192159999999</v>
      </c>
    </row>
    <row r="3297" spans="1:29" x14ac:dyDescent="0.3">
      <c r="A3297">
        <v>150812</v>
      </c>
      <c r="B3297" s="25" t="s">
        <v>5984</v>
      </c>
      <c r="C3297" t="s">
        <v>20</v>
      </c>
      <c r="D3297" t="s">
        <v>21</v>
      </c>
      <c r="E3297">
        <v>2222222</v>
      </c>
      <c r="F3297" s="8" t="s">
        <v>22</v>
      </c>
      <c r="G3297" s="2">
        <v>98</v>
      </c>
      <c r="H3297" t="s">
        <v>4407</v>
      </c>
      <c r="J3297" s="9" t="s">
        <v>5038</v>
      </c>
      <c r="K3297" t="s">
        <v>5768</v>
      </c>
      <c r="L3297" s="2">
        <v>1</v>
      </c>
      <c r="M3297" s="24" t="s">
        <v>5971</v>
      </c>
      <c r="N3297" s="2" t="s">
        <v>23</v>
      </c>
      <c r="O3297" s="18" t="s">
        <v>2560</v>
      </c>
      <c r="P3297" s="18" t="s">
        <v>3781</v>
      </c>
      <c r="Q3297" s="6" t="s">
        <v>4475</v>
      </c>
      <c r="T3297" s="23">
        <v>46147</v>
      </c>
      <c r="U3297" s="23">
        <v>48887</v>
      </c>
      <c r="X3297" s="20">
        <v>70000</v>
      </c>
      <c r="Z3297" s="6" t="s">
        <v>5978</v>
      </c>
      <c r="AA3297" s="14">
        <f t="shared" si="435"/>
        <v>5.9999999999999995E-4</v>
      </c>
      <c r="AB3297">
        <v>40.976555999999995</v>
      </c>
      <c r="AC3297">
        <v>42.615618239999996</v>
      </c>
    </row>
    <row r="3298" spans="1:29" x14ac:dyDescent="0.3">
      <c r="A3298">
        <v>152360</v>
      </c>
      <c r="B3298" s="25" t="s">
        <v>5984</v>
      </c>
      <c r="C3298" t="s">
        <v>20</v>
      </c>
      <c r="D3298" t="s">
        <v>21</v>
      </c>
      <c r="E3298">
        <v>2222222</v>
      </c>
      <c r="F3298" s="8" t="s">
        <v>22</v>
      </c>
      <c r="G3298" s="2">
        <v>98</v>
      </c>
      <c r="H3298" t="s">
        <v>4407</v>
      </c>
      <c r="J3298" s="9" t="s">
        <v>5336</v>
      </c>
      <c r="K3298" t="s">
        <v>4839</v>
      </c>
      <c r="L3298" s="2">
        <v>1</v>
      </c>
      <c r="M3298" s="24" t="s">
        <v>5971</v>
      </c>
      <c r="N3298" s="2" t="s">
        <v>23</v>
      </c>
      <c r="O3298" s="18" t="s">
        <v>2558</v>
      </c>
      <c r="P3298" s="18" t="s">
        <v>0</v>
      </c>
      <c r="Q3298" s="6" t="s">
        <v>4475</v>
      </c>
      <c r="T3298" s="23">
        <v>46232</v>
      </c>
      <c r="U3298" s="23">
        <v>46322</v>
      </c>
      <c r="X3298" s="20">
        <v>4600</v>
      </c>
      <c r="Z3298" s="6" t="s">
        <v>5978</v>
      </c>
      <c r="AA3298" s="14">
        <f t="shared" si="435"/>
        <v>5.9999999999999995E-4</v>
      </c>
      <c r="AB3298">
        <v>2.76</v>
      </c>
      <c r="AC3298">
        <v>2.8704000000000001</v>
      </c>
    </row>
    <row r="3299" spans="1:29" x14ac:dyDescent="0.3">
      <c r="A3299">
        <v>114831</v>
      </c>
      <c r="B3299" s="25" t="s">
        <v>5984</v>
      </c>
      <c r="C3299" t="s">
        <v>20</v>
      </c>
      <c r="D3299" t="s">
        <v>21</v>
      </c>
      <c r="E3299">
        <v>2222222</v>
      </c>
      <c r="F3299" s="8" t="s">
        <v>22</v>
      </c>
      <c r="G3299" s="2">
        <v>98</v>
      </c>
      <c r="H3299" t="s">
        <v>4408</v>
      </c>
      <c r="J3299" s="9" t="s">
        <v>5269</v>
      </c>
      <c r="K3299" t="s">
        <v>4833</v>
      </c>
      <c r="L3299" s="2">
        <v>1</v>
      </c>
      <c r="M3299" s="24" t="s">
        <v>5971</v>
      </c>
      <c r="N3299" s="2" t="s">
        <v>23</v>
      </c>
      <c r="O3299" s="18" t="s">
        <v>214</v>
      </c>
      <c r="P3299" s="18" t="s">
        <v>0</v>
      </c>
      <c r="Q3299" s="6" t="s">
        <v>4475</v>
      </c>
      <c r="T3299" s="23">
        <v>44070</v>
      </c>
      <c r="U3299" s="23">
        <v>45895</v>
      </c>
      <c r="X3299" s="20">
        <v>6460</v>
      </c>
      <c r="Z3299" s="6" t="s">
        <v>5978</v>
      </c>
      <c r="AA3299" s="15">
        <f t="shared" ref="AA3299:AA3300" si="436">+(0.42/1000)</f>
        <v>4.1999999999999996E-4</v>
      </c>
      <c r="AB3299">
        <v>1.3601489999999998</v>
      </c>
      <c r="AC3299">
        <v>1.4145549599999998</v>
      </c>
    </row>
    <row r="3300" spans="1:29" x14ac:dyDescent="0.3">
      <c r="A3300">
        <v>117543</v>
      </c>
      <c r="B3300" s="25" t="s">
        <v>5984</v>
      </c>
      <c r="C3300" t="s">
        <v>20</v>
      </c>
      <c r="D3300" t="s">
        <v>21</v>
      </c>
      <c r="E3300">
        <v>2222222</v>
      </c>
      <c r="F3300" s="8" t="s">
        <v>22</v>
      </c>
      <c r="G3300" s="2">
        <v>98</v>
      </c>
      <c r="H3300" t="s">
        <v>4408</v>
      </c>
      <c r="J3300" s="9" t="s">
        <v>4852</v>
      </c>
      <c r="K3300" t="s">
        <v>5239</v>
      </c>
      <c r="L3300" s="2">
        <v>1</v>
      </c>
      <c r="M3300" s="24" t="s">
        <v>5971</v>
      </c>
      <c r="N3300" s="2" t="s">
        <v>23</v>
      </c>
      <c r="O3300" s="18" t="s">
        <v>2561</v>
      </c>
      <c r="P3300" s="18" t="s">
        <v>0</v>
      </c>
      <c r="Q3300" s="6" t="s">
        <v>4475</v>
      </c>
      <c r="T3300" s="23">
        <v>44182</v>
      </c>
      <c r="U3300" s="23">
        <v>45276</v>
      </c>
      <c r="X3300" s="20">
        <v>1552.71</v>
      </c>
      <c r="Z3300" s="6" t="s">
        <v>5978</v>
      </c>
      <c r="AA3300" s="15">
        <f t="shared" si="436"/>
        <v>4.1999999999999996E-4</v>
      </c>
      <c r="AB3300">
        <v>0.39432539999999999</v>
      </c>
      <c r="AC3300">
        <v>0.41009841600000002</v>
      </c>
    </row>
    <row r="3301" spans="1:29" x14ac:dyDescent="0.3">
      <c r="A3301">
        <v>146512</v>
      </c>
      <c r="B3301" s="25" t="s">
        <v>5984</v>
      </c>
      <c r="C3301" t="s">
        <v>20</v>
      </c>
      <c r="D3301" t="s">
        <v>21</v>
      </c>
      <c r="E3301">
        <v>2222222</v>
      </c>
      <c r="F3301" s="8" t="s">
        <v>22</v>
      </c>
      <c r="G3301" s="2">
        <v>98</v>
      </c>
      <c r="H3301" t="s">
        <v>4409</v>
      </c>
      <c r="J3301" s="9" t="s">
        <v>5150</v>
      </c>
      <c r="K3301" t="s">
        <v>5297</v>
      </c>
      <c r="L3301" s="2">
        <v>1</v>
      </c>
      <c r="M3301" s="24" t="s">
        <v>5971</v>
      </c>
      <c r="N3301" s="2" t="s">
        <v>23</v>
      </c>
      <c r="O3301" s="18" t="s">
        <v>163</v>
      </c>
      <c r="P3301" s="18" t="s">
        <v>0</v>
      </c>
      <c r="Q3301" s="6" t="s">
        <v>4475</v>
      </c>
      <c r="T3301" s="23">
        <v>45824</v>
      </c>
      <c r="U3301" s="23">
        <v>46372</v>
      </c>
      <c r="X3301" s="20">
        <v>2070</v>
      </c>
      <c r="Z3301" s="6" t="s">
        <v>5978</v>
      </c>
      <c r="AA3301" s="14">
        <f t="shared" ref="AA3301:AA3303" si="437">+(0.6/1000)</f>
        <v>5.9999999999999995E-4</v>
      </c>
      <c r="AB3301">
        <v>0.37756799999999996</v>
      </c>
      <c r="AC3301">
        <v>0.39267071999999997</v>
      </c>
    </row>
    <row r="3302" spans="1:29" x14ac:dyDescent="0.3">
      <c r="A3302">
        <v>148265</v>
      </c>
      <c r="B3302" s="25" t="s">
        <v>5984</v>
      </c>
      <c r="C3302" t="s">
        <v>20</v>
      </c>
      <c r="D3302" t="s">
        <v>21</v>
      </c>
      <c r="E3302">
        <v>2222222</v>
      </c>
      <c r="F3302" s="8" t="s">
        <v>22</v>
      </c>
      <c r="G3302" s="2">
        <v>98</v>
      </c>
      <c r="H3302" t="s">
        <v>4409</v>
      </c>
      <c r="J3302" s="9" t="s">
        <v>4826</v>
      </c>
      <c r="K3302" t="s">
        <v>4878</v>
      </c>
      <c r="L3302" s="2">
        <v>1</v>
      </c>
      <c r="M3302" s="24" t="s">
        <v>5971</v>
      </c>
      <c r="N3302" s="2" t="s">
        <v>23</v>
      </c>
      <c r="O3302" s="18" t="s">
        <v>2562</v>
      </c>
      <c r="P3302" s="18" t="s">
        <v>0</v>
      </c>
      <c r="Q3302" s="6" t="s">
        <v>4475</v>
      </c>
      <c r="T3302" s="23">
        <v>45950</v>
      </c>
      <c r="U3302" s="23">
        <v>47046</v>
      </c>
      <c r="X3302" s="20">
        <v>3150</v>
      </c>
      <c r="Z3302" s="6" t="s">
        <v>5978</v>
      </c>
      <c r="AA3302" s="14">
        <f t="shared" si="437"/>
        <v>5.9999999999999995E-4</v>
      </c>
      <c r="AB3302">
        <v>1.5073319999999997</v>
      </c>
      <c r="AC3302">
        <v>1.5676252799999997</v>
      </c>
    </row>
    <row r="3303" spans="1:29" x14ac:dyDescent="0.3">
      <c r="A3303">
        <v>148748</v>
      </c>
      <c r="B3303" s="25" t="s">
        <v>5984</v>
      </c>
      <c r="C3303" t="s">
        <v>20</v>
      </c>
      <c r="D3303" t="s">
        <v>21</v>
      </c>
      <c r="E3303">
        <v>2222222</v>
      </c>
      <c r="F3303" s="8" t="s">
        <v>22</v>
      </c>
      <c r="G3303" s="2">
        <v>98</v>
      </c>
      <c r="H3303" t="s">
        <v>4409</v>
      </c>
      <c r="J3303" s="9" t="s">
        <v>5351</v>
      </c>
      <c r="K3303" t="s">
        <v>4878</v>
      </c>
      <c r="L3303" s="2">
        <v>1</v>
      </c>
      <c r="M3303" s="24" t="s">
        <v>5971</v>
      </c>
      <c r="N3303" s="2" t="s">
        <v>23</v>
      </c>
      <c r="O3303" s="18" t="s">
        <v>1040</v>
      </c>
      <c r="P3303" s="18" t="s">
        <v>0</v>
      </c>
      <c r="Q3303" s="6" t="s">
        <v>4475</v>
      </c>
      <c r="T3303" s="23">
        <v>45976</v>
      </c>
      <c r="U3303" s="23">
        <v>46706</v>
      </c>
      <c r="X3303" s="20">
        <v>3450</v>
      </c>
      <c r="Z3303" s="6" t="s">
        <v>5978</v>
      </c>
      <c r="AA3303" s="14">
        <f t="shared" si="437"/>
        <v>5.9999999999999995E-4</v>
      </c>
      <c r="AB3303">
        <v>1.4428439999999998</v>
      </c>
      <c r="AC3303">
        <v>1.5005577599999997</v>
      </c>
    </row>
    <row r="3304" spans="1:29" x14ac:dyDescent="0.3">
      <c r="A3304">
        <v>140777</v>
      </c>
      <c r="B3304" s="25" t="s">
        <v>5984</v>
      </c>
      <c r="C3304" t="s">
        <v>20</v>
      </c>
      <c r="D3304" t="s">
        <v>21</v>
      </c>
      <c r="E3304">
        <v>2222222</v>
      </c>
      <c r="F3304" s="8" t="s">
        <v>22</v>
      </c>
      <c r="G3304" s="2">
        <v>98</v>
      </c>
      <c r="H3304" t="s">
        <v>4410</v>
      </c>
      <c r="J3304" s="9" t="s">
        <v>4907</v>
      </c>
      <c r="K3304" t="s">
        <v>4926</v>
      </c>
      <c r="L3304" s="2">
        <v>1</v>
      </c>
      <c r="M3304" s="24" t="s">
        <v>5971</v>
      </c>
      <c r="N3304" s="2" t="s">
        <v>23</v>
      </c>
      <c r="O3304" s="18" t="s">
        <v>1873</v>
      </c>
      <c r="P3304" s="18" t="s">
        <v>3781</v>
      </c>
      <c r="Q3304" s="6" t="s">
        <v>4475</v>
      </c>
      <c r="T3304" s="23">
        <v>45412</v>
      </c>
      <c r="U3304" s="23">
        <v>48427</v>
      </c>
      <c r="X3304" s="20">
        <v>26300</v>
      </c>
      <c r="Z3304" s="6" t="s">
        <v>5978</v>
      </c>
      <c r="AA3304" s="13">
        <f>+(0.56/1000)</f>
        <v>5.6000000000000006E-4</v>
      </c>
      <c r="AB3304">
        <v>12.4140072</v>
      </c>
      <c r="AC3304">
        <v>12.910567488000002</v>
      </c>
    </row>
    <row r="3305" spans="1:29" x14ac:dyDescent="0.3">
      <c r="A3305">
        <v>141375</v>
      </c>
      <c r="B3305" s="25" t="s">
        <v>5984</v>
      </c>
      <c r="C3305" t="s">
        <v>20</v>
      </c>
      <c r="D3305" t="s">
        <v>21</v>
      </c>
      <c r="E3305">
        <v>2222222</v>
      </c>
      <c r="F3305" s="8" t="s">
        <v>22</v>
      </c>
      <c r="G3305" s="2">
        <v>98</v>
      </c>
      <c r="H3305" t="s">
        <v>4410</v>
      </c>
      <c r="J3305" s="9" t="s">
        <v>5245</v>
      </c>
      <c r="K3305" t="s">
        <v>5148</v>
      </c>
      <c r="L3305" s="2">
        <v>1</v>
      </c>
      <c r="M3305" s="24" t="s">
        <v>5971</v>
      </c>
      <c r="N3305" s="2" t="s">
        <v>23</v>
      </c>
      <c r="O3305" s="18" t="s">
        <v>2563</v>
      </c>
      <c r="P3305" s="18" t="s">
        <v>3781</v>
      </c>
      <c r="Q3305" s="6" t="s">
        <v>4475</v>
      </c>
      <c r="T3305" s="23">
        <v>45449</v>
      </c>
      <c r="U3305" s="23">
        <v>46544</v>
      </c>
      <c r="X3305" s="20">
        <v>3120</v>
      </c>
      <c r="Z3305" s="6" t="s">
        <v>5978</v>
      </c>
      <c r="AA3305" s="14">
        <f t="shared" ref="AA3305:AA3321" si="438">+(0.6/1000)</f>
        <v>5.9999999999999995E-4</v>
      </c>
      <c r="AB3305">
        <v>0.6896159999999999</v>
      </c>
      <c r="AC3305">
        <v>0.71720063999999994</v>
      </c>
    </row>
    <row r="3306" spans="1:29" x14ac:dyDescent="0.3">
      <c r="A3306">
        <v>141968</v>
      </c>
      <c r="B3306" s="25" t="s">
        <v>5984</v>
      </c>
      <c r="C3306" t="s">
        <v>20</v>
      </c>
      <c r="D3306" t="s">
        <v>21</v>
      </c>
      <c r="E3306">
        <v>2222222</v>
      </c>
      <c r="F3306" s="8" t="s">
        <v>22</v>
      </c>
      <c r="G3306" s="2">
        <v>98</v>
      </c>
      <c r="H3306" t="s">
        <v>4410</v>
      </c>
      <c r="J3306" s="9" t="s">
        <v>5038</v>
      </c>
      <c r="K3306" t="s">
        <v>5345</v>
      </c>
      <c r="L3306" s="2">
        <v>1</v>
      </c>
      <c r="M3306" s="24" t="s">
        <v>5971</v>
      </c>
      <c r="N3306" s="2" t="s">
        <v>23</v>
      </c>
      <c r="O3306" s="18" t="s">
        <v>2564</v>
      </c>
      <c r="P3306" s="18" t="s">
        <v>3781</v>
      </c>
      <c r="Q3306" s="6" t="s">
        <v>4475</v>
      </c>
      <c r="T3306" s="23">
        <v>45488</v>
      </c>
      <c r="U3306" s="23">
        <v>46582</v>
      </c>
      <c r="X3306" s="20">
        <v>4000</v>
      </c>
      <c r="Z3306" s="6" t="s">
        <v>5978</v>
      </c>
      <c r="AA3306" s="14">
        <f t="shared" si="438"/>
        <v>5.9999999999999995E-4</v>
      </c>
      <c r="AB3306">
        <v>0.95587800000000001</v>
      </c>
      <c r="AC3306">
        <v>0.99411312000000007</v>
      </c>
    </row>
    <row r="3307" spans="1:29" x14ac:dyDescent="0.3">
      <c r="A3307">
        <v>142492</v>
      </c>
      <c r="B3307" s="25" t="s">
        <v>5984</v>
      </c>
      <c r="C3307" t="s">
        <v>20</v>
      </c>
      <c r="D3307" t="s">
        <v>21</v>
      </c>
      <c r="E3307">
        <v>2222222</v>
      </c>
      <c r="F3307" s="8" t="s">
        <v>22</v>
      </c>
      <c r="G3307" s="2">
        <v>98</v>
      </c>
      <c r="H3307" t="s">
        <v>4410</v>
      </c>
      <c r="J3307" s="9" t="s">
        <v>5161</v>
      </c>
      <c r="K3307" t="s">
        <v>5560</v>
      </c>
      <c r="L3307" s="2">
        <v>1</v>
      </c>
      <c r="M3307" s="24" t="s">
        <v>5971</v>
      </c>
      <c r="N3307" s="2" t="s">
        <v>23</v>
      </c>
      <c r="O3307" s="18" t="s">
        <v>2565</v>
      </c>
      <c r="P3307" s="18" t="s">
        <v>3781</v>
      </c>
      <c r="Q3307" s="6" t="s">
        <v>4475</v>
      </c>
      <c r="T3307" s="23">
        <v>45524</v>
      </c>
      <c r="U3307" s="23">
        <v>46618</v>
      </c>
      <c r="X3307" s="20">
        <v>4000</v>
      </c>
      <c r="Z3307" s="6" t="s">
        <v>5978</v>
      </c>
      <c r="AA3307" s="14">
        <f t="shared" si="438"/>
        <v>5.9999999999999995E-4</v>
      </c>
      <c r="AB3307">
        <v>1.026624</v>
      </c>
      <c r="AC3307">
        <v>1.0676889599999999</v>
      </c>
    </row>
    <row r="3308" spans="1:29" x14ac:dyDescent="0.3">
      <c r="A3308">
        <v>142641</v>
      </c>
      <c r="B3308" s="25" t="s">
        <v>5984</v>
      </c>
      <c r="C3308" t="s">
        <v>20</v>
      </c>
      <c r="D3308" t="s">
        <v>21</v>
      </c>
      <c r="E3308">
        <v>2222222</v>
      </c>
      <c r="F3308" s="8" t="s">
        <v>22</v>
      </c>
      <c r="G3308" s="2">
        <v>98</v>
      </c>
      <c r="H3308" t="s">
        <v>4410</v>
      </c>
      <c r="J3308" s="9" t="s">
        <v>5204</v>
      </c>
      <c r="K3308" t="s">
        <v>4950</v>
      </c>
      <c r="L3308" s="2">
        <v>1</v>
      </c>
      <c r="M3308" s="24" t="s">
        <v>5971</v>
      </c>
      <c r="N3308" s="2" t="s">
        <v>23</v>
      </c>
      <c r="O3308" s="18" t="s">
        <v>2566</v>
      </c>
      <c r="P3308" s="18" t="s">
        <v>0</v>
      </c>
      <c r="Q3308" s="6" t="s">
        <v>4475</v>
      </c>
      <c r="T3308" s="23">
        <v>45534</v>
      </c>
      <c r="U3308" s="23">
        <v>47755</v>
      </c>
      <c r="X3308" s="20">
        <v>23950</v>
      </c>
      <c r="Z3308" s="6" t="s">
        <v>5978</v>
      </c>
      <c r="AA3308" s="14">
        <f t="shared" si="438"/>
        <v>5.9999999999999995E-4</v>
      </c>
      <c r="AB3308">
        <v>11.337762</v>
      </c>
      <c r="AC3308">
        <v>11.79127248</v>
      </c>
    </row>
    <row r="3309" spans="1:29" x14ac:dyDescent="0.3">
      <c r="A3309">
        <v>142742</v>
      </c>
      <c r="B3309" s="25" t="s">
        <v>5984</v>
      </c>
      <c r="C3309" t="s">
        <v>20</v>
      </c>
      <c r="D3309" t="s">
        <v>21</v>
      </c>
      <c r="E3309">
        <v>2222222</v>
      </c>
      <c r="F3309" s="8" t="s">
        <v>22</v>
      </c>
      <c r="G3309" s="2">
        <v>98</v>
      </c>
      <c r="H3309" t="s">
        <v>4410</v>
      </c>
      <c r="J3309" s="9" t="s">
        <v>5457</v>
      </c>
      <c r="K3309" t="s">
        <v>5528</v>
      </c>
      <c r="L3309" s="2">
        <v>1</v>
      </c>
      <c r="M3309" s="24" t="s">
        <v>5971</v>
      </c>
      <c r="N3309" s="2" t="s">
        <v>23</v>
      </c>
      <c r="O3309" s="18" t="s">
        <v>2567</v>
      </c>
      <c r="P3309" s="18" t="s">
        <v>0</v>
      </c>
      <c r="Q3309" s="6" t="s">
        <v>4475</v>
      </c>
      <c r="T3309" s="23">
        <v>45541</v>
      </c>
      <c r="U3309" s="23">
        <v>47002</v>
      </c>
      <c r="X3309" s="20">
        <v>5000</v>
      </c>
      <c r="Z3309" s="6" t="s">
        <v>5978</v>
      </c>
      <c r="AA3309" s="14">
        <f t="shared" si="438"/>
        <v>5.9999999999999995E-4</v>
      </c>
      <c r="AB3309">
        <v>1.9015679999999999</v>
      </c>
      <c r="AC3309">
        <v>1.9776307200000001</v>
      </c>
    </row>
    <row r="3310" spans="1:29" x14ac:dyDescent="0.3">
      <c r="A3310">
        <v>142813</v>
      </c>
      <c r="B3310" s="25" t="s">
        <v>5984</v>
      </c>
      <c r="C3310" t="s">
        <v>20</v>
      </c>
      <c r="D3310" t="s">
        <v>21</v>
      </c>
      <c r="E3310">
        <v>2222222</v>
      </c>
      <c r="F3310" s="8" t="s">
        <v>22</v>
      </c>
      <c r="G3310" s="2">
        <v>98</v>
      </c>
      <c r="H3310" t="s">
        <v>4410</v>
      </c>
      <c r="J3310" s="9" t="s">
        <v>4852</v>
      </c>
      <c r="K3310" t="s">
        <v>4875</v>
      </c>
      <c r="L3310" s="2">
        <v>1</v>
      </c>
      <c r="M3310" s="24" t="s">
        <v>5971</v>
      </c>
      <c r="N3310" s="2" t="s">
        <v>23</v>
      </c>
      <c r="O3310" s="18" t="s">
        <v>2568</v>
      </c>
      <c r="P3310" s="18" t="s">
        <v>0</v>
      </c>
      <c r="Q3310" s="6" t="s">
        <v>4475</v>
      </c>
      <c r="T3310" s="23">
        <v>45547</v>
      </c>
      <c r="U3310" s="23">
        <v>46645</v>
      </c>
      <c r="X3310" s="20">
        <v>2770</v>
      </c>
      <c r="Z3310" s="6" t="s">
        <v>5978</v>
      </c>
      <c r="AA3310" s="14">
        <f t="shared" si="438"/>
        <v>5.9999999999999995E-4</v>
      </c>
      <c r="AB3310">
        <v>0.85581599999999991</v>
      </c>
      <c r="AC3310">
        <v>0.89004863999999995</v>
      </c>
    </row>
    <row r="3311" spans="1:29" x14ac:dyDescent="0.3">
      <c r="A3311">
        <v>143068</v>
      </c>
      <c r="B3311" s="25" t="s">
        <v>5984</v>
      </c>
      <c r="C3311" t="s">
        <v>20</v>
      </c>
      <c r="D3311" t="s">
        <v>21</v>
      </c>
      <c r="E3311">
        <v>2222222</v>
      </c>
      <c r="F3311" s="8" t="s">
        <v>22</v>
      </c>
      <c r="G3311" s="2">
        <v>98</v>
      </c>
      <c r="H3311" t="s">
        <v>4410</v>
      </c>
      <c r="J3311" s="9" t="s">
        <v>5068</v>
      </c>
      <c r="K3311" t="s">
        <v>5769</v>
      </c>
      <c r="L3311" s="2">
        <v>1</v>
      </c>
      <c r="M3311" s="24" t="s">
        <v>5971</v>
      </c>
      <c r="N3311" s="2" t="s">
        <v>23</v>
      </c>
      <c r="O3311" s="18" t="s">
        <v>2569</v>
      </c>
      <c r="P3311" s="18" t="s">
        <v>0</v>
      </c>
      <c r="Q3311" s="6" t="s">
        <v>4475</v>
      </c>
      <c r="T3311" s="23">
        <v>45572</v>
      </c>
      <c r="U3311" s="23">
        <v>47397</v>
      </c>
      <c r="X3311" s="20">
        <v>35000</v>
      </c>
      <c r="Z3311" s="6" t="s">
        <v>5978</v>
      </c>
      <c r="AA3311" s="14">
        <f t="shared" si="438"/>
        <v>5.9999999999999995E-4</v>
      </c>
      <c r="AB3311">
        <v>15.561485999999999</v>
      </c>
      <c r="AC3311">
        <v>16.183945439999999</v>
      </c>
    </row>
    <row r="3312" spans="1:29" x14ac:dyDescent="0.3">
      <c r="A3312">
        <v>144375</v>
      </c>
      <c r="B3312" s="25" t="s">
        <v>5984</v>
      </c>
      <c r="C3312" t="s">
        <v>20</v>
      </c>
      <c r="D3312" t="s">
        <v>21</v>
      </c>
      <c r="E3312">
        <v>2222222</v>
      </c>
      <c r="F3312" s="8" t="s">
        <v>22</v>
      </c>
      <c r="G3312" s="2">
        <v>98</v>
      </c>
      <c r="H3312" t="s">
        <v>4410</v>
      </c>
      <c r="J3312" s="9" t="s">
        <v>4967</v>
      </c>
      <c r="K3312" t="s">
        <v>5004</v>
      </c>
      <c r="L3312" s="2">
        <v>1</v>
      </c>
      <c r="M3312" s="24" t="s">
        <v>5971</v>
      </c>
      <c r="N3312" s="2" t="s">
        <v>23</v>
      </c>
      <c r="O3312" s="18" t="s">
        <v>2570</v>
      </c>
      <c r="P3312" s="18" t="s">
        <v>3781</v>
      </c>
      <c r="Q3312" s="6" t="s">
        <v>4475</v>
      </c>
      <c r="T3312" s="23">
        <v>45657</v>
      </c>
      <c r="U3312" s="23">
        <v>47849</v>
      </c>
      <c r="X3312" s="20">
        <v>21820</v>
      </c>
      <c r="Z3312" s="6" t="s">
        <v>5978</v>
      </c>
      <c r="AA3312" s="14">
        <f t="shared" si="438"/>
        <v>5.9999999999999995E-4</v>
      </c>
      <c r="AB3312">
        <v>13.091999999999999</v>
      </c>
      <c r="AC3312">
        <v>13.615679999999999</v>
      </c>
    </row>
    <row r="3313" spans="1:29" x14ac:dyDescent="0.3">
      <c r="A3313">
        <v>144628</v>
      </c>
      <c r="B3313" s="25" t="s">
        <v>5984</v>
      </c>
      <c r="C3313" t="s">
        <v>20</v>
      </c>
      <c r="D3313" t="s">
        <v>21</v>
      </c>
      <c r="E3313">
        <v>2222222</v>
      </c>
      <c r="F3313" s="8" t="s">
        <v>22</v>
      </c>
      <c r="G3313" s="2">
        <v>98</v>
      </c>
      <c r="H3313" t="s">
        <v>4410</v>
      </c>
      <c r="J3313" s="9" t="s">
        <v>4911</v>
      </c>
      <c r="K3313" t="s">
        <v>5030</v>
      </c>
      <c r="L3313" s="2">
        <v>1</v>
      </c>
      <c r="M3313" s="24" t="s">
        <v>5971</v>
      </c>
      <c r="N3313" s="2" t="s">
        <v>23</v>
      </c>
      <c r="O3313" s="18" t="s">
        <v>2571</v>
      </c>
      <c r="P3313" s="18" t="s">
        <v>3781</v>
      </c>
      <c r="Q3313" s="6" t="s">
        <v>4475</v>
      </c>
      <c r="T3313" s="23">
        <v>45678</v>
      </c>
      <c r="U3313" s="23">
        <v>46772</v>
      </c>
      <c r="X3313" s="20">
        <v>3500</v>
      </c>
      <c r="Z3313" s="6" t="s">
        <v>5978</v>
      </c>
      <c r="AA3313" s="14">
        <f t="shared" si="438"/>
        <v>5.9999999999999995E-4</v>
      </c>
      <c r="AB3313">
        <v>1.1812619999999998</v>
      </c>
      <c r="AC3313">
        <v>1.2285124799999998</v>
      </c>
    </row>
    <row r="3314" spans="1:29" x14ac:dyDescent="0.3">
      <c r="A3314">
        <v>145465</v>
      </c>
      <c r="B3314" s="25" t="s">
        <v>5984</v>
      </c>
      <c r="C3314" t="s">
        <v>20</v>
      </c>
      <c r="D3314" t="s">
        <v>21</v>
      </c>
      <c r="E3314">
        <v>2222222</v>
      </c>
      <c r="F3314" s="8" t="s">
        <v>22</v>
      </c>
      <c r="G3314" s="2">
        <v>98</v>
      </c>
      <c r="H3314" t="s">
        <v>4410</v>
      </c>
      <c r="J3314" s="9" t="s">
        <v>4892</v>
      </c>
      <c r="K3314" t="s">
        <v>5033</v>
      </c>
      <c r="L3314" s="2">
        <v>1</v>
      </c>
      <c r="M3314" s="24" t="s">
        <v>5971</v>
      </c>
      <c r="N3314" s="2" t="s">
        <v>23</v>
      </c>
      <c r="O3314" s="18" t="s">
        <v>2572</v>
      </c>
      <c r="P3314" s="18" t="s">
        <v>3781</v>
      </c>
      <c r="Q3314" s="6" t="s">
        <v>4475</v>
      </c>
      <c r="T3314" s="23">
        <v>45740</v>
      </c>
      <c r="U3314" s="23">
        <v>46288</v>
      </c>
      <c r="X3314" s="20">
        <v>1430</v>
      </c>
      <c r="Z3314" s="6" t="s">
        <v>5978</v>
      </c>
      <c r="AA3314" s="14">
        <f t="shared" si="438"/>
        <v>5.9999999999999995E-4</v>
      </c>
      <c r="AB3314">
        <v>0.10652399999999998</v>
      </c>
      <c r="AC3314">
        <v>0.11078495999999999</v>
      </c>
    </row>
    <row r="3315" spans="1:29" x14ac:dyDescent="0.3">
      <c r="A3315">
        <v>145582</v>
      </c>
      <c r="B3315" s="25" t="s">
        <v>5984</v>
      </c>
      <c r="C3315" t="s">
        <v>20</v>
      </c>
      <c r="D3315" t="s">
        <v>21</v>
      </c>
      <c r="E3315">
        <v>2222222</v>
      </c>
      <c r="F3315" s="8" t="s">
        <v>22</v>
      </c>
      <c r="G3315" s="2">
        <v>98</v>
      </c>
      <c r="H3315" t="s">
        <v>4410</v>
      </c>
      <c r="J3315" s="9" t="s">
        <v>4903</v>
      </c>
      <c r="K3315" t="s">
        <v>4942</v>
      </c>
      <c r="L3315" s="2">
        <v>1</v>
      </c>
      <c r="M3315" s="24" t="s">
        <v>5971</v>
      </c>
      <c r="N3315" s="2" t="s">
        <v>23</v>
      </c>
      <c r="O3315" s="18" t="s">
        <v>2573</v>
      </c>
      <c r="P3315" s="18" t="s">
        <v>3781</v>
      </c>
      <c r="Q3315" s="6" t="s">
        <v>4475</v>
      </c>
      <c r="T3315" s="23">
        <v>45748</v>
      </c>
      <c r="U3315" s="23">
        <v>46844</v>
      </c>
      <c r="X3315" s="20">
        <v>5000</v>
      </c>
      <c r="Z3315" s="6" t="s">
        <v>5978</v>
      </c>
      <c r="AA3315" s="14">
        <f t="shared" si="438"/>
        <v>5.9999999999999995E-4</v>
      </c>
      <c r="AB3315">
        <v>1.9440299999999999</v>
      </c>
      <c r="AC3315">
        <v>2.0217912</v>
      </c>
    </row>
    <row r="3316" spans="1:29" x14ac:dyDescent="0.3">
      <c r="A3316">
        <v>145621</v>
      </c>
      <c r="B3316" s="25" t="s">
        <v>5984</v>
      </c>
      <c r="C3316" t="s">
        <v>20</v>
      </c>
      <c r="D3316" t="s">
        <v>21</v>
      </c>
      <c r="E3316">
        <v>2222222</v>
      </c>
      <c r="F3316" s="8" t="s">
        <v>22</v>
      </c>
      <c r="G3316" s="2">
        <v>98</v>
      </c>
      <c r="H3316" t="s">
        <v>4410</v>
      </c>
      <c r="J3316" s="9" t="s">
        <v>4967</v>
      </c>
      <c r="K3316" t="s">
        <v>4829</v>
      </c>
      <c r="L3316" s="2">
        <v>1</v>
      </c>
      <c r="M3316" s="24" t="s">
        <v>5971</v>
      </c>
      <c r="N3316" s="2" t="s">
        <v>23</v>
      </c>
      <c r="O3316" s="18" t="s">
        <v>2574</v>
      </c>
      <c r="P3316" s="18" t="s">
        <v>3781</v>
      </c>
      <c r="Q3316" s="6" t="s">
        <v>4475</v>
      </c>
      <c r="T3316" s="23">
        <v>45751</v>
      </c>
      <c r="U3316" s="23">
        <v>47310</v>
      </c>
      <c r="X3316" s="20">
        <v>5000</v>
      </c>
      <c r="Z3316" s="6" t="s">
        <v>5978</v>
      </c>
      <c r="AA3316" s="14">
        <f t="shared" si="438"/>
        <v>5.9999999999999995E-4</v>
      </c>
      <c r="AB3316">
        <v>2.6390279999999997</v>
      </c>
      <c r="AC3316">
        <v>2.7445891199999997</v>
      </c>
    </row>
    <row r="3317" spans="1:29" x14ac:dyDescent="0.3">
      <c r="A3317">
        <v>145958</v>
      </c>
      <c r="B3317" s="25" t="s">
        <v>5984</v>
      </c>
      <c r="C3317" t="s">
        <v>20</v>
      </c>
      <c r="D3317" t="s">
        <v>21</v>
      </c>
      <c r="E3317">
        <v>2222222</v>
      </c>
      <c r="F3317" s="8" t="s">
        <v>22</v>
      </c>
      <c r="G3317" s="2">
        <v>98</v>
      </c>
      <c r="H3317" t="s">
        <v>4410</v>
      </c>
      <c r="J3317" s="9" t="s">
        <v>5068</v>
      </c>
      <c r="K3317" t="s">
        <v>5769</v>
      </c>
      <c r="L3317" s="2">
        <v>1</v>
      </c>
      <c r="M3317" s="24" t="s">
        <v>5971</v>
      </c>
      <c r="N3317" s="2" t="s">
        <v>23</v>
      </c>
      <c r="O3317" s="18" t="s">
        <v>2569</v>
      </c>
      <c r="P3317" s="18" t="s">
        <v>0</v>
      </c>
      <c r="Q3317" s="6" t="s">
        <v>4475</v>
      </c>
      <c r="T3317" s="23">
        <v>45777</v>
      </c>
      <c r="U3317" s="23">
        <v>47239</v>
      </c>
      <c r="X3317" s="20">
        <v>5000</v>
      </c>
      <c r="Z3317" s="6" t="s">
        <v>5978</v>
      </c>
      <c r="AA3317" s="14">
        <f t="shared" si="438"/>
        <v>5.9999999999999995E-4</v>
      </c>
      <c r="AB3317">
        <v>2.3352659999999998</v>
      </c>
      <c r="AC3317">
        <v>2.4286766399999999</v>
      </c>
    </row>
    <row r="3318" spans="1:29" x14ac:dyDescent="0.3">
      <c r="A3318">
        <v>146854</v>
      </c>
      <c r="B3318" s="25" t="s">
        <v>5984</v>
      </c>
      <c r="C3318" t="s">
        <v>20</v>
      </c>
      <c r="D3318" t="s">
        <v>21</v>
      </c>
      <c r="E3318">
        <v>2222222</v>
      </c>
      <c r="F3318" s="8" t="s">
        <v>22</v>
      </c>
      <c r="G3318" s="2">
        <v>98</v>
      </c>
      <c r="H3318" t="s">
        <v>4410</v>
      </c>
      <c r="J3318" s="9" t="s">
        <v>4899</v>
      </c>
      <c r="L3318" s="2">
        <v>1</v>
      </c>
      <c r="M3318" s="24" t="s">
        <v>5971</v>
      </c>
      <c r="N3318" s="2" t="s">
        <v>23</v>
      </c>
      <c r="O3318" s="18" t="s">
        <v>2575</v>
      </c>
      <c r="P3318" s="18" t="s">
        <v>3781</v>
      </c>
      <c r="Q3318" s="6" t="s">
        <v>4475</v>
      </c>
      <c r="T3318" s="23">
        <v>45848</v>
      </c>
      <c r="U3318" s="23">
        <v>47308</v>
      </c>
      <c r="X3318" s="20">
        <v>5000</v>
      </c>
      <c r="Z3318" s="6" t="s">
        <v>5978</v>
      </c>
      <c r="AA3318" s="14">
        <f t="shared" si="438"/>
        <v>5.9999999999999995E-4</v>
      </c>
      <c r="AB3318">
        <v>2.4386099999999997</v>
      </c>
      <c r="AC3318">
        <v>2.5361543999999996</v>
      </c>
    </row>
    <row r="3319" spans="1:29" x14ac:dyDescent="0.3">
      <c r="A3319">
        <v>146897</v>
      </c>
      <c r="B3319" s="25" t="s">
        <v>5984</v>
      </c>
      <c r="C3319" t="s">
        <v>20</v>
      </c>
      <c r="D3319" t="s">
        <v>21</v>
      </c>
      <c r="E3319">
        <v>2222222</v>
      </c>
      <c r="F3319" s="8" t="s">
        <v>22</v>
      </c>
      <c r="G3319" s="2">
        <v>98</v>
      </c>
      <c r="H3319" t="s">
        <v>4410</v>
      </c>
      <c r="J3319" s="9" t="s">
        <v>5204</v>
      </c>
      <c r="K3319" t="s">
        <v>5290</v>
      </c>
      <c r="L3319" s="2">
        <v>1</v>
      </c>
      <c r="M3319" s="24" t="s">
        <v>5971</v>
      </c>
      <c r="N3319" s="2" t="s">
        <v>23</v>
      </c>
      <c r="O3319" s="18" t="s">
        <v>2576</v>
      </c>
      <c r="P3319" s="18" t="s">
        <v>0</v>
      </c>
      <c r="Q3319" s="6" t="s">
        <v>4475</v>
      </c>
      <c r="T3319" s="23">
        <v>45852</v>
      </c>
      <c r="U3319" s="23">
        <v>47312</v>
      </c>
      <c r="X3319" s="20">
        <v>5000</v>
      </c>
      <c r="Z3319" s="6" t="s">
        <v>5978</v>
      </c>
      <c r="AA3319" s="14">
        <f t="shared" si="438"/>
        <v>5.9999999999999995E-4</v>
      </c>
      <c r="AB3319">
        <v>2.4386099999999997</v>
      </c>
      <c r="AC3319">
        <v>2.5361543999999996</v>
      </c>
    </row>
    <row r="3320" spans="1:29" x14ac:dyDescent="0.3">
      <c r="A3320">
        <v>147425</v>
      </c>
      <c r="B3320" s="25" t="s">
        <v>5984</v>
      </c>
      <c r="C3320" t="s">
        <v>20</v>
      </c>
      <c r="D3320" t="s">
        <v>21</v>
      </c>
      <c r="E3320">
        <v>2222222</v>
      </c>
      <c r="F3320" s="8" t="s">
        <v>22</v>
      </c>
      <c r="G3320" s="2">
        <v>98</v>
      </c>
      <c r="H3320" t="s">
        <v>4410</v>
      </c>
      <c r="J3320" s="9" t="s">
        <v>4916</v>
      </c>
      <c r="K3320" t="s">
        <v>5151</v>
      </c>
      <c r="L3320" s="2">
        <v>1</v>
      </c>
      <c r="M3320" s="24" t="s">
        <v>5971</v>
      </c>
      <c r="N3320" s="2" t="s">
        <v>23</v>
      </c>
      <c r="O3320" s="18" t="s">
        <v>243</v>
      </c>
      <c r="P3320" s="18" t="s">
        <v>3781</v>
      </c>
      <c r="Q3320" s="6" t="s">
        <v>4475</v>
      </c>
      <c r="T3320" s="23">
        <v>45888</v>
      </c>
      <c r="U3320" s="23">
        <v>46983</v>
      </c>
      <c r="X3320" s="20">
        <v>4000</v>
      </c>
      <c r="Z3320" s="6" t="s">
        <v>5978</v>
      </c>
      <c r="AA3320" s="14">
        <f t="shared" si="438"/>
        <v>5.9999999999999995E-4</v>
      </c>
      <c r="AB3320">
        <v>1.7907659999999999</v>
      </c>
      <c r="AC3320">
        <v>1.8623966399999998</v>
      </c>
    </row>
    <row r="3321" spans="1:29" x14ac:dyDescent="0.3">
      <c r="A3321">
        <v>147725</v>
      </c>
      <c r="B3321" s="25" t="s">
        <v>5984</v>
      </c>
      <c r="C3321" t="s">
        <v>20</v>
      </c>
      <c r="D3321" t="s">
        <v>21</v>
      </c>
      <c r="E3321">
        <v>2222222</v>
      </c>
      <c r="F3321" s="8" t="s">
        <v>22</v>
      </c>
      <c r="G3321" s="2">
        <v>98</v>
      </c>
      <c r="H3321" t="s">
        <v>4410</v>
      </c>
      <c r="J3321" s="9" t="s">
        <v>5007</v>
      </c>
      <c r="K3321" t="s">
        <v>5089</v>
      </c>
      <c r="L3321" s="2">
        <v>1</v>
      </c>
      <c r="M3321" s="24" t="s">
        <v>5971</v>
      </c>
      <c r="N3321" s="2" t="s">
        <v>23</v>
      </c>
      <c r="O3321" s="18" t="s">
        <v>383</v>
      </c>
      <c r="P3321" s="18" t="s">
        <v>0</v>
      </c>
      <c r="Q3321" s="6" t="s">
        <v>4475</v>
      </c>
      <c r="T3321" s="23">
        <v>45908</v>
      </c>
      <c r="U3321" s="23">
        <v>46638</v>
      </c>
      <c r="X3321" s="20">
        <v>2500</v>
      </c>
      <c r="Z3321" s="6" t="s">
        <v>5978</v>
      </c>
      <c r="AA3321" s="14">
        <f t="shared" si="438"/>
        <v>5.9999999999999995E-4</v>
      </c>
      <c r="AB3321">
        <v>0.93596399999999991</v>
      </c>
      <c r="AC3321">
        <v>0.97340255999999992</v>
      </c>
    </row>
    <row r="3322" spans="1:29" x14ac:dyDescent="0.3">
      <c r="A3322">
        <v>148520</v>
      </c>
      <c r="B3322" s="25" t="s">
        <v>5984</v>
      </c>
      <c r="C3322" t="s">
        <v>20</v>
      </c>
      <c r="D3322" t="s">
        <v>21</v>
      </c>
      <c r="E3322">
        <v>2222222</v>
      </c>
      <c r="F3322" s="8" t="s">
        <v>22</v>
      </c>
      <c r="G3322" s="2">
        <v>98</v>
      </c>
      <c r="H3322" t="s">
        <v>4410</v>
      </c>
      <c r="J3322" s="9" t="s">
        <v>4881</v>
      </c>
      <c r="K3322" t="s">
        <v>4875</v>
      </c>
      <c r="L3322" s="2">
        <v>1</v>
      </c>
      <c r="M3322" s="24" t="s">
        <v>5971</v>
      </c>
      <c r="N3322" s="2" t="s">
        <v>23</v>
      </c>
      <c r="O3322" s="18" t="s">
        <v>2577</v>
      </c>
      <c r="P3322" s="18" t="s">
        <v>0</v>
      </c>
      <c r="Q3322" s="6" t="s">
        <v>4475</v>
      </c>
      <c r="T3322" s="23">
        <v>44658</v>
      </c>
      <c r="U3322" s="23">
        <v>47213</v>
      </c>
      <c r="X3322" s="20">
        <v>21640</v>
      </c>
      <c r="Z3322" s="6" t="s">
        <v>5978</v>
      </c>
      <c r="AA3322" s="15">
        <f>+(0.42/1000)</f>
        <v>4.1999999999999996E-4</v>
      </c>
      <c r="AB3322">
        <v>4.7518715999999994</v>
      </c>
      <c r="AC3322">
        <v>4.9419464639999999</v>
      </c>
    </row>
    <row r="3323" spans="1:29" x14ac:dyDescent="0.3">
      <c r="A3323">
        <v>148709</v>
      </c>
      <c r="B3323" s="25" t="s">
        <v>5984</v>
      </c>
      <c r="C3323" t="s">
        <v>20</v>
      </c>
      <c r="D3323" t="s">
        <v>21</v>
      </c>
      <c r="E3323">
        <v>2222222</v>
      </c>
      <c r="F3323" s="8" t="s">
        <v>22</v>
      </c>
      <c r="G3323" s="2">
        <v>98</v>
      </c>
      <c r="H3323" t="s">
        <v>4410</v>
      </c>
      <c r="J3323" s="9" t="s">
        <v>4877</v>
      </c>
      <c r="K3323" t="s">
        <v>5108</v>
      </c>
      <c r="L3323" s="2">
        <v>1</v>
      </c>
      <c r="M3323" s="24" t="s">
        <v>5971</v>
      </c>
      <c r="N3323" s="2" t="s">
        <v>23</v>
      </c>
      <c r="O3323" s="18" t="s">
        <v>2578</v>
      </c>
      <c r="P3323" s="18" t="s">
        <v>0</v>
      </c>
      <c r="Q3323" s="6" t="s">
        <v>4475</v>
      </c>
      <c r="T3323" s="23">
        <v>45975</v>
      </c>
      <c r="U3323" s="23">
        <v>47436</v>
      </c>
      <c r="X3323" s="20">
        <v>24200</v>
      </c>
      <c r="Z3323" s="6" t="s">
        <v>5978</v>
      </c>
      <c r="AA3323" s="14">
        <f t="shared" ref="AA3323:AA3348" si="439">+(0.6/1000)</f>
        <v>5.9999999999999995E-4</v>
      </c>
      <c r="AB3323">
        <v>12.658433999999998</v>
      </c>
      <c r="AC3323">
        <v>13.164771359999998</v>
      </c>
    </row>
    <row r="3324" spans="1:29" x14ac:dyDescent="0.3">
      <c r="A3324">
        <v>149171</v>
      </c>
      <c r="B3324" s="25" t="s">
        <v>5984</v>
      </c>
      <c r="C3324" t="s">
        <v>20</v>
      </c>
      <c r="D3324" t="s">
        <v>21</v>
      </c>
      <c r="E3324">
        <v>2222222</v>
      </c>
      <c r="F3324" s="8" t="s">
        <v>22</v>
      </c>
      <c r="G3324" s="2">
        <v>98</v>
      </c>
      <c r="H3324" t="s">
        <v>4410</v>
      </c>
      <c r="J3324" s="9" t="s">
        <v>4969</v>
      </c>
      <c r="K3324" t="s">
        <v>5151</v>
      </c>
      <c r="L3324" s="2">
        <v>1</v>
      </c>
      <c r="M3324" s="24" t="s">
        <v>5971</v>
      </c>
      <c r="N3324" s="2" t="s">
        <v>23</v>
      </c>
      <c r="O3324" s="18" t="s">
        <v>2579</v>
      </c>
      <c r="P3324" s="18" t="s">
        <v>3781</v>
      </c>
      <c r="Q3324" s="6" t="s">
        <v>4475</v>
      </c>
      <c r="T3324" s="23">
        <v>46003</v>
      </c>
      <c r="U3324" s="23">
        <v>46367</v>
      </c>
      <c r="X3324" s="20">
        <v>1000</v>
      </c>
      <c r="Z3324" s="6" t="s">
        <v>5978</v>
      </c>
      <c r="AA3324" s="14">
        <f t="shared" si="439"/>
        <v>5.9999999999999995E-4</v>
      </c>
      <c r="AB3324">
        <v>0.26203199999999999</v>
      </c>
      <c r="AC3324">
        <v>0.27251327999999997</v>
      </c>
    </row>
    <row r="3325" spans="1:29" x14ac:dyDescent="0.3">
      <c r="A3325">
        <v>149228</v>
      </c>
      <c r="B3325" s="25" t="s">
        <v>5984</v>
      </c>
      <c r="C3325" t="s">
        <v>20</v>
      </c>
      <c r="D3325" t="s">
        <v>21</v>
      </c>
      <c r="E3325">
        <v>2222222</v>
      </c>
      <c r="F3325" s="8" t="s">
        <v>22</v>
      </c>
      <c r="G3325" s="2">
        <v>98</v>
      </c>
      <c r="H3325" t="s">
        <v>4410</v>
      </c>
      <c r="J3325" s="9" t="s">
        <v>4951</v>
      </c>
      <c r="K3325" t="s">
        <v>4856</v>
      </c>
      <c r="L3325" s="2">
        <v>1</v>
      </c>
      <c r="M3325" s="24" t="s">
        <v>5971</v>
      </c>
      <c r="N3325" s="2" t="s">
        <v>23</v>
      </c>
      <c r="O3325" s="18" t="s">
        <v>2580</v>
      </c>
      <c r="P3325" s="18" t="s">
        <v>0</v>
      </c>
      <c r="Q3325" s="6" t="s">
        <v>4475</v>
      </c>
      <c r="T3325" s="23">
        <v>46064</v>
      </c>
      <c r="U3325" s="23">
        <v>49718</v>
      </c>
      <c r="X3325" s="20">
        <v>100000</v>
      </c>
      <c r="Z3325" s="6" t="s">
        <v>5978</v>
      </c>
      <c r="AA3325" s="14">
        <f t="shared" si="439"/>
        <v>5.9999999999999995E-4</v>
      </c>
      <c r="AB3325">
        <v>58.893935999999997</v>
      </c>
      <c r="AC3325">
        <v>61.249693440000001</v>
      </c>
    </row>
    <row r="3326" spans="1:29" x14ac:dyDescent="0.3">
      <c r="A3326">
        <v>149260</v>
      </c>
      <c r="B3326" s="25" t="s">
        <v>5984</v>
      </c>
      <c r="C3326" t="s">
        <v>20</v>
      </c>
      <c r="D3326" t="s">
        <v>21</v>
      </c>
      <c r="E3326">
        <v>2222222</v>
      </c>
      <c r="F3326" s="8" t="s">
        <v>22</v>
      </c>
      <c r="G3326" s="2">
        <v>98</v>
      </c>
      <c r="H3326" t="s">
        <v>4410</v>
      </c>
      <c r="J3326" s="9" t="s">
        <v>4951</v>
      </c>
      <c r="K3326" t="s">
        <v>4856</v>
      </c>
      <c r="L3326" s="2">
        <v>1</v>
      </c>
      <c r="M3326" s="24" t="s">
        <v>5971</v>
      </c>
      <c r="N3326" s="2" t="s">
        <v>23</v>
      </c>
      <c r="O3326" s="18" t="s">
        <v>2580</v>
      </c>
      <c r="P3326" s="18" t="s">
        <v>0</v>
      </c>
      <c r="Q3326" s="6" t="s">
        <v>4475</v>
      </c>
      <c r="T3326" s="23">
        <v>46064</v>
      </c>
      <c r="U3326" s="23">
        <v>49718</v>
      </c>
      <c r="X3326" s="20">
        <v>20000</v>
      </c>
      <c r="Z3326" s="6" t="s">
        <v>5978</v>
      </c>
      <c r="AA3326" s="14">
        <f t="shared" si="439"/>
        <v>5.9999999999999995E-4</v>
      </c>
      <c r="AB3326">
        <v>11.791721999999998</v>
      </c>
      <c r="AC3326">
        <v>12.263390879999999</v>
      </c>
    </row>
    <row r="3327" spans="1:29" x14ac:dyDescent="0.3">
      <c r="A3327">
        <v>150068</v>
      </c>
      <c r="B3327" s="25" t="s">
        <v>5984</v>
      </c>
      <c r="C3327" t="s">
        <v>20</v>
      </c>
      <c r="D3327" t="s">
        <v>21</v>
      </c>
      <c r="E3327">
        <v>2222222</v>
      </c>
      <c r="F3327" s="8" t="s">
        <v>22</v>
      </c>
      <c r="G3327" s="2">
        <v>98</v>
      </c>
      <c r="H3327" t="s">
        <v>4410</v>
      </c>
      <c r="J3327" s="9" t="s">
        <v>5366</v>
      </c>
      <c r="K3327" t="s">
        <v>5294</v>
      </c>
      <c r="L3327" s="2">
        <v>1</v>
      </c>
      <c r="M3327" s="24" t="s">
        <v>5971</v>
      </c>
      <c r="N3327" s="2" t="s">
        <v>23</v>
      </c>
      <c r="O3327" s="18" t="s">
        <v>2581</v>
      </c>
      <c r="P3327" s="18" t="s">
        <v>3781</v>
      </c>
      <c r="Q3327" s="6" t="s">
        <v>4475</v>
      </c>
      <c r="T3327" s="23">
        <v>46068</v>
      </c>
      <c r="U3327" s="23">
        <v>47896</v>
      </c>
      <c r="X3327" s="20">
        <v>3920</v>
      </c>
      <c r="Z3327" s="6" t="s">
        <v>5978</v>
      </c>
      <c r="AA3327" s="14">
        <f t="shared" si="439"/>
        <v>5.9999999999999995E-4</v>
      </c>
      <c r="AB3327">
        <v>2.3519999999999999</v>
      </c>
      <c r="AC3327">
        <v>2.4460799999999998</v>
      </c>
    </row>
    <row r="3328" spans="1:29" x14ac:dyDescent="0.3">
      <c r="A3328">
        <v>150485</v>
      </c>
      <c r="B3328" s="25" t="s">
        <v>5984</v>
      </c>
      <c r="C3328" t="s">
        <v>20</v>
      </c>
      <c r="D3328" t="s">
        <v>21</v>
      </c>
      <c r="E3328">
        <v>2222222</v>
      </c>
      <c r="F3328" s="8" t="s">
        <v>22</v>
      </c>
      <c r="G3328" s="2">
        <v>98</v>
      </c>
      <c r="H3328" t="s">
        <v>4410</v>
      </c>
      <c r="J3328" s="9" t="s">
        <v>5204</v>
      </c>
      <c r="K3328" t="s">
        <v>5290</v>
      </c>
      <c r="L3328" s="2">
        <v>1</v>
      </c>
      <c r="M3328" s="24" t="s">
        <v>5971</v>
      </c>
      <c r="N3328" s="2" t="s">
        <v>23</v>
      </c>
      <c r="O3328" s="18" t="s">
        <v>2576</v>
      </c>
      <c r="P3328" s="18" t="s">
        <v>0</v>
      </c>
      <c r="Q3328" s="6" t="s">
        <v>4475</v>
      </c>
      <c r="T3328" s="23">
        <v>46097</v>
      </c>
      <c r="U3328" s="23">
        <v>47192</v>
      </c>
      <c r="X3328" s="20">
        <v>4000</v>
      </c>
      <c r="Z3328" s="6" t="s">
        <v>5978</v>
      </c>
      <c r="AA3328" s="14">
        <f t="shared" si="439"/>
        <v>5.9999999999999995E-4</v>
      </c>
      <c r="AB3328">
        <v>2.1892619999999998</v>
      </c>
      <c r="AC3328">
        <v>2.2768324799999999</v>
      </c>
    </row>
    <row r="3329" spans="1:29" x14ac:dyDescent="0.3">
      <c r="A3329">
        <v>150562</v>
      </c>
      <c r="B3329" s="25" t="s">
        <v>5984</v>
      </c>
      <c r="C3329" t="s">
        <v>20</v>
      </c>
      <c r="D3329" t="s">
        <v>21</v>
      </c>
      <c r="E3329">
        <v>2222222</v>
      </c>
      <c r="F3329" s="8" t="s">
        <v>22</v>
      </c>
      <c r="G3329" s="2">
        <v>98</v>
      </c>
      <c r="H3329" t="s">
        <v>4410</v>
      </c>
      <c r="J3329" s="9" t="s">
        <v>5235</v>
      </c>
      <c r="K3329" t="s">
        <v>5770</v>
      </c>
      <c r="L3329" s="2">
        <v>1</v>
      </c>
      <c r="M3329" s="24" t="s">
        <v>5971</v>
      </c>
      <c r="N3329" s="2" t="s">
        <v>23</v>
      </c>
      <c r="O3329" s="18" t="s">
        <v>2582</v>
      </c>
      <c r="P3329" s="18" t="s">
        <v>3781</v>
      </c>
      <c r="Q3329" s="6" t="s">
        <v>4475</v>
      </c>
      <c r="T3329" s="23">
        <v>46100</v>
      </c>
      <c r="U3329" s="23">
        <v>46648</v>
      </c>
      <c r="X3329" s="20">
        <v>1550</v>
      </c>
      <c r="Z3329" s="6" t="s">
        <v>5978</v>
      </c>
      <c r="AA3329" s="14">
        <f t="shared" si="439"/>
        <v>5.9999999999999995E-4</v>
      </c>
      <c r="AB3329">
        <v>0.74315999999999993</v>
      </c>
      <c r="AC3329">
        <v>0.77288639999999997</v>
      </c>
    </row>
    <row r="3330" spans="1:29" x14ac:dyDescent="0.3">
      <c r="A3330">
        <v>151014</v>
      </c>
      <c r="B3330" s="25" t="s">
        <v>5984</v>
      </c>
      <c r="C3330" t="s">
        <v>20</v>
      </c>
      <c r="D3330" t="s">
        <v>21</v>
      </c>
      <c r="E3330">
        <v>2222222</v>
      </c>
      <c r="F3330" s="8" t="s">
        <v>22</v>
      </c>
      <c r="G3330" s="2">
        <v>98</v>
      </c>
      <c r="H3330" t="s">
        <v>4410</v>
      </c>
      <c r="J3330" s="9" t="s">
        <v>5771</v>
      </c>
      <c r="K3330" t="s">
        <v>5310</v>
      </c>
      <c r="L3330" s="2">
        <v>1</v>
      </c>
      <c r="M3330" s="24" t="s">
        <v>5971</v>
      </c>
      <c r="N3330" s="2" t="s">
        <v>23</v>
      </c>
      <c r="O3330" s="18" t="s">
        <v>2583</v>
      </c>
      <c r="P3330" s="18" t="s">
        <v>3781</v>
      </c>
      <c r="Q3330" s="6" t="s">
        <v>4475</v>
      </c>
      <c r="T3330" s="23">
        <v>46132</v>
      </c>
      <c r="U3330" s="23">
        <v>47593</v>
      </c>
      <c r="X3330" s="20">
        <v>4680</v>
      </c>
      <c r="Z3330" s="6" t="s">
        <v>5978</v>
      </c>
      <c r="AA3330" s="14">
        <f t="shared" si="439"/>
        <v>5.9999999999999995E-4</v>
      </c>
      <c r="AB3330">
        <v>2.6853600000000002</v>
      </c>
      <c r="AC3330">
        <v>2.7927744000000003</v>
      </c>
    </row>
    <row r="3331" spans="1:29" x14ac:dyDescent="0.3">
      <c r="A3331">
        <v>151100</v>
      </c>
      <c r="B3331" s="25" t="s">
        <v>5984</v>
      </c>
      <c r="C3331" t="s">
        <v>20</v>
      </c>
      <c r="D3331" t="s">
        <v>21</v>
      </c>
      <c r="E3331">
        <v>2222222</v>
      </c>
      <c r="F3331" s="8" t="s">
        <v>22</v>
      </c>
      <c r="G3331" s="2">
        <v>98</v>
      </c>
      <c r="H3331" t="s">
        <v>4410</v>
      </c>
      <c r="J3331" s="9" t="s">
        <v>5038</v>
      </c>
      <c r="K3331" t="s">
        <v>4921</v>
      </c>
      <c r="L3331" s="2">
        <v>1</v>
      </c>
      <c r="M3331" s="24" t="s">
        <v>5971</v>
      </c>
      <c r="N3331" s="2" t="s">
        <v>23</v>
      </c>
      <c r="O3331" s="18" t="s">
        <v>2584</v>
      </c>
      <c r="P3331" s="18" t="s">
        <v>3781</v>
      </c>
      <c r="Q3331" s="6" t="s">
        <v>4475</v>
      </c>
      <c r="T3331" s="23">
        <v>46139</v>
      </c>
      <c r="U3331" s="23">
        <v>46504</v>
      </c>
      <c r="X3331" s="20">
        <v>1000</v>
      </c>
      <c r="Z3331" s="6" t="s">
        <v>5978</v>
      </c>
      <c r="AA3331" s="14">
        <f t="shared" si="439"/>
        <v>5.9999999999999995E-4</v>
      </c>
      <c r="AB3331">
        <v>0.45941399999999999</v>
      </c>
      <c r="AC3331">
        <v>0.47779056000000003</v>
      </c>
    </row>
    <row r="3332" spans="1:29" x14ac:dyDescent="0.3">
      <c r="A3332">
        <v>151223</v>
      </c>
      <c r="B3332" s="25" t="s">
        <v>5984</v>
      </c>
      <c r="C3332" t="s">
        <v>20</v>
      </c>
      <c r="D3332" t="s">
        <v>21</v>
      </c>
      <c r="E3332">
        <v>2222222</v>
      </c>
      <c r="F3332" s="8" t="s">
        <v>22</v>
      </c>
      <c r="G3332" s="2">
        <v>98</v>
      </c>
      <c r="H3332" t="s">
        <v>4410</v>
      </c>
      <c r="J3332" s="9" t="s">
        <v>4899</v>
      </c>
      <c r="L3332" s="2">
        <v>1</v>
      </c>
      <c r="M3332" s="24" t="s">
        <v>5971</v>
      </c>
      <c r="N3332" s="2" t="s">
        <v>23</v>
      </c>
      <c r="O3332" s="18" t="s">
        <v>2575</v>
      </c>
      <c r="P3332" s="18" t="s">
        <v>3781</v>
      </c>
      <c r="Q3332" s="6" t="s">
        <v>4475</v>
      </c>
      <c r="T3332" s="23">
        <v>46148</v>
      </c>
      <c r="U3332" s="23">
        <v>47243</v>
      </c>
      <c r="X3332" s="20">
        <v>4000</v>
      </c>
      <c r="Z3332" s="6" t="s">
        <v>5978</v>
      </c>
      <c r="AA3332" s="14">
        <f t="shared" si="439"/>
        <v>5.9999999999999995E-4</v>
      </c>
      <c r="AB3332">
        <v>2.2955699999999997</v>
      </c>
      <c r="AC3332">
        <v>2.3873927999999998</v>
      </c>
    </row>
    <row r="3333" spans="1:29" x14ac:dyDescent="0.3">
      <c r="A3333">
        <v>151412</v>
      </c>
      <c r="B3333" s="25" t="s">
        <v>5984</v>
      </c>
      <c r="C3333" t="s">
        <v>20</v>
      </c>
      <c r="D3333" t="s">
        <v>21</v>
      </c>
      <c r="E3333">
        <v>2222222</v>
      </c>
      <c r="F3333" s="8" t="s">
        <v>22</v>
      </c>
      <c r="G3333" s="2">
        <v>98</v>
      </c>
      <c r="H3333" t="s">
        <v>4410</v>
      </c>
      <c r="J3333" s="9" t="s">
        <v>5058</v>
      </c>
      <c r="K3333" t="s">
        <v>4950</v>
      </c>
      <c r="L3333" s="2">
        <v>1</v>
      </c>
      <c r="M3333" s="24" t="s">
        <v>5971</v>
      </c>
      <c r="N3333" s="2" t="s">
        <v>23</v>
      </c>
      <c r="O3333" s="18" t="s">
        <v>2585</v>
      </c>
      <c r="P3333" s="18" t="s">
        <v>0</v>
      </c>
      <c r="Q3333" s="6" t="s">
        <v>4475</v>
      </c>
      <c r="T3333" s="23">
        <v>46188</v>
      </c>
      <c r="U3333" s="23">
        <v>51667</v>
      </c>
      <c r="X3333" s="20">
        <v>130000</v>
      </c>
      <c r="Z3333" s="6" t="s">
        <v>5978</v>
      </c>
      <c r="AA3333" s="14">
        <f t="shared" si="439"/>
        <v>5.9999999999999995E-4</v>
      </c>
      <c r="AB3333">
        <v>77.808431999999996</v>
      </c>
      <c r="AC3333">
        <v>80.920769280000002</v>
      </c>
    </row>
    <row r="3334" spans="1:29" x14ac:dyDescent="0.3">
      <c r="A3334">
        <v>151540</v>
      </c>
      <c r="B3334" s="25" t="s">
        <v>5984</v>
      </c>
      <c r="C3334" t="s">
        <v>20</v>
      </c>
      <c r="D3334" t="s">
        <v>21</v>
      </c>
      <c r="E3334">
        <v>2222222</v>
      </c>
      <c r="F3334" s="8" t="s">
        <v>22</v>
      </c>
      <c r="G3334" s="2">
        <v>98</v>
      </c>
      <c r="H3334" t="s">
        <v>4410</v>
      </c>
      <c r="J3334" s="9" t="s">
        <v>4916</v>
      </c>
      <c r="K3334" t="s">
        <v>5151</v>
      </c>
      <c r="L3334" s="2">
        <v>1</v>
      </c>
      <c r="M3334" s="24" t="s">
        <v>5971</v>
      </c>
      <c r="N3334" s="2" t="s">
        <v>23</v>
      </c>
      <c r="O3334" s="18" t="s">
        <v>243</v>
      </c>
      <c r="P3334" s="18" t="s">
        <v>3781</v>
      </c>
      <c r="Q3334" s="6" t="s">
        <v>4475</v>
      </c>
      <c r="T3334" s="23">
        <v>46171</v>
      </c>
      <c r="U3334" s="23">
        <v>47631</v>
      </c>
      <c r="X3334" s="20">
        <v>5000</v>
      </c>
      <c r="Z3334" s="6" t="s">
        <v>5978</v>
      </c>
      <c r="AA3334" s="14">
        <f t="shared" si="439"/>
        <v>5.9999999999999995E-4</v>
      </c>
      <c r="AB3334">
        <v>2.9123100000000002</v>
      </c>
      <c r="AC3334">
        <v>3.0288024000000004</v>
      </c>
    </row>
    <row r="3335" spans="1:29" x14ac:dyDescent="0.3">
      <c r="A3335">
        <v>151557</v>
      </c>
      <c r="B3335" s="25" t="s">
        <v>5984</v>
      </c>
      <c r="C3335" t="s">
        <v>20</v>
      </c>
      <c r="D3335" t="s">
        <v>21</v>
      </c>
      <c r="E3335">
        <v>2222222</v>
      </c>
      <c r="F3335" s="8" t="s">
        <v>22</v>
      </c>
      <c r="G3335" s="2">
        <v>98</v>
      </c>
      <c r="H3335" t="s">
        <v>4410</v>
      </c>
      <c r="J3335" s="9" t="s">
        <v>4876</v>
      </c>
      <c r="K3335" t="s">
        <v>4870</v>
      </c>
      <c r="L3335" s="2">
        <v>1</v>
      </c>
      <c r="M3335" s="24" t="s">
        <v>5971</v>
      </c>
      <c r="N3335" s="2" t="s">
        <v>23</v>
      </c>
      <c r="O3335" s="18" t="s">
        <v>2586</v>
      </c>
      <c r="P3335" s="18" t="s">
        <v>0</v>
      </c>
      <c r="Q3335" s="6" t="s">
        <v>4475</v>
      </c>
      <c r="T3335" s="23">
        <v>46172</v>
      </c>
      <c r="U3335" s="23">
        <v>46537</v>
      </c>
      <c r="X3335" s="20">
        <v>1180</v>
      </c>
      <c r="Z3335" s="6" t="s">
        <v>5978</v>
      </c>
      <c r="AA3335" s="14">
        <f t="shared" si="439"/>
        <v>5.9999999999999995E-4</v>
      </c>
      <c r="AB3335">
        <v>0.70799999999999996</v>
      </c>
      <c r="AC3335">
        <v>0.73631999999999997</v>
      </c>
    </row>
    <row r="3336" spans="1:29" x14ac:dyDescent="0.3">
      <c r="A3336">
        <v>151693</v>
      </c>
      <c r="B3336" s="25" t="s">
        <v>5984</v>
      </c>
      <c r="C3336" t="s">
        <v>20</v>
      </c>
      <c r="D3336" t="s">
        <v>21</v>
      </c>
      <c r="E3336">
        <v>2222222</v>
      </c>
      <c r="F3336" s="8" t="s">
        <v>22</v>
      </c>
      <c r="G3336" s="2">
        <v>98</v>
      </c>
      <c r="H3336" t="s">
        <v>4410</v>
      </c>
      <c r="J3336" s="9" t="s">
        <v>4907</v>
      </c>
      <c r="K3336" t="s">
        <v>4926</v>
      </c>
      <c r="L3336" s="2">
        <v>1</v>
      </c>
      <c r="M3336" s="24" t="s">
        <v>5971</v>
      </c>
      <c r="N3336" s="2" t="s">
        <v>23</v>
      </c>
      <c r="O3336" s="18" t="s">
        <v>1873</v>
      </c>
      <c r="P3336" s="18" t="s">
        <v>3781</v>
      </c>
      <c r="Q3336" s="6" t="s">
        <v>4475</v>
      </c>
      <c r="T3336" s="23">
        <v>46181</v>
      </c>
      <c r="U3336" s="23">
        <v>46271</v>
      </c>
      <c r="X3336" s="20">
        <v>4985</v>
      </c>
      <c r="Z3336" s="6" t="s">
        <v>5978</v>
      </c>
      <c r="AA3336" s="14">
        <f t="shared" si="439"/>
        <v>5.9999999999999995E-4</v>
      </c>
      <c r="AB3336">
        <v>2.9909999999999997</v>
      </c>
      <c r="AC3336">
        <v>3.1106399999999996</v>
      </c>
    </row>
    <row r="3337" spans="1:29" x14ac:dyDescent="0.3">
      <c r="A3337">
        <v>151709</v>
      </c>
      <c r="B3337" s="25" t="s">
        <v>5984</v>
      </c>
      <c r="C3337" t="s">
        <v>20</v>
      </c>
      <c r="D3337" t="s">
        <v>21</v>
      </c>
      <c r="E3337">
        <v>2222222</v>
      </c>
      <c r="F3337" s="8" t="s">
        <v>22</v>
      </c>
      <c r="G3337" s="2">
        <v>98</v>
      </c>
      <c r="H3337" t="s">
        <v>4410</v>
      </c>
      <c r="J3337" s="9" t="s">
        <v>4877</v>
      </c>
      <c r="K3337" t="s">
        <v>5108</v>
      </c>
      <c r="L3337" s="2">
        <v>1</v>
      </c>
      <c r="M3337" s="24" t="s">
        <v>5971</v>
      </c>
      <c r="N3337" s="2" t="s">
        <v>23</v>
      </c>
      <c r="O3337" s="18" t="s">
        <v>2578</v>
      </c>
      <c r="P3337" s="18" t="s">
        <v>0</v>
      </c>
      <c r="Q3337" s="6" t="s">
        <v>4475</v>
      </c>
      <c r="T3337" s="23">
        <v>46182</v>
      </c>
      <c r="U3337" s="23">
        <v>47643</v>
      </c>
      <c r="X3337" s="20">
        <v>5000</v>
      </c>
      <c r="Z3337" s="6" t="s">
        <v>5978</v>
      </c>
      <c r="AA3337" s="14">
        <f t="shared" si="439"/>
        <v>5.9999999999999995E-4</v>
      </c>
      <c r="AB3337">
        <v>2.9564819999999998</v>
      </c>
      <c r="AC3337">
        <v>3.07474128</v>
      </c>
    </row>
    <row r="3338" spans="1:29" x14ac:dyDescent="0.3">
      <c r="A3338">
        <v>151794</v>
      </c>
      <c r="B3338" s="25" t="s">
        <v>5984</v>
      </c>
      <c r="C3338" t="s">
        <v>20</v>
      </c>
      <c r="D3338" t="s">
        <v>21</v>
      </c>
      <c r="E3338">
        <v>2222222</v>
      </c>
      <c r="F3338" s="8" t="s">
        <v>22</v>
      </c>
      <c r="G3338" s="2">
        <v>98</v>
      </c>
      <c r="H3338" t="s">
        <v>4410</v>
      </c>
      <c r="J3338" s="9" t="s">
        <v>4990</v>
      </c>
      <c r="K3338" t="s">
        <v>5070</v>
      </c>
      <c r="L3338" s="2">
        <v>1</v>
      </c>
      <c r="M3338" s="24" t="s">
        <v>5971</v>
      </c>
      <c r="N3338" s="2" t="s">
        <v>23</v>
      </c>
      <c r="O3338" s="18" t="s">
        <v>2587</v>
      </c>
      <c r="P3338" s="18" t="s">
        <v>3781</v>
      </c>
      <c r="Q3338" s="6" t="s">
        <v>4475</v>
      </c>
      <c r="T3338" s="23">
        <v>46188</v>
      </c>
      <c r="U3338" s="23">
        <v>46278</v>
      </c>
      <c r="X3338" s="20">
        <v>3300</v>
      </c>
      <c r="Z3338" s="6" t="s">
        <v>5978</v>
      </c>
      <c r="AA3338" s="14">
        <f t="shared" si="439"/>
        <v>5.9999999999999995E-4</v>
      </c>
      <c r="AB3338">
        <v>1.9799999999999998</v>
      </c>
      <c r="AC3338">
        <v>2.0591999999999997</v>
      </c>
    </row>
    <row r="3339" spans="1:29" x14ac:dyDescent="0.3">
      <c r="A3339">
        <v>151894</v>
      </c>
      <c r="B3339" s="25" t="s">
        <v>5984</v>
      </c>
      <c r="C3339" t="s">
        <v>20</v>
      </c>
      <c r="D3339" t="s">
        <v>21</v>
      </c>
      <c r="E3339">
        <v>2222222</v>
      </c>
      <c r="F3339" s="8" t="s">
        <v>22</v>
      </c>
      <c r="G3339" s="2">
        <v>98</v>
      </c>
      <c r="H3339" t="s">
        <v>4410</v>
      </c>
      <c r="J3339" s="9" t="s">
        <v>4907</v>
      </c>
      <c r="K3339" t="s">
        <v>4926</v>
      </c>
      <c r="L3339" s="2">
        <v>1</v>
      </c>
      <c r="M3339" s="24" t="s">
        <v>5971</v>
      </c>
      <c r="N3339" s="2" t="s">
        <v>23</v>
      </c>
      <c r="O3339" s="18" t="s">
        <v>1873</v>
      </c>
      <c r="P3339" s="18" t="s">
        <v>3781</v>
      </c>
      <c r="Q3339" s="6" t="s">
        <v>4475</v>
      </c>
      <c r="T3339" s="23">
        <v>46196</v>
      </c>
      <c r="U3339" s="23">
        <v>46286</v>
      </c>
      <c r="X3339" s="20">
        <v>4630</v>
      </c>
      <c r="Z3339" s="6" t="s">
        <v>5978</v>
      </c>
      <c r="AA3339" s="14">
        <f t="shared" si="439"/>
        <v>5.9999999999999995E-4</v>
      </c>
      <c r="AB3339">
        <v>2.7779999999999996</v>
      </c>
      <c r="AC3339">
        <v>2.8891199999999997</v>
      </c>
    </row>
    <row r="3340" spans="1:29" x14ac:dyDescent="0.3">
      <c r="A3340">
        <v>151902</v>
      </c>
      <c r="B3340" s="25" t="s">
        <v>5984</v>
      </c>
      <c r="C3340" t="s">
        <v>20</v>
      </c>
      <c r="D3340" t="s">
        <v>21</v>
      </c>
      <c r="E3340">
        <v>2222222</v>
      </c>
      <c r="F3340" s="8" t="s">
        <v>22</v>
      </c>
      <c r="G3340" s="2">
        <v>98</v>
      </c>
      <c r="H3340" t="s">
        <v>4410</v>
      </c>
      <c r="J3340" s="9" t="s">
        <v>4907</v>
      </c>
      <c r="K3340" t="s">
        <v>4926</v>
      </c>
      <c r="L3340" s="2">
        <v>1</v>
      </c>
      <c r="M3340" s="24" t="s">
        <v>5971</v>
      </c>
      <c r="N3340" s="2" t="s">
        <v>23</v>
      </c>
      <c r="O3340" s="18" t="s">
        <v>1873</v>
      </c>
      <c r="P3340" s="18" t="s">
        <v>3781</v>
      </c>
      <c r="Q3340" s="6" t="s">
        <v>4475</v>
      </c>
      <c r="T3340" s="23">
        <v>46196</v>
      </c>
      <c r="U3340" s="23">
        <v>46744</v>
      </c>
      <c r="X3340" s="20">
        <v>880</v>
      </c>
      <c r="Z3340" s="6" t="s">
        <v>5978</v>
      </c>
      <c r="AA3340" s="14">
        <f t="shared" si="439"/>
        <v>5.9999999999999995E-4</v>
      </c>
      <c r="AB3340">
        <v>0.52799999999999991</v>
      </c>
      <c r="AC3340">
        <v>0.54911999999999994</v>
      </c>
    </row>
    <row r="3341" spans="1:29" x14ac:dyDescent="0.3">
      <c r="A3341">
        <v>151920</v>
      </c>
      <c r="B3341" s="25" t="s">
        <v>5984</v>
      </c>
      <c r="C3341" t="s">
        <v>20</v>
      </c>
      <c r="D3341" t="s">
        <v>21</v>
      </c>
      <c r="E3341">
        <v>2222222</v>
      </c>
      <c r="F3341" s="8" t="s">
        <v>22</v>
      </c>
      <c r="G3341" s="2">
        <v>98</v>
      </c>
      <c r="H3341" t="s">
        <v>4410</v>
      </c>
      <c r="J3341" s="9" t="s">
        <v>5112</v>
      </c>
      <c r="K3341" t="s">
        <v>5371</v>
      </c>
      <c r="L3341" s="2">
        <v>1</v>
      </c>
      <c r="M3341" s="24" t="s">
        <v>5971</v>
      </c>
      <c r="N3341" s="2" t="s">
        <v>23</v>
      </c>
      <c r="O3341" s="18" t="s">
        <v>2588</v>
      </c>
      <c r="P3341" s="18" t="s">
        <v>0</v>
      </c>
      <c r="Q3341" s="6" t="s">
        <v>4475</v>
      </c>
      <c r="T3341" s="23">
        <v>46197</v>
      </c>
      <c r="U3341" s="23">
        <v>46654</v>
      </c>
      <c r="X3341" s="20">
        <v>1000</v>
      </c>
      <c r="Z3341" s="6" t="s">
        <v>5978</v>
      </c>
      <c r="AA3341" s="14">
        <f t="shared" si="439"/>
        <v>5.9999999999999995E-4</v>
      </c>
      <c r="AB3341">
        <v>0.56375399999999998</v>
      </c>
      <c r="AC3341">
        <v>0.58630415999999996</v>
      </c>
    </row>
    <row r="3342" spans="1:29" x14ac:dyDescent="0.3">
      <c r="A3342">
        <v>151951</v>
      </c>
      <c r="B3342" s="25" t="s">
        <v>5984</v>
      </c>
      <c r="C3342" t="s">
        <v>20</v>
      </c>
      <c r="D3342" t="s">
        <v>21</v>
      </c>
      <c r="E3342">
        <v>2222222</v>
      </c>
      <c r="F3342" s="8" t="s">
        <v>22</v>
      </c>
      <c r="G3342" s="2">
        <v>98</v>
      </c>
      <c r="H3342" t="s">
        <v>4410</v>
      </c>
      <c r="J3342" s="9" t="s">
        <v>5007</v>
      </c>
      <c r="K3342" t="s">
        <v>5089</v>
      </c>
      <c r="L3342" s="2">
        <v>1</v>
      </c>
      <c r="M3342" s="24" t="s">
        <v>5971</v>
      </c>
      <c r="N3342" s="2" t="s">
        <v>23</v>
      </c>
      <c r="O3342" s="18" t="s">
        <v>383</v>
      </c>
      <c r="P3342" s="18" t="s">
        <v>0</v>
      </c>
      <c r="Q3342" s="6" t="s">
        <v>4475</v>
      </c>
      <c r="T3342" s="23">
        <v>46201</v>
      </c>
      <c r="U3342" s="23">
        <v>46932</v>
      </c>
      <c r="X3342" s="20">
        <v>4000</v>
      </c>
      <c r="Z3342" s="6" t="s">
        <v>5978</v>
      </c>
      <c r="AA3342" s="14">
        <f t="shared" si="439"/>
        <v>5.9999999999999995E-4</v>
      </c>
      <c r="AB3342">
        <v>2.3125499999999999</v>
      </c>
      <c r="AC3342">
        <v>2.405052</v>
      </c>
    </row>
    <row r="3343" spans="1:29" x14ac:dyDescent="0.3">
      <c r="A3343">
        <v>151955</v>
      </c>
      <c r="B3343" s="25" t="s">
        <v>5984</v>
      </c>
      <c r="C3343" t="s">
        <v>20</v>
      </c>
      <c r="D3343" t="s">
        <v>21</v>
      </c>
      <c r="E3343">
        <v>2222222</v>
      </c>
      <c r="F3343" s="8" t="s">
        <v>22</v>
      </c>
      <c r="G3343" s="2">
        <v>98</v>
      </c>
      <c r="H3343" t="s">
        <v>4410</v>
      </c>
      <c r="J3343" s="9" t="s">
        <v>5007</v>
      </c>
      <c r="K3343" t="s">
        <v>5089</v>
      </c>
      <c r="L3343" s="2">
        <v>1</v>
      </c>
      <c r="M3343" s="24" t="s">
        <v>5971</v>
      </c>
      <c r="N3343" s="2" t="s">
        <v>23</v>
      </c>
      <c r="O3343" s="18" t="s">
        <v>383</v>
      </c>
      <c r="P3343" s="18" t="s">
        <v>0</v>
      </c>
      <c r="Q3343" s="6" t="s">
        <v>4475</v>
      </c>
      <c r="T3343" s="23">
        <v>46201</v>
      </c>
      <c r="U3343" s="23">
        <v>46291</v>
      </c>
      <c r="X3343" s="20">
        <v>3000</v>
      </c>
      <c r="Z3343" s="6" t="s">
        <v>5978</v>
      </c>
      <c r="AA3343" s="14">
        <f t="shared" si="439"/>
        <v>5.9999999999999995E-4</v>
      </c>
      <c r="AB3343">
        <v>1.7999999999999998</v>
      </c>
      <c r="AC3343">
        <v>1.8719999999999999</v>
      </c>
    </row>
    <row r="3344" spans="1:29" x14ac:dyDescent="0.3">
      <c r="A3344">
        <v>151960</v>
      </c>
      <c r="B3344" s="25" t="s">
        <v>5984</v>
      </c>
      <c r="C3344" t="s">
        <v>20</v>
      </c>
      <c r="D3344" t="s">
        <v>21</v>
      </c>
      <c r="E3344">
        <v>2222222</v>
      </c>
      <c r="F3344" s="8" t="s">
        <v>22</v>
      </c>
      <c r="G3344" s="2">
        <v>98</v>
      </c>
      <c r="H3344" t="s">
        <v>4410</v>
      </c>
      <c r="J3344" s="9" t="s">
        <v>5007</v>
      </c>
      <c r="K3344" t="s">
        <v>5089</v>
      </c>
      <c r="L3344" s="2">
        <v>1</v>
      </c>
      <c r="M3344" s="24" t="s">
        <v>5971</v>
      </c>
      <c r="N3344" s="2" t="s">
        <v>23</v>
      </c>
      <c r="O3344" s="18" t="s">
        <v>383</v>
      </c>
      <c r="P3344" s="18" t="s">
        <v>0</v>
      </c>
      <c r="Q3344" s="6" t="s">
        <v>4475</v>
      </c>
      <c r="T3344" s="23">
        <v>46202</v>
      </c>
      <c r="U3344" s="23">
        <v>46262</v>
      </c>
      <c r="X3344" s="20">
        <v>5000</v>
      </c>
      <c r="Z3344" s="6" t="s">
        <v>5978</v>
      </c>
      <c r="AA3344" s="14">
        <f t="shared" si="439"/>
        <v>5.9999999999999995E-4</v>
      </c>
      <c r="AB3344">
        <v>2.9999999999999996</v>
      </c>
      <c r="AC3344">
        <v>3.1199999999999997</v>
      </c>
    </row>
    <row r="3345" spans="1:29" x14ac:dyDescent="0.3">
      <c r="A3345">
        <v>152137</v>
      </c>
      <c r="B3345" s="25" t="s">
        <v>5984</v>
      </c>
      <c r="C3345" t="s">
        <v>20</v>
      </c>
      <c r="D3345" t="s">
        <v>21</v>
      </c>
      <c r="E3345">
        <v>2222222</v>
      </c>
      <c r="F3345" s="8" t="s">
        <v>22</v>
      </c>
      <c r="G3345" s="2">
        <v>98</v>
      </c>
      <c r="H3345" t="s">
        <v>4410</v>
      </c>
      <c r="J3345" s="9" t="s">
        <v>5038</v>
      </c>
      <c r="K3345" t="s">
        <v>5345</v>
      </c>
      <c r="L3345" s="2">
        <v>1</v>
      </c>
      <c r="M3345" s="24" t="s">
        <v>5971</v>
      </c>
      <c r="N3345" s="2" t="s">
        <v>23</v>
      </c>
      <c r="O3345" s="18" t="s">
        <v>2564</v>
      </c>
      <c r="P3345" s="18" t="s">
        <v>3781</v>
      </c>
      <c r="Q3345" s="6" t="s">
        <v>4475</v>
      </c>
      <c r="T3345" s="23">
        <v>46213</v>
      </c>
      <c r="U3345" s="23">
        <v>46527</v>
      </c>
      <c r="X3345" s="20">
        <v>5000</v>
      </c>
      <c r="Z3345" s="6" t="s">
        <v>5978</v>
      </c>
      <c r="AA3345" s="14">
        <f t="shared" si="439"/>
        <v>5.9999999999999995E-4</v>
      </c>
      <c r="AB3345">
        <v>2.9999999999999996</v>
      </c>
      <c r="AC3345">
        <v>3.1199999999999997</v>
      </c>
    </row>
    <row r="3346" spans="1:29" x14ac:dyDescent="0.3">
      <c r="A3346">
        <v>152249</v>
      </c>
      <c r="B3346" s="25" t="s">
        <v>5984</v>
      </c>
      <c r="C3346" t="s">
        <v>20</v>
      </c>
      <c r="D3346" t="s">
        <v>21</v>
      </c>
      <c r="E3346">
        <v>2222222</v>
      </c>
      <c r="F3346" s="8" t="s">
        <v>22</v>
      </c>
      <c r="G3346" s="2">
        <v>98</v>
      </c>
      <c r="H3346" t="s">
        <v>4410</v>
      </c>
      <c r="J3346" s="9" t="s">
        <v>4830</v>
      </c>
      <c r="K3346" t="s">
        <v>5745</v>
      </c>
      <c r="L3346" s="2">
        <v>1</v>
      </c>
      <c r="M3346" s="24" t="s">
        <v>5971</v>
      </c>
      <c r="N3346" s="2" t="s">
        <v>23</v>
      </c>
      <c r="O3346" s="18" t="s">
        <v>2589</v>
      </c>
      <c r="P3346" s="18" t="s">
        <v>3781</v>
      </c>
      <c r="Q3346" s="6" t="s">
        <v>4475</v>
      </c>
      <c r="T3346" s="23">
        <v>46223</v>
      </c>
      <c r="U3346" s="23">
        <v>47683</v>
      </c>
      <c r="X3346" s="20">
        <v>5000</v>
      </c>
      <c r="Z3346" s="6" t="s">
        <v>5978</v>
      </c>
      <c r="AA3346" s="14">
        <f t="shared" si="439"/>
        <v>5.9999999999999995E-4</v>
      </c>
      <c r="AB3346">
        <v>2.9999999999999996</v>
      </c>
      <c r="AC3346">
        <v>3.1199999999999997</v>
      </c>
    </row>
    <row r="3347" spans="1:29" x14ac:dyDescent="0.3">
      <c r="A3347">
        <v>152278</v>
      </c>
      <c r="B3347" s="25" t="s">
        <v>5984</v>
      </c>
      <c r="C3347" t="s">
        <v>20</v>
      </c>
      <c r="D3347" t="s">
        <v>21</v>
      </c>
      <c r="E3347">
        <v>2222222</v>
      </c>
      <c r="F3347" s="8" t="s">
        <v>22</v>
      </c>
      <c r="G3347" s="2">
        <v>98</v>
      </c>
      <c r="H3347" t="s">
        <v>4410</v>
      </c>
      <c r="J3347" s="9" t="s">
        <v>4891</v>
      </c>
      <c r="K3347" t="s">
        <v>5310</v>
      </c>
      <c r="L3347" s="2">
        <v>1</v>
      </c>
      <c r="M3347" s="24" t="s">
        <v>5971</v>
      </c>
      <c r="N3347" s="2" t="s">
        <v>23</v>
      </c>
      <c r="O3347" s="18" t="s">
        <v>2590</v>
      </c>
      <c r="P3347" s="18" t="s">
        <v>3781</v>
      </c>
      <c r="Q3347" s="6" t="s">
        <v>4475</v>
      </c>
      <c r="T3347" s="23">
        <v>46224</v>
      </c>
      <c r="U3347" s="23">
        <v>46773</v>
      </c>
      <c r="X3347" s="20">
        <v>1990</v>
      </c>
      <c r="Z3347" s="6" t="s">
        <v>5978</v>
      </c>
      <c r="AA3347" s="14">
        <f t="shared" si="439"/>
        <v>5.9999999999999995E-4</v>
      </c>
      <c r="AB3347">
        <v>1.194</v>
      </c>
      <c r="AC3347">
        <v>1.24176</v>
      </c>
    </row>
    <row r="3348" spans="1:29" x14ac:dyDescent="0.3">
      <c r="A3348">
        <v>152335</v>
      </c>
      <c r="B3348" s="25" t="s">
        <v>5984</v>
      </c>
      <c r="C3348" t="s">
        <v>20</v>
      </c>
      <c r="D3348" t="s">
        <v>21</v>
      </c>
      <c r="E3348">
        <v>2222222</v>
      </c>
      <c r="F3348" s="8" t="s">
        <v>22</v>
      </c>
      <c r="G3348" s="2">
        <v>98</v>
      </c>
      <c r="H3348" t="s">
        <v>4410</v>
      </c>
      <c r="J3348" s="9" t="s">
        <v>5235</v>
      </c>
      <c r="K3348" t="s">
        <v>5770</v>
      </c>
      <c r="L3348" s="2">
        <v>1</v>
      </c>
      <c r="M3348" s="24" t="s">
        <v>5971</v>
      </c>
      <c r="N3348" s="2" t="s">
        <v>23</v>
      </c>
      <c r="O3348" s="18" t="s">
        <v>2582</v>
      </c>
      <c r="P3348" s="18" t="s">
        <v>3781</v>
      </c>
      <c r="Q3348" s="6" t="s">
        <v>4475</v>
      </c>
      <c r="T3348" s="23">
        <v>46230</v>
      </c>
      <c r="U3348" s="23">
        <v>46778</v>
      </c>
      <c r="X3348" s="20">
        <v>1560</v>
      </c>
      <c r="Z3348" s="6" t="s">
        <v>5978</v>
      </c>
      <c r="AA3348" s="14">
        <f t="shared" si="439"/>
        <v>5.9999999999999995E-4</v>
      </c>
      <c r="AB3348">
        <v>0.93599999999999994</v>
      </c>
      <c r="AC3348">
        <v>0.97343999999999997</v>
      </c>
    </row>
    <row r="3349" spans="1:29" x14ac:dyDescent="0.3">
      <c r="A3349">
        <v>98643</v>
      </c>
      <c r="B3349" s="25" t="s">
        <v>5984</v>
      </c>
      <c r="C3349" t="s">
        <v>20</v>
      </c>
      <c r="D3349" t="s">
        <v>21</v>
      </c>
      <c r="E3349">
        <v>2222222</v>
      </c>
      <c r="F3349" s="8" t="s">
        <v>22</v>
      </c>
      <c r="G3349" s="2">
        <v>98</v>
      </c>
      <c r="H3349" t="s">
        <v>4411</v>
      </c>
      <c r="J3349" s="9" t="s">
        <v>5772</v>
      </c>
      <c r="K3349" t="s">
        <v>4884</v>
      </c>
      <c r="L3349" s="2">
        <v>1</v>
      </c>
      <c r="M3349" s="24" t="s">
        <v>5971</v>
      </c>
      <c r="N3349" s="2" t="s">
        <v>23</v>
      </c>
      <c r="O3349" s="18" t="s">
        <v>2591</v>
      </c>
      <c r="P3349" s="18" t="s">
        <v>3781</v>
      </c>
      <c r="Q3349" s="6" t="s">
        <v>4475</v>
      </c>
      <c r="T3349" s="23">
        <v>43389</v>
      </c>
      <c r="U3349" s="23">
        <v>43479</v>
      </c>
      <c r="X3349" s="20">
        <v>2000</v>
      </c>
      <c r="Z3349" s="6" t="s">
        <v>5978</v>
      </c>
      <c r="AA3349" s="15">
        <f>+(0.42/1000)</f>
        <v>4.1999999999999996E-4</v>
      </c>
      <c r="AB3349">
        <v>0.84</v>
      </c>
      <c r="AC3349">
        <v>0.87360000000000004</v>
      </c>
    </row>
    <row r="3350" spans="1:29" x14ac:dyDescent="0.3">
      <c r="A3350">
        <v>142528</v>
      </c>
      <c r="B3350" s="25" t="s">
        <v>5984</v>
      </c>
      <c r="C3350" t="s">
        <v>20</v>
      </c>
      <c r="D3350" t="s">
        <v>21</v>
      </c>
      <c r="E3350">
        <v>2222222</v>
      </c>
      <c r="F3350" s="8" t="s">
        <v>22</v>
      </c>
      <c r="G3350" s="2">
        <v>98</v>
      </c>
      <c r="H3350" t="s">
        <v>4411</v>
      </c>
      <c r="J3350" s="9" t="s">
        <v>4829</v>
      </c>
      <c r="K3350" t="s">
        <v>4980</v>
      </c>
      <c r="L3350" s="2">
        <v>1</v>
      </c>
      <c r="M3350" s="24" t="s">
        <v>5971</v>
      </c>
      <c r="N3350" s="2" t="s">
        <v>23</v>
      </c>
      <c r="O3350" s="18" t="s">
        <v>1588</v>
      </c>
      <c r="P3350" s="18" t="s">
        <v>3781</v>
      </c>
      <c r="Q3350" s="6" t="s">
        <v>4475</v>
      </c>
      <c r="T3350" s="23">
        <v>45526</v>
      </c>
      <c r="U3350" s="23">
        <v>46260</v>
      </c>
      <c r="X3350" s="20">
        <v>3380</v>
      </c>
      <c r="Z3350" s="6" t="s">
        <v>5978</v>
      </c>
      <c r="AA3350" s="14">
        <f t="shared" ref="AA3350:AA3355" si="440">+(0.6/1000)</f>
        <v>5.9999999999999995E-4</v>
      </c>
      <c r="AB3350">
        <v>9.962399999999999E-2</v>
      </c>
      <c r="AC3350">
        <v>0.10360896</v>
      </c>
    </row>
    <row r="3351" spans="1:29" x14ac:dyDescent="0.3">
      <c r="A3351">
        <v>145492</v>
      </c>
      <c r="B3351" s="25" t="s">
        <v>5984</v>
      </c>
      <c r="C3351" t="s">
        <v>20</v>
      </c>
      <c r="D3351" t="s">
        <v>21</v>
      </c>
      <c r="E3351">
        <v>2222222</v>
      </c>
      <c r="F3351" s="8" t="s">
        <v>22</v>
      </c>
      <c r="G3351" s="2">
        <v>98</v>
      </c>
      <c r="H3351" t="s">
        <v>4411</v>
      </c>
      <c r="J3351" s="9" t="s">
        <v>5048</v>
      </c>
      <c r="K3351" t="s">
        <v>4980</v>
      </c>
      <c r="L3351" s="2">
        <v>1</v>
      </c>
      <c r="M3351" s="24" t="s">
        <v>5971</v>
      </c>
      <c r="N3351" s="2" t="s">
        <v>23</v>
      </c>
      <c r="O3351" s="18" t="s">
        <v>2592</v>
      </c>
      <c r="P3351" s="18" t="s">
        <v>3781</v>
      </c>
      <c r="Q3351" s="6" t="s">
        <v>4475</v>
      </c>
      <c r="T3351" s="23">
        <v>45742</v>
      </c>
      <c r="U3351" s="23">
        <v>47294</v>
      </c>
      <c r="X3351" s="20">
        <v>5000</v>
      </c>
      <c r="Z3351" s="6" t="s">
        <v>5978</v>
      </c>
      <c r="AA3351" s="14">
        <f t="shared" si="440"/>
        <v>5.9999999999999995E-4</v>
      </c>
      <c r="AB3351">
        <v>2.4387779999999997</v>
      </c>
      <c r="AC3351">
        <v>2.5363291199999995</v>
      </c>
    </row>
    <row r="3352" spans="1:29" x14ac:dyDescent="0.3">
      <c r="A3352">
        <v>146188</v>
      </c>
      <c r="B3352" s="25" t="s">
        <v>5984</v>
      </c>
      <c r="C3352" t="s">
        <v>20</v>
      </c>
      <c r="D3352" t="s">
        <v>21</v>
      </c>
      <c r="E3352">
        <v>2222222</v>
      </c>
      <c r="F3352" s="8" t="s">
        <v>22</v>
      </c>
      <c r="G3352" s="2">
        <v>98</v>
      </c>
      <c r="H3352" t="s">
        <v>4411</v>
      </c>
      <c r="J3352" s="9" t="s">
        <v>4916</v>
      </c>
      <c r="K3352" t="s">
        <v>4932</v>
      </c>
      <c r="L3352" s="2">
        <v>1</v>
      </c>
      <c r="M3352" s="24" t="s">
        <v>5971</v>
      </c>
      <c r="N3352" s="2" t="s">
        <v>23</v>
      </c>
      <c r="O3352" s="18" t="s">
        <v>2593</v>
      </c>
      <c r="P3352" s="18" t="s">
        <v>3781</v>
      </c>
      <c r="Q3352" s="6" t="s">
        <v>4475</v>
      </c>
      <c r="T3352" s="23">
        <v>45797</v>
      </c>
      <c r="U3352" s="23">
        <v>47257</v>
      </c>
      <c r="X3352" s="20">
        <v>4300</v>
      </c>
      <c r="Z3352" s="6" t="s">
        <v>5978</v>
      </c>
      <c r="AA3352" s="14">
        <f t="shared" si="440"/>
        <v>5.9999999999999995E-4</v>
      </c>
      <c r="AB3352">
        <v>1.9705979999999998</v>
      </c>
      <c r="AC3352">
        <v>2.0494219199999999</v>
      </c>
    </row>
    <row r="3353" spans="1:29" x14ac:dyDescent="0.3">
      <c r="A3353">
        <v>151128</v>
      </c>
      <c r="B3353" s="25" t="s">
        <v>5984</v>
      </c>
      <c r="C3353" t="s">
        <v>20</v>
      </c>
      <c r="D3353" t="s">
        <v>21</v>
      </c>
      <c r="E3353">
        <v>2222222</v>
      </c>
      <c r="F3353" s="8" t="s">
        <v>22</v>
      </c>
      <c r="G3353" s="2">
        <v>98</v>
      </c>
      <c r="H3353" t="s">
        <v>4411</v>
      </c>
      <c r="J3353" s="9" t="s">
        <v>4829</v>
      </c>
      <c r="K3353" t="s">
        <v>4980</v>
      </c>
      <c r="L3353" s="2">
        <v>1</v>
      </c>
      <c r="M3353" s="24" t="s">
        <v>5971</v>
      </c>
      <c r="N3353" s="2" t="s">
        <v>23</v>
      </c>
      <c r="O3353" s="18" t="s">
        <v>1588</v>
      </c>
      <c r="P3353" s="18" t="s">
        <v>3781</v>
      </c>
      <c r="Q3353" s="6" t="s">
        <v>4475</v>
      </c>
      <c r="T3353" s="23">
        <v>46140</v>
      </c>
      <c r="U3353" s="23">
        <v>46505</v>
      </c>
      <c r="X3353" s="20">
        <v>1035</v>
      </c>
      <c r="Z3353" s="6" t="s">
        <v>5978</v>
      </c>
      <c r="AA3353" s="14">
        <f t="shared" si="440"/>
        <v>5.9999999999999995E-4</v>
      </c>
      <c r="AB3353">
        <v>0.47549999999999998</v>
      </c>
      <c r="AC3353">
        <v>0.49452000000000002</v>
      </c>
    </row>
    <row r="3354" spans="1:29" x14ac:dyDescent="0.3">
      <c r="A3354">
        <v>152141</v>
      </c>
      <c r="B3354" s="25" t="s">
        <v>5984</v>
      </c>
      <c r="C3354" t="s">
        <v>20</v>
      </c>
      <c r="D3354" t="s">
        <v>21</v>
      </c>
      <c r="E3354">
        <v>2222222</v>
      </c>
      <c r="F3354" s="8" t="s">
        <v>22</v>
      </c>
      <c r="G3354" s="2">
        <v>98</v>
      </c>
      <c r="H3354" t="s">
        <v>4411</v>
      </c>
      <c r="J3354" s="9" t="s">
        <v>4916</v>
      </c>
      <c r="K3354" t="s">
        <v>4932</v>
      </c>
      <c r="L3354" s="2">
        <v>1</v>
      </c>
      <c r="M3354" s="24" t="s">
        <v>5971</v>
      </c>
      <c r="N3354" s="2" t="s">
        <v>23</v>
      </c>
      <c r="O3354" s="18" t="s">
        <v>2593</v>
      </c>
      <c r="P3354" s="18" t="s">
        <v>3781</v>
      </c>
      <c r="Q3354" s="6" t="s">
        <v>4475</v>
      </c>
      <c r="T3354" s="23">
        <v>46216</v>
      </c>
      <c r="U3354" s="23">
        <v>47676</v>
      </c>
      <c r="X3354" s="20">
        <v>4900</v>
      </c>
      <c r="Z3354" s="6" t="s">
        <v>5978</v>
      </c>
      <c r="AA3354" s="14">
        <f t="shared" si="440"/>
        <v>5.9999999999999995E-4</v>
      </c>
      <c r="AB3354">
        <v>2.94</v>
      </c>
      <c r="AC3354">
        <v>3.0575999999999999</v>
      </c>
    </row>
    <row r="3355" spans="1:29" x14ac:dyDescent="0.3">
      <c r="A3355">
        <v>148313</v>
      </c>
      <c r="B3355" s="25" t="s">
        <v>5984</v>
      </c>
      <c r="C3355" t="s">
        <v>20</v>
      </c>
      <c r="D3355" t="s">
        <v>21</v>
      </c>
      <c r="E3355">
        <v>2222222</v>
      </c>
      <c r="F3355" s="8" t="s">
        <v>22</v>
      </c>
      <c r="G3355" s="2">
        <v>98</v>
      </c>
      <c r="H3355" t="s">
        <v>4412</v>
      </c>
      <c r="J3355" s="9" t="s">
        <v>5370</v>
      </c>
      <c r="K3355" t="s">
        <v>4856</v>
      </c>
      <c r="L3355" s="2">
        <v>1</v>
      </c>
      <c r="M3355" s="24" t="s">
        <v>5971</v>
      </c>
      <c r="N3355" s="2" t="s">
        <v>23</v>
      </c>
      <c r="O3355" s="18" t="s">
        <v>2594</v>
      </c>
      <c r="P3355" s="18" t="s">
        <v>0</v>
      </c>
      <c r="Q3355" s="6" t="s">
        <v>4475</v>
      </c>
      <c r="T3355" s="23">
        <v>45952</v>
      </c>
      <c r="U3355" s="23">
        <v>47047</v>
      </c>
      <c r="X3355" s="20">
        <v>5000</v>
      </c>
      <c r="Z3355" s="6" t="s">
        <v>5978</v>
      </c>
      <c r="AA3355" s="14">
        <f t="shared" si="440"/>
        <v>5.9999999999999995E-4</v>
      </c>
      <c r="AB3355">
        <v>2.3471639999999998</v>
      </c>
      <c r="AC3355">
        <v>2.4410505599999999</v>
      </c>
    </row>
    <row r="3356" spans="1:29" x14ac:dyDescent="0.3">
      <c r="A3356">
        <v>120681</v>
      </c>
      <c r="B3356" s="25" t="s">
        <v>5984</v>
      </c>
      <c r="C3356" t="s">
        <v>20</v>
      </c>
      <c r="D3356" t="s">
        <v>21</v>
      </c>
      <c r="E3356">
        <v>2222222</v>
      </c>
      <c r="F3356" s="8" t="s">
        <v>22</v>
      </c>
      <c r="G3356" s="2">
        <v>98</v>
      </c>
      <c r="H3356" t="s">
        <v>4413</v>
      </c>
      <c r="J3356" s="9" t="s">
        <v>4993</v>
      </c>
      <c r="K3356" t="s">
        <v>4926</v>
      </c>
      <c r="L3356" s="2">
        <v>1</v>
      </c>
      <c r="M3356" s="24" t="s">
        <v>5971</v>
      </c>
      <c r="N3356" s="2" t="s">
        <v>23</v>
      </c>
      <c r="O3356" s="18" t="s">
        <v>2595</v>
      </c>
      <c r="P3356" s="18" t="s">
        <v>3781</v>
      </c>
      <c r="Q3356" s="6" t="s">
        <v>4475</v>
      </c>
      <c r="T3356" s="23">
        <v>44333</v>
      </c>
      <c r="U3356" s="23">
        <v>46889</v>
      </c>
      <c r="X3356" s="20">
        <v>12425</v>
      </c>
      <c r="Z3356" s="6" t="s">
        <v>5978</v>
      </c>
      <c r="AA3356" s="15">
        <f>+(0.42/1000)</f>
        <v>4.1999999999999996E-4</v>
      </c>
      <c r="AB3356">
        <v>4.9724892000000001</v>
      </c>
      <c r="AC3356">
        <v>5.1713887679999999</v>
      </c>
    </row>
    <row r="3357" spans="1:29" x14ac:dyDescent="0.3">
      <c r="A3357">
        <v>136900</v>
      </c>
      <c r="B3357" s="25" t="s">
        <v>5984</v>
      </c>
      <c r="C3357" t="s">
        <v>20</v>
      </c>
      <c r="D3357" t="s">
        <v>21</v>
      </c>
      <c r="E3357">
        <v>2222222</v>
      </c>
      <c r="F3357" s="8" t="s">
        <v>22</v>
      </c>
      <c r="G3357" s="2">
        <v>98</v>
      </c>
      <c r="H3357" t="s">
        <v>4413</v>
      </c>
      <c r="J3357" s="9" t="s">
        <v>4920</v>
      </c>
      <c r="K3357" t="s">
        <v>5174</v>
      </c>
      <c r="L3357" s="2">
        <v>1</v>
      </c>
      <c r="M3357" s="24" t="s">
        <v>5971</v>
      </c>
      <c r="N3357" s="2" t="s">
        <v>23</v>
      </c>
      <c r="O3357" s="18" t="s">
        <v>2596</v>
      </c>
      <c r="P3357" s="18" t="s">
        <v>0</v>
      </c>
      <c r="Q3357" s="6" t="s">
        <v>4475</v>
      </c>
      <c r="T3357" s="23">
        <v>45198</v>
      </c>
      <c r="U3357" s="23">
        <v>46665</v>
      </c>
      <c r="X3357" s="20">
        <v>5000</v>
      </c>
      <c r="Z3357" s="6" t="s">
        <v>5978</v>
      </c>
      <c r="AA3357" s="13">
        <f t="shared" ref="AA3357:AA3359" si="441">+(0.56/1000)</f>
        <v>5.6000000000000006E-4</v>
      </c>
      <c r="AB3357">
        <v>1.1125352000000002</v>
      </c>
      <c r="AC3357">
        <v>1.1570366080000003</v>
      </c>
    </row>
    <row r="3358" spans="1:29" x14ac:dyDescent="0.3">
      <c r="A3358">
        <v>137224</v>
      </c>
      <c r="B3358" s="25" t="s">
        <v>5984</v>
      </c>
      <c r="C3358" t="s">
        <v>20</v>
      </c>
      <c r="D3358" t="s">
        <v>21</v>
      </c>
      <c r="E3358">
        <v>2222222</v>
      </c>
      <c r="F3358" s="8" t="s">
        <v>22</v>
      </c>
      <c r="G3358" s="2">
        <v>98</v>
      </c>
      <c r="H3358" t="s">
        <v>4413</v>
      </c>
      <c r="J3358" s="9" t="s">
        <v>5563</v>
      </c>
      <c r="K3358" t="s">
        <v>4972</v>
      </c>
      <c r="L3358" s="2">
        <v>1</v>
      </c>
      <c r="M3358" s="24" t="s">
        <v>5971</v>
      </c>
      <c r="N3358" s="2" t="s">
        <v>23</v>
      </c>
      <c r="O3358" s="18" t="s">
        <v>2597</v>
      </c>
      <c r="P3358" s="18" t="s">
        <v>3781</v>
      </c>
      <c r="Q3358" s="6" t="s">
        <v>4475</v>
      </c>
      <c r="T3358" s="23">
        <v>45210</v>
      </c>
      <c r="U3358" s="23">
        <v>46670</v>
      </c>
      <c r="X3358" s="20">
        <v>5000</v>
      </c>
      <c r="Z3358" s="6" t="s">
        <v>5978</v>
      </c>
      <c r="AA3358" s="13">
        <f t="shared" si="441"/>
        <v>5.6000000000000006E-4</v>
      </c>
      <c r="AB3358">
        <v>1.1125352000000002</v>
      </c>
      <c r="AC3358">
        <v>1.1570366080000003</v>
      </c>
    </row>
    <row r="3359" spans="1:29" x14ac:dyDescent="0.3">
      <c r="A3359">
        <v>137490</v>
      </c>
      <c r="B3359" s="25" t="s">
        <v>5984</v>
      </c>
      <c r="C3359" t="s">
        <v>20</v>
      </c>
      <c r="D3359" t="s">
        <v>21</v>
      </c>
      <c r="E3359">
        <v>2222222</v>
      </c>
      <c r="F3359" s="8" t="s">
        <v>22</v>
      </c>
      <c r="G3359" s="2">
        <v>98</v>
      </c>
      <c r="H3359" t="s">
        <v>4413</v>
      </c>
      <c r="J3359" s="9" t="s">
        <v>4779</v>
      </c>
      <c r="K3359" t="s">
        <v>5189</v>
      </c>
      <c r="L3359" s="2">
        <v>1</v>
      </c>
      <c r="M3359" s="24" t="s">
        <v>5971</v>
      </c>
      <c r="N3359" s="2" t="s">
        <v>23</v>
      </c>
      <c r="O3359" s="18" t="s">
        <v>2598</v>
      </c>
      <c r="P3359" s="18" t="s">
        <v>0</v>
      </c>
      <c r="Q3359" s="6" t="s">
        <v>4475</v>
      </c>
      <c r="T3359" s="23">
        <v>45240</v>
      </c>
      <c r="U3359" s="23">
        <v>48898</v>
      </c>
      <c r="X3359" s="20">
        <v>16580</v>
      </c>
      <c r="Z3359" s="6" t="s">
        <v>5978</v>
      </c>
      <c r="AA3359" s="13">
        <f t="shared" si="441"/>
        <v>5.6000000000000006E-4</v>
      </c>
      <c r="AB3359">
        <v>8.0606064000000011</v>
      </c>
      <c r="AC3359">
        <v>8.3830306560000007</v>
      </c>
    </row>
    <row r="3360" spans="1:29" x14ac:dyDescent="0.3">
      <c r="A3360">
        <v>146151</v>
      </c>
      <c r="B3360" s="25" t="s">
        <v>5984</v>
      </c>
      <c r="C3360" t="s">
        <v>20</v>
      </c>
      <c r="D3360" t="s">
        <v>21</v>
      </c>
      <c r="E3360">
        <v>2222222</v>
      </c>
      <c r="F3360" s="8" t="s">
        <v>22</v>
      </c>
      <c r="G3360" s="2">
        <v>98</v>
      </c>
      <c r="H3360" t="s">
        <v>4413</v>
      </c>
      <c r="J3360" s="9" t="s">
        <v>5007</v>
      </c>
      <c r="K3360" t="s">
        <v>4961</v>
      </c>
      <c r="L3360" s="2">
        <v>1</v>
      </c>
      <c r="M3360" s="24" t="s">
        <v>5971</v>
      </c>
      <c r="N3360" s="2" t="s">
        <v>23</v>
      </c>
      <c r="O3360" s="18" t="s">
        <v>2599</v>
      </c>
      <c r="P3360" s="18" t="s">
        <v>0</v>
      </c>
      <c r="Q3360" s="6" t="s">
        <v>4475</v>
      </c>
      <c r="T3360" s="23">
        <v>45798</v>
      </c>
      <c r="U3360" s="23">
        <v>46893</v>
      </c>
      <c r="X3360" s="20">
        <v>5000</v>
      </c>
      <c r="Z3360" s="6" t="s">
        <v>5978</v>
      </c>
      <c r="AA3360" s="14">
        <f t="shared" ref="AA3360:AA3370" si="442">+(0.6/1000)</f>
        <v>5.9999999999999995E-4</v>
      </c>
      <c r="AB3360">
        <v>2.021064</v>
      </c>
      <c r="AC3360">
        <v>2.1019065600000002</v>
      </c>
    </row>
    <row r="3361" spans="1:29" x14ac:dyDescent="0.3">
      <c r="A3361">
        <v>147534</v>
      </c>
      <c r="B3361" s="25" t="s">
        <v>5984</v>
      </c>
      <c r="C3361" t="s">
        <v>20</v>
      </c>
      <c r="D3361" t="s">
        <v>21</v>
      </c>
      <c r="E3361">
        <v>2222222</v>
      </c>
      <c r="F3361" s="8" t="s">
        <v>22</v>
      </c>
      <c r="G3361" s="2">
        <v>98</v>
      </c>
      <c r="H3361" t="s">
        <v>4413</v>
      </c>
      <c r="J3361" s="9" t="s">
        <v>5007</v>
      </c>
      <c r="K3361" t="s">
        <v>4961</v>
      </c>
      <c r="L3361" s="2">
        <v>1</v>
      </c>
      <c r="M3361" s="24" t="s">
        <v>5971</v>
      </c>
      <c r="N3361" s="2" t="s">
        <v>23</v>
      </c>
      <c r="O3361" s="18" t="s">
        <v>2599</v>
      </c>
      <c r="P3361" s="18" t="s">
        <v>0</v>
      </c>
      <c r="Q3361" s="6" t="s">
        <v>4475</v>
      </c>
      <c r="T3361" s="23">
        <v>45898</v>
      </c>
      <c r="U3361" s="23">
        <v>46636</v>
      </c>
      <c r="X3361" s="20">
        <v>4000</v>
      </c>
      <c r="Z3361" s="6" t="s">
        <v>5978</v>
      </c>
      <c r="AA3361" s="14">
        <f t="shared" si="442"/>
        <v>5.9999999999999995E-4</v>
      </c>
      <c r="AB3361">
        <v>1.4975699999999998</v>
      </c>
      <c r="AC3361">
        <v>1.5574728</v>
      </c>
    </row>
    <row r="3362" spans="1:29" x14ac:dyDescent="0.3">
      <c r="A3362">
        <v>148264</v>
      </c>
      <c r="B3362" s="25" t="s">
        <v>5984</v>
      </c>
      <c r="C3362" t="s">
        <v>20</v>
      </c>
      <c r="D3362" t="s">
        <v>21</v>
      </c>
      <c r="E3362">
        <v>2222222</v>
      </c>
      <c r="F3362" s="8" t="s">
        <v>22</v>
      </c>
      <c r="G3362" s="2">
        <v>98</v>
      </c>
      <c r="H3362" t="s">
        <v>4413</v>
      </c>
      <c r="J3362" s="9" t="s">
        <v>5061</v>
      </c>
      <c r="K3362" t="s">
        <v>5190</v>
      </c>
      <c r="L3362" s="2">
        <v>1</v>
      </c>
      <c r="M3362" s="24" t="s">
        <v>5971</v>
      </c>
      <c r="N3362" s="2" t="s">
        <v>23</v>
      </c>
      <c r="O3362" s="18" t="s">
        <v>2600</v>
      </c>
      <c r="P3362" s="18" t="s">
        <v>0</v>
      </c>
      <c r="Q3362" s="6" t="s">
        <v>4475</v>
      </c>
      <c r="T3362" s="23">
        <v>45952</v>
      </c>
      <c r="U3362" s="23">
        <v>46317</v>
      </c>
      <c r="X3362" s="20">
        <v>3000</v>
      </c>
      <c r="Z3362" s="6" t="s">
        <v>5978</v>
      </c>
      <c r="AA3362" s="14">
        <f t="shared" si="442"/>
        <v>5.9999999999999995E-4</v>
      </c>
      <c r="AB3362">
        <v>0.47810399999999997</v>
      </c>
      <c r="AC3362">
        <v>0.49722815999999997</v>
      </c>
    </row>
    <row r="3363" spans="1:29" x14ac:dyDescent="0.3">
      <c r="A3363">
        <v>149482</v>
      </c>
      <c r="B3363" s="25" t="s">
        <v>5984</v>
      </c>
      <c r="C3363" t="s">
        <v>20</v>
      </c>
      <c r="D3363" t="s">
        <v>21</v>
      </c>
      <c r="E3363">
        <v>2222222</v>
      </c>
      <c r="F3363" s="8" t="s">
        <v>22</v>
      </c>
      <c r="G3363" s="2">
        <v>98</v>
      </c>
      <c r="H3363" t="s">
        <v>4413</v>
      </c>
      <c r="J3363" s="9" t="s">
        <v>5096</v>
      </c>
      <c r="K3363" t="s">
        <v>4893</v>
      </c>
      <c r="L3363" s="2">
        <v>1</v>
      </c>
      <c r="M3363" s="24" t="s">
        <v>5971</v>
      </c>
      <c r="N3363" s="2" t="s">
        <v>23</v>
      </c>
      <c r="O3363" s="18" t="s">
        <v>2601</v>
      </c>
      <c r="P3363" s="18" t="s">
        <v>3781</v>
      </c>
      <c r="Q3363" s="6" t="s">
        <v>4475</v>
      </c>
      <c r="T3363" s="23">
        <v>46029</v>
      </c>
      <c r="U3363" s="23">
        <v>46758</v>
      </c>
      <c r="X3363" s="20">
        <v>1550</v>
      </c>
      <c r="Z3363" s="6" t="s">
        <v>5978</v>
      </c>
      <c r="AA3363" s="14">
        <f t="shared" si="442"/>
        <v>5.9999999999999995E-4</v>
      </c>
      <c r="AB3363">
        <v>0.72531599999999985</v>
      </c>
      <c r="AC3363">
        <v>0.75432863999999988</v>
      </c>
    </row>
    <row r="3364" spans="1:29" x14ac:dyDescent="0.3">
      <c r="A3364">
        <v>149723</v>
      </c>
      <c r="B3364" s="25" t="s">
        <v>5984</v>
      </c>
      <c r="C3364" t="s">
        <v>20</v>
      </c>
      <c r="D3364" t="s">
        <v>21</v>
      </c>
      <c r="E3364">
        <v>2222222</v>
      </c>
      <c r="F3364" s="8" t="s">
        <v>22</v>
      </c>
      <c r="G3364" s="2">
        <v>98</v>
      </c>
      <c r="H3364" t="s">
        <v>4413</v>
      </c>
      <c r="J3364" s="9" t="s">
        <v>5386</v>
      </c>
      <c r="K3364" t="s">
        <v>5160</v>
      </c>
      <c r="L3364" s="2">
        <v>1</v>
      </c>
      <c r="M3364" s="24" t="s">
        <v>5971</v>
      </c>
      <c r="N3364" s="2" t="s">
        <v>23</v>
      </c>
      <c r="O3364" s="18" t="s">
        <v>2602</v>
      </c>
      <c r="P3364" s="18" t="s">
        <v>0</v>
      </c>
      <c r="Q3364" s="6" t="s">
        <v>4475</v>
      </c>
      <c r="T3364" s="23">
        <v>46045</v>
      </c>
      <c r="U3364" s="23">
        <v>47140</v>
      </c>
      <c r="X3364" s="20">
        <v>9200</v>
      </c>
      <c r="Z3364" s="6" t="s">
        <v>5978</v>
      </c>
      <c r="AA3364" s="14">
        <f t="shared" si="442"/>
        <v>5.9999999999999995E-4</v>
      </c>
      <c r="AB3364">
        <v>4.7488320000000002</v>
      </c>
      <c r="AC3364">
        <v>4.9387852800000003</v>
      </c>
    </row>
    <row r="3365" spans="1:29" x14ac:dyDescent="0.3">
      <c r="A3365">
        <v>150474</v>
      </c>
      <c r="B3365" s="25" t="s">
        <v>5984</v>
      </c>
      <c r="C3365" t="s">
        <v>20</v>
      </c>
      <c r="D3365" t="s">
        <v>21</v>
      </c>
      <c r="E3365">
        <v>2222222</v>
      </c>
      <c r="F3365" s="8" t="s">
        <v>22</v>
      </c>
      <c r="G3365" s="2">
        <v>98</v>
      </c>
      <c r="H3365" t="s">
        <v>4413</v>
      </c>
      <c r="J3365" s="9" t="s">
        <v>4854</v>
      </c>
      <c r="K3365" t="s">
        <v>5031</v>
      </c>
      <c r="L3365" s="2">
        <v>1</v>
      </c>
      <c r="M3365" s="24" t="s">
        <v>5971</v>
      </c>
      <c r="N3365" s="2" t="s">
        <v>23</v>
      </c>
      <c r="O3365" s="18" t="s">
        <v>293</v>
      </c>
      <c r="P3365" s="18" t="s">
        <v>3781</v>
      </c>
      <c r="Q3365" s="6" t="s">
        <v>4475</v>
      </c>
      <c r="T3365" s="23">
        <v>46099</v>
      </c>
      <c r="U3365" s="23">
        <v>46830</v>
      </c>
      <c r="X3365" s="20">
        <v>4000</v>
      </c>
      <c r="Z3365" s="6" t="s">
        <v>5978</v>
      </c>
      <c r="AA3365" s="14">
        <f t="shared" si="442"/>
        <v>5.9999999999999995E-4</v>
      </c>
      <c r="AB3365">
        <v>2.054052</v>
      </c>
      <c r="AC3365">
        <v>2.1362140800000002</v>
      </c>
    </row>
    <row r="3366" spans="1:29" x14ac:dyDescent="0.3">
      <c r="A3366">
        <v>151066</v>
      </c>
      <c r="B3366" s="25" t="s">
        <v>5984</v>
      </c>
      <c r="C3366" t="s">
        <v>20</v>
      </c>
      <c r="D3366" t="s">
        <v>21</v>
      </c>
      <c r="E3366">
        <v>2222222</v>
      </c>
      <c r="F3366" s="8" t="s">
        <v>22</v>
      </c>
      <c r="G3366" s="2">
        <v>98</v>
      </c>
      <c r="H3366" t="s">
        <v>4413</v>
      </c>
      <c r="J3366" s="9" t="s">
        <v>4920</v>
      </c>
      <c r="K3366" t="s">
        <v>5174</v>
      </c>
      <c r="L3366" s="2">
        <v>1</v>
      </c>
      <c r="M3366" s="24" t="s">
        <v>5971</v>
      </c>
      <c r="N3366" s="2" t="s">
        <v>23</v>
      </c>
      <c r="O3366" s="18" t="s">
        <v>2596</v>
      </c>
      <c r="P3366" s="18" t="s">
        <v>0</v>
      </c>
      <c r="Q3366" s="6" t="s">
        <v>4475</v>
      </c>
      <c r="T3366" s="23">
        <v>46139</v>
      </c>
      <c r="U3366" s="23">
        <v>47243</v>
      </c>
      <c r="X3366" s="20">
        <v>4000</v>
      </c>
      <c r="Z3366" s="6" t="s">
        <v>5978</v>
      </c>
      <c r="AA3366" s="14">
        <f t="shared" si="442"/>
        <v>5.9999999999999995E-4</v>
      </c>
      <c r="AB3366">
        <v>2.2955699999999997</v>
      </c>
      <c r="AC3366">
        <v>2.3873927999999998</v>
      </c>
    </row>
    <row r="3367" spans="1:29" x14ac:dyDescent="0.3">
      <c r="A3367">
        <v>151329</v>
      </c>
      <c r="B3367" s="25" t="s">
        <v>5984</v>
      </c>
      <c r="C3367" t="s">
        <v>20</v>
      </c>
      <c r="D3367" t="s">
        <v>21</v>
      </c>
      <c r="E3367">
        <v>2222222</v>
      </c>
      <c r="F3367" s="8" t="s">
        <v>22</v>
      </c>
      <c r="G3367" s="2">
        <v>98</v>
      </c>
      <c r="H3367" t="s">
        <v>4413</v>
      </c>
      <c r="J3367" s="9" t="s">
        <v>5007</v>
      </c>
      <c r="K3367" t="s">
        <v>4966</v>
      </c>
      <c r="L3367" s="2">
        <v>1</v>
      </c>
      <c r="M3367" s="24" t="s">
        <v>5971</v>
      </c>
      <c r="N3367" s="2" t="s">
        <v>23</v>
      </c>
      <c r="O3367" s="18" t="s">
        <v>2603</v>
      </c>
      <c r="P3367" s="18" t="s">
        <v>0</v>
      </c>
      <c r="Q3367" s="6" t="s">
        <v>4475</v>
      </c>
      <c r="T3367" s="23">
        <v>46161</v>
      </c>
      <c r="U3367" s="23">
        <v>46251</v>
      </c>
      <c r="X3367" s="20">
        <v>1900</v>
      </c>
      <c r="Z3367" s="6" t="s">
        <v>5978</v>
      </c>
      <c r="AA3367" s="14">
        <f t="shared" si="442"/>
        <v>5.9999999999999995E-4</v>
      </c>
      <c r="AB3367">
        <v>1.1399999999999999</v>
      </c>
      <c r="AC3367">
        <v>1.1856</v>
      </c>
    </row>
    <row r="3368" spans="1:29" x14ac:dyDescent="0.3">
      <c r="A3368">
        <v>151402</v>
      </c>
      <c r="B3368" s="25" t="s">
        <v>5984</v>
      </c>
      <c r="C3368" t="s">
        <v>20</v>
      </c>
      <c r="D3368" t="s">
        <v>21</v>
      </c>
      <c r="E3368">
        <v>2222222</v>
      </c>
      <c r="F3368" s="8" t="s">
        <v>22</v>
      </c>
      <c r="G3368" s="2">
        <v>98</v>
      </c>
      <c r="H3368" t="s">
        <v>4413</v>
      </c>
      <c r="J3368" s="9" t="s">
        <v>4955</v>
      </c>
      <c r="K3368" t="s">
        <v>4932</v>
      </c>
      <c r="L3368" s="2">
        <v>1</v>
      </c>
      <c r="M3368" s="24" t="s">
        <v>5971</v>
      </c>
      <c r="N3368" s="2" t="s">
        <v>23</v>
      </c>
      <c r="O3368" s="18" t="s">
        <v>2604</v>
      </c>
      <c r="P3368" s="18" t="s">
        <v>3781</v>
      </c>
      <c r="Q3368" s="6" t="s">
        <v>4475</v>
      </c>
      <c r="T3368" s="23">
        <v>46161</v>
      </c>
      <c r="U3368" s="23">
        <v>47256</v>
      </c>
      <c r="X3368" s="20">
        <v>4000</v>
      </c>
      <c r="Z3368" s="6" t="s">
        <v>5978</v>
      </c>
      <c r="AA3368" s="14">
        <f t="shared" si="442"/>
        <v>5.9999999999999995E-4</v>
      </c>
      <c r="AB3368">
        <v>2.2955699999999997</v>
      </c>
      <c r="AC3368">
        <v>2.3873927999999998</v>
      </c>
    </row>
    <row r="3369" spans="1:29" x14ac:dyDescent="0.3">
      <c r="A3369">
        <v>151921</v>
      </c>
      <c r="B3369" s="25" t="s">
        <v>5984</v>
      </c>
      <c r="C3369" t="s">
        <v>20</v>
      </c>
      <c r="D3369" t="s">
        <v>21</v>
      </c>
      <c r="E3369">
        <v>2222222</v>
      </c>
      <c r="F3369" s="8" t="s">
        <v>22</v>
      </c>
      <c r="G3369" s="2">
        <v>98</v>
      </c>
      <c r="H3369" t="s">
        <v>4413</v>
      </c>
      <c r="J3369" s="9" t="s">
        <v>4836</v>
      </c>
      <c r="K3369" t="s">
        <v>5412</v>
      </c>
      <c r="L3369" s="2">
        <v>1</v>
      </c>
      <c r="M3369" s="24" t="s">
        <v>5971</v>
      </c>
      <c r="N3369" s="2" t="s">
        <v>23</v>
      </c>
      <c r="O3369" s="18" t="s">
        <v>2605</v>
      </c>
      <c r="P3369" s="18" t="s">
        <v>3781</v>
      </c>
      <c r="Q3369" s="6" t="s">
        <v>4475</v>
      </c>
      <c r="T3369" s="23">
        <v>46200</v>
      </c>
      <c r="U3369" s="23">
        <v>46290</v>
      </c>
      <c r="X3369" s="20">
        <v>4310</v>
      </c>
      <c r="Z3369" s="6" t="s">
        <v>5978</v>
      </c>
      <c r="AA3369" s="14">
        <f t="shared" si="442"/>
        <v>5.9999999999999995E-4</v>
      </c>
      <c r="AB3369">
        <v>2.5859999999999999</v>
      </c>
      <c r="AC3369">
        <v>2.6894399999999998</v>
      </c>
    </row>
    <row r="3370" spans="1:29" x14ac:dyDescent="0.3">
      <c r="A3370">
        <v>151923</v>
      </c>
      <c r="B3370" s="25" t="s">
        <v>5984</v>
      </c>
      <c r="C3370" t="s">
        <v>20</v>
      </c>
      <c r="D3370" t="s">
        <v>21</v>
      </c>
      <c r="E3370">
        <v>2222222</v>
      </c>
      <c r="F3370" s="8" t="s">
        <v>22</v>
      </c>
      <c r="G3370" s="2">
        <v>98</v>
      </c>
      <c r="H3370" t="s">
        <v>4413</v>
      </c>
      <c r="J3370" s="9" t="s">
        <v>4955</v>
      </c>
      <c r="K3370" t="s">
        <v>5759</v>
      </c>
      <c r="L3370" s="2">
        <v>1</v>
      </c>
      <c r="M3370" s="24" t="s">
        <v>5971</v>
      </c>
      <c r="N3370" s="2" t="s">
        <v>23</v>
      </c>
      <c r="O3370" s="18" t="s">
        <v>2606</v>
      </c>
      <c r="P3370" s="18" t="s">
        <v>3781</v>
      </c>
      <c r="Q3370" s="6" t="s">
        <v>4475</v>
      </c>
      <c r="T3370" s="23">
        <v>46197</v>
      </c>
      <c r="U3370" s="23">
        <v>46287</v>
      </c>
      <c r="X3370" s="20">
        <v>5000</v>
      </c>
      <c r="Z3370" s="6" t="s">
        <v>5978</v>
      </c>
      <c r="AA3370" s="14">
        <f t="shared" si="442"/>
        <v>5.9999999999999995E-4</v>
      </c>
      <c r="AB3370">
        <v>2.9999999999999996</v>
      </c>
      <c r="AC3370">
        <v>3.1199999999999997</v>
      </c>
    </row>
    <row r="3371" spans="1:29" x14ac:dyDescent="0.3">
      <c r="A3371">
        <v>107200</v>
      </c>
      <c r="B3371" s="25" t="s">
        <v>5984</v>
      </c>
      <c r="C3371" t="s">
        <v>20</v>
      </c>
      <c r="D3371" t="s">
        <v>21</v>
      </c>
      <c r="E3371">
        <v>2222222</v>
      </c>
      <c r="F3371" s="8" t="s">
        <v>22</v>
      </c>
      <c r="G3371" s="2">
        <v>98</v>
      </c>
      <c r="H3371" t="s">
        <v>4414</v>
      </c>
      <c r="J3371" s="9" t="s">
        <v>4836</v>
      </c>
      <c r="K3371" t="s">
        <v>4829</v>
      </c>
      <c r="L3371" s="2">
        <v>1</v>
      </c>
      <c r="M3371" s="24" t="s">
        <v>5971</v>
      </c>
      <c r="N3371" s="2" t="s">
        <v>23</v>
      </c>
      <c r="O3371" s="18" t="s">
        <v>2607</v>
      </c>
      <c r="P3371" s="18" t="s">
        <v>3781</v>
      </c>
      <c r="Q3371" s="6" t="s">
        <v>4475</v>
      </c>
      <c r="T3371" s="23">
        <v>43728</v>
      </c>
      <c r="U3371" s="23">
        <v>46376</v>
      </c>
      <c r="X3371" s="20">
        <v>15000</v>
      </c>
      <c r="Z3371" s="6" t="s">
        <v>5978</v>
      </c>
      <c r="AA3371" s="15">
        <f t="shared" ref="AA3371:AA3380" si="443">+(0.42/1000)</f>
        <v>4.1999999999999996E-4</v>
      </c>
      <c r="AB3371">
        <v>5.0989848000000002</v>
      </c>
      <c r="AC3371">
        <v>5.302944192</v>
      </c>
    </row>
    <row r="3372" spans="1:29" x14ac:dyDescent="0.3">
      <c r="A3372">
        <v>107518</v>
      </c>
      <c r="B3372" s="25" t="s">
        <v>5984</v>
      </c>
      <c r="C3372" t="s">
        <v>20</v>
      </c>
      <c r="D3372" t="s">
        <v>21</v>
      </c>
      <c r="E3372">
        <v>2222222</v>
      </c>
      <c r="F3372" s="8" t="s">
        <v>22</v>
      </c>
      <c r="G3372" s="2">
        <v>98</v>
      </c>
      <c r="H3372" t="s">
        <v>4414</v>
      </c>
      <c r="J3372" s="9" t="s">
        <v>5165</v>
      </c>
      <c r="K3372" t="s">
        <v>4880</v>
      </c>
      <c r="L3372" s="2">
        <v>1</v>
      </c>
      <c r="M3372" s="24" t="s">
        <v>5971</v>
      </c>
      <c r="N3372" s="2" t="s">
        <v>23</v>
      </c>
      <c r="O3372" s="18" t="s">
        <v>2608</v>
      </c>
      <c r="P3372" s="18" t="s">
        <v>3781</v>
      </c>
      <c r="Q3372" s="6" t="s">
        <v>4475</v>
      </c>
      <c r="T3372" s="23">
        <v>43738</v>
      </c>
      <c r="U3372" s="23">
        <v>46420</v>
      </c>
      <c r="X3372" s="20">
        <v>17350</v>
      </c>
      <c r="Z3372" s="6" t="s">
        <v>5978</v>
      </c>
      <c r="AA3372" s="15">
        <f t="shared" si="443"/>
        <v>4.1999999999999996E-4</v>
      </c>
      <c r="AB3372">
        <v>0.96741539999999981</v>
      </c>
      <c r="AC3372">
        <v>1.0061120159999999</v>
      </c>
    </row>
    <row r="3373" spans="1:29" x14ac:dyDescent="0.3">
      <c r="A3373">
        <v>116504</v>
      </c>
      <c r="B3373" s="25" t="s">
        <v>5984</v>
      </c>
      <c r="C3373" t="s">
        <v>20</v>
      </c>
      <c r="D3373" t="s">
        <v>21</v>
      </c>
      <c r="E3373">
        <v>2222222</v>
      </c>
      <c r="F3373" s="8" t="s">
        <v>22</v>
      </c>
      <c r="G3373" s="2">
        <v>98</v>
      </c>
      <c r="H3373" t="s">
        <v>4414</v>
      </c>
      <c r="J3373" s="9" t="s">
        <v>5422</v>
      </c>
      <c r="K3373" t="s">
        <v>5030</v>
      </c>
      <c r="L3373" s="2">
        <v>1</v>
      </c>
      <c r="M3373" s="24" t="s">
        <v>5971</v>
      </c>
      <c r="N3373" s="2" t="s">
        <v>23</v>
      </c>
      <c r="O3373" s="18" t="s">
        <v>2609</v>
      </c>
      <c r="P3373" s="18" t="s">
        <v>3781</v>
      </c>
      <c r="Q3373" s="6" t="s">
        <v>4475</v>
      </c>
      <c r="T3373" s="23">
        <v>44160</v>
      </c>
      <c r="U3373" s="23">
        <v>45262</v>
      </c>
      <c r="X3373" s="20">
        <v>12000</v>
      </c>
      <c r="Z3373" s="6" t="s">
        <v>5978</v>
      </c>
      <c r="AA3373" s="15">
        <f t="shared" si="443"/>
        <v>4.1999999999999996E-4</v>
      </c>
      <c r="AB3373">
        <v>3.6195179999999993</v>
      </c>
      <c r="AC3373">
        <v>3.7642987199999993</v>
      </c>
    </row>
    <row r="3374" spans="1:29" x14ac:dyDescent="0.3">
      <c r="A3374">
        <v>124047</v>
      </c>
      <c r="B3374" s="25" t="s">
        <v>5984</v>
      </c>
      <c r="C3374" t="s">
        <v>20</v>
      </c>
      <c r="D3374" t="s">
        <v>21</v>
      </c>
      <c r="E3374">
        <v>2222222</v>
      </c>
      <c r="F3374" s="8" t="s">
        <v>22</v>
      </c>
      <c r="G3374" s="2">
        <v>98</v>
      </c>
      <c r="H3374" t="s">
        <v>4414</v>
      </c>
      <c r="J3374" s="9" t="s">
        <v>5272</v>
      </c>
      <c r="K3374" t="s">
        <v>4825</v>
      </c>
      <c r="L3374" s="2">
        <v>1</v>
      </c>
      <c r="M3374" s="24" t="s">
        <v>5971</v>
      </c>
      <c r="N3374" s="2" t="s">
        <v>23</v>
      </c>
      <c r="O3374" s="18" t="s">
        <v>2610</v>
      </c>
      <c r="P3374" s="18" t="s">
        <v>0</v>
      </c>
      <c r="Q3374" s="6" t="s">
        <v>4475</v>
      </c>
      <c r="T3374" s="23">
        <v>44500</v>
      </c>
      <c r="U3374" s="23">
        <v>44595</v>
      </c>
      <c r="X3374" s="20">
        <v>4000</v>
      </c>
      <c r="Z3374" s="6" t="s">
        <v>5978</v>
      </c>
      <c r="AA3374" s="15">
        <f t="shared" si="443"/>
        <v>4.1999999999999996E-4</v>
      </c>
      <c r="AB3374">
        <v>1.68</v>
      </c>
      <c r="AC3374">
        <v>1.7472000000000001</v>
      </c>
    </row>
    <row r="3375" spans="1:29" x14ac:dyDescent="0.3">
      <c r="A3375">
        <v>124563</v>
      </c>
      <c r="B3375" s="25" t="s">
        <v>5984</v>
      </c>
      <c r="C3375" t="s">
        <v>20</v>
      </c>
      <c r="D3375" t="s">
        <v>21</v>
      </c>
      <c r="E3375">
        <v>2222222</v>
      </c>
      <c r="F3375" s="8" t="s">
        <v>22</v>
      </c>
      <c r="G3375" s="2">
        <v>98</v>
      </c>
      <c r="H3375" t="s">
        <v>4414</v>
      </c>
      <c r="J3375" s="9" t="s">
        <v>4836</v>
      </c>
      <c r="K3375" t="s">
        <v>4829</v>
      </c>
      <c r="L3375" s="2">
        <v>1</v>
      </c>
      <c r="M3375" s="24" t="s">
        <v>5971</v>
      </c>
      <c r="N3375" s="2" t="s">
        <v>23</v>
      </c>
      <c r="O3375" s="18" t="s">
        <v>2607</v>
      </c>
      <c r="P3375" s="18" t="s">
        <v>3781</v>
      </c>
      <c r="Q3375" s="6" t="s">
        <v>4475</v>
      </c>
      <c r="T3375" s="23">
        <v>44525</v>
      </c>
      <c r="U3375" s="23">
        <v>46000</v>
      </c>
      <c r="X3375" s="20">
        <v>5000</v>
      </c>
      <c r="Z3375" s="6" t="s">
        <v>5978</v>
      </c>
      <c r="AA3375" s="15">
        <f t="shared" si="443"/>
        <v>4.1999999999999996E-4</v>
      </c>
      <c r="AB3375">
        <v>2.0701673999999999</v>
      </c>
      <c r="AC3375">
        <v>2.1529740959999999</v>
      </c>
    </row>
    <row r="3376" spans="1:29" x14ac:dyDescent="0.3">
      <c r="A3376">
        <v>124837</v>
      </c>
      <c r="B3376" s="25" t="s">
        <v>5984</v>
      </c>
      <c r="C3376" t="s">
        <v>20</v>
      </c>
      <c r="D3376" t="s">
        <v>21</v>
      </c>
      <c r="E3376">
        <v>2222222</v>
      </c>
      <c r="F3376" s="8" t="s">
        <v>22</v>
      </c>
      <c r="G3376" s="2">
        <v>98</v>
      </c>
      <c r="H3376" t="s">
        <v>4414</v>
      </c>
      <c r="J3376" s="9" t="s">
        <v>4836</v>
      </c>
      <c r="K3376" t="s">
        <v>4829</v>
      </c>
      <c r="L3376" s="2">
        <v>1</v>
      </c>
      <c r="M3376" s="24" t="s">
        <v>5971</v>
      </c>
      <c r="N3376" s="2" t="s">
        <v>23</v>
      </c>
      <c r="O3376" s="18" t="s">
        <v>2607</v>
      </c>
      <c r="P3376" s="18" t="s">
        <v>3781</v>
      </c>
      <c r="Q3376" s="6" t="s">
        <v>4475</v>
      </c>
      <c r="T3376" s="23">
        <v>44536</v>
      </c>
      <c r="U3376" s="23">
        <v>44626</v>
      </c>
      <c r="X3376" s="20">
        <v>4000</v>
      </c>
      <c r="Z3376" s="6" t="s">
        <v>5978</v>
      </c>
      <c r="AA3376" s="15">
        <f t="shared" si="443"/>
        <v>4.1999999999999996E-4</v>
      </c>
      <c r="AB3376">
        <v>1.68</v>
      </c>
      <c r="AC3376">
        <v>1.7472000000000001</v>
      </c>
    </row>
    <row r="3377" spans="1:29" x14ac:dyDescent="0.3">
      <c r="A3377">
        <v>124849</v>
      </c>
      <c r="B3377" s="25" t="s">
        <v>5984</v>
      </c>
      <c r="C3377" t="s">
        <v>20</v>
      </c>
      <c r="D3377" t="s">
        <v>21</v>
      </c>
      <c r="E3377">
        <v>2222222</v>
      </c>
      <c r="F3377" s="8" t="s">
        <v>22</v>
      </c>
      <c r="G3377" s="2">
        <v>98</v>
      </c>
      <c r="H3377" t="s">
        <v>4414</v>
      </c>
      <c r="J3377" s="9" t="s">
        <v>4836</v>
      </c>
      <c r="K3377" t="s">
        <v>4829</v>
      </c>
      <c r="L3377" s="2">
        <v>1</v>
      </c>
      <c r="M3377" s="24" t="s">
        <v>5971</v>
      </c>
      <c r="N3377" s="2" t="s">
        <v>23</v>
      </c>
      <c r="O3377" s="18" t="s">
        <v>2607</v>
      </c>
      <c r="P3377" s="18" t="s">
        <v>3781</v>
      </c>
      <c r="Q3377" s="6" t="s">
        <v>4475</v>
      </c>
      <c r="T3377" s="23">
        <v>44536</v>
      </c>
      <c r="U3377" s="23">
        <v>44626</v>
      </c>
      <c r="X3377" s="20">
        <v>5000</v>
      </c>
      <c r="Z3377" s="6" t="s">
        <v>5978</v>
      </c>
      <c r="AA3377" s="15">
        <f t="shared" si="443"/>
        <v>4.1999999999999996E-4</v>
      </c>
      <c r="AB3377">
        <v>2.0999999999999996</v>
      </c>
      <c r="AC3377">
        <v>2.1839999999999997</v>
      </c>
    </row>
    <row r="3378" spans="1:29" x14ac:dyDescent="0.3">
      <c r="A3378">
        <v>124855</v>
      </c>
      <c r="B3378" s="25" t="s">
        <v>5984</v>
      </c>
      <c r="C3378" t="s">
        <v>20</v>
      </c>
      <c r="D3378" t="s">
        <v>21</v>
      </c>
      <c r="E3378">
        <v>2222222</v>
      </c>
      <c r="F3378" s="8" t="s">
        <v>22</v>
      </c>
      <c r="G3378" s="2">
        <v>98</v>
      </c>
      <c r="H3378" t="s">
        <v>4414</v>
      </c>
      <c r="J3378" s="9" t="s">
        <v>5270</v>
      </c>
      <c r="K3378" t="s">
        <v>5190</v>
      </c>
      <c r="L3378" s="2">
        <v>1</v>
      </c>
      <c r="M3378" s="24" t="s">
        <v>5971</v>
      </c>
      <c r="N3378" s="2" t="s">
        <v>23</v>
      </c>
      <c r="O3378" s="18" t="s">
        <v>2611</v>
      </c>
      <c r="P3378" s="18" t="s">
        <v>0</v>
      </c>
      <c r="Q3378" s="6" t="s">
        <v>4475</v>
      </c>
      <c r="T3378" s="23">
        <v>44536</v>
      </c>
      <c r="U3378" s="23">
        <v>44626</v>
      </c>
      <c r="X3378" s="20">
        <v>4000</v>
      </c>
      <c r="Z3378" s="6" t="s">
        <v>5978</v>
      </c>
      <c r="AA3378" s="15">
        <f t="shared" si="443"/>
        <v>4.1999999999999996E-4</v>
      </c>
      <c r="AB3378">
        <v>1.68</v>
      </c>
      <c r="AC3378">
        <v>1.7472000000000001</v>
      </c>
    </row>
    <row r="3379" spans="1:29" x14ac:dyDescent="0.3">
      <c r="A3379">
        <v>125745</v>
      </c>
      <c r="B3379" s="25" t="s">
        <v>5984</v>
      </c>
      <c r="C3379" t="s">
        <v>20</v>
      </c>
      <c r="D3379" t="s">
        <v>21</v>
      </c>
      <c r="E3379">
        <v>2222222</v>
      </c>
      <c r="F3379" s="8" t="s">
        <v>22</v>
      </c>
      <c r="G3379" s="2">
        <v>98</v>
      </c>
      <c r="H3379" t="s">
        <v>4414</v>
      </c>
      <c r="J3379" s="9" t="s">
        <v>4906</v>
      </c>
      <c r="K3379" t="s">
        <v>4815</v>
      </c>
      <c r="L3379" s="2">
        <v>1</v>
      </c>
      <c r="M3379" s="24" t="s">
        <v>5971</v>
      </c>
      <c r="N3379" s="2" t="s">
        <v>23</v>
      </c>
      <c r="O3379" s="18" t="s">
        <v>2612</v>
      </c>
      <c r="P3379" s="18" t="s">
        <v>0</v>
      </c>
      <c r="Q3379" s="6" t="s">
        <v>4475</v>
      </c>
      <c r="T3379" s="23">
        <v>44582</v>
      </c>
      <c r="U3379" s="23">
        <v>46425</v>
      </c>
      <c r="X3379" s="20">
        <v>7120</v>
      </c>
      <c r="Z3379" s="6" t="s">
        <v>5978</v>
      </c>
      <c r="AA3379" s="15">
        <f t="shared" si="443"/>
        <v>4.1999999999999996E-4</v>
      </c>
      <c r="AB3379">
        <v>2.8575371999999999</v>
      </c>
      <c r="AC3379">
        <v>2.9718386880000001</v>
      </c>
    </row>
    <row r="3380" spans="1:29" x14ac:dyDescent="0.3">
      <c r="A3380">
        <v>126987</v>
      </c>
      <c r="B3380" s="25" t="s">
        <v>5984</v>
      </c>
      <c r="C3380" t="s">
        <v>20</v>
      </c>
      <c r="D3380" t="s">
        <v>21</v>
      </c>
      <c r="E3380">
        <v>2222222</v>
      </c>
      <c r="F3380" s="8" t="s">
        <v>22</v>
      </c>
      <c r="G3380" s="2">
        <v>98</v>
      </c>
      <c r="H3380" t="s">
        <v>4414</v>
      </c>
      <c r="J3380" s="9" t="s">
        <v>4997</v>
      </c>
      <c r="K3380" t="s">
        <v>5072</v>
      </c>
      <c r="L3380" s="2">
        <v>1</v>
      </c>
      <c r="M3380" s="24" t="s">
        <v>5971</v>
      </c>
      <c r="N3380" s="2" t="s">
        <v>23</v>
      </c>
      <c r="O3380" s="18" t="s">
        <v>1901</v>
      </c>
      <c r="P3380" s="18" t="s">
        <v>3781</v>
      </c>
      <c r="Q3380" s="6" t="s">
        <v>4475</v>
      </c>
      <c r="T3380" s="23">
        <v>44645</v>
      </c>
      <c r="U3380" s="23">
        <v>45756</v>
      </c>
      <c r="X3380" s="20">
        <v>2571.34</v>
      </c>
      <c r="Z3380" s="6" t="s">
        <v>5978</v>
      </c>
      <c r="AA3380" s="15">
        <f t="shared" si="443"/>
        <v>4.1999999999999996E-4</v>
      </c>
      <c r="AB3380">
        <v>0.58352699999999991</v>
      </c>
      <c r="AC3380">
        <v>0.60686807999999992</v>
      </c>
    </row>
    <row r="3381" spans="1:29" x14ac:dyDescent="0.3">
      <c r="A3381">
        <v>129673</v>
      </c>
      <c r="B3381" s="25" t="s">
        <v>5984</v>
      </c>
      <c r="C3381" t="s">
        <v>20</v>
      </c>
      <c r="D3381" t="s">
        <v>21</v>
      </c>
      <c r="E3381">
        <v>2222222</v>
      </c>
      <c r="F3381" s="8" t="s">
        <v>22</v>
      </c>
      <c r="G3381" s="2">
        <v>98</v>
      </c>
      <c r="H3381" t="s">
        <v>4414</v>
      </c>
      <c r="J3381" s="9" t="s">
        <v>5270</v>
      </c>
      <c r="K3381" t="s">
        <v>5190</v>
      </c>
      <c r="L3381" s="2">
        <v>1</v>
      </c>
      <c r="M3381" s="24" t="s">
        <v>5971</v>
      </c>
      <c r="N3381" s="2" t="s">
        <v>23</v>
      </c>
      <c r="O3381" s="18" t="s">
        <v>2611</v>
      </c>
      <c r="P3381" s="18" t="s">
        <v>0</v>
      </c>
      <c r="Q3381" s="6" t="s">
        <v>4475</v>
      </c>
      <c r="T3381" s="23">
        <v>44792</v>
      </c>
      <c r="U3381" s="23">
        <v>44882</v>
      </c>
      <c r="X3381" s="20">
        <v>2000</v>
      </c>
      <c r="Z3381" s="6" t="s">
        <v>5978</v>
      </c>
      <c r="AA3381" s="13">
        <f t="shared" ref="AA3381:AA3383" si="444">+(0.56/1000)</f>
        <v>5.6000000000000006E-4</v>
      </c>
      <c r="AB3381">
        <v>1.1200000000000001</v>
      </c>
      <c r="AC3381">
        <v>1.1648000000000001</v>
      </c>
    </row>
    <row r="3382" spans="1:29" x14ac:dyDescent="0.3">
      <c r="A3382">
        <v>131070</v>
      </c>
      <c r="B3382" s="25" t="s">
        <v>5984</v>
      </c>
      <c r="C3382" t="s">
        <v>20</v>
      </c>
      <c r="D3382" t="s">
        <v>21</v>
      </c>
      <c r="E3382">
        <v>2222222</v>
      </c>
      <c r="F3382" s="8" t="s">
        <v>22</v>
      </c>
      <c r="G3382" s="2">
        <v>98</v>
      </c>
      <c r="H3382" t="s">
        <v>4414</v>
      </c>
      <c r="J3382" s="9" t="s">
        <v>5197</v>
      </c>
      <c r="K3382" t="s">
        <v>5007</v>
      </c>
      <c r="L3382" s="2">
        <v>1</v>
      </c>
      <c r="M3382" s="24" t="s">
        <v>5971</v>
      </c>
      <c r="N3382" s="2" t="s">
        <v>23</v>
      </c>
      <c r="O3382" s="18" t="s">
        <v>1739</v>
      </c>
      <c r="P3382" s="18" t="s">
        <v>0</v>
      </c>
      <c r="Q3382" s="6" t="s">
        <v>4475</v>
      </c>
      <c r="T3382" s="23">
        <v>44872</v>
      </c>
      <c r="U3382" s="23">
        <v>45633</v>
      </c>
      <c r="X3382" s="20">
        <v>2058.7800000000002</v>
      </c>
      <c r="Z3382" s="6" t="s">
        <v>5978</v>
      </c>
      <c r="AA3382" s="13">
        <f t="shared" si="444"/>
        <v>5.6000000000000006E-4</v>
      </c>
      <c r="AB3382">
        <v>0.94532480000000008</v>
      </c>
      <c r="AC3382">
        <v>0.98313779200000007</v>
      </c>
    </row>
    <row r="3383" spans="1:29" x14ac:dyDescent="0.3">
      <c r="A3383">
        <v>133381</v>
      </c>
      <c r="B3383" s="25" t="s">
        <v>5984</v>
      </c>
      <c r="C3383" t="s">
        <v>20</v>
      </c>
      <c r="D3383" t="s">
        <v>21</v>
      </c>
      <c r="E3383">
        <v>2222222</v>
      </c>
      <c r="F3383" s="8" t="s">
        <v>22</v>
      </c>
      <c r="G3383" s="2">
        <v>98</v>
      </c>
      <c r="H3383" t="s">
        <v>4414</v>
      </c>
      <c r="J3383" s="9" t="s">
        <v>4852</v>
      </c>
      <c r="K3383" t="s">
        <v>4827</v>
      </c>
      <c r="L3383" s="2">
        <v>1</v>
      </c>
      <c r="M3383" s="24" t="s">
        <v>5971</v>
      </c>
      <c r="N3383" s="2" t="s">
        <v>23</v>
      </c>
      <c r="O3383" s="18" t="s">
        <v>2613</v>
      </c>
      <c r="P3383" s="18" t="s">
        <v>0</v>
      </c>
      <c r="Q3383" s="6" t="s">
        <v>4475</v>
      </c>
      <c r="T3383" s="23">
        <v>44993</v>
      </c>
      <c r="U3383" s="23">
        <v>45083</v>
      </c>
      <c r="X3383" s="20">
        <v>3000</v>
      </c>
      <c r="Z3383" s="6" t="s">
        <v>5978</v>
      </c>
      <c r="AA3383" s="13">
        <f t="shared" si="444"/>
        <v>5.6000000000000006E-4</v>
      </c>
      <c r="AB3383">
        <v>1.6800000000000002</v>
      </c>
      <c r="AC3383">
        <v>1.7472000000000003</v>
      </c>
    </row>
    <row r="3384" spans="1:29" x14ac:dyDescent="0.3">
      <c r="A3384">
        <v>142363</v>
      </c>
      <c r="B3384" s="25" t="s">
        <v>5984</v>
      </c>
      <c r="C3384" t="s">
        <v>20</v>
      </c>
      <c r="D3384" t="s">
        <v>21</v>
      </c>
      <c r="E3384">
        <v>2222222</v>
      </c>
      <c r="F3384" s="8" t="s">
        <v>22</v>
      </c>
      <c r="G3384" s="2">
        <v>98</v>
      </c>
      <c r="H3384" t="s">
        <v>4414</v>
      </c>
      <c r="J3384" s="9" t="s">
        <v>4836</v>
      </c>
      <c r="K3384" t="s">
        <v>4873</v>
      </c>
      <c r="L3384" s="2">
        <v>1</v>
      </c>
      <c r="M3384" s="24" t="s">
        <v>5971</v>
      </c>
      <c r="N3384" s="2" t="s">
        <v>23</v>
      </c>
      <c r="O3384" s="18" t="s">
        <v>2614</v>
      </c>
      <c r="P3384" s="18" t="s">
        <v>3781</v>
      </c>
      <c r="Q3384" s="6" t="s">
        <v>4475</v>
      </c>
      <c r="T3384" s="23">
        <v>45515</v>
      </c>
      <c r="U3384" s="23">
        <v>46244</v>
      </c>
      <c r="X3384" s="20">
        <v>3100</v>
      </c>
      <c r="Z3384" s="6" t="s">
        <v>5978</v>
      </c>
      <c r="AA3384" s="14">
        <f t="shared" ref="AA3384:AA3388" si="445">+(0.6/1000)</f>
        <v>5.9999999999999995E-4</v>
      </c>
      <c r="AB3384">
        <v>9.1367999999999991E-2</v>
      </c>
      <c r="AC3384">
        <v>9.5022719999999991E-2</v>
      </c>
    </row>
    <row r="3385" spans="1:29" x14ac:dyDescent="0.3">
      <c r="A3385">
        <v>142807</v>
      </c>
      <c r="B3385" s="25" t="s">
        <v>5984</v>
      </c>
      <c r="C3385" t="s">
        <v>20</v>
      </c>
      <c r="D3385" t="s">
        <v>21</v>
      </c>
      <c r="E3385">
        <v>2222222</v>
      </c>
      <c r="F3385" s="8" t="s">
        <v>22</v>
      </c>
      <c r="G3385" s="2">
        <v>98</v>
      </c>
      <c r="H3385" t="s">
        <v>4414</v>
      </c>
      <c r="J3385" s="9" t="s">
        <v>5055</v>
      </c>
      <c r="K3385" t="s">
        <v>4924</v>
      </c>
      <c r="L3385" s="2">
        <v>1</v>
      </c>
      <c r="M3385" s="24" t="s">
        <v>5971</v>
      </c>
      <c r="N3385" s="2" t="s">
        <v>23</v>
      </c>
      <c r="O3385" s="18" t="s">
        <v>2615</v>
      </c>
      <c r="P3385" s="18" t="s">
        <v>3781</v>
      </c>
      <c r="Q3385" s="6" t="s">
        <v>4475</v>
      </c>
      <c r="T3385" s="23">
        <v>45552</v>
      </c>
      <c r="U3385" s="23">
        <v>51121</v>
      </c>
      <c r="X3385" s="20">
        <v>52400</v>
      </c>
      <c r="Z3385" s="6" t="s">
        <v>5978</v>
      </c>
      <c r="AA3385" s="14">
        <f t="shared" si="445"/>
        <v>5.9999999999999995E-4</v>
      </c>
      <c r="AB3385">
        <v>30.310901999999995</v>
      </c>
      <c r="AC3385">
        <v>31.523338079999995</v>
      </c>
    </row>
    <row r="3386" spans="1:29" x14ac:dyDescent="0.3">
      <c r="A3386">
        <v>143124</v>
      </c>
      <c r="B3386" s="25" t="s">
        <v>5984</v>
      </c>
      <c r="C3386" t="s">
        <v>20</v>
      </c>
      <c r="D3386" t="s">
        <v>21</v>
      </c>
      <c r="E3386">
        <v>2222222</v>
      </c>
      <c r="F3386" s="8" t="s">
        <v>22</v>
      </c>
      <c r="G3386" s="2">
        <v>98</v>
      </c>
      <c r="H3386" t="s">
        <v>4414</v>
      </c>
      <c r="J3386" s="9" t="s">
        <v>4998</v>
      </c>
      <c r="K3386" t="s">
        <v>5030</v>
      </c>
      <c r="L3386" s="2">
        <v>1</v>
      </c>
      <c r="M3386" s="24" t="s">
        <v>5971</v>
      </c>
      <c r="N3386" s="2" t="s">
        <v>23</v>
      </c>
      <c r="O3386" s="18" t="s">
        <v>2616</v>
      </c>
      <c r="P3386" s="18" t="s">
        <v>3781</v>
      </c>
      <c r="Q3386" s="6" t="s">
        <v>4475</v>
      </c>
      <c r="T3386" s="23">
        <v>45567</v>
      </c>
      <c r="U3386" s="23">
        <v>47121</v>
      </c>
      <c r="X3386" s="20">
        <v>5000</v>
      </c>
      <c r="Z3386" s="6" t="s">
        <v>5978</v>
      </c>
      <c r="AA3386" s="14">
        <f t="shared" si="445"/>
        <v>5.9999999999999995E-4</v>
      </c>
      <c r="AB3386">
        <v>2.1296999999999997</v>
      </c>
      <c r="AC3386">
        <v>2.2148879999999997</v>
      </c>
    </row>
    <row r="3387" spans="1:29" x14ac:dyDescent="0.3">
      <c r="A3387">
        <v>145487</v>
      </c>
      <c r="B3387" s="25" t="s">
        <v>5984</v>
      </c>
      <c r="C3387" t="s">
        <v>20</v>
      </c>
      <c r="D3387" t="s">
        <v>21</v>
      </c>
      <c r="E3387">
        <v>2222222</v>
      </c>
      <c r="F3387" s="8" t="s">
        <v>22</v>
      </c>
      <c r="G3387" s="2">
        <v>98</v>
      </c>
      <c r="H3387" t="s">
        <v>4414</v>
      </c>
      <c r="J3387" s="9" t="s">
        <v>5165</v>
      </c>
      <c r="K3387" t="s">
        <v>4928</v>
      </c>
      <c r="L3387" s="2">
        <v>1</v>
      </c>
      <c r="M3387" s="24" t="s">
        <v>5971</v>
      </c>
      <c r="N3387" s="2" t="s">
        <v>23</v>
      </c>
      <c r="O3387" s="18" t="s">
        <v>2617</v>
      </c>
      <c r="P3387" s="18" t="s">
        <v>3781</v>
      </c>
      <c r="Q3387" s="6" t="s">
        <v>4475</v>
      </c>
      <c r="T3387" s="23">
        <v>45742</v>
      </c>
      <c r="U3387" s="23">
        <v>46471</v>
      </c>
      <c r="X3387" s="20">
        <v>2500</v>
      </c>
      <c r="Z3387" s="6" t="s">
        <v>5978</v>
      </c>
      <c r="AA3387" s="14">
        <f t="shared" si="445"/>
        <v>5.9999999999999995E-4</v>
      </c>
      <c r="AB3387">
        <v>0.55775999999999992</v>
      </c>
      <c r="AC3387">
        <v>0.58007039999999999</v>
      </c>
    </row>
    <row r="3388" spans="1:29" x14ac:dyDescent="0.3">
      <c r="A3388">
        <v>145564</v>
      </c>
      <c r="B3388" s="25" t="s">
        <v>5984</v>
      </c>
      <c r="C3388" t="s">
        <v>20</v>
      </c>
      <c r="D3388" t="s">
        <v>21</v>
      </c>
      <c r="E3388">
        <v>2222222</v>
      </c>
      <c r="F3388" s="8" t="s">
        <v>22</v>
      </c>
      <c r="G3388" s="2">
        <v>98</v>
      </c>
      <c r="H3388" t="s">
        <v>4414</v>
      </c>
      <c r="J3388" s="9" t="s">
        <v>5096</v>
      </c>
      <c r="K3388" t="s">
        <v>5165</v>
      </c>
      <c r="L3388" s="2">
        <v>1</v>
      </c>
      <c r="M3388" s="24" t="s">
        <v>5971</v>
      </c>
      <c r="N3388" s="2" t="s">
        <v>23</v>
      </c>
      <c r="O3388" s="18" t="s">
        <v>2618</v>
      </c>
      <c r="P3388" s="18" t="s">
        <v>3781</v>
      </c>
      <c r="Q3388" s="6" t="s">
        <v>4475</v>
      </c>
      <c r="T3388" s="23">
        <v>45747</v>
      </c>
      <c r="U3388" s="23">
        <v>47572</v>
      </c>
      <c r="X3388" s="20">
        <v>4850</v>
      </c>
      <c r="Z3388" s="6" t="s">
        <v>5978</v>
      </c>
      <c r="AA3388" s="14">
        <f t="shared" si="445"/>
        <v>5.9999999999999995E-4</v>
      </c>
      <c r="AB3388">
        <v>2.3620199999999998</v>
      </c>
      <c r="AC3388">
        <v>2.4565007999999997</v>
      </c>
    </row>
    <row r="3389" spans="1:29" x14ac:dyDescent="0.3">
      <c r="A3389">
        <v>148547</v>
      </c>
      <c r="B3389" s="25" t="s">
        <v>5984</v>
      </c>
      <c r="C3389" t="s">
        <v>20</v>
      </c>
      <c r="D3389" t="s">
        <v>21</v>
      </c>
      <c r="E3389">
        <v>2222222</v>
      </c>
      <c r="F3389" s="8" t="s">
        <v>22</v>
      </c>
      <c r="G3389" s="2">
        <v>98</v>
      </c>
      <c r="H3389" t="s">
        <v>4414</v>
      </c>
      <c r="J3389" s="9" t="s">
        <v>4891</v>
      </c>
      <c r="K3389" t="s">
        <v>5524</v>
      </c>
      <c r="L3389" s="2">
        <v>1</v>
      </c>
      <c r="M3389" s="24" t="s">
        <v>5971</v>
      </c>
      <c r="N3389" s="2" t="s">
        <v>23</v>
      </c>
      <c r="O3389" s="18" t="s">
        <v>2619</v>
      </c>
      <c r="P3389" s="18" t="s">
        <v>3781</v>
      </c>
      <c r="Q3389" s="6" t="s">
        <v>4475</v>
      </c>
      <c r="T3389" s="23">
        <v>45316</v>
      </c>
      <c r="U3389" s="23">
        <v>47138</v>
      </c>
      <c r="X3389" s="20">
        <v>21450</v>
      </c>
      <c r="Z3389" s="6" t="s">
        <v>5978</v>
      </c>
      <c r="AA3389" s="13">
        <f>+(0.56/1000)</f>
        <v>5.6000000000000006E-4</v>
      </c>
      <c r="AB3389">
        <v>5.6601608000000008</v>
      </c>
      <c r="AC3389">
        <v>5.8865672320000009</v>
      </c>
    </row>
    <row r="3390" spans="1:29" x14ac:dyDescent="0.3">
      <c r="A3390">
        <v>149938</v>
      </c>
      <c r="B3390" s="25" t="s">
        <v>5984</v>
      </c>
      <c r="C3390" t="s">
        <v>20</v>
      </c>
      <c r="D3390" t="s">
        <v>21</v>
      </c>
      <c r="E3390">
        <v>2222222</v>
      </c>
      <c r="F3390" s="8" t="s">
        <v>22</v>
      </c>
      <c r="G3390" s="2">
        <v>98</v>
      </c>
      <c r="H3390" t="s">
        <v>4414</v>
      </c>
      <c r="J3390" s="9" t="s">
        <v>4826</v>
      </c>
      <c r="K3390" t="s">
        <v>5211</v>
      </c>
      <c r="L3390" s="2">
        <v>1</v>
      </c>
      <c r="M3390" s="24" t="s">
        <v>5971</v>
      </c>
      <c r="N3390" s="2" t="s">
        <v>23</v>
      </c>
      <c r="O3390" s="18" t="s">
        <v>2620</v>
      </c>
      <c r="P3390" s="18" t="s">
        <v>0</v>
      </c>
      <c r="Q3390" s="6" t="s">
        <v>4475</v>
      </c>
      <c r="T3390" s="23">
        <v>46059</v>
      </c>
      <c r="U3390" s="23">
        <v>46607</v>
      </c>
      <c r="X3390" s="20">
        <v>5000</v>
      </c>
      <c r="Z3390" s="6" t="s">
        <v>5978</v>
      </c>
      <c r="AA3390" s="14">
        <f t="shared" ref="AA3390:AA3401" si="446">+(0.6/1000)</f>
        <v>5.9999999999999995E-4</v>
      </c>
      <c r="AB3390">
        <v>2.2379159999999998</v>
      </c>
      <c r="AC3390">
        <v>2.3274326400000001</v>
      </c>
    </row>
    <row r="3391" spans="1:29" x14ac:dyDescent="0.3">
      <c r="A3391">
        <v>150379</v>
      </c>
      <c r="B3391" s="25" t="s">
        <v>5984</v>
      </c>
      <c r="C3391" t="s">
        <v>20</v>
      </c>
      <c r="D3391" t="s">
        <v>21</v>
      </c>
      <c r="E3391">
        <v>2222222</v>
      </c>
      <c r="F3391" s="8" t="s">
        <v>22</v>
      </c>
      <c r="G3391" s="2">
        <v>98</v>
      </c>
      <c r="H3391" t="s">
        <v>4414</v>
      </c>
      <c r="J3391" s="9" t="s">
        <v>5041</v>
      </c>
      <c r="K3391" t="s">
        <v>4875</v>
      </c>
      <c r="L3391" s="2">
        <v>1</v>
      </c>
      <c r="M3391" s="24" t="s">
        <v>5971</v>
      </c>
      <c r="N3391" s="2" t="s">
        <v>23</v>
      </c>
      <c r="O3391" s="18" t="s">
        <v>2621</v>
      </c>
      <c r="P3391" s="18" t="s">
        <v>0</v>
      </c>
      <c r="Q3391" s="6" t="s">
        <v>4475</v>
      </c>
      <c r="T3391" s="23">
        <v>46156</v>
      </c>
      <c r="U3391" s="23">
        <v>48712</v>
      </c>
      <c r="X3391" s="20">
        <v>38000</v>
      </c>
      <c r="Z3391" s="6" t="s">
        <v>5978</v>
      </c>
      <c r="AA3391" s="14">
        <f t="shared" si="446"/>
        <v>5.9999999999999995E-4</v>
      </c>
      <c r="AB3391">
        <v>22.445195999999999</v>
      </c>
      <c r="AC3391">
        <v>23.343003840000002</v>
      </c>
    </row>
    <row r="3392" spans="1:29" x14ac:dyDescent="0.3">
      <c r="A3392">
        <v>150385</v>
      </c>
      <c r="B3392" s="25" t="s">
        <v>5984</v>
      </c>
      <c r="C3392" t="s">
        <v>20</v>
      </c>
      <c r="D3392" t="s">
        <v>21</v>
      </c>
      <c r="E3392">
        <v>2222222</v>
      </c>
      <c r="F3392" s="8" t="s">
        <v>22</v>
      </c>
      <c r="G3392" s="2">
        <v>98</v>
      </c>
      <c r="H3392" t="s">
        <v>4414</v>
      </c>
      <c r="J3392" s="9" t="s">
        <v>4929</v>
      </c>
      <c r="K3392" t="s">
        <v>4856</v>
      </c>
      <c r="L3392" s="2">
        <v>1</v>
      </c>
      <c r="M3392" s="24" t="s">
        <v>5971</v>
      </c>
      <c r="N3392" s="2" t="s">
        <v>23</v>
      </c>
      <c r="O3392" s="18" t="s">
        <v>2622</v>
      </c>
      <c r="P3392" s="18" t="s">
        <v>0</v>
      </c>
      <c r="Q3392" s="6" t="s">
        <v>4475</v>
      </c>
      <c r="T3392" s="23">
        <v>46092</v>
      </c>
      <c r="U3392" s="23">
        <v>46822</v>
      </c>
      <c r="X3392" s="20">
        <v>2000</v>
      </c>
      <c r="Z3392" s="6" t="s">
        <v>5978</v>
      </c>
      <c r="AA3392" s="14">
        <f t="shared" si="446"/>
        <v>5.9999999999999995E-4</v>
      </c>
      <c r="AB3392">
        <v>1.02702</v>
      </c>
      <c r="AC3392">
        <v>1.0681008000000001</v>
      </c>
    </row>
    <row r="3393" spans="1:29" x14ac:dyDescent="0.3">
      <c r="A3393">
        <v>150414</v>
      </c>
      <c r="B3393" s="25" t="s">
        <v>5984</v>
      </c>
      <c r="C3393" t="s">
        <v>20</v>
      </c>
      <c r="D3393" t="s">
        <v>21</v>
      </c>
      <c r="E3393">
        <v>2222222</v>
      </c>
      <c r="F3393" s="8" t="s">
        <v>22</v>
      </c>
      <c r="G3393" s="2">
        <v>98</v>
      </c>
      <c r="H3393" t="s">
        <v>4414</v>
      </c>
      <c r="J3393" s="9" t="s">
        <v>5191</v>
      </c>
      <c r="K3393" t="s">
        <v>5773</v>
      </c>
      <c r="L3393" s="2">
        <v>1</v>
      </c>
      <c r="M3393" s="24" t="s">
        <v>5971</v>
      </c>
      <c r="N3393" s="2" t="s">
        <v>23</v>
      </c>
      <c r="O3393" s="18" t="s">
        <v>2623</v>
      </c>
      <c r="P3393" s="18" t="s">
        <v>0</v>
      </c>
      <c r="Q3393" s="6" t="s">
        <v>4475</v>
      </c>
      <c r="T3393" s="23">
        <v>46092</v>
      </c>
      <c r="U3393" s="23">
        <v>47187</v>
      </c>
      <c r="X3393" s="20">
        <v>3600</v>
      </c>
      <c r="Z3393" s="6" t="s">
        <v>5978</v>
      </c>
      <c r="AA3393" s="14">
        <f t="shared" si="446"/>
        <v>5.9999999999999995E-4</v>
      </c>
      <c r="AB3393">
        <v>1.97034</v>
      </c>
      <c r="AC3393">
        <v>2.0491535999999999</v>
      </c>
    </row>
    <row r="3394" spans="1:29" x14ac:dyDescent="0.3">
      <c r="A3394">
        <v>150534</v>
      </c>
      <c r="B3394" s="25" t="s">
        <v>5984</v>
      </c>
      <c r="C3394" t="s">
        <v>20</v>
      </c>
      <c r="D3394" t="s">
        <v>21</v>
      </c>
      <c r="E3394">
        <v>2222222</v>
      </c>
      <c r="F3394" s="8" t="s">
        <v>22</v>
      </c>
      <c r="G3394" s="2">
        <v>98</v>
      </c>
      <c r="H3394" t="s">
        <v>4414</v>
      </c>
      <c r="J3394" s="9" t="s">
        <v>4836</v>
      </c>
      <c r="K3394" t="s">
        <v>4873</v>
      </c>
      <c r="L3394" s="2">
        <v>1</v>
      </c>
      <c r="M3394" s="24" t="s">
        <v>5971</v>
      </c>
      <c r="N3394" s="2" t="s">
        <v>23</v>
      </c>
      <c r="O3394" s="18" t="s">
        <v>2614</v>
      </c>
      <c r="P3394" s="18" t="s">
        <v>3781</v>
      </c>
      <c r="Q3394" s="6" t="s">
        <v>4475</v>
      </c>
      <c r="T3394" s="23">
        <v>46099</v>
      </c>
      <c r="U3394" s="23">
        <v>46464</v>
      </c>
      <c r="X3394" s="20">
        <v>4000</v>
      </c>
      <c r="Z3394" s="6" t="s">
        <v>5978</v>
      </c>
      <c r="AA3394" s="14">
        <f t="shared" si="446"/>
        <v>5.9999999999999995E-4</v>
      </c>
      <c r="AB3394">
        <v>1.6469939999999996</v>
      </c>
      <c r="AC3394">
        <v>1.7128737599999997</v>
      </c>
    </row>
    <row r="3395" spans="1:29" x14ac:dyDescent="0.3">
      <c r="A3395">
        <v>151012</v>
      </c>
      <c r="B3395" s="25" t="s">
        <v>5984</v>
      </c>
      <c r="C3395" t="s">
        <v>20</v>
      </c>
      <c r="D3395" t="s">
        <v>21</v>
      </c>
      <c r="E3395">
        <v>2222222</v>
      </c>
      <c r="F3395" s="8" t="s">
        <v>22</v>
      </c>
      <c r="G3395" s="2">
        <v>98</v>
      </c>
      <c r="H3395" t="s">
        <v>4414</v>
      </c>
      <c r="J3395" s="9" t="s">
        <v>5362</v>
      </c>
      <c r="K3395" t="s">
        <v>5278</v>
      </c>
      <c r="L3395" s="2">
        <v>1</v>
      </c>
      <c r="M3395" s="24" t="s">
        <v>5971</v>
      </c>
      <c r="N3395" s="2" t="s">
        <v>23</v>
      </c>
      <c r="O3395" s="18" t="s">
        <v>2624</v>
      </c>
      <c r="P3395" s="18" t="s">
        <v>0</v>
      </c>
      <c r="Q3395" s="6" t="s">
        <v>4475</v>
      </c>
      <c r="T3395" s="23">
        <v>46157</v>
      </c>
      <c r="U3395" s="23">
        <v>49809</v>
      </c>
      <c r="X3395" s="20">
        <v>75000</v>
      </c>
      <c r="Z3395" s="6" t="s">
        <v>5978</v>
      </c>
      <c r="AA3395" s="14">
        <f t="shared" si="446"/>
        <v>5.9999999999999995E-4</v>
      </c>
      <c r="AB3395">
        <v>44.598078000000001</v>
      </c>
      <c r="AC3395">
        <v>46.382001120000005</v>
      </c>
    </row>
    <row r="3396" spans="1:29" x14ac:dyDescent="0.3">
      <c r="A3396">
        <v>151228</v>
      </c>
      <c r="B3396" s="25" t="s">
        <v>5984</v>
      </c>
      <c r="C3396" t="s">
        <v>20</v>
      </c>
      <c r="D3396" t="s">
        <v>21</v>
      </c>
      <c r="E3396">
        <v>2222222</v>
      </c>
      <c r="F3396" s="8" t="s">
        <v>22</v>
      </c>
      <c r="G3396" s="2">
        <v>98</v>
      </c>
      <c r="H3396" t="s">
        <v>4414</v>
      </c>
      <c r="J3396" s="9" t="s">
        <v>5372</v>
      </c>
      <c r="K3396" t="s">
        <v>4999</v>
      </c>
      <c r="L3396" s="2">
        <v>1</v>
      </c>
      <c r="M3396" s="24" t="s">
        <v>5971</v>
      </c>
      <c r="N3396" s="2" t="s">
        <v>23</v>
      </c>
      <c r="O3396" s="18" t="s">
        <v>2625</v>
      </c>
      <c r="P3396" s="18" t="s">
        <v>3781</v>
      </c>
      <c r="Q3396" s="6" t="s">
        <v>4475</v>
      </c>
      <c r="T3396" s="23">
        <v>46148</v>
      </c>
      <c r="U3396" s="23">
        <v>46573</v>
      </c>
      <c r="X3396" s="20">
        <v>2500</v>
      </c>
      <c r="Z3396" s="6" t="s">
        <v>5978</v>
      </c>
      <c r="AA3396" s="14">
        <f t="shared" si="446"/>
        <v>5.9999999999999995E-4</v>
      </c>
      <c r="AB3396">
        <v>1.3030379999999999</v>
      </c>
      <c r="AC3396">
        <v>1.35515952</v>
      </c>
    </row>
    <row r="3397" spans="1:29" x14ac:dyDescent="0.3">
      <c r="A3397">
        <v>151397</v>
      </c>
      <c r="B3397" s="25" t="s">
        <v>5984</v>
      </c>
      <c r="C3397" t="s">
        <v>20</v>
      </c>
      <c r="D3397" t="s">
        <v>21</v>
      </c>
      <c r="E3397">
        <v>2222222</v>
      </c>
      <c r="F3397" s="8" t="s">
        <v>22</v>
      </c>
      <c r="G3397" s="2">
        <v>98</v>
      </c>
      <c r="H3397" t="s">
        <v>4414</v>
      </c>
      <c r="J3397" s="9" t="s">
        <v>5165</v>
      </c>
      <c r="K3397" t="s">
        <v>4880</v>
      </c>
      <c r="L3397" s="2">
        <v>1</v>
      </c>
      <c r="M3397" s="24" t="s">
        <v>5971</v>
      </c>
      <c r="N3397" s="2" t="s">
        <v>23</v>
      </c>
      <c r="O3397" s="18" t="s">
        <v>2608</v>
      </c>
      <c r="P3397" s="18" t="s">
        <v>3781</v>
      </c>
      <c r="Q3397" s="6" t="s">
        <v>4475</v>
      </c>
      <c r="T3397" s="23">
        <v>46161</v>
      </c>
      <c r="U3397" s="23">
        <v>46709</v>
      </c>
      <c r="X3397" s="20">
        <v>3100</v>
      </c>
      <c r="Z3397" s="6" t="s">
        <v>5978</v>
      </c>
      <c r="AA3397" s="14">
        <f t="shared" si="446"/>
        <v>5.9999999999999995E-4</v>
      </c>
      <c r="AB3397">
        <v>1.6753979999999997</v>
      </c>
      <c r="AC3397">
        <v>1.7424139199999997</v>
      </c>
    </row>
    <row r="3398" spans="1:29" x14ac:dyDescent="0.3">
      <c r="A3398">
        <v>151516</v>
      </c>
      <c r="B3398" s="25" t="s">
        <v>5984</v>
      </c>
      <c r="C3398" t="s">
        <v>20</v>
      </c>
      <c r="D3398" t="s">
        <v>21</v>
      </c>
      <c r="E3398">
        <v>2222222</v>
      </c>
      <c r="F3398" s="8" t="s">
        <v>22</v>
      </c>
      <c r="G3398" s="2">
        <v>98</v>
      </c>
      <c r="H3398" t="s">
        <v>4414</v>
      </c>
      <c r="J3398" s="9" t="s">
        <v>4903</v>
      </c>
      <c r="K3398" t="s">
        <v>5030</v>
      </c>
      <c r="L3398" s="2">
        <v>1</v>
      </c>
      <c r="M3398" s="24" t="s">
        <v>5971</v>
      </c>
      <c r="N3398" s="2" t="s">
        <v>23</v>
      </c>
      <c r="O3398" s="18" t="s">
        <v>2626</v>
      </c>
      <c r="P3398" s="18" t="s">
        <v>3781</v>
      </c>
      <c r="Q3398" s="6" t="s">
        <v>4475</v>
      </c>
      <c r="T3398" s="23">
        <v>46173</v>
      </c>
      <c r="U3398" s="23">
        <v>48735</v>
      </c>
      <c r="X3398" s="20">
        <v>20000</v>
      </c>
      <c r="Z3398" s="6" t="s">
        <v>5978</v>
      </c>
      <c r="AA3398" s="14">
        <f t="shared" si="446"/>
        <v>5.9999999999999995E-4</v>
      </c>
      <c r="AB3398">
        <v>11.857139999999999</v>
      </c>
      <c r="AC3398">
        <v>12.331425599999999</v>
      </c>
    </row>
    <row r="3399" spans="1:29" x14ac:dyDescent="0.3">
      <c r="A3399">
        <v>152073</v>
      </c>
      <c r="B3399" s="25" t="s">
        <v>5984</v>
      </c>
      <c r="C3399" t="s">
        <v>20</v>
      </c>
      <c r="D3399" t="s">
        <v>21</v>
      </c>
      <c r="E3399">
        <v>2222222</v>
      </c>
      <c r="F3399" s="8" t="s">
        <v>22</v>
      </c>
      <c r="G3399" s="2">
        <v>98</v>
      </c>
      <c r="H3399" t="s">
        <v>4414</v>
      </c>
      <c r="J3399" s="9" t="s">
        <v>4947</v>
      </c>
      <c r="K3399" t="s">
        <v>4991</v>
      </c>
      <c r="L3399" s="2">
        <v>1</v>
      </c>
      <c r="M3399" s="24" t="s">
        <v>5971</v>
      </c>
      <c r="N3399" s="2" t="s">
        <v>23</v>
      </c>
      <c r="O3399" s="18" t="s">
        <v>2627</v>
      </c>
      <c r="P3399" s="18" t="s">
        <v>3781</v>
      </c>
      <c r="Q3399" s="6" t="s">
        <v>4475</v>
      </c>
      <c r="T3399" s="23">
        <v>46209</v>
      </c>
      <c r="U3399" s="23">
        <v>47305</v>
      </c>
      <c r="X3399" s="20">
        <v>2600</v>
      </c>
      <c r="Z3399" s="6" t="s">
        <v>5978</v>
      </c>
      <c r="AA3399" s="14">
        <f t="shared" si="446"/>
        <v>5.9999999999999995E-4</v>
      </c>
      <c r="AB3399">
        <v>1.5599999999999998</v>
      </c>
      <c r="AC3399">
        <v>1.6223999999999998</v>
      </c>
    </row>
    <row r="3400" spans="1:29" x14ac:dyDescent="0.3">
      <c r="A3400">
        <v>152283</v>
      </c>
      <c r="B3400" s="25" t="s">
        <v>5984</v>
      </c>
      <c r="C3400" t="s">
        <v>20</v>
      </c>
      <c r="D3400" t="s">
        <v>21</v>
      </c>
      <c r="E3400">
        <v>2222222</v>
      </c>
      <c r="F3400" s="8" t="s">
        <v>22</v>
      </c>
      <c r="G3400" s="2">
        <v>98</v>
      </c>
      <c r="H3400" t="s">
        <v>4414</v>
      </c>
      <c r="J3400" s="9" t="s">
        <v>5096</v>
      </c>
      <c r="K3400" t="s">
        <v>5165</v>
      </c>
      <c r="L3400" s="2">
        <v>1</v>
      </c>
      <c r="M3400" s="24" t="s">
        <v>5971</v>
      </c>
      <c r="N3400" s="2" t="s">
        <v>23</v>
      </c>
      <c r="O3400" s="18" t="s">
        <v>2618</v>
      </c>
      <c r="P3400" s="18" t="s">
        <v>3781</v>
      </c>
      <c r="Q3400" s="6" t="s">
        <v>4475</v>
      </c>
      <c r="T3400" s="23">
        <v>46224</v>
      </c>
      <c r="U3400" s="23">
        <v>46314</v>
      </c>
      <c r="X3400" s="20">
        <v>1200</v>
      </c>
      <c r="Z3400" s="6" t="s">
        <v>5978</v>
      </c>
      <c r="AA3400" s="14">
        <f t="shared" si="446"/>
        <v>5.9999999999999995E-4</v>
      </c>
      <c r="AB3400">
        <v>0.72</v>
      </c>
      <c r="AC3400">
        <v>0.74880000000000002</v>
      </c>
    </row>
    <row r="3401" spans="1:29" x14ac:dyDescent="0.3">
      <c r="A3401">
        <v>145086</v>
      </c>
      <c r="B3401" s="25" t="s">
        <v>5984</v>
      </c>
      <c r="C3401" t="s">
        <v>20</v>
      </c>
      <c r="D3401" t="s">
        <v>21</v>
      </c>
      <c r="E3401">
        <v>2222222</v>
      </c>
      <c r="F3401" s="8" t="s">
        <v>22</v>
      </c>
      <c r="G3401" s="2">
        <v>98</v>
      </c>
      <c r="H3401" t="s">
        <v>4415</v>
      </c>
      <c r="J3401" s="9" t="s">
        <v>5134</v>
      </c>
      <c r="K3401" t="s">
        <v>5774</v>
      </c>
      <c r="L3401" s="2">
        <v>1</v>
      </c>
      <c r="M3401" s="24" t="s">
        <v>5971</v>
      </c>
      <c r="N3401" s="2" t="s">
        <v>23</v>
      </c>
      <c r="O3401" s="18" t="s">
        <v>2628</v>
      </c>
      <c r="P3401" s="18" t="s">
        <v>0</v>
      </c>
      <c r="Q3401" s="6" t="s">
        <v>4475</v>
      </c>
      <c r="T3401" s="23">
        <v>45711</v>
      </c>
      <c r="U3401" s="23">
        <v>47174</v>
      </c>
      <c r="X3401" s="20">
        <v>10000</v>
      </c>
      <c r="Z3401" s="6" t="s">
        <v>5978</v>
      </c>
      <c r="AA3401" s="14">
        <f t="shared" si="446"/>
        <v>5.9999999999999995E-4</v>
      </c>
      <c r="AB3401">
        <v>4.2498479999999992</v>
      </c>
      <c r="AC3401">
        <v>4.4198419199999996</v>
      </c>
    </row>
    <row r="3402" spans="1:29" x14ac:dyDescent="0.3">
      <c r="A3402">
        <v>125340</v>
      </c>
      <c r="B3402" s="25" t="s">
        <v>5984</v>
      </c>
      <c r="C3402" t="s">
        <v>20</v>
      </c>
      <c r="D3402" t="s">
        <v>21</v>
      </c>
      <c r="E3402">
        <v>2222222</v>
      </c>
      <c r="F3402" s="8" t="s">
        <v>22</v>
      </c>
      <c r="G3402" s="2">
        <v>98</v>
      </c>
      <c r="H3402" t="s">
        <v>4416</v>
      </c>
      <c r="J3402" s="9" t="s">
        <v>4967</v>
      </c>
      <c r="K3402" t="s">
        <v>4884</v>
      </c>
      <c r="L3402" s="2">
        <v>1</v>
      </c>
      <c r="M3402" s="24" t="s">
        <v>5971</v>
      </c>
      <c r="N3402" s="2" t="s">
        <v>23</v>
      </c>
      <c r="O3402" s="18" t="s">
        <v>2629</v>
      </c>
      <c r="P3402" s="18" t="s">
        <v>3781</v>
      </c>
      <c r="Q3402" s="6" t="s">
        <v>4475</v>
      </c>
      <c r="T3402" s="23">
        <v>44560</v>
      </c>
      <c r="U3402" s="23">
        <v>47121</v>
      </c>
      <c r="X3402" s="20">
        <v>10175</v>
      </c>
      <c r="Z3402" s="6" t="s">
        <v>5978</v>
      </c>
      <c r="AA3402" s="15">
        <f>+(0.42/1000)</f>
        <v>4.1999999999999996E-4</v>
      </c>
      <c r="AB3402">
        <v>4.2450576</v>
      </c>
      <c r="AC3402">
        <v>4.4148599040000001</v>
      </c>
    </row>
    <row r="3403" spans="1:29" x14ac:dyDescent="0.3">
      <c r="A3403">
        <v>129839</v>
      </c>
      <c r="B3403" s="25" t="s">
        <v>5984</v>
      </c>
      <c r="C3403" t="s">
        <v>20</v>
      </c>
      <c r="D3403" t="s">
        <v>21</v>
      </c>
      <c r="E3403">
        <v>2222222</v>
      </c>
      <c r="F3403" s="8" t="s">
        <v>22</v>
      </c>
      <c r="G3403" s="2">
        <v>98</v>
      </c>
      <c r="H3403" t="s">
        <v>4416</v>
      </c>
      <c r="J3403" s="9" t="s">
        <v>4929</v>
      </c>
      <c r="K3403" t="s">
        <v>5212</v>
      </c>
      <c r="L3403" s="2">
        <v>1</v>
      </c>
      <c r="M3403" s="24" t="s">
        <v>5971</v>
      </c>
      <c r="N3403" s="2" t="s">
        <v>23</v>
      </c>
      <c r="O3403" s="18" t="s">
        <v>2630</v>
      </c>
      <c r="P3403" s="18" t="s">
        <v>0</v>
      </c>
      <c r="Q3403" s="6" t="s">
        <v>4475</v>
      </c>
      <c r="T3403" s="23">
        <v>44804</v>
      </c>
      <c r="U3403" s="23">
        <v>48643</v>
      </c>
      <c r="X3403" s="20">
        <v>40000</v>
      </c>
      <c r="Z3403" s="6" t="s">
        <v>5978</v>
      </c>
      <c r="AA3403" s="13">
        <f t="shared" ref="AA3403:AA3405" si="447">+(0.56/1000)</f>
        <v>5.6000000000000006E-4</v>
      </c>
      <c r="AB3403">
        <v>18.439148000000003</v>
      </c>
      <c r="AC3403">
        <v>19.176713920000005</v>
      </c>
    </row>
    <row r="3404" spans="1:29" x14ac:dyDescent="0.3">
      <c r="A3404">
        <v>135660</v>
      </c>
      <c r="B3404" s="25" t="s">
        <v>5984</v>
      </c>
      <c r="C3404" t="s">
        <v>20</v>
      </c>
      <c r="D3404" t="s">
        <v>21</v>
      </c>
      <c r="E3404">
        <v>2222222</v>
      </c>
      <c r="F3404" s="8" t="s">
        <v>22</v>
      </c>
      <c r="G3404" s="2">
        <v>98</v>
      </c>
      <c r="H3404" t="s">
        <v>4416</v>
      </c>
      <c r="J3404" s="9" t="s">
        <v>5068</v>
      </c>
      <c r="K3404" t="s">
        <v>4815</v>
      </c>
      <c r="L3404" s="2">
        <v>1</v>
      </c>
      <c r="M3404" s="24" t="s">
        <v>5971</v>
      </c>
      <c r="N3404" s="2" t="s">
        <v>23</v>
      </c>
      <c r="O3404" s="18" t="s">
        <v>2631</v>
      </c>
      <c r="P3404" s="18" t="s">
        <v>0</v>
      </c>
      <c r="Q3404" s="6" t="s">
        <v>4475</v>
      </c>
      <c r="T3404" s="23">
        <v>45169</v>
      </c>
      <c r="U3404" s="23">
        <v>46726</v>
      </c>
      <c r="X3404" s="20">
        <v>10000</v>
      </c>
      <c r="Z3404" s="6" t="s">
        <v>5978</v>
      </c>
      <c r="AA3404" s="13">
        <f t="shared" si="447"/>
        <v>5.6000000000000006E-4</v>
      </c>
      <c r="AB3404">
        <v>2.5313456000000003</v>
      </c>
      <c r="AC3404">
        <v>2.6325994240000004</v>
      </c>
    </row>
    <row r="3405" spans="1:29" x14ac:dyDescent="0.3">
      <c r="A3405">
        <v>139058</v>
      </c>
      <c r="B3405" s="25" t="s">
        <v>5984</v>
      </c>
      <c r="C3405" t="s">
        <v>20</v>
      </c>
      <c r="D3405" t="s">
        <v>21</v>
      </c>
      <c r="E3405">
        <v>2222222</v>
      </c>
      <c r="F3405" s="8" t="s">
        <v>22</v>
      </c>
      <c r="G3405" s="2">
        <v>98</v>
      </c>
      <c r="H3405" t="s">
        <v>4416</v>
      </c>
      <c r="J3405" s="9" t="s">
        <v>5068</v>
      </c>
      <c r="K3405" t="s">
        <v>4961</v>
      </c>
      <c r="L3405" s="2">
        <v>1</v>
      </c>
      <c r="M3405" s="24" t="s">
        <v>5971</v>
      </c>
      <c r="N3405" s="2" t="s">
        <v>23</v>
      </c>
      <c r="O3405" s="18" t="s">
        <v>2632</v>
      </c>
      <c r="P3405" s="18" t="s">
        <v>0</v>
      </c>
      <c r="Q3405" s="6" t="s">
        <v>4475</v>
      </c>
      <c r="T3405" s="23">
        <v>45313</v>
      </c>
      <c r="U3405" s="23">
        <v>46408</v>
      </c>
      <c r="X3405" s="20">
        <v>5000</v>
      </c>
      <c r="Z3405" s="6" t="s">
        <v>5978</v>
      </c>
      <c r="AA3405" s="13">
        <f t="shared" si="447"/>
        <v>5.6000000000000006E-4</v>
      </c>
      <c r="AB3405">
        <v>1.3617688000000001</v>
      </c>
      <c r="AC3405">
        <v>1.4162395520000002</v>
      </c>
    </row>
    <row r="3406" spans="1:29" x14ac:dyDescent="0.3">
      <c r="A3406">
        <v>141890</v>
      </c>
      <c r="B3406" s="25" t="s">
        <v>5984</v>
      </c>
      <c r="C3406" t="s">
        <v>20</v>
      </c>
      <c r="D3406" t="s">
        <v>21</v>
      </c>
      <c r="E3406">
        <v>2222222</v>
      </c>
      <c r="F3406" s="8" t="s">
        <v>22</v>
      </c>
      <c r="G3406" s="2">
        <v>98</v>
      </c>
      <c r="H3406" t="s">
        <v>4416</v>
      </c>
      <c r="J3406" s="9" t="s">
        <v>4836</v>
      </c>
      <c r="K3406" t="s">
        <v>5165</v>
      </c>
      <c r="L3406" s="2">
        <v>1</v>
      </c>
      <c r="M3406" s="24" t="s">
        <v>5971</v>
      </c>
      <c r="N3406" s="2" t="s">
        <v>23</v>
      </c>
      <c r="O3406" s="18" t="s">
        <v>2633</v>
      </c>
      <c r="P3406" s="18" t="s">
        <v>3781</v>
      </c>
      <c r="Q3406" s="6" t="s">
        <v>4475</v>
      </c>
      <c r="T3406" s="23">
        <v>45490</v>
      </c>
      <c r="U3406" s="23">
        <v>47315</v>
      </c>
      <c r="X3406" s="20">
        <v>20000</v>
      </c>
      <c r="Z3406" s="6" t="s">
        <v>5978</v>
      </c>
      <c r="AA3406" s="14">
        <f t="shared" ref="AA3406:AA3411" si="448">+(0.6/1000)</f>
        <v>5.9999999999999995E-4</v>
      </c>
      <c r="AB3406">
        <v>8.3750699999999991</v>
      </c>
      <c r="AC3406">
        <v>8.7100727999999989</v>
      </c>
    </row>
    <row r="3407" spans="1:29" x14ac:dyDescent="0.3">
      <c r="A3407">
        <v>143374</v>
      </c>
      <c r="B3407" s="25" t="s">
        <v>5984</v>
      </c>
      <c r="C3407" t="s">
        <v>20</v>
      </c>
      <c r="D3407" t="s">
        <v>21</v>
      </c>
      <c r="E3407">
        <v>2222222</v>
      </c>
      <c r="F3407" s="8" t="s">
        <v>22</v>
      </c>
      <c r="G3407" s="2">
        <v>98</v>
      </c>
      <c r="H3407" t="s">
        <v>4416</v>
      </c>
      <c r="J3407" s="9" t="s">
        <v>4826</v>
      </c>
      <c r="K3407" t="s">
        <v>4848</v>
      </c>
      <c r="L3407" s="2">
        <v>1</v>
      </c>
      <c r="M3407" s="24" t="s">
        <v>5971</v>
      </c>
      <c r="N3407" s="2" t="s">
        <v>23</v>
      </c>
      <c r="O3407" s="18" t="s">
        <v>2080</v>
      </c>
      <c r="P3407" s="18" t="s">
        <v>0</v>
      </c>
      <c r="Q3407" s="6" t="s">
        <v>4475</v>
      </c>
      <c r="T3407" s="23">
        <v>45586</v>
      </c>
      <c r="U3407" s="23">
        <v>46315</v>
      </c>
      <c r="X3407" s="20">
        <v>1750</v>
      </c>
      <c r="Z3407" s="6" t="s">
        <v>5978</v>
      </c>
      <c r="AA3407" s="14">
        <f t="shared" si="448"/>
        <v>5.9999999999999995E-4</v>
      </c>
      <c r="AB3407">
        <v>0.15335399999999999</v>
      </c>
      <c r="AC3407">
        <v>0.15948815999999999</v>
      </c>
    </row>
    <row r="3408" spans="1:29" x14ac:dyDescent="0.3">
      <c r="A3408">
        <v>143883</v>
      </c>
      <c r="B3408" s="25" t="s">
        <v>5984</v>
      </c>
      <c r="C3408" t="s">
        <v>20</v>
      </c>
      <c r="D3408" t="s">
        <v>21</v>
      </c>
      <c r="E3408">
        <v>2222222</v>
      </c>
      <c r="F3408" s="8" t="s">
        <v>22</v>
      </c>
      <c r="G3408" s="2">
        <v>98</v>
      </c>
      <c r="H3408" t="s">
        <v>4416</v>
      </c>
      <c r="J3408" s="9" t="s">
        <v>4825</v>
      </c>
      <c r="K3408" t="s">
        <v>5775</v>
      </c>
      <c r="L3408" s="2">
        <v>1</v>
      </c>
      <c r="M3408" s="24" t="s">
        <v>5971</v>
      </c>
      <c r="N3408" s="2" t="s">
        <v>23</v>
      </c>
      <c r="O3408" s="18" t="s">
        <v>2634</v>
      </c>
      <c r="P3408" s="18" t="s">
        <v>0</v>
      </c>
      <c r="Q3408" s="6" t="s">
        <v>4475</v>
      </c>
      <c r="T3408" s="23">
        <v>45623</v>
      </c>
      <c r="U3408" s="23">
        <v>46718</v>
      </c>
      <c r="X3408" s="20">
        <v>2130</v>
      </c>
      <c r="Z3408" s="6" t="s">
        <v>5978</v>
      </c>
      <c r="AA3408" s="14">
        <f t="shared" si="448"/>
        <v>5.9999999999999995E-4</v>
      </c>
      <c r="AB3408">
        <v>0.64862999999999993</v>
      </c>
      <c r="AC3408">
        <v>0.67457519999999993</v>
      </c>
    </row>
    <row r="3409" spans="1:29" x14ac:dyDescent="0.3">
      <c r="A3409">
        <v>145660</v>
      </c>
      <c r="B3409" s="25" t="s">
        <v>5984</v>
      </c>
      <c r="C3409" t="s">
        <v>20</v>
      </c>
      <c r="D3409" t="s">
        <v>21</v>
      </c>
      <c r="E3409">
        <v>2222222</v>
      </c>
      <c r="F3409" s="8" t="s">
        <v>22</v>
      </c>
      <c r="G3409" s="2">
        <v>98</v>
      </c>
      <c r="H3409" t="s">
        <v>4416</v>
      </c>
      <c r="J3409" s="9" t="s">
        <v>5271</v>
      </c>
      <c r="K3409" t="s">
        <v>4906</v>
      </c>
      <c r="L3409" s="2">
        <v>1</v>
      </c>
      <c r="M3409" s="24" t="s">
        <v>5971</v>
      </c>
      <c r="N3409" s="2" t="s">
        <v>23</v>
      </c>
      <c r="O3409" s="18" t="s">
        <v>2635</v>
      </c>
      <c r="P3409" s="18" t="s">
        <v>0</v>
      </c>
      <c r="Q3409" s="6" t="s">
        <v>4475</v>
      </c>
      <c r="T3409" s="23">
        <v>45758</v>
      </c>
      <c r="U3409" s="23">
        <v>47219</v>
      </c>
      <c r="X3409" s="20">
        <v>7300</v>
      </c>
      <c r="Z3409" s="6" t="s">
        <v>5978</v>
      </c>
      <c r="AA3409" s="14">
        <f t="shared" si="448"/>
        <v>5.9999999999999995E-4</v>
      </c>
      <c r="AB3409">
        <v>3.2136659999999995</v>
      </c>
      <c r="AC3409">
        <v>3.3422126399999996</v>
      </c>
    </row>
    <row r="3410" spans="1:29" x14ac:dyDescent="0.3">
      <c r="A3410">
        <v>147149</v>
      </c>
      <c r="B3410" s="25" t="s">
        <v>5984</v>
      </c>
      <c r="C3410" t="s">
        <v>20</v>
      </c>
      <c r="D3410" t="s">
        <v>21</v>
      </c>
      <c r="E3410">
        <v>2222222</v>
      </c>
      <c r="F3410" s="8" t="s">
        <v>22</v>
      </c>
      <c r="G3410" s="2">
        <v>98</v>
      </c>
      <c r="H3410" t="s">
        <v>4416</v>
      </c>
      <c r="J3410" s="9" t="s">
        <v>5068</v>
      </c>
      <c r="K3410" t="s">
        <v>4961</v>
      </c>
      <c r="L3410" s="2">
        <v>1</v>
      </c>
      <c r="M3410" s="24" t="s">
        <v>5971</v>
      </c>
      <c r="N3410" s="2" t="s">
        <v>23</v>
      </c>
      <c r="O3410" s="18" t="s">
        <v>2632</v>
      </c>
      <c r="P3410" s="18" t="s">
        <v>0</v>
      </c>
      <c r="Q3410" s="6" t="s">
        <v>4475</v>
      </c>
      <c r="T3410" s="23">
        <v>45868</v>
      </c>
      <c r="U3410" s="23">
        <v>46602</v>
      </c>
      <c r="X3410" s="20">
        <v>4000</v>
      </c>
      <c r="Z3410" s="6" t="s">
        <v>5978</v>
      </c>
      <c r="AA3410" s="14">
        <f t="shared" si="448"/>
        <v>5.9999999999999995E-4</v>
      </c>
      <c r="AB3410">
        <v>2.2289339999999997</v>
      </c>
      <c r="AC3410">
        <v>2.3180913599999999</v>
      </c>
    </row>
    <row r="3411" spans="1:29" x14ac:dyDescent="0.3">
      <c r="A3411">
        <v>147860</v>
      </c>
      <c r="B3411" s="25" t="s">
        <v>5984</v>
      </c>
      <c r="C3411" t="s">
        <v>20</v>
      </c>
      <c r="D3411" t="s">
        <v>21</v>
      </c>
      <c r="E3411">
        <v>2222222</v>
      </c>
      <c r="F3411" s="8" t="s">
        <v>22</v>
      </c>
      <c r="G3411" s="2">
        <v>98</v>
      </c>
      <c r="H3411" t="s">
        <v>4416</v>
      </c>
      <c r="J3411" s="9" t="s">
        <v>4929</v>
      </c>
      <c r="K3411" t="s">
        <v>5212</v>
      </c>
      <c r="L3411" s="2">
        <v>1</v>
      </c>
      <c r="M3411" s="24" t="s">
        <v>5971</v>
      </c>
      <c r="N3411" s="2" t="s">
        <v>23</v>
      </c>
      <c r="O3411" s="18" t="s">
        <v>2630</v>
      </c>
      <c r="P3411" s="18" t="s">
        <v>0</v>
      </c>
      <c r="Q3411" s="6" t="s">
        <v>4475</v>
      </c>
      <c r="T3411" s="23">
        <v>45917</v>
      </c>
      <c r="U3411" s="23">
        <v>47013</v>
      </c>
      <c r="X3411" s="20">
        <v>3250</v>
      </c>
      <c r="Z3411" s="6" t="s">
        <v>5978</v>
      </c>
      <c r="AA3411" s="14">
        <f t="shared" si="448"/>
        <v>5.9999999999999995E-4</v>
      </c>
      <c r="AB3411">
        <v>1.5035639999999999</v>
      </c>
      <c r="AC3411">
        <v>1.56370656</v>
      </c>
    </row>
    <row r="3412" spans="1:29" x14ac:dyDescent="0.3">
      <c r="A3412">
        <v>148541</v>
      </c>
      <c r="B3412" s="25" t="s">
        <v>5984</v>
      </c>
      <c r="C3412" t="s">
        <v>20</v>
      </c>
      <c r="D3412" t="s">
        <v>21</v>
      </c>
      <c r="E3412">
        <v>2222222</v>
      </c>
      <c r="F3412" s="8" t="s">
        <v>22</v>
      </c>
      <c r="G3412" s="2">
        <v>98</v>
      </c>
      <c r="H3412" t="s">
        <v>4416</v>
      </c>
      <c r="J3412" s="9" t="s">
        <v>5235</v>
      </c>
      <c r="K3412" t="s">
        <v>5344</v>
      </c>
      <c r="L3412" s="2">
        <v>1</v>
      </c>
      <c r="M3412" s="24" t="s">
        <v>5971</v>
      </c>
      <c r="N3412" s="2" t="s">
        <v>23</v>
      </c>
      <c r="O3412" s="18" t="s">
        <v>2636</v>
      </c>
      <c r="P3412" s="18" t="s">
        <v>3781</v>
      </c>
      <c r="Q3412" s="6" t="s">
        <v>4475</v>
      </c>
      <c r="T3412" s="23">
        <v>45167</v>
      </c>
      <c r="U3412" s="23">
        <v>47364</v>
      </c>
      <c r="X3412" s="20">
        <v>11000</v>
      </c>
      <c r="Z3412" s="6" t="s">
        <v>5978</v>
      </c>
      <c r="AA3412" s="13">
        <f>+(0.56/1000)</f>
        <v>5.6000000000000006E-4</v>
      </c>
      <c r="AB3412">
        <v>4.0507488</v>
      </c>
      <c r="AC3412">
        <v>4.2127787520000002</v>
      </c>
    </row>
    <row r="3413" spans="1:29" x14ac:dyDescent="0.3">
      <c r="A3413">
        <v>149137</v>
      </c>
      <c r="B3413" s="25" t="s">
        <v>5984</v>
      </c>
      <c r="C3413" t="s">
        <v>20</v>
      </c>
      <c r="D3413" t="s">
        <v>21</v>
      </c>
      <c r="E3413">
        <v>2222222</v>
      </c>
      <c r="F3413" s="8" t="s">
        <v>22</v>
      </c>
      <c r="G3413" s="2">
        <v>98</v>
      </c>
      <c r="H3413" t="s">
        <v>4416</v>
      </c>
      <c r="J3413" s="9" t="s">
        <v>5776</v>
      </c>
      <c r="K3413" t="s">
        <v>5019</v>
      </c>
      <c r="L3413" s="2">
        <v>1</v>
      </c>
      <c r="M3413" s="24" t="s">
        <v>5971</v>
      </c>
      <c r="N3413" s="2" t="s">
        <v>23</v>
      </c>
      <c r="O3413" s="18" t="s">
        <v>1342</v>
      </c>
      <c r="P3413" s="18" t="s">
        <v>3781</v>
      </c>
      <c r="Q3413" s="6" t="s">
        <v>4475</v>
      </c>
      <c r="T3413" s="23">
        <v>46000</v>
      </c>
      <c r="U3413" s="23">
        <v>46365</v>
      </c>
      <c r="X3413" s="20">
        <v>1800</v>
      </c>
      <c r="Z3413" s="6" t="s">
        <v>5978</v>
      </c>
      <c r="AA3413" s="14">
        <f t="shared" ref="AA3413:AA3416" si="449">+(0.6/1000)</f>
        <v>5.9999999999999995E-4</v>
      </c>
      <c r="AB3413">
        <v>0.47167799999999993</v>
      </c>
      <c r="AC3413">
        <v>0.49054511999999995</v>
      </c>
    </row>
    <row r="3414" spans="1:29" x14ac:dyDescent="0.3">
      <c r="A3414">
        <v>149267</v>
      </c>
      <c r="B3414" s="25" t="s">
        <v>5984</v>
      </c>
      <c r="C3414" t="s">
        <v>20</v>
      </c>
      <c r="D3414" t="s">
        <v>21</v>
      </c>
      <c r="E3414">
        <v>2222222</v>
      </c>
      <c r="F3414" s="8" t="s">
        <v>22</v>
      </c>
      <c r="G3414" s="2">
        <v>98</v>
      </c>
      <c r="H3414" t="s">
        <v>4416</v>
      </c>
      <c r="J3414" s="9" t="s">
        <v>4929</v>
      </c>
      <c r="K3414" t="s">
        <v>5212</v>
      </c>
      <c r="L3414" s="2">
        <v>1</v>
      </c>
      <c r="M3414" s="24" t="s">
        <v>5971</v>
      </c>
      <c r="N3414" s="2" t="s">
        <v>23</v>
      </c>
      <c r="O3414" s="18" t="s">
        <v>2630</v>
      </c>
      <c r="P3414" s="18" t="s">
        <v>0</v>
      </c>
      <c r="Q3414" s="6" t="s">
        <v>4475</v>
      </c>
      <c r="T3414" s="23">
        <v>46010</v>
      </c>
      <c r="U3414" s="23">
        <v>46370</v>
      </c>
      <c r="X3414" s="20">
        <v>72200</v>
      </c>
      <c r="Z3414" s="6" t="s">
        <v>5978</v>
      </c>
      <c r="AA3414" s="14">
        <f t="shared" si="449"/>
        <v>5.9999999999999995E-4</v>
      </c>
      <c r="AB3414">
        <v>43.319999999999993</v>
      </c>
      <c r="AC3414">
        <v>45.052799999999998</v>
      </c>
    </row>
    <row r="3415" spans="1:29" x14ac:dyDescent="0.3">
      <c r="A3415">
        <v>149840</v>
      </c>
      <c r="B3415" s="25" t="s">
        <v>5984</v>
      </c>
      <c r="C3415" t="s">
        <v>20</v>
      </c>
      <c r="D3415" t="s">
        <v>21</v>
      </c>
      <c r="E3415">
        <v>2222222</v>
      </c>
      <c r="F3415" s="8" t="s">
        <v>22</v>
      </c>
      <c r="G3415" s="2">
        <v>98</v>
      </c>
      <c r="H3415" t="s">
        <v>4416</v>
      </c>
      <c r="J3415" s="9" t="s">
        <v>4903</v>
      </c>
      <c r="K3415" t="s">
        <v>4836</v>
      </c>
      <c r="L3415" s="2">
        <v>1</v>
      </c>
      <c r="M3415" s="24" t="s">
        <v>5971</v>
      </c>
      <c r="N3415" s="2" t="s">
        <v>23</v>
      </c>
      <c r="O3415" s="18" t="s">
        <v>2637</v>
      </c>
      <c r="P3415" s="18" t="s">
        <v>3781</v>
      </c>
      <c r="Q3415" s="6" t="s">
        <v>4475</v>
      </c>
      <c r="T3415" s="23">
        <v>46052</v>
      </c>
      <c r="U3415" s="23">
        <v>47515</v>
      </c>
      <c r="X3415" s="20">
        <v>5000</v>
      </c>
      <c r="Z3415" s="6" t="s">
        <v>5978</v>
      </c>
      <c r="AA3415" s="14">
        <f t="shared" si="449"/>
        <v>5.9999999999999995E-4</v>
      </c>
      <c r="AB3415">
        <v>2.7787860000000002</v>
      </c>
      <c r="AC3415">
        <v>2.8899374400000002</v>
      </c>
    </row>
    <row r="3416" spans="1:29" x14ac:dyDescent="0.3">
      <c r="A3416">
        <v>152315</v>
      </c>
      <c r="B3416" s="25" t="s">
        <v>5984</v>
      </c>
      <c r="C3416" t="s">
        <v>20</v>
      </c>
      <c r="D3416" t="s">
        <v>21</v>
      </c>
      <c r="E3416">
        <v>2222222</v>
      </c>
      <c r="F3416" s="8" t="s">
        <v>22</v>
      </c>
      <c r="G3416" s="2">
        <v>98</v>
      </c>
      <c r="H3416" t="s">
        <v>4416</v>
      </c>
      <c r="J3416" s="9" t="s">
        <v>5137</v>
      </c>
      <c r="K3416" t="s">
        <v>5075</v>
      </c>
      <c r="L3416" s="2">
        <v>1</v>
      </c>
      <c r="M3416" s="24" t="s">
        <v>5971</v>
      </c>
      <c r="N3416" s="2" t="s">
        <v>23</v>
      </c>
      <c r="O3416" s="18" t="s">
        <v>2638</v>
      </c>
      <c r="P3416" s="18" t="s">
        <v>3781</v>
      </c>
      <c r="Q3416" s="6" t="s">
        <v>4475</v>
      </c>
      <c r="T3416" s="23">
        <v>46227</v>
      </c>
      <c r="U3416" s="23">
        <v>47322</v>
      </c>
      <c r="X3416" s="20">
        <v>3420</v>
      </c>
      <c r="Z3416" s="6" t="s">
        <v>5978</v>
      </c>
      <c r="AA3416" s="14">
        <f t="shared" si="449"/>
        <v>5.9999999999999995E-4</v>
      </c>
      <c r="AB3416">
        <v>2.0519999999999996</v>
      </c>
      <c r="AC3416">
        <v>2.1340799999999995</v>
      </c>
    </row>
    <row r="3417" spans="1:29" x14ac:dyDescent="0.3">
      <c r="A3417">
        <v>121173</v>
      </c>
      <c r="B3417" s="25" t="s">
        <v>5984</v>
      </c>
      <c r="C3417" t="s">
        <v>20</v>
      </c>
      <c r="D3417" t="s">
        <v>21</v>
      </c>
      <c r="E3417">
        <v>2222222</v>
      </c>
      <c r="F3417" s="8" t="s">
        <v>22</v>
      </c>
      <c r="G3417" s="2">
        <v>98</v>
      </c>
      <c r="H3417" t="s">
        <v>4417</v>
      </c>
      <c r="J3417" s="9" t="s">
        <v>4874</v>
      </c>
      <c r="K3417" t="s">
        <v>5005</v>
      </c>
      <c r="L3417" s="2">
        <v>1</v>
      </c>
      <c r="M3417" s="24" t="s">
        <v>5971</v>
      </c>
      <c r="N3417" s="2" t="s">
        <v>23</v>
      </c>
      <c r="O3417" s="18" t="s">
        <v>2639</v>
      </c>
      <c r="P3417" s="18" t="s">
        <v>0</v>
      </c>
      <c r="Q3417" s="6" t="s">
        <v>4475</v>
      </c>
      <c r="T3417" s="23">
        <v>44356</v>
      </c>
      <c r="U3417" s="23">
        <v>46913</v>
      </c>
      <c r="X3417" s="20">
        <v>10500</v>
      </c>
      <c r="Z3417" s="6" t="s">
        <v>5978</v>
      </c>
      <c r="AA3417" s="15">
        <f>+(0.42/1000)</f>
        <v>4.1999999999999996E-4</v>
      </c>
      <c r="AB3417">
        <v>1.7355113999999998</v>
      </c>
      <c r="AC3417">
        <v>1.8049318559999998</v>
      </c>
    </row>
    <row r="3418" spans="1:29" x14ac:dyDescent="0.3">
      <c r="A3418">
        <v>130745</v>
      </c>
      <c r="B3418" s="25" t="s">
        <v>5984</v>
      </c>
      <c r="C3418" t="s">
        <v>20</v>
      </c>
      <c r="D3418" t="s">
        <v>21</v>
      </c>
      <c r="E3418">
        <v>2222222</v>
      </c>
      <c r="F3418" s="8" t="s">
        <v>22</v>
      </c>
      <c r="G3418" s="2">
        <v>98</v>
      </c>
      <c r="H3418" t="s">
        <v>4418</v>
      </c>
      <c r="J3418" s="9" t="s">
        <v>4838</v>
      </c>
      <c r="K3418" t="s">
        <v>4950</v>
      </c>
      <c r="L3418" s="2">
        <v>1</v>
      </c>
      <c r="M3418" s="24" t="s">
        <v>5971</v>
      </c>
      <c r="N3418" s="2" t="s">
        <v>23</v>
      </c>
      <c r="O3418" s="18" t="s">
        <v>2640</v>
      </c>
      <c r="P3418" s="18" t="s">
        <v>0</v>
      </c>
      <c r="Q3418" s="6" t="s">
        <v>4475</v>
      </c>
      <c r="T3418" s="23">
        <v>44853</v>
      </c>
      <c r="U3418" s="23">
        <v>46313</v>
      </c>
      <c r="X3418" s="20">
        <v>5000</v>
      </c>
      <c r="Z3418" s="6" t="s">
        <v>5978</v>
      </c>
      <c r="AA3418" s="13">
        <f t="shared" ref="AA3418:AA3419" si="450">+(0.56/1000)</f>
        <v>5.6000000000000006E-4</v>
      </c>
      <c r="AB3418">
        <v>0.24291680000000002</v>
      </c>
      <c r="AC3418">
        <v>0.25263347200000003</v>
      </c>
    </row>
    <row r="3419" spans="1:29" x14ac:dyDescent="0.3">
      <c r="A3419">
        <v>136864</v>
      </c>
      <c r="B3419" s="25" t="s">
        <v>5984</v>
      </c>
      <c r="C3419" t="s">
        <v>20</v>
      </c>
      <c r="D3419" t="s">
        <v>21</v>
      </c>
      <c r="E3419">
        <v>2222222</v>
      </c>
      <c r="F3419" s="8" t="s">
        <v>22</v>
      </c>
      <c r="G3419" s="2">
        <v>98</v>
      </c>
      <c r="H3419" t="s">
        <v>4418</v>
      </c>
      <c r="J3419" s="9" t="s">
        <v>4838</v>
      </c>
      <c r="K3419" t="s">
        <v>4950</v>
      </c>
      <c r="L3419" s="2">
        <v>1</v>
      </c>
      <c r="M3419" s="24" t="s">
        <v>5971</v>
      </c>
      <c r="N3419" s="2" t="s">
        <v>23</v>
      </c>
      <c r="O3419" s="18" t="s">
        <v>2640</v>
      </c>
      <c r="P3419" s="18" t="s">
        <v>0</v>
      </c>
      <c r="Q3419" s="6" t="s">
        <v>4475</v>
      </c>
      <c r="T3419" s="23">
        <v>45194</v>
      </c>
      <c r="U3419" s="23">
        <v>46290</v>
      </c>
      <c r="X3419" s="20">
        <v>4000</v>
      </c>
      <c r="Z3419" s="6" t="s">
        <v>5978</v>
      </c>
      <c r="AA3419" s="13">
        <f t="shared" si="450"/>
        <v>5.6000000000000006E-4</v>
      </c>
      <c r="AB3419">
        <v>0.15957760000000001</v>
      </c>
      <c r="AC3419">
        <v>0.16596070400000001</v>
      </c>
    </row>
    <row r="3420" spans="1:29" x14ac:dyDescent="0.3">
      <c r="A3420">
        <v>149748</v>
      </c>
      <c r="B3420" s="25" t="s">
        <v>5984</v>
      </c>
      <c r="C3420" t="s">
        <v>20</v>
      </c>
      <c r="D3420" t="s">
        <v>21</v>
      </c>
      <c r="E3420">
        <v>2222222</v>
      </c>
      <c r="F3420" s="8" t="s">
        <v>22</v>
      </c>
      <c r="G3420" s="2">
        <v>98</v>
      </c>
      <c r="H3420" t="s">
        <v>4418</v>
      </c>
      <c r="J3420" s="9" t="s">
        <v>4891</v>
      </c>
      <c r="K3420" t="s">
        <v>4893</v>
      </c>
      <c r="L3420" s="2">
        <v>1</v>
      </c>
      <c r="M3420" s="24" t="s">
        <v>5971</v>
      </c>
      <c r="N3420" s="2" t="s">
        <v>23</v>
      </c>
      <c r="O3420" s="18" t="s">
        <v>2641</v>
      </c>
      <c r="P3420" s="18" t="s">
        <v>3781</v>
      </c>
      <c r="Q3420" s="6" t="s">
        <v>4475</v>
      </c>
      <c r="T3420" s="23">
        <v>46045</v>
      </c>
      <c r="U3420" s="23">
        <v>46774</v>
      </c>
      <c r="X3420" s="20">
        <v>2000</v>
      </c>
      <c r="Z3420" s="6" t="s">
        <v>5978</v>
      </c>
      <c r="AA3420" s="14">
        <f>+(0.6/1000)</f>
        <v>5.9999999999999995E-4</v>
      </c>
      <c r="AB3420">
        <v>0.93588599999999988</v>
      </c>
      <c r="AC3420">
        <v>0.97332143999999987</v>
      </c>
    </row>
    <row r="3421" spans="1:29" x14ac:dyDescent="0.3">
      <c r="A3421">
        <v>139262</v>
      </c>
      <c r="B3421" s="25" t="s">
        <v>5984</v>
      </c>
      <c r="C3421" t="s">
        <v>20</v>
      </c>
      <c r="D3421" t="s">
        <v>21</v>
      </c>
      <c r="E3421">
        <v>2222222</v>
      </c>
      <c r="F3421" s="8" t="s">
        <v>22</v>
      </c>
      <c r="G3421" s="2">
        <v>98</v>
      </c>
      <c r="H3421" t="s">
        <v>4419</v>
      </c>
      <c r="J3421" s="9" t="s">
        <v>5050</v>
      </c>
      <c r="K3421" t="s">
        <v>4352</v>
      </c>
      <c r="L3421" s="2">
        <v>1</v>
      </c>
      <c r="M3421" s="24" t="s">
        <v>5971</v>
      </c>
      <c r="N3421" s="2" t="s">
        <v>23</v>
      </c>
      <c r="O3421" s="18" t="s">
        <v>2642</v>
      </c>
      <c r="P3421" s="18" t="s">
        <v>3781</v>
      </c>
      <c r="Q3421" s="6" t="s">
        <v>4475</v>
      </c>
      <c r="T3421" s="23">
        <v>45322</v>
      </c>
      <c r="U3421" s="23">
        <v>45412</v>
      </c>
      <c r="X3421" s="20">
        <v>4540</v>
      </c>
      <c r="Z3421" s="6" t="s">
        <v>5978</v>
      </c>
      <c r="AA3421" s="13">
        <f t="shared" ref="AA3421:AA3422" si="451">+(0.56/1000)</f>
        <v>5.6000000000000006E-4</v>
      </c>
      <c r="AB3421">
        <v>2.4047016000000001</v>
      </c>
      <c r="AC3421">
        <v>2.5008896640000002</v>
      </c>
    </row>
    <row r="3422" spans="1:29" x14ac:dyDescent="0.3">
      <c r="A3422">
        <v>131515</v>
      </c>
      <c r="B3422" s="25" t="s">
        <v>5984</v>
      </c>
      <c r="C3422" t="s">
        <v>20</v>
      </c>
      <c r="D3422" t="s">
        <v>21</v>
      </c>
      <c r="E3422">
        <v>2222222</v>
      </c>
      <c r="F3422" s="8" t="s">
        <v>22</v>
      </c>
      <c r="G3422" s="2">
        <v>98</v>
      </c>
      <c r="H3422" t="s">
        <v>4420</v>
      </c>
      <c r="J3422" s="9" t="s">
        <v>5031</v>
      </c>
      <c r="K3422" t="s">
        <v>5192</v>
      </c>
      <c r="L3422" s="2">
        <v>1</v>
      </c>
      <c r="M3422" s="24" t="s">
        <v>5971</v>
      </c>
      <c r="N3422" s="2" t="s">
        <v>23</v>
      </c>
      <c r="O3422" s="18" t="s">
        <v>2643</v>
      </c>
      <c r="P3422" s="18" t="s">
        <v>3781</v>
      </c>
      <c r="Q3422" s="6" t="s">
        <v>4475</v>
      </c>
      <c r="T3422" s="23">
        <v>44896</v>
      </c>
      <c r="U3422" s="23">
        <v>45994</v>
      </c>
      <c r="X3422" s="20">
        <v>5000</v>
      </c>
      <c r="Z3422" s="6" t="s">
        <v>5978</v>
      </c>
      <c r="AA3422" s="13">
        <f t="shared" si="451"/>
        <v>5.6000000000000006E-4</v>
      </c>
      <c r="AB3422">
        <v>1.9667144000000001</v>
      </c>
      <c r="AC3422">
        <v>2.045382976</v>
      </c>
    </row>
    <row r="3423" spans="1:29" x14ac:dyDescent="0.3">
      <c r="A3423">
        <v>149569</v>
      </c>
      <c r="B3423" s="25" t="s">
        <v>5984</v>
      </c>
      <c r="C3423" t="s">
        <v>20</v>
      </c>
      <c r="D3423" t="s">
        <v>21</v>
      </c>
      <c r="E3423">
        <v>2222222</v>
      </c>
      <c r="F3423" s="8" t="s">
        <v>22</v>
      </c>
      <c r="G3423" s="2">
        <v>98</v>
      </c>
      <c r="H3423" t="s">
        <v>4421</v>
      </c>
      <c r="J3423" s="9" t="s">
        <v>5256</v>
      </c>
      <c r="K3423" t="s">
        <v>5508</v>
      </c>
      <c r="L3423" s="2">
        <v>1</v>
      </c>
      <c r="M3423" s="24" t="s">
        <v>5971</v>
      </c>
      <c r="N3423" s="2" t="s">
        <v>23</v>
      </c>
      <c r="O3423" s="18" t="s">
        <v>2644</v>
      </c>
      <c r="P3423" s="18" t="s">
        <v>0</v>
      </c>
      <c r="Q3423" s="6" t="s">
        <v>4475</v>
      </c>
      <c r="T3423" s="23">
        <v>46034</v>
      </c>
      <c r="U3423" s="23">
        <v>46399</v>
      </c>
      <c r="X3423" s="20">
        <v>2100</v>
      </c>
      <c r="Z3423" s="6" t="s">
        <v>5978</v>
      </c>
      <c r="AA3423" s="14">
        <f t="shared" ref="AA3423:AA3425" si="452">+(0.6/1000)</f>
        <v>5.9999999999999995E-4</v>
      </c>
      <c r="AB3423">
        <v>0.65545200000000003</v>
      </c>
      <c r="AC3423">
        <v>0.68167008000000007</v>
      </c>
    </row>
    <row r="3424" spans="1:29" x14ac:dyDescent="0.3">
      <c r="A3424">
        <v>148905</v>
      </c>
      <c r="B3424" s="25" t="s">
        <v>5984</v>
      </c>
      <c r="C3424" t="s">
        <v>20</v>
      </c>
      <c r="D3424" t="s">
        <v>21</v>
      </c>
      <c r="E3424">
        <v>2222222</v>
      </c>
      <c r="F3424" s="8" t="s">
        <v>22</v>
      </c>
      <c r="G3424" s="2">
        <v>98</v>
      </c>
      <c r="H3424" t="s">
        <v>4422</v>
      </c>
      <c r="J3424" s="9" t="s">
        <v>5294</v>
      </c>
      <c r="K3424" t="s">
        <v>4924</v>
      </c>
      <c r="L3424" s="2">
        <v>1</v>
      </c>
      <c r="M3424" s="24" t="s">
        <v>5971</v>
      </c>
      <c r="N3424" s="2" t="s">
        <v>23</v>
      </c>
      <c r="O3424" s="18" t="s">
        <v>2491</v>
      </c>
      <c r="P3424" s="18" t="s">
        <v>3781</v>
      </c>
      <c r="Q3424" s="6" t="s">
        <v>4475</v>
      </c>
      <c r="T3424" s="23">
        <v>45988</v>
      </c>
      <c r="U3424" s="23">
        <v>47814</v>
      </c>
      <c r="X3424" s="20">
        <v>10800</v>
      </c>
      <c r="Z3424" s="6" t="s">
        <v>5978</v>
      </c>
      <c r="AA3424" s="14">
        <f t="shared" si="452"/>
        <v>5.9999999999999995E-4</v>
      </c>
      <c r="AB3424">
        <v>6.0141179999999999</v>
      </c>
      <c r="AC3424">
        <v>6.2546827199999999</v>
      </c>
    </row>
    <row r="3425" spans="1:29" x14ac:dyDescent="0.3">
      <c r="A3425">
        <v>151984</v>
      </c>
      <c r="B3425" s="25" t="s">
        <v>5984</v>
      </c>
      <c r="C3425" t="s">
        <v>20</v>
      </c>
      <c r="D3425" t="s">
        <v>21</v>
      </c>
      <c r="E3425">
        <v>2222222</v>
      </c>
      <c r="F3425" s="8" t="s">
        <v>22</v>
      </c>
      <c r="G3425" s="2">
        <v>98</v>
      </c>
      <c r="H3425" t="s">
        <v>4422</v>
      </c>
      <c r="J3425" s="9" t="s">
        <v>4836</v>
      </c>
      <c r="K3425" t="s">
        <v>5558</v>
      </c>
      <c r="L3425" s="2">
        <v>1</v>
      </c>
      <c r="M3425" s="24" t="s">
        <v>5971</v>
      </c>
      <c r="N3425" s="2" t="s">
        <v>23</v>
      </c>
      <c r="O3425" s="18" t="s">
        <v>2645</v>
      </c>
      <c r="P3425" s="18" t="s">
        <v>3781</v>
      </c>
      <c r="Q3425" s="6" t="s">
        <v>4475</v>
      </c>
      <c r="T3425" s="23">
        <v>46203</v>
      </c>
      <c r="U3425" s="23">
        <v>47299</v>
      </c>
      <c r="X3425" s="20">
        <v>1300</v>
      </c>
      <c r="Z3425" s="6" t="s">
        <v>5978</v>
      </c>
      <c r="AA3425" s="14">
        <f t="shared" si="452"/>
        <v>5.9999999999999995E-4</v>
      </c>
      <c r="AB3425">
        <v>0.76237199999999983</v>
      </c>
      <c r="AC3425">
        <v>0.79286687999999983</v>
      </c>
    </row>
    <row r="3426" spans="1:29" x14ac:dyDescent="0.3">
      <c r="A3426">
        <v>129451</v>
      </c>
      <c r="B3426" s="25" t="s">
        <v>5984</v>
      </c>
      <c r="C3426" t="s">
        <v>20</v>
      </c>
      <c r="D3426" t="s">
        <v>21</v>
      </c>
      <c r="E3426">
        <v>2222222</v>
      </c>
      <c r="F3426" s="8" t="s">
        <v>22</v>
      </c>
      <c r="G3426" s="2">
        <v>98</v>
      </c>
      <c r="H3426" t="s">
        <v>4423</v>
      </c>
      <c r="J3426" s="9" t="s">
        <v>5571</v>
      </c>
      <c r="K3426" t="s">
        <v>4853</v>
      </c>
      <c r="L3426" s="2">
        <v>1</v>
      </c>
      <c r="M3426" s="24" t="s">
        <v>5971</v>
      </c>
      <c r="N3426" s="2" t="s">
        <v>23</v>
      </c>
      <c r="O3426" s="18" t="s">
        <v>2646</v>
      </c>
      <c r="P3426" s="18" t="s">
        <v>0</v>
      </c>
      <c r="Q3426" s="6" t="s">
        <v>4475</v>
      </c>
      <c r="T3426" s="23">
        <v>44791</v>
      </c>
      <c r="U3426" s="23">
        <v>46616</v>
      </c>
      <c r="X3426" s="20">
        <v>5000</v>
      </c>
      <c r="Z3426" s="6" t="s">
        <v>5978</v>
      </c>
      <c r="AA3426" s="13">
        <f t="shared" ref="AA3426:AA3427" si="453">+(0.56/1000)</f>
        <v>5.6000000000000006E-4</v>
      </c>
      <c r="AB3426">
        <v>0.79000880000000007</v>
      </c>
      <c r="AC3426">
        <v>0.82160915200000006</v>
      </c>
    </row>
    <row r="3427" spans="1:29" x14ac:dyDescent="0.3">
      <c r="A3427">
        <v>138110</v>
      </c>
      <c r="B3427" s="25" t="s">
        <v>5984</v>
      </c>
      <c r="C3427" t="s">
        <v>20</v>
      </c>
      <c r="D3427" t="s">
        <v>21</v>
      </c>
      <c r="E3427">
        <v>2222222</v>
      </c>
      <c r="F3427" s="8" t="s">
        <v>22</v>
      </c>
      <c r="G3427" s="2">
        <v>98</v>
      </c>
      <c r="H3427" t="s">
        <v>4423</v>
      </c>
      <c r="J3427" s="9" t="s">
        <v>5201</v>
      </c>
      <c r="K3427" t="s">
        <v>4949</v>
      </c>
      <c r="L3427" s="2">
        <v>1</v>
      </c>
      <c r="M3427" s="24" t="s">
        <v>5971</v>
      </c>
      <c r="N3427" s="2" t="s">
        <v>23</v>
      </c>
      <c r="O3427" s="18" t="s">
        <v>1051</v>
      </c>
      <c r="P3427" s="18" t="s">
        <v>0</v>
      </c>
      <c r="Q3427" s="6" t="s">
        <v>4475</v>
      </c>
      <c r="T3427" s="23">
        <v>45274</v>
      </c>
      <c r="U3427" s="23">
        <v>47465</v>
      </c>
      <c r="X3427" s="20">
        <v>11500</v>
      </c>
      <c r="Z3427" s="6" t="s">
        <v>5978</v>
      </c>
      <c r="AA3427" s="13">
        <f t="shared" si="453"/>
        <v>5.6000000000000006E-4</v>
      </c>
      <c r="AB3427">
        <v>4.3969856000000007</v>
      </c>
      <c r="AC3427">
        <v>4.5728650240000013</v>
      </c>
    </row>
    <row r="3428" spans="1:29" x14ac:dyDescent="0.3">
      <c r="A3428">
        <v>145616</v>
      </c>
      <c r="B3428" s="25" t="s">
        <v>5984</v>
      </c>
      <c r="C3428" t="s">
        <v>20</v>
      </c>
      <c r="D3428" t="s">
        <v>21</v>
      </c>
      <c r="E3428">
        <v>2222222</v>
      </c>
      <c r="F3428" s="8" t="s">
        <v>22</v>
      </c>
      <c r="G3428" s="2">
        <v>98</v>
      </c>
      <c r="H3428" t="s">
        <v>4423</v>
      </c>
      <c r="J3428" s="9" t="s">
        <v>4838</v>
      </c>
      <c r="K3428" t="s">
        <v>4779</v>
      </c>
      <c r="L3428" s="2">
        <v>1</v>
      </c>
      <c r="M3428" s="24" t="s">
        <v>5971</v>
      </c>
      <c r="N3428" s="2" t="s">
        <v>23</v>
      </c>
      <c r="O3428" s="18" t="s">
        <v>2647</v>
      </c>
      <c r="P3428" s="18" t="s">
        <v>0</v>
      </c>
      <c r="Q3428" s="6" t="s">
        <v>4475</v>
      </c>
      <c r="T3428" s="23">
        <v>45772</v>
      </c>
      <c r="U3428" s="23">
        <v>46685</v>
      </c>
      <c r="X3428" s="20">
        <v>3500</v>
      </c>
      <c r="Z3428" s="6" t="s">
        <v>5978</v>
      </c>
      <c r="AA3428" s="14">
        <f t="shared" ref="AA3428:AA3432" si="454">+(0.6/1000)</f>
        <v>5.9999999999999995E-4</v>
      </c>
      <c r="AB3428">
        <v>1.161924</v>
      </c>
      <c r="AC3428">
        <v>1.2084009600000001</v>
      </c>
    </row>
    <row r="3429" spans="1:29" x14ac:dyDescent="0.3">
      <c r="A3429">
        <v>147773</v>
      </c>
      <c r="B3429" s="25" t="s">
        <v>5984</v>
      </c>
      <c r="C3429" t="s">
        <v>20</v>
      </c>
      <c r="D3429" t="s">
        <v>21</v>
      </c>
      <c r="E3429">
        <v>2222222</v>
      </c>
      <c r="F3429" s="8" t="s">
        <v>22</v>
      </c>
      <c r="G3429" s="2">
        <v>98</v>
      </c>
      <c r="H3429" t="s">
        <v>4423</v>
      </c>
      <c r="J3429" s="9" t="s">
        <v>5140</v>
      </c>
      <c r="K3429" t="s">
        <v>5206</v>
      </c>
      <c r="L3429" s="2">
        <v>1</v>
      </c>
      <c r="M3429" s="24" t="s">
        <v>5971</v>
      </c>
      <c r="N3429" s="2" t="s">
        <v>23</v>
      </c>
      <c r="O3429" s="18" t="s">
        <v>2648</v>
      </c>
      <c r="P3429" s="18" t="s">
        <v>3781</v>
      </c>
      <c r="Q3429" s="6" t="s">
        <v>4475</v>
      </c>
      <c r="T3429" s="23">
        <v>45911</v>
      </c>
      <c r="U3429" s="23">
        <v>49563</v>
      </c>
      <c r="X3429" s="20">
        <v>9900</v>
      </c>
      <c r="Z3429" s="6" t="s">
        <v>5978</v>
      </c>
      <c r="AA3429" s="14">
        <f t="shared" si="454"/>
        <v>5.9999999999999995E-4</v>
      </c>
      <c r="AB3429">
        <v>5.6699939999999991</v>
      </c>
      <c r="AC3429">
        <v>5.8967937599999996</v>
      </c>
    </row>
    <row r="3430" spans="1:29" x14ac:dyDescent="0.3">
      <c r="A3430">
        <v>150324</v>
      </c>
      <c r="B3430" s="25" t="s">
        <v>5984</v>
      </c>
      <c r="C3430" t="s">
        <v>20</v>
      </c>
      <c r="D3430" t="s">
        <v>21</v>
      </c>
      <c r="E3430">
        <v>2222222</v>
      </c>
      <c r="F3430" s="8" t="s">
        <v>22</v>
      </c>
      <c r="G3430" s="2">
        <v>98</v>
      </c>
      <c r="H3430" t="s">
        <v>4423</v>
      </c>
      <c r="J3430" s="9" t="s">
        <v>4864</v>
      </c>
      <c r="K3430" t="s">
        <v>4857</v>
      </c>
      <c r="L3430" s="2">
        <v>1</v>
      </c>
      <c r="M3430" s="24" t="s">
        <v>5971</v>
      </c>
      <c r="N3430" s="2" t="s">
        <v>23</v>
      </c>
      <c r="O3430" s="18" t="s">
        <v>2649</v>
      </c>
      <c r="P3430" s="18" t="s">
        <v>0</v>
      </c>
      <c r="Q3430" s="6" t="s">
        <v>4475</v>
      </c>
      <c r="T3430" s="23">
        <v>46122</v>
      </c>
      <c r="U3430" s="23">
        <v>49775</v>
      </c>
      <c r="X3430" s="20">
        <v>39000</v>
      </c>
      <c r="Z3430" s="6" t="s">
        <v>5978</v>
      </c>
      <c r="AA3430" s="14">
        <f t="shared" si="454"/>
        <v>5.9999999999999995E-4</v>
      </c>
      <c r="AB3430">
        <v>23.092775999999997</v>
      </c>
      <c r="AC3430">
        <v>24.016487039999998</v>
      </c>
    </row>
    <row r="3431" spans="1:29" x14ac:dyDescent="0.3">
      <c r="A3431">
        <v>151428</v>
      </c>
      <c r="B3431" s="25" t="s">
        <v>5984</v>
      </c>
      <c r="C3431" t="s">
        <v>20</v>
      </c>
      <c r="D3431" t="s">
        <v>21</v>
      </c>
      <c r="E3431">
        <v>2222222</v>
      </c>
      <c r="F3431" s="8" t="s">
        <v>22</v>
      </c>
      <c r="G3431" s="2">
        <v>98</v>
      </c>
      <c r="H3431" t="s">
        <v>4423</v>
      </c>
      <c r="J3431" s="12" t="s">
        <v>5073</v>
      </c>
      <c r="K3431" t="s">
        <v>4863</v>
      </c>
      <c r="L3431" s="2">
        <v>1</v>
      </c>
      <c r="M3431" s="24" t="s">
        <v>5971</v>
      </c>
      <c r="N3431" s="2" t="s">
        <v>23</v>
      </c>
      <c r="O3431" s="18" t="s">
        <v>2650</v>
      </c>
      <c r="P3431" s="18" t="s">
        <v>3781</v>
      </c>
      <c r="Q3431" s="6" t="s">
        <v>4475</v>
      </c>
      <c r="T3431" s="23">
        <v>46210</v>
      </c>
      <c r="U3431" s="23">
        <v>51688</v>
      </c>
      <c r="X3431" s="20">
        <v>210000</v>
      </c>
      <c r="Z3431" s="6" t="s">
        <v>5978</v>
      </c>
      <c r="AA3431" s="14">
        <f t="shared" si="454"/>
        <v>5.9999999999999995E-4</v>
      </c>
      <c r="AB3431">
        <v>125.99999999999999</v>
      </c>
      <c r="AC3431">
        <v>131.04</v>
      </c>
    </row>
    <row r="3432" spans="1:29" x14ac:dyDescent="0.3">
      <c r="A3432">
        <v>151535</v>
      </c>
      <c r="B3432" s="25" t="s">
        <v>5984</v>
      </c>
      <c r="C3432" t="s">
        <v>20</v>
      </c>
      <c r="D3432" t="s">
        <v>21</v>
      </c>
      <c r="E3432">
        <v>2222222</v>
      </c>
      <c r="F3432" s="8" t="s">
        <v>22</v>
      </c>
      <c r="G3432" s="2">
        <v>98</v>
      </c>
      <c r="H3432" t="s">
        <v>4423</v>
      </c>
      <c r="J3432" s="9" t="s">
        <v>5777</v>
      </c>
      <c r="K3432" t="s">
        <v>4836</v>
      </c>
      <c r="L3432" s="2">
        <v>1</v>
      </c>
      <c r="M3432" s="24" t="s">
        <v>5971</v>
      </c>
      <c r="N3432" s="2" t="s">
        <v>23</v>
      </c>
      <c r="O3432" s="18" t="s">
        <v>2651</v>
      </c>
      <c r="P3432" s="18" t="s">
        <v>0</v>
      </c>
      <c r="Q3432" s="6" t="s">
        <v>4475</v>
      </c>
      <c r="T3432" s="23">
        <v>46171</v>
      </c>
      <c r="U3432" s="23">
        <v>46323</v>
      </c>
      <c r="X3432" s="20">
        <v>500</v>
      </c>
      <c r="Z3432" s="6" t="s">
        <v>5978</v>
      </c>
      <c r="AA3432" s="14">
        <f t="shared" si="454"/>
        <v>5.9999999999999995E-4</v>
      </c>
      <c r="AB3432">
        <v>0.18245399999999998</v>
      </c>
      <c r="AC3432">
        <v>0.18975215999999998</v>
      </c>
    </row>
    <row r="3433" spans="1:29" x14ac:dyDescent="0.3">
      <c r="A3433">
        <v>132120</v>
      </c>
      <c r="B3433" s="25" t="s">
        <v>5984</v>
      </c>
      <c r="C3433" t="s">
        <v>20</v>
      </c>
      <c r="D3433" t="s">
        <v>21</v>
      </c>
      <c r="E3433">
        <v>2222222</v>
      </c>
      <c r="F3433" s="8" t="s">
        <v>22</v>
      </c>
      <c r="G3433" s="2">
        <v>98</v>
      </c>
      <c r="H3433" t="s">
        <v>4424</v>
      </c>
      <c r="J3433" s="9" t="s">
        <v>5300</v>
      </c>
      <c r="K3433" t="s">
        <v>4913</v>
      </c>
      <c r="L3433" s="2">
        <v>1</v>
      </c>
      <c r="M3433" s="24" t="s">
        <v>5971</v>
      </c>
      <c r="N3433" s="2" t="s">
        <v>23</v>
      </c>
      <c r="O3433" s="18" t="s">
        <v>2652</v>
      </c>
      <c r="P3433" s="18" t="s">
        <v>0</v>
      </c>
      <c r="Q3433" s="6" t="s">
        <v>4475</v>
      </c>
      <c r="T3433" s="23">
        <v>44924</v>
      </c>
      <c r="U3433" s="23">
        <v>48580</v>
      </c>
      <c r="X3433" s="20">
        <v>9962.2800000000007</v>
      </c>
      <c r="Z3433" s="6" t="s">
        <v>5978</v>
      </c>
      <c r="AA3433" s="13">
        <f t="shared" ref="AA3433:AA3435" si="455">+(0.56/1000)</f>
        <v>5.6000000000000006E-4</v>
      </c>
      <c r="AB3433">
        <v>4.9121912000000005</v>
      </c>
      <c r="AC3433">
        <v>5.1086788480000012</v>
      </c>
    </row>
    <row r="3434" spans="1:29" x14ac:dyDescent="0.3">
      <c r="A3434">
        <v>137086</v>
      </c>
      <c r="B3434" s="25" t="s">
        <v>5984</v>
      </c>
      <c r="C3434" t="s">
        <v>20</v>
      </c>
      <c r="D3434" t="s">
        <v>21</v>
      </c>
      <c r="E3434">
        <v>2222222</v>
      </c>
      <c r="F3434" s="8" t="s">
        <v>22</v>
      </c>
      <c r="G3434" s="2">
        <v>98</v>
      </c>
      <c r="H3434" t="s">
        <v>4425</v>
      </c>
      <c r="J3434" s="9" t="s">
        <v>5352</v>
      </c>
      <c r="K3434" t="s">
        <v>5778</v>
      </c>
      <c r="L3434" s="2">
        <v>1</v>
      </c>
      <c r="M3434" s="24" t="s">
        <v>5971</v>
      </c>
      <c r="N3434" s="2" t="s">
        <v>23</v>
      </c>
      <c r="O3434" s="18" t="s">
        <v>2653</v>
      </c>
      <c r="P3434" s="18" t="s">
        <v>3781</v>
      </c>
      <c r="Q3434" s="6" t="s">
        <v>4475</v>
      </c>
      <c r="T3434" s="23">
        <v>45205</v>
      </c>
      <c r="U3434" s="23">
        <v>46300</v>
      </c>
      <c r="X3434" s="20">
        <v>4000</v>
      </c>
      <c r="Z3434" s="6" t="s">
        <v>5978</v>
      </c>
      <c r="AA3434" s="13">
        <f t="shared" si="455"/>
        <v>5.6000000000000006E-4</v>
      </c>
      <c r="AB3434">
        <v>0.23480800000000004</v>
      </c>
      <c r="AC3434">
        <v>0.24420032000000005</v>
      </c>
    </row>
    <row r="3435" spans="1:29" x14ac:dyDescent="0.3">
      <c r="A3435">
        <v>137736</v>
      </c>
      <c r="B3435" s="25" t="s">
        <v>5984</v>
      </c>
      <c r="C3435" t="s">
        <v>20</v>
      </c>
      <c r="D3435" t="s">
        <v>21</v>
      </c>
      <c r="E3435">
        <v>2222222</v>
      </c>
      <c r="F3435" s="8" t="s">
        <v>22</v>
      </c>
      <c r="G3435" s="2">
        <v>98</v>
      </c>
      <c r="H3435" t="s">
        <v>4426</v>
      </c>
      <c r="J3435" s="9" t="s">
        <v>5173</v>
      </c>
      <c r="K3435" t="s">
        <v>4961</v>
      </c>
      <c r="L3435" s="2">
        <v>1</v>
      </c>
      <c r="M3435" s="24" t="s">
        <v>5971</v>
      </c>
      <c r="N3435" s="2" t="s">
        <v>23</v>
      </c>
      <c r="O3435" s="18" t="s">
        <v>780</v>
      </c>
      <c r="P3435" s="18" t="s">
        <v>0</v>
      </c>
      <c r="Q3435" s="6" t="s">
        <v>4475</v>
      </c>
      <c r="T3435" s="23">
        <v>45255</v>
      </c>
      <c r="U3435" s="23">
        <v>47539</v>
      </c>
      <c r="X3435" s="20">
        <v>10000</v>
      </c>
      <c r="Z3435" s="6" t="s">
        <v>5978</v>
      </c>
      <c r="AA3435" s="13">
        <f t="shared" si="455"/>
        <v>5.6000000000000006E-4</v>
      </c>
      <c r="AB3435">
        <v>4.4812600000000007</v>
      </c>
      <c r="AC3435">
        <v>4.6605104000000006</v>
      </c>
    </row>
    <row r="3436" spans="1:29" x14ac:dyDescent="0.3">
      <c r="A3436">
        <v>143677</v>
      </c>
      <c r="B3436" s="25" t="s">
        <v>5984</v>
      </c>
      <c r="C3436" t="s">
        <v>20</v>
      </c>
      <c r="D3436" t="s">
        <v>21</v>
      </c>
      <c r="E3436">
        <v>2222222</v>
      </c>
      <c r="F3436" s="8" t="s">
        <v>22</v>
      </c>
      <c r="G3436" s="2">
        <v>98</v>
      </c>
      <c r="H3436" t="s">
        <v>4427</v>
      </c>
      <c r="J3436" s="9" t="s">
        <v>4911</v>
      </c>
      <c r="K3436" t="s">
        <v>5025</v>
      </c>
      <c r="L3436" s="2">
        <v>1</v>
      </c>
      <c r="M3436" s="24" t="s">
        <v>5971</v>
      </c>
      <c r="N3436" s="2" t="s">
        <v>23</v>
      </c>
      <c r="O3436" s="18" t="s">
        <v>2654</v>
      </c>
      <c r="P3436" s="18" t="s">
        <v>3781</v>
      </c>
      <c r="Q3436" s="6" t="s">
        <v>4475</v>
      </c>
      <c r="T3436" s="23">
        <v>45610</v>
      </c>
      <c r="U3436" s="23">
        <v>49262</v>
      </c>
      <c r="X3436" s="20">
        <v>21000</v>
      </c>
      <c r="Z3436" s="6" t="s">
        <v>5978</v>
      </c>
      <c r="AA3436" s="14">
        <f t="shared" ref="AA3436:AA3442" si="456">+(0.6/1000)</f>
        <v>5.9999999999999995E-4</v>
      </c>
      <c r="AB3436">
        <v>11.458001999999999</v>
      </c>
      <c r="AC3436">
        <v>11.916322079999999</v>
      </c>
    </row>
    <row r="3437" spans="1:29" x14ac:dyDescent="0.3">
      <c r="A3437">
        <v>149299</v>
      </c>
      <c r="B3437" s="25" t="s">
        <v>5984</v>
      </c>
      <c r="C3437" t="s">
        <v>20</v>
      </c>
      <c r="D3437" t="s">
        <v>21</v>
      </c>
      <c r="E3437">
        <v>2222222</v>
      </c>
      <c r="F3437" s="8" t="s">
        <v>22</v>
      </c>
      <c r="G3437" s="2">
        <v>98</v>
      </c>
      <c r="H3437" t="s">
        <v>4427</v>
      </c>
      <c r="J3437" s="9" t="s">
        <v>4826</v>
      </c>
      <c r="K3437" t="s">
        <v>5298</v>
      </c>
      <c r="L3437" s="2">
        <v>1</v>
      </c>
      <c r="M3437" s="24" t="s">
        <v>5971</v>
      </c>
      <c r="N3437" s="2" t="s">
        <v>23</v>
      </c>
      <c r="O3437" s="18" t="s">
        <v>2655</v>
      </c>
      <c r="P3437" s="18" t="s">
        <v>0</v>
      </c>
      <c r="Q3437" s="6" t="s">
        <v>4475</v>
      </c>
      <c r="T3437" s="23">
        <v>46022</v>
      </c>
      <c r="U3437" s="23">
        <v>47482</v>
      </c>
      <c r="X3437" s="20">
        <v>6900</v>
      </c>
      <c r="Z3437" s="6" t="s">
        <v>5978</v>
      </c>
      <c r="AA3437" s="14">
        <f t="shared" si="456"/>
        <v>5.9999999999999995E-4</v>
      </c>
      <c r="AB3437">
        <v>3.7383599999999997</v>
      </c>
      <c r="AC3437">
        <v>3.8878944</v>
      </c>
    </row>
    <row r="3438" spans="1:29" x14ac:dyDescent="0.3">
      <c r="A3438">
        <v>151220</v>
      </c>
      <c r="B3438" s="25" t="s">
        <v>5984</v>
      </c>
      <c r="C3438" t="s">
        <v>20</v>
      </c>
      <c r="D3438" t="s">
        <v>21</v>
      </c>
      <c r="E3438">
        <v>2222222</v>
      </c>
      <c r="F3438" s="8" t="s">
        <v>22</v>
      </c>
      <c r="G3438" s="2">
        <v>98</v>
      </c>
      <c r="H3438" t="s">
        <v>4427</v>
      </c>
      <c r="J3438" s="9" t="s">
        <v>4978</v>
      </c>
      <c r="K3438" t="s">
        <v>4905</v>
      </c>
      <c r="L3438" s="2">
        <v>1</v>
      </c>
      <c r="M3438" s="24" t="s">
        <v>5971</v>
      </c>
      <c r="N3438" s="2" t="s">
        <v>23</v>
      </c>
      <c r="O3438" s="18" t="s">
        <v>2656</v>
      </c>
      <c r="P3438" s="18" t="s">
        <v>0</v>
      </c>
      <c r="Q3438" s="6" t="s">
        <v>4475</v>
      </c>
      <c r="T3438" s="23">
        <v>46148</v>
      </c>
      <c r="U3438" s="23">
        <v>47062</v>
      </c>
      <c r="X3438" s="20">
        <v>2750</v>
      </c>
      <c r="Z3438" s="6" t="s">
        <v>5978</v>
      </c>
      <c r="AA3438" s="14">
        <f t="shared" si="456"/>
        <v>5.9999999999999995E-4</v>
      </c>
      <c r="AB3438">
        <v>1.5599399999999999</v>
      </c>
      <c r="AC3438">
        <v>1.6223375999999998</v>
      </c>
    </row>
    <row r="3439" spans="1:29" x14ac:dyDescent="0.3">
      <c r="A3439">
        <v>144632</v>
      </c>
      <c r="B3439" s="25" t="s">
        <v>5984</v>
      </c>
      <c r="C3439" t="s">
        <v>20</v>
      </c>
      <c r="D3439" t="s">
        <v>21</v>
      </c>
      <c r="E3439">
        <v>2222222</v>
      </c>
      <c r="F3439" s="8" t="s">
        <v>22</v>
      </c>
      <c r="G3439" s="2">
        <v>98</v>
      </c>
      <c r="H3439" t="s">
        <v>4428</v>
      </c>
      <c r="J3439" s="9" t="s">
        <v>4911</v>
      </c>
      <c r="K3439" t="s">
        <v>4941</v>
      </c>
      <c r="L3439" s="2">
        <v>1</v>
      </c>
      <c r="M3439" s="24" t="s">
        <v>5971</v>
      </c>
      <c r="N3439" s="2" t="s">
        <v>23</v>
      </c>
      <c r="O3439" s="18" t="s">
        <v>1829</v>
      </c>
      <c r="P3439" s="18" t="s">
        <v>3781</v>
      </c>
      <c r="Q3439" s="6" t="s">
        <v>4475</v>
      </c>
      <c r="T3439" s="23">
        <v>45678</v>
      </c>
      <c r="U3439" s="23">
        <v>47138</v>
      </c>
      <c r="X3439" s="20">
        <v>5000</v>
      </c>
      <c r="Z3439" s="6" t="s">
        <v>5978</v>
      </c>
      <c r="AA3439" s="14">
        <f t="shared" si="456"/>
        <v>5.9999999999999995E-4</v>
      </c>
      <c r="AB3439">
        <v>2.1152279999999997</v>
      </c>
      <c r="AC3439">
        <v>2.1998371199999998</v>
      </c>
    </row>
    <row r="3440" spans="1:29" x14ac:dyDescent="0.3">
      <c r="A3440">
        <v>151237</v>
      </c>
      <c r="B3440" s="25" t="s">
        <v>5984</v>
      </c>
      <c r="C3440" t="s">
        <v>20</v>
      </c>
      <c r="D3440" t="s">
        <v>21</v>
      </c>
      <c r="E3440">
        <v>2222222</v>
      </c>
      <c r="F3440" s="8" t="s">
        <v>22</v>
      </c>
      <c r="G3440" s="2">
        <v>98</v>
      </c>
      <c r="H3440" t="s">
        <v>4428</v>
      </c>
      <c r="J3440" s="9" t="s">
        <v>4945</v>
      </c>
      <c r="K3440" t="s">
        <v>5064</v>
      </c>
      <c r="L3440" s="2">
        <v>1</v>
      </c>
      <c r="M3440" s="24" t="s">
        <v>5971</v>
      </c>
      <c r="N3440" s="2" t="s">
        <v>23</v>
      </c>
      <c r="O3440" s="18" t="s">
        <v>2657</v>
      </c>
      <c r="P3440" s="18" t="s">
        <v>0</v>
      </c>
      <c r="Q3440" s="6" t="s">
        <v>4475</v>
      </c>
      <c r="T3440" s="23">
        <v>46149</v>
      </c>
      <c r="U3440" s="23">
        <v>46697</v>
      </c>
      <c r="X3440" s="20">
        <v>950</v>
      </c>
      <c r="Z3440" s="6" t="s">
        <v>5978</v>
      </c>
      <c r="AA3440" s="14">
        <f t="shared" si="456"/>
        <v>5.9999999999999995E-4</v>
      </c>
      <c r="AB3440">
        <v>0.513432</v>
      </c>
      <c r="AC3440">
        <v>0.53396927999999999</v>
      </c>
    </row>
    <row r="3441" spans="1:29" x14ac:dyDescent="0.3">
      <c r="A3441">
        <v>143616</v>
      </c>
      <c r="B3441" s="25" t="s">
        <v>5984</v>
      </c>
      <c r="C3441" t="s">
        <v>20</v>
      </c>
      <c r="D3441" t="s">
        <v>21</v>
      </c>
      <c r="E3441">
        <v>2222222</v>
      </c>
      <c r="F3441" s="8" t="s">
        <v>22</v>
      </c>
      <c r="G3441" s="2">
        <v>98</v>
      </c>
      <c r="H3441" t="s">
        <v>4429</v>
      </c>
      <c r="J3441" s="9" t="s">
        <v>4836</v>
      </c>
      <c r="K3441" t="s">
        <v>5499</v>
      </c>
      <c r="L3441" s="2">
        <v>1</v>
      </c>
      <c r="M3441" s="24" t="s">
        <v>5971</v>
      </c>
      <c r="N3441" s="2" t="s">
        <v>23</v>
      </c>
      <c r="O3441" s="18" t="s">
        <v>2658</v>
      </c>
      <c r="P3441" s="18" t="s">
        <v>3781</v>
      </c>
      <c r="Q3441" s="6" t="s">
        <v>4475</v>
      </c>
      <c r="T3441" s="23">
        <v>45607</v>
      </c>
      <c r="U3441" s="23">
        <v>49351</v>
      </c>
      <c r="X3441" s="20">
        <v>23700</v>
      </c>
      <c r="Z3441" s="6" t="s">
        <v>5978</v>
      </c>
      <c r="AA3441" s="14">
        <f t="shared" si="456"/>
        <v>5.9999999999999995E-4</v>
      </c>
      <c r="AB3441">
        <v>13.919808</v>
      </c>
      <c r="AC3441">
        <v>14.476600320000001</v>
      </c>
    </row>
    <row r="3442" spans="1:29" x14ac:dyDescent="0.3">
      <c r="A3442">
        <v>150317</v>
      </c>
      <c r="B3442" s="25" t="s">
        <v>5984</v>
      </c>
      <c r="C3442" t="s">
        <v>20</v>
      </c>
      <c r="D3442" t="s">
        <v>21</v>
      </c>
      <c r="E3442">
        <v>2222222</v>
      </c>
      <c r="F3442" s="8" t="s">
        <v>22</v>
      </c>
      <c r="G3442" s="2">
        <v>98</v>
      </c>
      <c r="H3442" t="s">
        <v>4429</v>
      </c>
      <c r="J3442" s="9" t="s">
        <v>5610</v>
      </c>
      <c r="K3442" t="s">
        <v>4932</v>
      </c>
      <c r="L3442" s="2">
        <v>1</v>
      </c>
      <c r="M3442" s="24" t="s">
        <v>5971</v>
      </c>
      <c r="N3442" s="2" t="s">
        <v>23</v>
      </c>
      <c r="O3442" s="18" t="s">
        <v>2659</v>
      </c>
      <c r="P3442" s="18" t="s">
        <v>3781</v>
      </c>
      <c r="Q3442" s="6" t="s">
        <v>4475</v>
      </c>
      <c r="T3442" s="23">
        <v>46093</v>
      </c>
      <c r="U3442" s="23">
        <v>49745</v>
      </c>
      <c r="X3442" s="20">
        <v>15500</v>
      </c>
      <c r="Z3442" s="6" t="s">
        <v>5978</v>
      </c>
      <c r="AA3442" s="14">
        <f t="shared" si="456"/>
        <v>5.9999999999999995E-4</v>
      </c>
      <c r="AB3442">
        <v>9.1691699999999994</v>
      </c>
      <c r="AC3442">
        <v>9.5359368</v>
      </c>
    </row>
    <row r="3443" spans="1:29" x14ac:dyDescent="0.3">
      <c r="A3443">
        <v>140265</v>
      </c>
      <c r="B3443" s="25" t="s">
        <v>5984</v>
      </c>
      <c r="C3443" t="s">
        <v>20</v>
      </c>
      <c r="D3443" t="s">
        <v>21</v>
      </c>
      <c r="E3443">
        <v>2222222</v>
      </c>
      <c r="F3443" s="8" t="s">
        <v>22</v>
      </c>
      <c r="G3443" s="2">
        <v>98</v>
      </c>
      <c r="H3443" t="s">
        <v>4430</v>
      </c>
      <c r="J3443" s="9" t="s">
        <v>5133</v>
      </c>
      <c r="K3443" t="s">
        <v>4832</v>
      </c>
      <c r="L3443" s="2">
        <v>1</v>
      </c>
      <c r="M3443" s="24" t="s">
        <v>5971</v>
      </c>
      <c r="N3443" s="2" t="s">
        <v>23</v>
      </c>
      <c r="O3443" s="18" t="s">
        <v>2660</v>
      </c>
      <c r="P3443" s="18" t="s">
        <v>3781</v>
      </c>
      <c r="Q3443" s="6" t="s">
        <v>4475</v>
      </c>
      <c r="T3443" s="23">
        <v>45397</v>
      </c>
      <c r="U3443" s="23">
        <v>47223</v>
      </c>
      <c r="X3443" s="20">
        <v>62000</v>
      </c>
      <c r="Z3443" s="6" t="s">
        <v>5978</v>
      </c>
      <c r="AA3443" s="13">
        <f>+(0.56/1000)</f>
        <v>5.6000000000000006E-4</v>
      </c>
      <c r="AB3443">
        <v>21.152633600000001</v>
      </c>
      <c r="AC3443">
        <v>21.998738944000003</v>
      </c>
    </row>
    <row r="3444" spans="1:29" x14ac:dyDescent="0.3">
      <c r="A3444">
        <v>143697</v>
      </c>
      <c r="B3444" s="25" t="s">
        <v>5984</v>
      </c>
      <c r="C3444" t="s">
        <v>20</v>
      </c>
      <c r="D3444" t="s">
        <v>21</v>
      </c>
      <c r="E3444">
        <v>2222222</v>
      </c>
      <c r="F3444" s="8" t="s">
        <v>22</v>
      </c>
      <c r="G3444" s="2">
        <v>98</v>
      </c>
      <c r="H3444" t="s">
        <v>4430</v>
      </c>
      <c r="J3444" s="9" t="s">
        <v>4826</v>
      </c>
      <c r="K3444" t="s">
        <v>4841</v>
      </c>
      <c r="L3444" s="2">
        <v>1</v>
      </c>
      <c r="M3444" s="24" t="s">
        <v>5971</v>
      </c>
      <c r="N3444" s="2" t="s">
        <v>23</v>
      </c>
      <c r="O3444" s="18" t="s">
        <v>2661</v>
      </c>
      <c r="P3444" s="18" t="s">
        <v>0</v>
      </c>
      <c r="Q3444" s="6" t="s">
        <v>4475</v>
      </c>
      <c r="T3444" s="23">
        <v>45619</v>
      </c>
      <c r="U3444" s="23">
        <v>48175</v>
      </c>
      <c r="X3444" s="20">
        <v>25000</v>
      </c>
      <c r="Z3444" s="6" t="s">
        <v>5978</v>
      </c>
      <c r="AA3444" s="14">
        <f t="shared" ref="AA3444:AA3461" si="457">+(0.6/1000)</f>
        <v>5.9999999999999995E-4</v>
      </c>
      <c r="AB3444">
        <v>12.439295999999999</v>
      </c>
      <c r="AC3444">
        <v>12.93686784</v>
      </c>
    </row>
    <row r="3445" spans="1:29" x14ac:dyDescent="0.3">
      <c r="A3445">
        <v>143772</v>
      </c>
      <c r="B3445" s="25" t="s">
        <v>5984</v>
      </c>
      <c r="C3445" t="s">
        <v>20</v>
      </c>
      <c r="D3445" t="s">
        <v>21</v>
      </c>
      <c r="E3445">
        <v>2222222</v>
      </c>
      <c r="F3445" s="8" t="s">
        <v>22</v>
      </c>
      <c r="G3445" s="2">
        <v>98</v>
      </c>
      <c r="H3445" t="s">
        <v>4430</v>
      </c>
      <c r="J3445" s="9" t="s">
        <v>4911</v>
      </c>
      <c r="K3445" t="s">
        <v>4932</v>
      </c>
      <c r="L3445" s="2">
        <v>1</v>
      </c>
      <c r="M3445" s="24" t="s">
        <v>5971</v>
      </c>
      <c r="N3445" s="2" t="s">
        <v>23</v>
      </c>
      <c r="O3445" s="18" t="s">
        <v>2662</v>
      </c>
      <c r="P3445" s="18" t="s">
        <v>3781</v>
      </c>
      <c r="Q3445" s="6" t="s">
        <v>4475</v>
      </c>
      <c r="T3445" s="23">
        <v>45618</v>
      </c>
      <c r="U3445" s="23">
        <v>46529</v>
      </c>
      <c r="X3445" s="20">
        <v>20000</v>
      </c>
      <c r="Z3445" s="6" t="s">
        <v>5978</v>
      </c>
      <c r="AA3445" s="14">
        <f t="shared" si="457"/>
        <v>5.9999999999999995E-4</v>
      </c>
      <c r="AB3445">
        <v>2.3595719999999996</v>
      </c>
      <c r="AC3445">
        <v>2.4539548799999995</v>
      </c>
    </row>
    <row r="3446" spans="1:29" x14ac:dyDescent="0.3">
      <c r="A3446">
        <v>144849</v>
      </c>
      <c r="B3446" s="25" t="s">
        <v>5984</v>
      </c>
      <c r="C3446" t="s">
        <v>20</v>
      </c>
      <c r="D3446" t="s">
        <v>21</v>
      </c>
      <c r="E3446">
        <v>2222222</v>
      </c>
      <c r="F3446" s="8" t="s">
        <v>22</v>
      </c>
      <c r="G3446" s="2">
        <v>98</v>
      </c>
      <c r="H3446" t="s">
        <v>4430</v>
      </c>
      <c r="J3446" s="9" t="s">
        <v>4981</v>
      </c>
      <c r="K3446" t="s">
        <v>4947</v>
      </c>
      <c r="L3446" s="2">
        <v>1</v>
      </c>
      <c r="M3446" s="24" t="s">
        <v>5971</v>
      </c>
      <c r="N3446" s="2" t="s">
        <v>23</v>
      </c>
      <c r="O3446" s="18" t="s">
        <v>2663</v>
      </c>
      <c r="P3446" s="18" t="s">
        <v>3781</v>
      </c>
      <c r="Q3446" s="6" t="s">
        <v>4475</v>
      </c>
      <c r="T3446" s="23">
        <v>45692</v>
      </c>
      <c r="U3446" s="23">
        <v>47520</v>
      </c>
      <c r="X3446" s="20">
        <v>5000</v>
      </c>
      <c r="Z3446" s="6" t="s">
        <v>5978</v>
      </c>
      <c r="AA3446" s="14">
        <f t="shared" si="457"/>
        <v>5.9999999999999995E-4</v>
      </c>
      <c r="AB3446">
        <v>2.3788859999999996</v>
      </c>
      <c r="AC3446">
        <v>2.4740414399999997</v>
      </c>
    </row>
    <row r="3447" spans="1:29" x14ac:dyDescent="0.3">
      <c r="A3447">
        <v>146621</v>
      </c>
      <c r="B3447" s="25" t="s">
        <v>5984</v>
      </c>
      <c r="C3447" t="s">
        <v>20</v>
      </c>
      <c r="D3447" t="s">
        <v>21</v>
      </c>
      <c r="E3447">
        <v>2222222</v>
      </c>
      <c r="F3447" s="8" t="s">
        <v>22</v>
      </c>
      <c r="G3447" s="2">
        <v>98</v>
      </c>
      <c r="H3447" t="s">
        <v>4430</v>
      </c>
      <c r="J3447" s="9" t="s">
        <v>4911</v>
      </c>
      <c r="K3447" t="s">
        <v>5169</v>
      </c>
      <c r="L3447" s="2">
        <v>1</v>
      </c>
      <c r="M3447" s="24" t="s">
        <v>5971</v>
      </c>
      <c r="N3447" s="2" t="s">
        <v>23</v>
      </c>
      <c r="O3447" s="18" t="s">
        <v>2664</v>
      </c>
      <c r="P3447" s="18" t="s">
        <v>3781</v>
      </c>
      <c r="Q3447" s="6" t="s">
        <v>4475</v>
      </c>
      <c r="T3447" s="23">
        <v>45831</v>
      </c>
      <c r="U3447" s="23">
        <v>46927</v>
      </c>
      <c r="X3447" s="20">
        <v>3370</v>
      </c>
      <c r="Z3447" s="6" t="s">
        <v>5978</v>
      </c>
      <c r="AA3447" s="14">
        <f t="shared" si="457"/>
        <v>5.9999999999999995E-4</v>
      </c>
      <c r="AB3447">
        <v>1.4596199999999997</v>
      </c>
      <c r="AC3447">
        <v>1.5180047999999997</v>
      </c>
    </row>
    <row r="3448" spans="1:29" x14ac:dyDescent="0.3">
      <c r="A3448">
        <v>147416</v>
      </c>
      <c r="B3448" s="25" t="s">
        <v>5984</v>
      </c>
      <c r="C3448" t="s">
        <v>20</v>
      </c>
      <c r="D3448" t="s">
        <v>21</v>
      </c>
      <c r="E3448">
        <v>2222222</v>
      </c>
      <c r="F3448" s="8" t="s">
        <v>22</v>
      </c>
      <c r="G3448" s="2">
        <v>98</v>
      </c>
      <c r="H3448" t="s">
        <v>4430</v>
      </c>
      <c r="J3448" s="9" t="s">
        <v>4836</v>
      </c>
      <c r="K3448" t="s">
        <v>5165</v>
      </c>
      <c r="L3448" s="2">
        <v>1</v>
      </c>
      <c r="M3448" s="24" t="s">
        <v>5971</v>
      </c>
      <c r="N3448" s="2" t="s">
        <v>23</v>
      </c>
      <c r="O3448" s="18" t="s">
        <v>2665</v>
      </c>
      <c r="P3448" s="18" t="s">
        <v>3781</v>
      </c>
      <c r="Q3448" s="6" t="s">
        <v>4475</v>
      </c>
      <c r="T3448" s="23">
        <v>45888</v>
      </c>
      <c r="U3448" s="23">
        <v>46617</v>
      </c>
      <c r="X3448" s="20">
        <v>4000</v>
      </c>
      <c r="Z3448" s="6" t="s">
        <v>5978</v>
      </c>
      <c r="AA3448" s="14">
        <f t="shared" si="457"/>
        <v>5.9999999999999995E-4</v>
      </c>
      <c r="AB3448">
        <v>1.3996859999999998</v>
      </c>
      <c r="AC3448">
        <v>1.4556734399999998</v>
      </c>
    </row>
    <row r="3449" spans="1:29" x14ac:dyDescent="0.3">
      <c r="A3449">
        <v>148135</v>
      </c>
      <c r="B3449" s="25" t="s">
        <v>5984</v>
      </c>
      <c r="C3449" t="s">
        <v>20</v>
      </c>
      <c r="D3449" t="s">
        <v>21</v>
      </c>
      <c r="E3449">
        <v>2222222</v>
      </c>
      <c r="F3449" s="8" t="s">
        <v>22</v>
      </c>
      <c r="G3449" s="2">
        <v>98</v>
      </c>
      <c r="H3449" t="s">
        <v>4430</v>
      </c>
      <c r="J3449" s="9" t="s">
        <v>5779</v>
      </c>
      <c r="K3449" t="s">
        <v>4950</v>
      </c>
      <c r="L3449" s="2">
        <v>1</v>
      </c>
      <c r="M3449" s="24" t="s">
        <v>5971</v>
      </c>
      <c r="N3449" s="2" t="s">
        <v>23</v>
      </c>
      <c r="O3449" s="18" t="s">
        <v>2666</v>
      </c>
      <c r="P3449" s="18" t="s">
        <v>0</v>
      </c>
      <c r="Q3449" s="6" t="s">
        <v>4475</v>
      </c>
      <c r="T3449" s="23">
        <v>45938</v>
      </c>
      <c r="U3449" s="23">
        <v>47033</v>
      </c>
      <c r="X3449" s="20">
        <v>4000</v>
      </c>
      <c r="Z3449" s="6" t="s">
        <v>5978</v>
      </c>
      <c r="AA3449" s="14">
        <f t="shared" si="457"/>
        <v>5.9999999999999995E-4</v>
      </c>
      <c r="AB3449">
        <v>1.9081739999999998</v>
      </c>
      <c r="AC3449">
        <v>1.9845009599999999</v>
      </c>
    </row>
    <row r="3450" spans="1:29" x14ac:dyDescent="0.3">
      <c r="A3450">
        <v>148361</v>
      </c>
      <c r="B3450" s="25" t="s">
        <v>5984</v>
      </c>
      <c r="C3450" t="s">
        <v>20</v>
      </c>
      <c r="D3450" t="s">
        <v>21</v>
      </c>
      <c r="E3450">
        <v>2222222</v>
      </c>
      <c r="F3450" s="8" t="s">
        <v>22</v>
      </c>
      <c r="G3450" s="2">
        <v>98</v>
      </c>
      <c r="H3450" t="s">
        <v>4430</v>
      </c>
      <c r="J3450" s="9" t="s">
        <v>5049</v>
      </c>
      <c r="K3450" t="s">
        <v>5085</v>
      </c>
      <c r="L3450" s="2">
        <v>1</v>
      </c>
      <c r="M3450" s="24" t="s">
        <v>5971</v>
      </c>
      <c r="N3450" s="2" t="s">
        <v>23</v>
      </c>
      <c r="O3450" s="18" t="s">
        <v>2207</v>
      </c>
      <c r="P3450" s="18" t="s">
        <v>0</v>
      </c>
      <c r="Q3450" s="6" t="s">
        <v>4475</v>
      </c>
      <c r="T3450" s="23">
        <v>45954</v>
      </c>
      <c r="U3450" s="23">
        <v>47415</v>
      </c>
      <c r="X3450" s="20">
        <v>5000</v>
      </c>
      <c r="Z3450" s="6" t="s">
        <v>5978</v>
      </c>
      <c r="AA3450" s="14">
        <f t="shared" si="457"/>
        <v>5.9999999999999995E-4</v>
      </c>
      <c r="AB3450">
        <v>2.5869419999999996</v>
      </c>
      <c r="AC3450">
        <v>2.6904196799999998</v>
      </c>
    </row>
    <row r="3451" spans="1:29" x14ac:dyDescent="0.3">
      <c r="A3451">
        <v>148410</v>
      </c>
      <c r="B3451" s="25" t="s">
        <v>5984</v>
      </c>
      <c r="C3451" t="s">
        <v>20</v>
      </c>
      <c r="D3451" t="s">
        <v>21</v>
      </c>
      <c r="E3451">
        <v>2222222</v>
      </c>
      <c r="F3451" s="8" t="s">
        <v>22</v>
      </c>
      <c r="G3451" s="2">
        <v>98</v>
      </c>
      <c r="H3451" t="s">
        <v>4430</v>
      </c>
      <c r="J3451" s="9" t="s">
        <v>4893</v>
      </c>
      <c r="K3451" t="s">
        <v>5310</v>
      </c>
      <c r="L3451" s="2">
        <v>1</v>
      </c>
      <c r="M3451" s="24" t="s">
        <v>5971</v>
      </c>
      <c r="N3451" s="2" t="s">
        <v>23</v>
      </c>
      <c r="O3451" s="18" t="s">
        <v>2667</v>
      </c>
      <c r="P3451" s="18" t="s">
        <v>3781</v>
      </c>
      <c r="Q3451" s="6" t="s">
        <v>4475</v>
      </c>
      <c r="T3451" s="23">
        <v>45959</v>
      </c>
      <c r="U3451" s="23">
        <v>47054</v>
      </c>
      <c r="X3451" s="20">
        <v>5000</v>
      </c>
      <c r="Z3451" s="6" t="s">
        <v>5978</v>
      </c>
      <c r="AA3451" s="14">
        <f t="shared" si="457"/>
        <v>5.9999999999999995E-4</v>
      </c>
      <c r="AB3451">
        <v>0.78147599999999995</v>
      </c>
      <c r="AC3451">
        <v>0.81273503999999996</v>
      </c>
    </row>
    <row r="3452" spans="1:29" x14ac:dyDescent="0.3">
      <c r="A3452">
        <v>148760</v>
      </c>
      <c r="B3452" s="25" t="s">
        <v>5984</v>
      </c>
      <c r="C3452" t="s">
        <v>20</v>
      </c>
      <c r="D3452" t="s">
        <v>21</v>
      </c>
      <c r="E3452">
        <v>2222222</v>
      </c>
      <c r="F3452" s="8" t="s">
        <v>22</v>
      </c>
      <c r="G3452" s="2">
        <v>98</v>
      </c>
      <c r="H3452" t="s">
        <v>4430</v>
      </c>
      <c r="J3452" s="9" t="s">
        <v>4950</v>
      </c>
      <c r="K3452" t="s">
        <v>5780</v>
      </c>
      <c r="L3452" s="2">
        <v>1</v>
      </c>
      <c r="M3452" s="24" t="s">
        <v>5971</v>
      </c>
      <c r="N3452" s="2" t="s">
        <v>23</v>
      </c>
      <c r="O3452" s="18" t="s">
        <v>2668</v>
      </c>
      <c r="P3452" s="18" t="s">
        <v>0</v>
      </c>
      <c r="Q3452" s="6" t="s">
        <v>4475</v>
      </c>
      <c r="T3452" s="23">
        <v>45978</v>
      </c>
      <c r="U3452" s="23">
        <v>47439</v>
      </c>
      <c r="X3452" s="20">
        <v>5000</v>
      </c>
      <c r="Z3452" s="6" t="s">
        <v>5978</v>
      </c>
      <c r="AA3452" s="14">
        <f t="shared" si="457"/>
        <v>5.9999999999999995E-4</v>
      </c>
      <c r="AB3452">
        <v>2.6360219999999996</v>
      </c>
      <c r="AC3452">
        <v>2.7414628799999998</v>
      </c>
    </row>
    <row r="3453" spans="1:29" x14ac:dyDescent="0.3">
      <c r="A3453">
        <v>148908</v>
      </c>
      <c r="B3453" s="25" t="s">
        <v>5984</v>
      </c>
      <c r="C3453" t="s">
        <v>20</v>
      </c>
      <c r="D3453" t="s">
        <v>21</v>
      </c>
      <c r="E3453">
        <v>2222222</v>
      </c>
      <c r="F3453" s="8" t="s">
        <v>22</v>
      </c>
      <c r="G3453" s="2">
        <v>98</v>
      </c>
      <c r="H3453" t="s">
        <v>4430</v>
      </c>
      <c r="J3453" s="9" t="s">
        <v>5240</v>
      </c>
      <c r="K3453" t="s">
        <v>5281</v>
      </c>
      <c r="L3453" s="2">
        <v>1</v>
      </c>
      <c r="M3453" s="24" t="s">
        <v>5971</v>
      </c>
      <c r="N3453" s="2" t="s">
        <v>23</v>
      </c>
      <c r="O3453" s="18" t="s">
        <v>2433</v>
      </c>
      <c r="P3453" s="18" t="s">
        <v>0</v>
      </c>
      <c r="Q3453" s="6" t="s">
        <v>4475</v>
      </c>
      <c r="T3453" s="23">
        <v>45989</v>
      </c>
      <c r="U3453" s="23">
        <v>47450</v>
      </c>
      <c r="X3453" s="20">
        <v>3450</v>
      </c>
      <c r="Z3453" s="6" t="s">
        <v>5978</v>
      </c>
      <c r="AA3453" s="14">
        <f t="shared" si="457"/>
        <v>5.9999999999999995E-4</v>
      </c>
      <c r="AB3453">
        <v>1.7859839999999998</v>
      </c>
      <c r="AC3453">
        <v>1.8574233599999999</v>
      </c>
    </row>
    <row r="3454" spans="1:29" x14ac:dyDescent="0.3">
      <c r="A3454">
        <v>150598</v>
      </c>
      <c r="B3454" s="25" t="s">
        <v>5984</v>
      </c>
      <c r="C3454" t="s">
        <v>20</v>
      </c>
      <c r="D3454" t="s">
        <v>21</v>
      </c>
      <c r="E3454">
        <v>2222222</v>
      </c>
      <c r="F3454" s="8" t="s">
        <v>22</v>
      </c>
      <c r="G3454" s="2">
        <v>98</v>
      </c>
      <c r="H3454" t="s">
        <v>4430</v>
      </c>
      <c r="J3454" s="9" t="s">
        <v>5093</v>
      </c>
      <c r="K3454" t="s">
        <v>5075</v>
      </c>
      <c r="L3454" s="2">
        <v>1</v>
      </c>
      <c r="M3454" s="24" t="s">
        <v>5971</v>
      </c>
      <c r="N3454" s="2" t="s">
        <v>23</v>
      </c>
      <c r="O3454" s="18" t="s">
        <v>2669</v>
      </c>
      <c r="P3454" s="18" t="s">
        <v>3781</v>
      </c>
      <c r="Q3454" s="6" t="s">
        <v>4475</v>
      </c>
      <c r="T3454" s="23">
        <v>46104</v>
      </c>
      <c r="U3454" s="23">
        <v>46652</v>
      </c>
      <c r="X3454" s="20">
        <v>4130</v>
      </c>
      <c r="Z3454" s="6" t="s">
        <v>5978</v>
      </c>
      <c r="AA3454" s="14">
        <f t="shared" si="457"/>
        <v>5.9999999999999995E-4</v>
      </c>
      <c r="AB3454">
        <v>1.9711019999999999</v>
      </c>
      <c r="AC3454">
        <v>2.0499460799999998</v>
      </c>
    </row>
    <row r="3455" spans="1:29" x14ac:dyDescent="0.3">
      <c r="A3455">
        <v>150752</v>
      </c>
      <c r="B3455" s="25" t="s">
        <v>5984</v>
      </c>
      <c r="C3455" t="s">
        <v>20</v>
      </c>
      <c r="D3455" t="s">
        <v>21</v>
      </c>
      <c r="E3455">
        <v>2222222</v>
      </c>
      <c r="F3455" s="8" t="s">
        <v>22</v>
      </c>
      <c r="G3455" s="2">
        <v>98</v>
      </c>
      <c r="H3455" t="s">
        <v>4430</v>
      </c>
      <c r="J3455" s="9" t="s">
        <v>4852</v>
      </c>
      <c r="K3455" t="s">
        <v>5261</v>
      </c>
      <c r="L3455" s="2">
        <v>1</v>
      </c>
      <c r="M3455" s="24" t="s">
        <v>5971</v>
      </c>
      <c r="N3455" s="2" t="s">
        <v>23</v>
      </c>
      <c r="O3455" s="18" t="s">
        <v>2670</v>
      </c>
      <c r="P3455" s="18" t="s">
        <v>0</v>
      </c>
      <c r="Q3455" s="6" t="s">
        <v>4475</v>
      </c>
      <c r="T3455" s="23">
        <v>46112</v>
      </c>
      <c r="U3455" s="23">
        <v>47572</v>
      </c>
      <c r="X3455" s="20">
        <v>1890</v>
      </c>
      <c r="Z3455" s="6" t="s">
        <v>5978</v>
      </c>
      <c r="AA3455" s="14">
        <f t="shared" si="457"/>
        <v>5.9999999999999995E-4</v>
      </c>
      <c r="AB3455">
        <v>1.0616939999999999</v>
      </c>
      <c r="AC3455">
        <v>1.10416176</v>
      </c>
    </row>
    <row r="3456" spans="1:29" x14ac:dyDescent="0.3">
      <c r="A3456">
        <v>150809</v>
      </c>
      <c r="B3456" s="25" t="s">
        <v>5984</v>
      </c>
      <c r="C3456" t="s">
        <v>20</v>
      </c>
      <c r="D3456" t="s">
        <v>21</v>
      </c>
      <c r="E3456">
        <v>2222222</v>
      </c>
      <c r="F3456" s="8" t="s">
        <v>22</v>
      </c>
      <c r="G3456" s="2">
        <v>98</v>
      </c>
      <c r="H3456" t="s">
        <v>4430</v>
      </c>
      <c r="J3456" s="9" t="s">
        <v>5781</v>
      </c>
      <c r="K3456" t="s">
        <v>5591</v>
      </c>
      <c r="L3456" s="2">
        <v>1</v>
      </c>
      <c r="M3456" s="24" t="s">
        <v>5971</v>
      </c>
      <c r="N3456" s="2" t="s">
        <v>23</v>
      </c>
      <c r="O3456" s="18" t="s">
        <v>2671</v>
      </c>
      <c r="P3456" s="18" t="s">
        <v>3781</v>
      </c>
      <c r="Q3456" s="6" t="s">
        <v>4475</v>
      </c>
      <c r="T3456" s="23">
        <v>46119</v>
      </c>
      <c r="U3456" s="23">
        <v>47215</v>
      </c>
      <c r="X3456" s="20">
        <v>3500</v>
      </c>
      <c r="Z3456" s="6" t="s">
        <v>5978</v>
      </c>
      <c r="AA3456" s="14">
        <f t="shared" si="457"/>
        <v>5.9999999999999995E-4</v>
      </c>
      <c r="AB3456">
        <v>1.9629359999999998</v>
      </c>
      <c r="AC3456">
        <v>2.0414534399999997</v>
      </c>
    </row>
    <row r="3457" spans="1:29" x14ac:dyDescent="0.3">
      <c r="A3457">
        <v>150872</v>
      </c>
      <c r="B3457" s="25" t="s">
        <v>5984</v>
      </c>
      <c r="C3457" t="s">
        <v>20</v>
      </c>
      <c r="D3457" t="s">
        <v>21</v>
      </c>
      <c r="E3457">
        <v>2222222</v>
      </c>
      <c r="F3457" s="8" t="s">
        <v>22</v>
      </c>
      <c r="G3457" s="2">
        <v>98</v>
      </c>
      <c r="H3457" t="s">
        <v>4430</v>
      </c>
      <c r="J3457" s="9" t="s">
        <v>5045</v>
      </c>
      <c r="K3457" t="s">
        <v>4872</v>
      </c>
      <c r="L3457" s="2">
        <v>1</v>
      </c>
      <c r="M3457" s="24" t="s">
        <v>5971</v>
      </c>
      <c r="N3457" s="2" t="s">
        <v>23</v>
      </c>
      <c r="O3457" s="18" t="s">
        <v>2672</v>
      </c>
      <c r="P3457" s="18" t="s">
        <v>3781</v>
      </c>
      <c r="Q3457" s="6" t="s">
        <v>4475</v>
      </c>
      <c r="T3457" s="23">
        <v>46127</v>
      </c>
      <c r="U3457" s="23">
        <v>48684</v>
      </c>
      <c r="X3457" s="20">
        <v>37000</v>
      </c>
      <c r="Z3457" s="6" t="s">
        <v>5978</v>
      </c>
      <c r="AA3457" s="14">
        <f t="shared" si="457"/>
        <v>5.9999999999999995E-4</v>
      </c>
      <c r="AB3457">
        <v>21.686627999999995</v>
      </c>
      <c r="AC3457">
        <v>22.554093119999997</v>
      </c>
    </row>
    <row r="3458" spans="1:29" x14ac:dyDescent="0.3">
      <c r="A3458">
        <v>151294</v>
      </c>
      <c r="B3458" s="25" t="s">
        <v>5984</v>
      </c>
      <c r="C3458" t="s">
        <v>20</v>
      </c>
      <c r="D3458" t="s">
        <v>21</v>
      </c>
      <c r="E3458">
        <v>2222222</v>
      </c>
      <c r="F3458" s="8" t="s">
        <v>22</v>
      </c>
      <c r="G3458" s="2">
        <v>98</v>
      </c>
      <c r="H3458" t="s">
        <v>4430</v>
      </c>
      <c r="J3458" s="9" t="s">
        <v>4939</v>
      </c>
      <c r="K3458" t="s">
        <v>4857</v>
      </c>
      <c r="L3458" s="2">
        <v>1</v>
      </c>
      <c r="M3458" s="24" t="s">
        <v>5971</v>
      </c>
      <c r="N3458" s="2" t="s">
        <v>23</v>
      </c>
      <c r="O3458" s="18" t="s">
        <v>2673</v>
      </c>
      <c r="P3458" s="18" t="s">
        <v>0</v>
      </c>
      <c r="Q3458" s="6" t="s">
        <v>4475</v>
      </c>
      <c r="T3458" s="23">
        <v>46185</v>
      </c>
      <c r="U3458" s="23">
        <v>51664</v>
      </c>
      <c r="X3458" s="20">
        <v>40000</v>
      </c>
      <c r="Z3458" s="6" t="s">
        <v>5978</v>
      </c>
      <c r="AA3458" s="14">
        <f t="shared" si="457"/>
        <v>5.9999999999999995E-4</v>
      </c>
      <c r="AB3458">
        <v>23.937995999999998</v>
      </c>
      <c r="AC3458">
        <v>24.895515839999998</v>
      </c>
    </row>
    <row r="3459" spans="1:29" x14ac:dyDescent="0.3">
      <c r="A3459">
        <v>152029</v>
      </c>
      <c r="B3459" s="25" t="s">
        <v>5984</v>
      </c>
      <c r="C3459" t="s">
        <v>20</v>
      </c>
      <c r="D3459" t="s">
        <v>21</v>
      </c>
      <c r="E3459">
        <v>2222222</v>
      </c>
      <c r="F3459" s="8" t="s">
        <v>22</v>
      </c>
      <c r="G3459" s="2">
        <v>98</v>
      </c>
      <c r="H3459" t="s">
        <v>4430</v>
      </c>
      <c r="J3459" s="9" t="s">
        <v>4950</v>
      </c>
      <c r="K3459" t="s">
        <v>5780</v>
      </c>
      <c r="L3459" s="2">
        <v>1</v>
      </c>
      <c r="M3459" s="24" t="s">
        <v>5971</v>
      </c>
      <c r="N3459" s="2" t="s">
        <v>23</v>
      </c>
      <c r="O3459" s="18" t="s">
        <v>2668</v>
      </c>
      <c r="P3459" s="18" t="s">
        <v>0</v>
      </c>
      <c r="Q3459" s="6" t="s">
        <v>4475</v>
      </c>
      <c r="T3459" s="23">
        <v>46206</v>
      </c>
      <c r="U3459" s="23">
        <v>47301</v>
      </c>
      <c r="X3459" s="20">
        <v>4000</v>
      </c>
      <c r="Z3459" s="6" t="s">
        <v>5978</v>
      </c>
      <c r="AA3459" s="14">
        <f t="shared" si="457"/>
        <v>5.9999999999999995E-4</v>
      </c>
      <c r="AB3459">
        <v>2.4</v>
      </c>
      <c r="AC3459">
        <v>2.496</v>
      </c>
    </row>
    <row r="3460" spans="1:29" x14ac:dyDescent="0.3">
      <c r="A3460">
        <v>152369</v>
      </c>
      <c r="B3460" s="25" t="s">
        <v>5984</v>
      </c>
      <c r="C3460" t="s">
        <v>20</v>
      </c>
      <c r="D3460" t="s">
        <v>21</v>
      </c>
      <c r="E3460">
        <v>2222222</v>
      </c>
      <c r="F3460" s="8" t="s">
        <v>22</v>
      </c>
      <c r="G3460" s="2">
        <v>98</v>
      </c>
      <c r="H3460" t="s">
        <v>4430</v>
      </c>
      <c r="J3460" s="9" t="s">
        <v>4836</v>
      </c>
      <c r="K3460" t="s">
        <v>5165</v>
      </c>
      <c r="L3460" s="2">
        <v>1</v>
      </c>
      <c r="M3460" s="24" t="s">
        <v>5971</v>
      </c>
      <c r="N3460" s="2" t="s">
        <v>23</v>
      </c>
      <c r="O3460" s="18" t="s">
        <v>2665</v>
      </c>
      <c r="P3460" s="18" t="s">
        <v>3781</v>
      </c>
      <c r="Q3460" s="6" t="s">
        <v>4475</v>
      </c>
      <c r="T3460" s="23">
        <v>46232</v>
      </c>
      <c r="U3460" s="23">
        <v>46322</v>
      </c>
      <c r="X3460" s="20">
        <v>4965</v>
      </c>
      <c r="Z3460" s="6" t="s">
        <v>5978</v>
      </c>
      <c r="AA3460" s="14">
        <f t="shared" si="457"/>
        <v>5.9999999999999995E-4</v>
      </c>
      <c r="AB3460">
        <v>2.9789999999999996</v>
      </c>
      <c r="AC3460">
        <v>3.0981599999999996</v>
      </c>
    </row>
    <row r="3461" spans="1:29" x14ac:dyDescent="0.3">
      <c r="A3461">
        <v>148676</v>
      </c>
      <c r="B3461" s="25" t="s">
        <v>5984</v>
      </c>
      <c r="C3461" t="s">
        <v>20</v>
      </c>
      <c r="D3461" t="s">
        <v>21</v>
      </c>
      <c r="E3461">
        <v>2222222</v>
      </c>
      <c r="F3461" s="8" t="s">
        <v>22</v>
      </c>
      <c r="G3461" s="2">
        <v>98</v>
      </c>
      <c r="H3461" t="s">
        <v>4431</v>
      </c>
      <c r="J3461" s="9" t="s">
        <v>4924</v>
      </c>
      <c r="K3461" t="s">
        <v>4960</v>
      </c>
      <c r="L3461" s="2">
        <v>1</v>
      </c>
      <c r="M3461" s="24" t="s">
        <v>5971</v>
      </c>
      <c r="N3461" s="2" t="s">
        <v>23</v>
      </c>
      <c r="O3461" s="18" t="s">
        <v>2674</v>
      </c>
      <c r="P3461" s="18" t="s">
        <v>3781</v>
      </c>
      <c r="Q3461" s="6" t="s">
        <v>4475</v>
      </c>
      <c r="T3461" s="23">
        <v>45972</v>
      </c>
      <c r="U3461" s="23">
        <v>46702</v>
      </c>
      <c r="X3461" s="20">
        <v>2450</v>
      </c>
      <c r="Z3461" s="6" t="s">
        <v>5978</v>
      </c>
      <c r="AA3461" s="14">
        <f t="shared" si="457"/>
        <v>5.9999999999999995E-4</v>
      </c>
      <c r="AB3461">
        <v>1.03389</v>
      </c>
      <c r="AC3461">
        <v>1.0752455999999999</v>
      </c>
    </row>
    <row r="3462" spans="1:29" x14ac:dyDescent="0.3">
      <c r="A3462">
        <v>139608</v>
      </c>
      <c r="B3462" s="25" t="s">
        <v>5984</v>
      </c>
      <c r="C3462" t="s">
        <v>20</v>
      </c>
      <c r="D3462" t="s">
        <v>21</v>
      </c>
      <c r="E3462">
        <v>2222222</v>
      </c>
      <c r="F3462" s="8" t="s">
        <v>22</v>
      </c>
      <c r="G3462" s="2">
        <v>98</v>
      </c>
      <c r="H3462" t="s">
        <v>4432</v>
      </c>
      <c r="J3462" s="9" t="s">
        <v>4852</v>
      </c>
      <c r="K3462" t="s">
        <v>4937</v>
      </c>
      <c r="L3462" s="2">
        <v>1</v>
      </c>
      <c r="M3462" s="24" t="s">
        <v>5971</v>
      </c>
      <c r="N3462" s="2" t="s">
        <v>23</v>
      </c>
      <c r="O3462" s="18" t="s">
        <v>2675</v>
      </c>
      <c r="P3462" s="18" t="s">
        <v>0</v>
      </c>
      <c r="Q3462" s="6" t="s">
        <v>4475</v>
      </c>
      <c r="T3462" s="23">
        <v>45341</v>
      </c>
      <c r="U3462" s="23">
        <v>46803</v>
      </c>
      <c r="X3462" s="20">
        <v>3000</v>
      </c>
      <c r="Z3462" s="6" t="s">
        <v>5978</v>
      </c>
      <c r="AA3462" s="13">
        <f>+(0.56/1000)</f>
        <v>5.6000000000000006E-4</v>
      </c>
      <c r="AB3462">
        <v>0.82121200000000016</v>
      </c>
      <c r="AC3462">
        <v>0.85406048000000023</v>
      </c>
    </row>
    <row r="3463" spans="1:29" x14ac:dyDescent="0.3">
      <c r="A3463">
        <v>148692</v>
      </c>
      <c r="B3463" s="25" t="s">
        <v>5984</v>
      </c>
      <c r="C3463" t="s">
        <v>20</v>
      </c>
      <c r="D3463" t="s">
        <v>21</v>
      </c>
      <c r="E3463">
        <v>2222222</v>
      </c>
      <c r="F3463" s="8" t="s">
        <v>22</v>
      </c>
      <c r="G3463" s="2">
        <v>98</v>
      </c>
      <c r="H3463" t="s">
        <v>4432</v>
      </c>
      <c r="J3463" s="9" t="s">
        <v>5525</v>
      </c>
      <c r="K3463" t="s">
        <v>5071</v>
      </c>
      <c r="L3463" s="2">
        <v>1</v>
      </c>
      <c r="M3463" s="24" t="s">
        <v>5971</v>
      </c>
      <c r="N3463" s="2" t="s">
        <v>23</v>
      </c>
      <c r="O3463" s="18" t="s">
        <v>2676</v>
      </c>
      <c r="P3463" s="18" t="s">
        <v>3781</v>
      </c>
      <c r="Q3463" s="6" t="s">
        <v>4475</v>
      </c>
      <c r="T3463" s="23">
        <v>45972</v>
      </c>
      <c r="U3463" s="23">
        <v>46518</v>
      </c>
      <c r="X3463" s="20">
        <v>5000</v>
      </c>
      <c r="Z3463" s="6" t="s">
        <v>5978</v>
      </c>
      <c r="AA3463" s="14">
        <f t="shared" ref="AA3463:AA3466" si="458">+(0.6/1000)</f>
        <v>5.9999999999999995E-4</v>
      </c>
      <c r="AB3463">
        <v>0.98321999999999998</v>
      </c>
      <c r="AC3463">
        <v>1.0225488</v>
      </c>
    </row>
    <row r="3464" spans="1:29" x14ac:dyDescent="0.3">
      <c r="A3464">
        <v>150542</v>
      </c>
      <c r="B3464" s="25" t="s">
        <v>5984</v>
      </c>
      <c r="C3464" t="s">
        <v>20</v>
      </c>
      <c r="D3464" t="s">
        <v>21</v>
      </c>
      <c r="E3464">
        <v>2222222</v>
      </c>
      <c r="F3464" s="8" t="s">
        <v>22</v>
      </c>
      <c r="G3464" s="2">
        <v>98</v>
      </c>
      <c r="H3464" t="s">
        <v>4432</v>
      </c>
      <c r="J3464" s="9" t="s">
        <v>5240</v>
      </c>
      <c r="K3464" t="s">
        <v>5297</v>
      </c>
      <c r="L3464" s="2">
        <v>1</v>
      </c>
      <c r="M3464" s="24" t="s">
        <v>5971</v>
      </c>
      <c r="N3464" s="2" t="s">
        <v>23</v>
      </c>
      <c r="O3464" s="18" t="s">
        <v>2677</v>
      </c>
      <c r="P3464" s="18" t="s">
        <v>0</v>
      </c>
      <c r="Q3464" s="6" t="s">
        <v>4475</v>
      </c>
      <c r="T3464" s="23">
        <v>46100</v>
      </c>
      <c r="U3464" s="23">
        <v>46831</v>
      </c>
      <c r="X3464" s="20">
        <v>2070</v>
      </c>
      <c r="Z3464" s="6" t="s">
        <v>5978</v>
      </c>
      <c r="AA3464" s="14">
        <f t="shared" si="458"/>
        <v>5.9999999999999995E-4</v>
      </c>
      <c r="AB3464">
        <v>1.0629719999999998</v>
      </c>
      <c r="AC3464">
        <v>1.1054908799999998</v>
      </c>
    </row>
    <row r="3465" spans="1:29" x14ac:dyDescent="0.3">
      <c r="A3465">
        <v>151493</v>
      </c>
      <c r="B3465" s="25" t="s">
        <v>5984</v>
      </c>
      <c r="C3465" t="s">
        <v>20</v>
      </c>
      <c r="D3465" t="s">
        <v>21</v>
      </c>
      <c r="E3465">
        <v>2222222</v>
      </c>
      <c r="F3465" s="8" t="s">
        <v>22</v>
      </c>
      <c r="G3465" s="2">
        <v>98</v>
      </c>
      <c r="H3465" t="s">
        <v>4432</v>
      </c>
      <c r="J3465" s="9" t="s">
        <v>4903</v>
      </c>
      <c r="K3465" t="s">
        <v>5031</v>
      </c>
      <c r="L3465" s="2">
        <v>1</v>
      </c>
      <c r="M3465" s="24" t="s">
        <v>5971</v>
      </c>
      <c r="N3465" s="2" t="s">
        <v>23</v>
      </c>
      <c r="O3465" s="18" t="s">
        <v>2678</v>
      </c>
      <c r="P3465" s="18" t="s">
        <v>3781</v>
      </c>
      <c r="Q3465" s="6" t="s">
        <v>4475</v>
      </c>
      <c r="T3465" s="23">
        <v>46171</v>
      </c>
      <c r="U3465" s="23">
        <v>47996</v>
      </c>
      <c r="X3465" s="20">
        <v>11500</v>
      </c>
      <c r="Z3465" s="6" t="s">
        <v>5978</v>
      </c>
      <c r="AA3465" s="14">
        <f t="shared" si="458"/>
        <v>5.9999999999999995E-4</v>
      </c>
      <c r="AB3465">
        <v>6.7375619999999996</v>
      </c>
      <c r="AC3465">
        <v>7.0070644799999995</v>
      </c>
    </row>
    <row r="3466" spans="1:29" x14ac:dyDescent="0.3">
      <c r="A3466">
        <v>149622</v>
      </c>
      <c r="B3466" s="25" t="s">
        <v>5984</v>
      </c>
      <c r="C3466" t="s">
        <v>20</v>
      </c>
      <c r="D3466" t="s">
        <v>21</v>
      </c>
      <c r="E3466">
        <v>2222222</v>
      </c>
      <c r="F3466" s="8" t="s">
        <v>22</v>
      </c>
      <c r="G3466" s="2">
        <v>98</v>
      </c>
      <c r="H3466" t="s">
        <v>4433</v>
      </c>
      <c r="J3466" s="9" t="s">
        <v>5647</v>
      </c>
      <c r="K3466" t="s">
        <v>4924</v>
      </c>
      <c r="L3466" s="2">
        <v>1</v>
      </c>
      <c r="M3466" s="24" t="s">
        <v>5971</v>
      </c>
      <c r="N3466" s="2" t="s">
        <v>23</v>
      </c>
      <c r="O3466" s="18" t="s">
        <v>2679</v>
      </c>
      <c r="P3466" s="18" t="s">
        <v>3781</v>
      </c>
      <c r="Q3466" s="6" t="s">
        <v>4475</v>
      </c>
      <c r="T3466" s="23">
        <v>46037</v>
      </c>
      <c r="U3466" s="23">
        <v>47497</v>
      </c>
      <c r="X3466" s="20">
        <v>5000</v>
      </c>
      <c r="Z3466" s="6" t="s">
        <v>5978</v>
      </c>
      <c r="AA3466" s="14">
        <f t="shared" si="458"/>
        <v>5.9999999999999995E-4</v>
      </c>
      <c r="AB3466">
        <v>2.7287159999999995</v>
      </c>
      <c r="AC3466">
        <v>2.8378646399999994</v>
      </c>
    </row>
    <row r="3467" spans="1:29" x14ac:dyDescent="0.3">
      <c r="A3467">
        <v>134624</v>
      </c>
      <c r="B3467" s="25" t="s">
        <v>5984</v>
      </c>
      <c r="C3467" t="s">
        <v>20</v>
      </c>
      <c r="D3467" t="s">
        <v>21</v>
      </c>
      <c r="E3467">
        <v>2222222</v>
      </c>
      <c r="F3467" s="8" t="s">
        <v>22</v>
      </c>
      <c r="G3467" s="2">
        <v>98</v>
      </c>
      <c r="H3467" t="s">
        <v>4434</v>
      </c>
      <c r="J3467" s="9" t="s">
        <v>5782</v>
      </c>
      <c r="K3467" t="s">
        <v>4859</v>
      </c>
      <c r="L3467" s="2">
        <v>1</v>
      </c>
      <c r="M3467" s="24" t="s">
        <v>5971</v>
      </c>
      <c r="N3467" s="2" t="s">
        <v>23</v>
      </c>
      <c r="O3467" s="18" t="s">
        <v>2680</v>
      </c>
      <c r="P3467" s="18" t="s">
        <v>3781</v>
      </c>
      <c r="Q3467" s="6" t="s">
        <v>4475</v>
      </c>
      <c r="T3467" s="23">
        <v>45068</v>
      </c>
      <c r="U3467" s="23">
        <v>46528</v>
      </c>
      <c r="X3467" s="20">
        <v>5000</v>
      </c>
      <c r="Z3467" s="6" t="s">
        <v>5978</v>
      </c>
      <c r="AA3467" s="13">
        <f t="shared" ref="AA3467:AA3468" si="459">+(0.56/1000)</f>
        <v>5.6000000000000006E-4</v>
      </c>
      <c r="AB3467">
        <v>0.77264320000000009</v>
      </c>
      <c r="AC3467">
        <v>0.80354892800000011</v>
      </c>
    </row>
    <row r="3468" spans="1:29" x14ac:dyDescent="0.3">
      <c r="A3468">
        <v>129879</v>
      </c>
      <c r="B3468" s="25" t="s">
        <v>5984</v>
      </c>
      <c r="C3468" t="s">
        <v>20</v>
      </c>
      <c r="D3468" t="s">
        <v>21</v>
      </c>
      <c r="E3468">
        <v>2222222</v>
      </c>
      <c r="F3468" s="8" t="s">
        <v>22</v>
      </c>
      <c r="G3468" s="2">
        <v>98</v>
      </c>
      <c r="H3468" t="s">
        <v>4435</v>
      </c>
      <c r="J3468" s="9" t="s">
        <v>5783</v>
      </c>
      <c r="K3468" t="s">
        <v>5118</v>
      </c>
      <c r="L3468" s="2">
        <v>1</v>
      </c>
      <c r="M3468" s="24" t="s">
        <v>5971</v>
      </c>
      <c r="N3468" s="2" t="s">
        <v>23</v>
      </c>
      <c r="O3468" s="18" t="s">
        <v>2681</v>
      </c>
      <c r="P3468" s="18" t="s">
        <v>3781</v>
      </c>
      <c r="Q3468" s="6" t="s">
        <v>4475</v>
      </c>
      <c r="T3468" s="23">
        <v>44804</v>
      </c>
      <c r="U3468" s="23">
        <v>45902</v>
      </c>
      <c r="X3468" s="20">
        <v>8855</v>
      </c>
      <c r="Z3468" s="6" t="s">
        <v>5978</v>
      </c>
      <c r="AA3468" s="13">
        <f t="shared" si="459"/>
        <v>5.6000000000000006E-4</v>
      </c>
      <c r="AB3468">
        <v>1.6022888000000002</v>
      </c>
      <c r="AC3468">
        <v>1.6663803520000002</v>
      </c>
    </row>
    <row r="3469" spans="1:29" x14ac:dyDescent="0.3">
      <c r="A3469">
        <v>148557</v>
      </c>
      <c r="B3469" s="25" t="s">
        <v>5984</v>
      </c>
      <c r="C3469" t="s">
        <v>20</v>
      </c>
      <c r="D3469" t="s">
        <v>21</v>
      </c>
      <c r="E3469">
        <v>2222222</v>
      </c>
      <c r="F3469" s="8" t="s">
        <v>22</v>
      </c>
      <c r="G3469" s="2">
        <v>98</v>
      </c>
      <c r="H3469" t="s">
        <v>4435</v>
      </c>
      <c r="J3469" s="9" t="s">
        <v>4815</v>
      </c>
      <c r="K3469" t="s">
        <v>5784</v>
      </c>
      <c r="L3469" s="2">
        <v>1</v>
      </c>
      <c r="M3469" s="24" t="s">
        <v>5971</v>
      </c>
      <c r="N3469" s="2" t="s">
        <v>23</v>
      </c>
      <c r="O3469" s="18" t="s">
        <v>2682</v>
      </c>
      <c r="P3469" s="18" t="s">
        <v>0</v>
      </c>
      <c r="Q3469" s="6" t="s">
        <v>4475</v>
      </c>
      <c r="T3469" s="23">
        <v>45676</v>
      </c>
      <c r="U3469" s="23">
        <v>48218</v>
      </c>
      <c r="X3469" s="20">
        <v>30000</v>
      </c>
      <c r="Z3469" s="6" t="s">
        <v>5978</v>
      </c>
      <c r="AA3469" s="14">
        <f t="shared" ref="AA3469:AA3472" si="460">+(0.6/1000)</f>
        <v>5.9999999999999995E-4</v>
      </c>
      <c r="AB3469">
        <v>15.493517999999998</v>
      </c>
      <c r="AC3469">
        <v>16.113258719999997</v>
      </c>
    </row>
    <row r="3470" spans="1:29" x14ac:dyDescent="0.3">
      <c r="A3470">
        <v>150441</v>
      </c>
      <c r="B3470" s="25" t="s">
        <v>5984</v>
      </c>
      <c r="C3470" t="s">
        <v>20</v>
      </c>
      <c r="D3470" t="s">
        <v>21</v>
      </c>
      <c r="E3470">
        <v>2222222</v>
      </c>
      <c r="F3470" s="8" t="s">
        <v>22</v>
      </c>
      <c r="G3470" s="2">
        <v>98</v>
      </c>
      <c r="H3470" t="s">
        <v>4436</v>
      </c>
      <c r="J3470" s="9" t="s">
        <v>5785</v>
      </c>
      <c r="K3470" t="s">
        <v>4891</v>
      </c>
      <c r="L3470" s="2">
        <v>1</v>
      </c>
      <c r="M3470" s="24" t="s">
        <v>5971</v>
      </c>
      <c r="N3470" s="2" t="s">
        <v>23</v>
      </c>
      <c r="O3470" s="18" t="s">
        <v>2683</v>
      </c>
      <c r="P3470" s="18" t="s">
        <v>3781</v>
      </c>
      <c r="Q3470" s="6" t="s">
        <v>4475</v>
      </c>
      <c r="T3470" s="23">
        <v>46106</v>
      </c>
      <c r="U3470" s="23">
        <v>47446</v>
      </c>
      <c r="X3470" s="20">
        <v>8500</v>
      </c>
      <c r="Z3470" s="6" t="s">
        <v>5978</v>
      </c>
      <c r="AA3470" s="14">
        <f t="shared" si="460"/>
        <v>5.9999999999999995E-4</v>
      </c>
      <c r="AB3470">
        <v>3.2279580000000001</v>
      </c>
      <c r="AC3470">
        <v>3.35707632</v>
      </c>
    </row>
    <row r="3471" spans="1:29" x14ac:dyDescent="0.3">
      <c r="A3471">
        <v>147042</v>
      </c>
      <c r="B3471" s="25" t="s">
        <v>5984</v>
      </c>
      <c r="C3471" t="s">
        <v>20</v>
      </c>
      <c r="D3471" t="s">
        <v>21</v>
      </c>
      <c r="E3471">
        <v>2222222</v>
      </c>
      <c r="F3471" s="8" t="s">
        <v>22</v>
      </c>
      <c r="G3471" s="2">
        <v>98</v>
      </c>
      <c r="H3471" t="s">
        <v>4437</v>
      </c>
      <c r="J3471" s="9" t="s">
        <v>5024</v>
      </c>
      <c r="K3471" t="s">
        <v>5134</v>
      </c>
      <c r="L3471" s="2">
        <v>1</v>
      </c>
      <c r="M3471" s="24" t="s">
        <v>5971</v>
      </c>
      <c r="N3471" s="2" t="s">
        <v>23</v>
      </c>
      <c r="O3471" s="18" t="s">
        <v>2684</v>
      </c>
      <c r="P3471" s="18" t="s">
        <v>0</v>
      </c>
      <c r="Q3471" s="6" t="s">
        <v>4475</v>
      </c>
      <c r="T3471" s="23">
        <v>45865</v>
      </c>
      <c r="U3471" s="23">
        <v>46960</v>
      </c>
      <c r="X3471" s="20">
        <v>12000</v>
      </c>
      <c r="Z3471" s="6" t="s">
        <v>5978</v>
      </c>
      <c r="AA3471" s="14">
        <f t="shared" si="460"/>
        <v>5.9999999999999995E-4</v>
      </c>
      <c r="AB3471">
        <v>5.0820059999999998</v>
      </c>
      <c r="AC3471">
        <v>5.2852862399999996</v>
      </c>
    </row>
    <row r="3472" spans="1:29" x14ac:dyDescent="0.3">
      <c r="A3472">
        <v>149649</v>
      </c>
      <c r="B3472" s="25" t="s">
        <v>5984</v>
      </c>
      <c r="C3472" t="s">
        <v>20</v>
      </c>
      <c r="D3472" t="s">
        <v>21</v>
      </c>
      <c r="E3472">
        <v>2222222</v>
      </c>
      <c r="F3472" s="8" t="s">
        <v>22</v>
      </c>
      <c r="G3472" s="2">
        <v>98</v>
      </c>
      <c r="H3472" t="s">
        <v>4438</v>
      </c>
      <c r="J3472" s="9" t="s">
        <v>4920</v>
      </c>
      <c r="K3472" t="s">
        <v>4919</v>
      </c>
      <c r="L3472" s="2">
        <v>1</v>
      </c>
      <c r="M3472" s="24" t="s">
        <v>5971</v>
      </c>
      <c r="N3472" s="2" t="s">
        <v>23</v>
      </c>
      <c r="O3472" s="18" t="s">
        <v>2685</v>
      </c>
      <c r="P3472" s="18" t="s">
        <v>0</v>
      </c>
      <c r="Q3472" s="6" t="s">
        <v>4475</v>
      </c>
      <c r="T3472" s="23">
        <v>46038</v>
      </c>
      <c r="U3472" s="23">
        <v>46341</v>
      </c>
      <c r="X3472" s="20">
        <v>780</v>
      </c>
      <c r="Z3472" s="6" t="s">
        <v>5978</v>
      </c>
      <c r="AA3472" s="14">
        <f t="shared" si="460"/>
        <v>5.9999999999999995E-4</v>
      </c>
      <c r="AB3472">
        <v>0.19471799999999997</v>
      </c>
      <c r="AC3472">
        <v>0.20250671999999997</v>
      </c>
    </row>
    <row r="3473" spans="1:29" x14ac:dyDescent="0.3">
      <c r="A3473">
        <v>136342</v>
      </c>
      <c r="B3473" s="25" t="s">
        <v>5984</v>
      </c>
      <c r="C3473" t="s">
        <v>20</v>
      </c>
      <c r="D3473" t="s">
        <v>21</v>
      </c>
      <c r="E3473">
        <v>2222222</v>
      </c>
      <c r="F3473" s="8" t="s">
        <v>22</v>
      </c>
      <c r="G3473" s="2">
        <v>98</v>
      </c>
      <c r="H3473" t="s">
        <v>4439</v>
      </c>
      <c r="J3473" s="9" t="s">
        <v>4182</v>
      </c>
      <c r="K3473" t="s">
        <v>5786</v>
      </c>
      <c r="L3473" s="2">
        <v>1</v>
      </c>
      <c r="M3473" s="24" t="s">
        <v>5971</v>
      </c>
      <c r="N3473" s="2" t="s">
        <v>23</v>
      </c>
      <c r="O3473" s="18" t="s">
        <v>2686</v>
      </c>
      <c r="P3473" s="18" t="s">
        <v>0</v>
      </c>
      <c r="Q3473" s="6" t="s">
        <v>4475</v>
      </c>
      <c r="T3473" s="23">
        <v>45169</v>
      </c>
      <c r="U3473" s="23">
        <v>46631</v>
      </c>
      <c r="X3473" s="20">
        <v>10000</v>
      </c>
      <c r="Z3473" s="6" t="s">
        <v>5978</v>
      </c>
      <c r="AA3473" s="13">
        <f>+(0.56/1000)</f>
        <v>5.6000000000000006E-4</v>
      </c>
      <c r="AB3473">
        <v>4.990445600000001</v>
      </c>
      <c r="AC3473">
        <v>5.1900634240000016</v>
      </c>
    </row>
    <row r="3474" spans="1:29" x14ac:dyDescent="0.3">
      <c r="A3474">
        <v>127240</v>
      </c>
      <c r="B3474" s="25" t="s">
        <v>5984</v>
      </c>
      <c r="C3474" t="s">
        <v>20</v>
      </c>
      <c r="D3474" t="s">
        <v>21</v>
      </c>
      <c r="E3474">
        <v>2222222</v>
      </c>
      <c r="F3474" s="8" t="s">
        <v>22</v>
      </c>
      <c r="G3474" s="2">
        <v>98</v>
      </c>
      <c r="H3474" t="s">
        <v>4440</v>
      </c>
      <c r="J3474" s="9" t="s">
        <v>5020</v>
      </c>
      <c r="K3474" t="s">
        <v>4949</v>
      </c>
      <c r="L3474" s="2">
        <v>1</v>
      </c>
      <c r="M3474" s="24" t="s">
        <v>5971</v>
      </c>
      <c r="N3474" s="2" t="s">
        <v>23</v>
      </c>
      <c r="O3474" s="18" t="s">
        <v>2687</v>
      </c>
      <c r="P3474" s="18" t="s">
        <v>0</v>
      </c>
      <c r="Q3474" s="6" t="s">
        <v>4475</v>
      </c>
      <c r="T3474" s="23">
        <v>44659</v>
      </c>
      <c r="U3474" s="23">
        <v>44749</v>
      </c>
      <c r="X3474" s="20">
        <v>4910</v>
      </c>
      <c r="Z3474" s="6" t="s">
        <v>5978</v>
      </c>
      <c r="AA3474" s="15">
        <f>+(0.42/1000)</f>
        <v>4.1999999999999996E-4</v>
      </c>
      <c r="AB3474">
        <v>2.0621999999999998</v>
      </c>
      <c r="AC3474">
        <v>2.1446879999999999</v>
      </c>
    </row>
    <row r="3475" spans="1:29" x14ac:dyDescent="0.3">
      <c r="A3475">
        <v>136664</v>
      </c>
      <c r="B3475" s="25" t="s">
        <v>5984</v>
      </c>
      <c r="C3475" t="s">
        <v>20</v>
      </c>
      <c r="D3475" t="s">
        <v>21</v>
      </c>
      <c r="E3475">
        <v>2222222</v>
      </c>
      <c r="F3475" s="8" t="s">
        <v>22</v>
      </c>
      <c r="G3475" s="2">
        <v>98</v>
      </c>
      <c r="H3475" t="s">
        <v>4441</v>
      </c>
      <c r="J3475" s="9" t="s">
        <v>4825</v>
      </c>
      <c r="K3475" t="s">
        <v>4841</v>
      </c>
      <c r="L3475" s="2">
        <v>1</v>
      </c>
      <c r="M3475" s="24" t="s">
        <v>5971</v>
      </c>
      <c r="N3475" s="2" t="s">
        <v>23</v>
      </c>
      <c r="O3475" s="18" t="s">
        <v>2688</v>
      </c>
      <c r="P3475" s="18" t="s">
        <v>0</v>
      </c>
      <c r="Q3475" s="6" t="s">
        <v>4475</v>
      </c>
      <c r="T3475" s="23">
        <v>45197</v>
      </c>
      <c r="U3475" s="23">
        <v>48122</v>
      </c>
      <c r="X3475" s="20">
        <v>15500</v>
      </c>
      <c r="Z3475" s="6" t="s">
        <v>5978</v>
      </c>
      <c r="AA3475" s="13">
        <f>+(0.56/1000)</f>
        <v>5.6000000000000006E-4</v>
      </c>
      <c r="AB3475">
        <v>6.8365472000000009</v>
      </c>
      <c r="AC3475">
        <v>7.1100090880000009</v>
      </c>
    </row>
    <row r="3476" spans="1:29" x14ac:dyDescent="0.3">
      <c r="A3476">
        <v>146327</v>
      </c>
      <c r="B3476" s="25" t="s">
        <v>5984</v>
      </c>
      <c r="C3476" t="s">
        <v>20</v>
      </c>
      <c r="D3476" t="s">
        <v>21</v>
      </c>
      <c r="E3476">
        <v>2222222</v>
      </c>
      <c r="F3476" s="8" t="s">
        <v>22</v>
      </c>
      <c r="G3476" s="2">
        <v>98</v>
      </c>
      <c r="H3476" t="s">
        <v>4441</v>
      </c>
      <c r="J3476" s="9" t="s">
        <v>5265</v>
      </c>
      <c r="K3476" t="s">
        <v>5297</v>
      </c>
      <c r="L3476" s="2">
        <v>1</v>
      </c>
      <c r="M3476" s="24" t="s">
        <v>5971</v>
      </c>
      <c r="N3476" s="2" t="s">
        <v>23</v>
      </c>
      <c r="O3476" s="18" t="s">
        <v>2689</v>
      </c>
      <c r="P3476" s="18" t="s">
        <v>0</v>
      </c>
      <c r="Q3476" s="6" t="s">
        <v>4475</v>
      </c>
      <c r="T3476" s="23">
        <v>45813</v>
      </c>
      <c r="U3476" s="23">
        <v>48004</v>
      </c>
      <c r="X3476" s="20">
        <v>15000</v>
      </c>
      <c r="Z3476" s="6" t="s">
        <v>5978</v>
      </c>
      <c r="AA3476" s="14">
        <f t="shared" ref="AA3476:AA3480" si="461">+(0.6/1000)</f>
        <v>5.9999999999999995E-4</v>
      </c>
      <c r="AB3476">
        <v>7.8828119999999995</v>
      </c>
      <c r="AC3476">
        <v>8.1981244800000006</v>
      </c>
    </row>
    <row r="3477" spans="1:29" x14ac:dyDescent="0.3">
      <c r="A3477">
        <v>151730</v>
      </c>
      <c r="B3477" s="25" t="s">
        <v>5984</v>
      </c>
      <c r="C3477" t="s">
        <v>20</v>
      </c>
      <c r="D3477" t="s">
        <v>21</v>
      </c>
      <c r="E3477">
        <v>2222222</v>
      </c>
      <c r="F3477" s="8" t="s">
        <v>22</v>
      </c>
      <c r="G3477" s="2">
        <v>98</v>
      </c>
      <c r="H3477" t="s">
        <v>4441</v>
      </c>
      <c r="J3477" s="9" t="s">
        <v>5265</v>
      </c>
      <c r="K3477" t="s">
        <v>5297</v>
      </c>
      <c r="L3477" s="2">
        <v>1</v>
      </c>
      <c r="M3477" s="24" t="s">
        <v>5971</v>
      </c>
      <c r="N3477" s="2" t="s">
        <v>23</v>
      </c>
      <c r="O3477" s="18" t="s">
        <v>2689</v>
      </c>
      <c r="P3477" s="18" t="s">
        <v>0</v>
      </c>
      <c r="Q3477" s="6" t="s">
        <v>4475</v>
      </c>
      <c r="T3477" s="23">
        <v>46184</v>
      </c>
      <c r="U3477" s="23">
        <v>46274</v>
      </c>
      <c r="X3477" s="20">
        <v>4060</v>
      </c>
      <c r="Z3477" s="6" t="s">
        <v>5978</v>
      </c>
      <c r="AA3477" s="14">
        <f t="shared" si="461"/>
        <v>5.9999999999999995E-4</v>
      </c>
      <c r="AB3477">
        <v>2.4359999999999999</v>
      </c>
      <c r="AC3477">
        <v>2.5334400000000001</v>
      </c>
    </row>
    <row r="3478" spans="1:29" x14ac:dyDescent="0.3">
      <c r="A3478">
        <v>151747</v>
      </c>
      <c r="B3478" s="25" t="s">
        <v>5984</v>
      </c>
      <c r="C3478" t="s">
        <v>20</v>
      </c>
      <c r="D3478" t="s">
        <v>21</v>
      </c>
      <c r="E3478">
        <v>2222222</v>
      </c>
      <c r="F3478" s="8" t="s">
        <v>22</v>
      </c>
      <c r="G3478" s="2">
        <v>98</v>
      </c>
      <c r="H3478" t="s">
        <v>4441</v>
      </c>
      <c r="J3478" s="9" t="s">
        <v>5139</v>
      </c>
      <c r="K3478" t="s">
        <v>5075</v>
      </c>
      <c r="L3478" s="2">
        <v>1</v>
      </c>
      <c r="M3478" s="24" t="s">
        <v>5971</v>
      </c>
      <c r="N3478" s="2" t="s">
        <v>23</v>
      </c>
      <c r="O3478" s="18" t="s">
        <v>2690</v>
      </c>
      <c r="P3478" s="18" t="s">
        <v>3781</v>
      </c>
      <c r="Q3478" s="6" t="s">
        <v>4475</v>
      </c>
      <c r="T3478" s="23">
        <v>46185</v>
      </c>
      <c r="U3478" s="23">
        <v>46275</v>
      </c>
      <c r="X3478" s="20">
        <v>2255</v>
      </c>
      <c r="Z3478" s="6" t="s">
        <v>5978</v>
      </c>
      <c r="AA3478" s="14">
        <f t="shared" si="461"/>
        <v>5.9999999999999995E-4</v>
      </c>
      <c r="AB3478">
        <v>1.353</v>
      </c>
      <c r="AC3478">
        <v>1.4071199999999999</v>
      </c>
    </row>
    <row r="3479" spans="1:29" x14ac:dyDescent="0.3">
      <c r="A3479">
        <v>152295</v>
      </c>
      <c r="B3479" s="25" t="s">
        <v>5984</v>
      </c>
      <c r="C3479" t="s">
        <v>20</v>
      </c>
      <c r="D3479" t="s">
        <v>21</v>
      </c>
      <c r="E3479">
        <v>2222222</v>
      </c>
      <c r="F3479" s="8" t="s">
        <v>22</v>
      </c>
      <c r="G3479" s="2">
        <v>98</v>
      </c>
      <c r="H3479" t="s">
        <v>4441</v>
      </c>
      <c r="J3479" s="9" t="s">
        <v>5139</v>
      </c>
      <c r="K3479" t="s">
        <v>5075</v>
      </c>
      <c r="L3479" s="2">
        <v>1</v>
      </c>
      <c r="M3479" s="24" t="s">
        <v>5971</v>
      </c>
      <c r="N3479" s="2" t="s">
        <v>23</v>
      </c>
      <c r="O3479" s="18" t="s">
        <v>2690</v>
      </c>
      <c r="P3479" s="18" t="s">
        <v>3781</v>
      </c>
      <c r="Q3479" s="6" t="s">
        <v>4475</v>
      </c>
      <c r="T3479" s="23">
        <v>46225</v>
      </c>
      <c r="U3479" s="23">
        <v>46315</v>
      </c>
      <c r="X3479" s="20">
        <v>4980</v>
      </c>
      <c r="Z3479" s="6" t="s">
        <v>5978</v>
      </c>
      <c r="AA3479" s="14">
        <f t="shared" si="461"/>
        <v>5.9999999999999995E-4</v>
      </c>
      <c r="AB3479">
        <v>2.9879999999999995</v>
      </c>
      <c r="AC3479">
        <v>3.1075199999999996</v>
      </c>
    </row>
    <row r="3480" spans="1:29" x14ac:dyDescent="0.3">
      <c r="A3480">
        <v>152311</v>
      </c>
      <c r="B3480" s="25" t="s">
        <v>5984</v>
      </c>
      <c r="C3480" t="s">
        <v>20</v>
      </c>
      <c r="D3480" t="s">
        <v>21</v>
      </c>
      <c r="E3480">
        <v>2222222</v>
      </c>
      <c r="F3480" s="8" t="s">
        <v>22</v>
      </c>
      <c r="G3480" s="2">
        <v>98</v>
      </c>
      <c r="H3480" t="s">
        <v>4441</v>
      </c>
      <c r="J3480" s="9" t="s">
        <v>4967</v>
      </c>
      <c r="K3480" t="s">
        <v>5181</v>
      </c>
      <c r="L3480" s="2">
        <v>1</v>
      </c>
      <c r="M3480" s="24" t="s">
        <v>5971</v>
      </c>
      <c r="N3480" s="2" t="s">
        <v>23</v>
      </c>
      <c r="O3480" s="18" t="s">
        <v>2691</v>
      </c>
      <c r="P3480" s="18" t="s">
        <v>3781</v>
      </c>
      <c r="Q3480" s="6" t="s">
        <v>4475</v>
      </c>
      <c r="T3480" s="23">
        <v>46227</v>
      </c>
      <c r="U3480" s="23">
        <v>46317</v>
      </c>
      <c r="X3480" s="20">
        <v>2375</v>
      </c>
      <c r="Z3480" s="6" t="s">
        <v>5978</v>
      </c>
      <c r="AA3480" s="14">
        <f t="shared" si="461"/>
        <v>5.9999999999999995E-4</v>
      </c>
      <c r="AB3480">
        <v>1.4249999999999998</v>
      </c>
      <c r="AC3480">
        <v>1.4819999999999998</v>
      </c>
    </row>
    <row r="3481" spans="1:29" x14ac:dyDescent="0.3">
      <c r="A3481">
        <v>134744</v>
      </c>
      <c r="B3481" s="25" t="s">
        <v>5984</v>
      </c>
      <c r="C3481" t="s">
        <v>20</v>
      </c>
      <c r="D3481" t="s">
        <v>21</v>
      </c>
      <c r="E3481">
        <v>2222222</v>
      </c>
      <c r="F3481" s="8" t="s">
        <v>22</v>
      </c>
      <c r="G3481" s="2">
        <v>98</v>
      </c>
      <c r="H3481" t="s">
        <v>4442</v>
      </c>
      <c r="J3481" s="9" t="s">
        <v>5204</v>
      </c>
      <c r="K3481" t="s">
        <v>4900</v>
      </c>
      <c r="L3481" s="2">
        <v>1</v>
      </c>
      <c r="M3481" s="24" t="s">
        <v>5971</v>
      </c>
      <c r="N3481" s="2" t="s">
        <v>23</v>
      </c>
      <c r="O3481" s="18" t="s">
        <v>2692</v>
      </c>
      <c r="P3481" s="18" t="s">
        <v>0</v>
      </c>
      <c r="Q3481" s="6" t="s">
        <v>4475</v>
      </c>
      <c r="T3481" s="23">
        <v>45093</v>
      </c>
      <c r="U3481" s="23">
        <v>47650</v>
      </c>
      <c r="X3481" s="20">
        <v>51600</v>
      </c>
      <c r="Z3481" s="6" t="s">
        <v>5978</v>
      </c>
      <c r="AA3481" s="13">
        <f t="shared" ref="AA3481:AA3482" si="462">+(0.56/1000)</f>
        <v>5.6000000000000006E-4</v>
      </c>
      <c r="AB3481">
        <v>20.013470399999999</v>
      </c>
      <c r="AC3481">
        <v>20.814009215999999</v>
      </c>
    </row>
    <row r="3482" spans="1:29" x14ac:dyDescent="0.3">
      <c r="A3482">
        <v>138365</v>
      </c>
      <c r="B3482" s="25" t="s">
        <v>5984</v>
      </c>
      <c r="C3482" t="s">
        <v>20</v>
      </c>
      <c r="D3482" t="s">
        <v>21</v>
      </c>
      <c r="E3482">
        <v>2222222</v>
      </c>
      <c r="F3482" s="8" t="s">
        <v>22</v>
      </c>
      <c r="G3482" s="2">
        <v>98</v>
      </c>
      <c r="H3482" t="s">
        <v>4442</v>
      </c>
      <c r="J3482" s="9" t="s">
        <v>4836</v>
      </c>
      <c r="K3482" t="s">
        <v>5019</v>
      </c>
      <c r="L3482" s="2">
        <v>1</v>
      </c>
      <c r="M3482" s="24" t="s">
        <v>5971</v>
      </c>
      <c r="N3482" s="2" t="s">
        <v>23</v>
      </c>
      <c r="O3482" s="18" t="s">
        <v>2693</v>
      </c>
      <c r="P3482" s="18" t="s">
        <v>3781</v>
      </c>
      <c r="Q3482" s="6" t="s">
        <v>4475</v>
      </c>
      <c r="T3482" s="23">
        <v>45273</v>
      </c>
      <c r="U3482" s="23">
        <v>46824</v>
      </c>
      <c r="X3482" s="20">
        <v>5000</v>
      </c>
      <c r="Z3482" s="6" t="s">
        <v>5978</v>
      </c>
      <c r="AA3482" s="13">
        <f t="shared" si="462"/>
        <v>5.6000000000000006E-4</v>
      </c>
      <c r="AB3482">
        <v>1.4282072000000001</v>
      </c>
      <c r="AC3482">
        <v>1.4853354880000003</v>
      </c>
    </row>
    <row r="3483" spans="1:29" x14ac:dyDescent="0.3">
      <c r="A3483">
        <v>144121</v>
      </c>
      <c r="B3483" s="25" t="s">
        <v>5984</v>
      </c>
      <c r="C3483" t="s">
        <v>20</v>
      </c>
      <c r="D3483" t="s">
        <v>21</v>
      </c>
      <c r="E3483">
        <v>2222222</v>
      </c>
      <c r="F3483" s="8" t="s">
        <v>22</v>
      </c>
      <c r="G3483" s="2">
        <v>98</v>
      </c>
      <c r="H3483" t="s">
        <v>4442</v>
      </c>
      <c r="J3483" s="9" t="s">
        <v>4936</v>
      </c>
      <c r="K3483" t="s">
        <v>5064</v>
      </c>
      <c r="L3483" s="2">
        <v>1</v>
      </c>
      <c r="M3483" s="24" t="s">
        <v>5971</v>
      </c>
      <c r="N3483" s="2" t="s">
        <v>23</v>
      </c>
      <c r="O3483" s="18" t="s">
        <v>2694</v>
      </c>
      <c r="P3483" s="18" t="s">
        <v>0</v>
      </c>
      <c r="Q3483" s="6" t="s">
        <v>4475</v>
      </c>
      <c r="T3483" s="23">
        <v>45639</v>
      </c>
      <c r="U3483" s="23">
        <v>46003</v>
      </c>
      <c r="X3483" s="20">
        <v>1500</v>
      </c>
      <c r="Z3483" s="6" t="s">
        <v>5978</v>
      </c>
      <c r="AA3483" s="14">
        <f t="shared" ref="AA3483:AA3486" si="463">+(0.6/1000)</f>
        <v>5.9999999999999995E-4</v>
      </c>
      <c r="AB3483">
        <v>0.10740599999999999</v>
      </c>
      <c r="AC3483">
        <v>0.11170223999999999</v>
      </c>
    </row>
    <row r="3484" spans="1:29" x14ac:dyDescent="0.3">
      <c r="A3484">
        <v>146883</v>
      </c>
      <c r="B3484" s="25" t="s">
        <v>5984</v>
      </c>
      <c r="C3484" t="s">
        <v>20</v>
      </c>
      <c r="D3484" t="s">
        <v>21</v>
      </c>
      <c r="E3484">
        <v>2222222</v>
      </c>
      <c r="F3484" s="8" t="s">
        <v>22</v>
      </c>
      <c r="G3484" s="2">
        <v>98</v>
      </c>
      <c r="H3484" t="s">
        <v>4442</v>
      </c>
      <c r="J3484" s="9" t="s">
        <v>5280</v>
      </c>
      <c r="K3484" t="s">
        <v>4924</v>
      </c>
      <c r="L3484" s="2">
        <v>1</v>
      </c>
      <c r="M3484" s="24" t="s">
        <v>5971</v>
      </c>
      <c r="N3484" s="2" t="s">
        <v>23</v>
      </c>
      <c r="O3484" s="18" t="s">
        <v>2695</v>
      </c>
      <c r="P3484" s="18" t="s">
        <v>3781</v>
      </c>
      <c r="Q3484" s="6" t="s">
        <v>4475</v>
      </c>
      <c r="T3484" s="23">
        <v>45883</v>
      </c>
      <c r="U3484" s="23">
        <v>49534</v>
      </c>
      <c r="X3484" s="20">
        <v>100000</v>
      </c>
      <c r="Z3484" s="6" t="s">
        <v>5978</v>
      </c>
      <c r="AA3484" s="14">
        <f t="shared" si="463"/>
        <v>5.9999999999999995E-4</v>
      </c>
      <c r="AB3484">
        <v>57.434765999999996</v>
      </c>
      <c r="AC3484">
        <v>59.732156639999999</v>
      </c>
    </row>
    <row r="3485" spans="1:29" x14ac:dyDescent="0.3">
      <c r="A3485">
        <v>141212</v>
      </c>
      <c r="B3485" s="25" t="s">
        <v>5984</v>
      </c>
      <c r="C3485" t="s">
        <v>20</v>
      </c>
      <c r="D3485" t="s">
        <v>21</v>
      </c>
      <c r="E3485">
        <v>2222222</v>
      </c>
      <c r="F3485" s="8" t="s">
        <v>22</v>
      </c>
      <c r="G3485" s="2">
        <v>98</v>
      </c>
      <c r="H3485" t="s">
        <v>4443</v>
      </c>
      <c r="J3485" s="9" t="s">
        <v>4836</v>
      </c>
      <c r="K3485" t="s">
        <v>4829</v>
      </c>
      <c r="L3485" s="2">
        <v>1</v>
      </c>
      <c r="M3485" s="24" t="s">
        <v>5971</v>
      </c>
      <c r="N3485" s="2" t="s">
        <v>23</v>
      </c>
      <c r="O3485" s="18" t="s">
        <v>2696</v>
      </c>
      <c r="P3485" s="18" t="s">
        <v>3781</v>
      </c>
      <c r="Q3485" s="6" t="s">
        <v>4475</v>
      </c>
      <c r="T3485" s="23">
        <v>45441</v>
      </c>
      <c r="U3485" s="23">
        <v>46535</v>
      </c>
      <c r="X3485" s="20">
        <v>6200</v>
      </c>
      <c r="Z3485" s="6" t="s">
        <v>5978</v>
      </c>
      <c r="AA3485" s="14">
        <f t="shared" si="463"/>
        <v>5.9999999999999995E-4</v>
      </c>
      <c r="AB3485">
        <v>1.2187919999999999</v>
      </c>
      <c r="AC3485">
        <v>1.26754368</v>
      </c>
    </row>
    <row r="3486" spans="1:29" x14ac:dyDescent="0.3">
      <c r="A3486">
        <v>144471</v>
      </c>
      <c r="B3486" s="25" t="s">
        <v>5984</v>
      </c>
      <c r="C3486" t="s">
        <v>20</v>
      </c>
      <c r="D3486" t="s">
        <v>21</v>
      </c>
      <c r="E3486">
        <v>2222222</v>
      </c>
      <c r="F3486" s="8" t="s">
        <v>22</v>
      </c>
      <c r="G3486" s="2">
        <v>98</v>
      </c>
      <c r="H3486" t="s">
        <v>4443</v>
      </c>
      <c r="J3486" s="9" t="s">
        <v>4836</v>
      </c>
      <c r="K3486" t="s">
        <v>4829</v>
      </c>
      <c r="L3486" s="2">
        <v>1</v>
      </c>
      <c r="M3486" s="24" t="s">
        <v>5971</v>
      </c>
      <c r="N3486" s="2" t="s">
        <v>23</v>
      </c>
      <c r="O3486" s="18" t="s">
        <v>2696</v>
      </c>
      <c r="P3486" s="18" t="s">
        <v>3781</v>
      </c>
      <c r="Q3486" s="6" t="s">
        <v>4475</v>
      </c>
      <c r="T3486" s="23">
        <v>45665</v>
      </c>
      <c r="U3486" s="23">
        <v>46394</v>
      </c>
      <c r="X3486" s="20">
        <v>4000</v>
      </c>
      <c r="Z3486" s="6" t="s">
        <v>5978</v>
      </c>
      <c r="AA3486" s="14">
        <f t="shared" si="463"/>
        <v>5.9999999999999995E-4</v>
      </c>
      <c r="AB3486">
        <v>0.676176</v>
      </c>
      <c r="AC3486">
        <v>0.70322304000000002</v>
      </c>
    </row>
    <row r="3487" spans="1:29" x14ac:dyDescent="0.3">
      <c r="A3487">
        <v>117064</v>
      </c>
      <c r="B3487" s="25" t="s">
        <v>5984</v>
      </c>
      <c r="C3487" t="s">
        <v>20</v>
      </c>
      <c r="D3487" t="s">
        <v>21</v>
      </c>
      <c r="E3487">
        <v>2222222</v>
      </c>
      <c r="F3487" s="8" t="s">
        <v>22</v>
      </c>
      <c r="G3487" s="2">
        <v>98</v>
      </c>
      <c r="H3487" t="s">
        <v>4444</v>
      </c>
      <c r="J3487" s="9" t="s">
        <v>4830</v>
      </c>
      <c r="K3487" t="s">
        <v>4352</v>
      </c>
      <c r="L3487" s="2">
        <v>1</v>
      </c>
      <c r="M3487" s="24" t="s">
        <v>5971</v>
      </c>
      <c r="N3487" s="2" t="s">
        <v>23</v>
      </c>
      <c r="O3487" s="18" t="s">
        <v>2697</v>
      </c>
      <c r="P3487" s="18" t="s">
        <v>3781</v>
      </c>
      <c r="Q3487" s="6" t="s">
        <v>4475</v>
      </c>
      <c r="T3487" s="23">
        <v>44165</v>
      </c>
      <c r="U3487" s="23">
        <v>45274</v>
      </c>
      <c r="X3487" s="20">
        <v>5765</v>
      </c>
      <c r="Z3487" s="6" t="s">
        <v>5978</v>
      </c>
      <c r="AA3487" s="15">
        <f>+(0.42/1000)</f>
        <v>4.1999999999999996E-4</v>
      </c>
      <c r="AB3487">
        <v>1.8334302</v>
      </c>
      <c r="AC3487">
        <v>1.9067674080000001</v>
      </c>
    </row>
    <row r="3488" spans="1:29" x14ac:dyDescent="0.3">
      <c r="A3488">
        <v>143699</v>
      </c>
      <c r="B3488" s="25" t="s">
        <v>5984</v>
      </c>
      <c r="C3488" t="s">
        <v>20</v>
      </c>
      <c r="D3488" t="s">
        <v>21</v>
      </c>
      <c r="E3488">
        <v>2222222</v>
      </c>
      <c r="F3488" s="8" t="s">
        <v>22</v>
      </c>
      <c r="G3488" s="2">
        <v>98</v>
      </c>
      <c r="H3488" t="s">
        <v>4445</v>
      </c>
      <c r="J3488" s="9" t="s">
        <v>5122</v>
      </c>
      <c r="K3488" t="s">
        <v>5326</v>
      </c>
      <c r="L3488" s="2">
        <v>1</v>
      </c>
      <c r="M3488" s="24" t="s">
        <v>5971</v>
      </c>
      <c r="N3488" s="2" t="s">
        <v>23</v>
      </c>
      <c r="O3488" s="18" t="s">
        <v>2638</v>
      </c>
      <c r="P3488" s="18" t="s">
        <v>3781</v>
      </c>
      <c r="Q3488" s="6" t="s">
        <v>4475</v>
      </c>
      <c r="T3488" s="23">
        <v>45615</v>
      </c>
      <c r="U3488" s="23">
        <v>49359</v>
      </c>
      <c r="X3488" s="20">
        <v>46800</v>
      </c>
      <c r="Z3488" s="6" t="s">
        <v>5978</v>
      </c>
      <c r="AA3488" s="14">
        <f t="shared" ref="AA3488:AA3493" si="464">+(0.6/1000)</f>
        <v>5.9999999999999995E-4</v>
      </c>
      <c r="AB3488">
        <v>26.083607999999998</v>
      </c>
      <c r="AC3488">
        <v>27.126952319999997</v>
      </c>
    </row>
    <row r="3489" spans="1:29" x14ac:dyDescent="0.3">
      <c r="A3489">
        <v>142881</v>
      </c>
      <c r="B3489" s="25" t="s">
        <v>5984</v>
      </c>
      <c r="C3489" t="s">
        <v>20</v>
      </c>
      <c r="D3489" t="s">
        <v>21</v>
      </c>
      <c r="E3489">
        <v>2222222</v>
      </c>
      <c r="F3489" s="8" t="s">
        <v>22</v>
      </c>
      <c r="G3489" s="2">
        <v>98</v>
      </c>
      <c r="H3489" t="s">
        <v>4446</v>
      </c>
      <c r="J3489" s="9" t="s">
        <v>5063</v>
      </c>
      <c r="K3489" t="s">
        <v>4949</v>
      </c>
      <c r="L3489" s="2">
        <v>1</v>
      </c>
      <c r="M3489" s="24" t="s">
        <v>5971</v>
      </c>
      <c r="N3489" s="2" t="s">
        <v>23</v>
      </c>
      <c r="O3489" s="18" t="s">
        <v>1212</v>
      </c>
      <c r="P3489" s="18" t="s">
        <v>0</v>
      </c>
      <c r="Q3489" s="6" t="s">
        <v>4475</v>
      </c>
      <c r="T3489" s="23">
        <v>45552</v>
      </c>
      <c r="U3489" s="23">
        <v>46282</v>
      </c>
      <c r="X3489" s="20">
        <v>4000</v>
      </c>
      <c r="Z3489" s="6" t="s">
        <v>5978</v>
      </c>
      <c r="AA3489" s="14">
        <f t="shared" si="464"/>
        <v>5.9999999999999995E-4</v>
      </c>
      <c r="AB3489">
        <v>0.23591999999999996</v>
      </c>
      <c r="AC3489">
        <v>0.24535679999999996</v>
      </c>
    </row>
    <row r="3490" spans="1:29" x14ac:dyDescent="0.3">
      <c r="A3490">
        <v>147048</v>
      </c>
      <c r="B3490" s="25" t="s">
        <v>5984</v>
      </c>
      <c r="C3490" t="s">
        <v>20</v>
      </c>
      <c r="D3490" t="s">
        <v>21</v>
      </c>
      <c r="E3490">
        <v>2222222</v>
      </c>
      <c r="F3490" s="8" t="s">
        <v>22</v>
      </c>
      <c r="G3490" s="2">
        <v>98</v>
      </c>
      <c r="H3490" t="s">
        <v>4447</v>
      </c>
      <c r="J3490" s="9" t="s">
        <v>4894</v>
      </c>
      <c r="K3490" t="s">
        <v>5089</v>
      </c>
      <c r="L3490" s="2">
        <v>1</v>
      </c>
      <c r="M3490" s="24" t="s">
        <v>5971</v>
      </c>
      <c r="N3490" s="2" t="s">
        <v>23</v>
      </c>
      <c r="O3490" s="18" t="s">
        <v>2698</v>
      </c>
      <c r="P3490" s="18" t="s">
        <v>0</v>
      </c>
      <c r="Q3490" s="6" t="s">
        <v>4475</v>
      </c>
      <c r="T3490" s="23">
        <v>45862</v>
      </c>
      <c r="U3490" s="23">
        <v>51340</v>
      </c>
      <c r="X3490" s="20">
        <v>100000</v>
      </c>
      <c r="Z3490" s="6" t="s">
        <v>5978</v>
      </c>
      <c r="AA3490" s="14">
        <f t="shared" si="464"/>
        <v>5.9999999999999995E-4</v>
      </c>
      <c r="AB3490">
        <v>58.556010000000001</v>
      </c>
      <c r="AC3490">
        <v>60.898250400000002</v>
      </c>
    </row>
    <row r="3491" spans="1:29" x14ac:dyDescent="0.3">
      <c r="A3491">
        <v>147075</v>
      </c>
      <c r="B3491" s="25" t="s">
        <v>5984</v>
      </c>
      <c r="C3491" t="s">
        <v>20</v>
      </c>
      <c r="D3491" t="s">
        <v>21</v>
      </c>
      <c r="E3491">
        <v>2222222</v>
      </c>
      <c r="F3491" s="8" t="s">
        <v>22</v>
      </c>
      <c r="G3491" s="2">
        <v>98</v>
      </c>
      <c r="H3491" t="s">
        <v>4447</v>
      </c>
      <c r="J3491" s="9" t="s">
        <v>4894</v>
      </c>
      <c r="K3491" t="s">
        <v>5089</v>
      </c>
      <c r="L3491" s="2">
        <v>1</v>
      </c>
      <c r="M3491" s="24" t="s">
        <v>5971</v>
      </c>
      <c r="N3491" s="2" t="s">
        <v>23</v>
      </c>
      <c r="O3491" s="18" t="s">
        <v>2698</v>
      </c>
      <c r="P3491" s="18" t="s">
        <v>0</v>
      </c>
      <c r="Q3491" s="6" t="s">
        <v>4475</v>
      </c>
      <c r="T3491" s="23">
        <v>45862</v>
      </c>
      <c r="U3491" s="23">
        <v>51340</v>
      </c>
      <c r="X3491" s="20">
        <v>25000</v>
      </c>
      <c r="Z3491" s="6" t="s">
        <v>5978</v>
      </c>
      <c r="AA3491" s="14">
        <f t="shared" si="464"/>
        <v>5.9999999999999995E-4</v>
      </c>
      <c r="AB3491">
        <v>14.638997999999999</v>
      </c>
      <c r="AC3491">
        <v>15.224557919999999</v>
      </c>
    </row>
    <row r="3492" spans="1:29" x14ac:dyDescent="0.3">
      <c r="A3492">
        <v>141517</v>
      </c>
      <c r="B3492" s="25" t="s">
        <v>5984</v>
      </c>
      <c r="C3492" t="s">
        <v>20</v>
      </c>
      <c r="D3492" t="s">
        <v>21</v>
      </c>
      <c r="E3492">
        <v>2222222</v>
      </c>
      <c r="F3492" s="8" t="s">
        <v>22</v>
      </c>
      <c r="G3492" s="2">
        <v>98</v>
      </c>
      <c r="H3492" t="s">
        <v>4448</v>
      </c>
      <c r="J3492" s="9" t="s">
        <v>5281</v>
      </c>
      <c r="K3492" t="s">
        <v>5010</v>
      </c>
      <c r="L3492" s="2">
        <v>1</v>
      </c>
      <c r="M3492" s="24" t="s">
        <v>5971</v>
      </c>
      <c r="N3492" s="2" t="s">
        <v>23</v>
      </c>
      <c r="O3492" s="18" t="s">
        <v>2699</v>
      </c>
      <c r="P3492" s="18" t="s">
        <v>0</v>
      </c>
      <c r="Q3492" s="6" t="s">
        <v>4475</v>
      </c>
      <c r="T3492" s="23">
        <v>45456</v>
      </c>
      <c r="U3492" s="23">
        <v>46551</v>
      </c>
      <c r="X3492" s="20">
        <v>6400</v>
      </c>
      <c r="Z3492" s="6" t="s">
        <v>5978</v>
      </c>
      <c r="AA3492" s="14">
        <f t="shared" si="464"/>
        <v>5.9999999999999995E-4</v>
      </c>
      <c r="AB3492">
        <v>1.3566119999999999</v>
      </c>
      <c r="AC3492">
        <v>1.41087648</v>
      </c>
    </row>
    <row r="3493" spans="1:29" x14ac:dyDescent="0.3">
      <c r="A3493">
        <v>151212</v>
      </c>
      <c r="B3493" s="25" t="s">
        <v>5984</v>
      </c>
      <c r="C3493" t="s">
        <v>20</v>
      </c>
      <c r="D3493" t="s">
        <v>21</v>
      </c>
      <c r="E3493">
        <v>2222222</v>
      </c>
      <c r="F3493" s="8" t="s">
        <v>22</v>
      </c>
      <c r="G3493" s="2">
        <v>98</v>
      </c>
      <c r="H3493" t="s">
        <v>4448</v>
      </c>
      <c r="J3493" s="9" t="s">
        <v>5055</v>
      </c>
      <c r="K3493" t="s">
        <v>4872</v>
      </c>
      <c r="L3493" s="2">
        <v>1</v>
      </c>
      <c r="M3493" s="24" t="s">
        <v>5971</v>
      </c>
      <c r="N3493" s="2" t="s">
        <v>23</v>
      </c>
      <c r="O3493" s="18" t="s">
        <v>2700</v>
      </c>
      <c r="P3493" s="18" t="s">
        <v>3781</v>
      </c>
      <c r="Q3493" s="6" t="s">
        <v>4475</v>
      </c>
      <c r="T3493" s="23">
        <v>46147</v>
      </c>
      <c r="U3493" s="23">
        <v>46237</v>
      </c>
      <c r="X3493" s="20">
        <v>4100</v>
      </c>
      <c r="Z3493" s="6" t="s">
        <v>5978</v>
      </c>
      <c r="AA3493" s="14">
        <f t="shared" si="464"/>
        <v>5.9999999999999995E-4</v>
      </c>
      <c r="AB3493">
        <v>2.46</v>
      </c>
      <c r="AC3493">
        <v>2.5584000000000002</v>
      </c>
    </row>
    <row r="3494" spans="1:29" x14ac:dyDescent="0.3">
      <c r="A3494">
        <v>105534</v>
      </c>
      <c r="B3494" s="25" t="s">
        <v>5984</v>
      </c>
      <c r="C3494" t="s">
        <v>20</v>
      </c>
      <c r="D3494" t="s">
        <v>21</v>
      </c>
      <c r="E3494">
        <v>2222222</v>
      </c>
      <c r="F3494" s="8" t="s">
        <v>22</v>
      </c>
      <c r="G3494" s="2">
        <v>98</v>
      </c>
      <c r="H3494" t="s">
        <v>4449</v>
      </c>
      <c r="J3494" s="9" t="s">
        <v>5787</v>
      </c>
      <c r="K3494" t="s">
        <v>4965</v>
      </c>
      <c r="L3494" s="2">
        <v>1</v>
      </c>
      <c r="M3494" s="24" t="s">
        <v>5971</v>
      </c>
      <c r="N3494" s="2" t="s">
        <v>23</v>
      </c>
      <c r="O3494" s="18" t="s">
        <v>2701</v>
      </c>
      <c r="P3494" s="18" t="s">
        <v>0</v>
      </c>
      <c r="Q3494" s="6" t="s">
        <v>4475</v>
      </c>
      <c r="T3494" s="23">
        <v>43645</v>
      </c>
      <c r="U3494" s="23">
        <v>46206</v>
      </c>
      <c r="X3494" s="20">
        <v>9369.7199999999993</v>
      </c>
      <c r="Z3494" s="6" t="s">
        <v>5978</v>
      </c>
      <c r="AA3494" s="15">
        <f>+(0.42/1000)</f>
        <v>4.1999999999999996E-4</v>
      </c>
      <c r="AB3494">
        <v>3.8318993999999997</v>
      </c>
      <c r="AC3494">
        <v>3.9851753759999999</v>
      </c>
    </row>
    <row r="3495" spans="1:29" x14ac:dyDescent="0.3">
      <c r="A3495">
        <v>142300</v>
      </c>
      <c r="B3495" s="25" t="s">
        <v>5984</v>
      </c>
      <c r="C3495" t="s">
        <v>20</v>
      </c>
      <c r="D3495" t="s">
        <v>21</v>
      </c>
      <c r="E3495">
        <v>2222222</v>
      </c>
      <c r="F3495" s="8" t="s">
        <v>22</v>
      </c>
      <c r="G3495" s="2">
        <v>98</v>
      </c>
      <c r="H3495" t="s">
        <v>4450</v>
      </c>
      <c r="J3495" s="9" t="s">
        <v>5417</v>
      </c>
      <c r="K3495" t="s">
        <v>5229</v>
      </c>
      <c r="L3495" s="2">
        <v>1</v>
      </c>
      <c r="M3495" s="24" t="s">
        <v>5971</v>
      </c>
      <c r="N3495" s="2" t="s">
        <v>23</v>
      </c>
      <c r="O3495" s="18" t="s">
        <v>2702</v>
      </c>
      <c r="P3495" s="18" t="s">
        <v>3781</v>
      </c>
      <c r="Q3495" s="6" t="s">
        <v>4475</v>
      </c>
      <c r="T3495" s="23">
        <v>45516</v>
      </c>
      <c r="U3495" s="23">
        <v>47706</v>
      </c>
      <c r="X3495" s="20">
        <v>5600</v>
      </c>
      <c r="Z3495" s="6" t="s">
        <v>5978</v>
      </c>
      <c r="AA3495" s="14">
        <f t="shared" ref="AA3495:AA3504" si="465">+(0.6/1000)</f>
        <v>5.9999999999999995E-4</v>
      </c>
      <c r="AB3495">
        <v>2.6667899999999993</v>
      </c>
      <c r="AC3495">
        <v>2.7734615999999992</v>
      </c>
    </row>
    <row r="3496" spans="1:29" x14ac:dyDescent="0.3">
      <c r="A3496">
        <v>149009</v>
      </c>
      <c r="B3496" s="25" t="s">
        <v>5984</v>
      </c>
      <c r="C3496" t="s">
        <v>20</v>
      </c>
      <c r="D3496" t="s">
        <v>21</v>
      </c>
      <c r="E3496">
        <v>2222222</v>
      </c>
      <c r="F3496" s="8" t="s">
        <v>22</v>
      </c>
      <c r="G3496" s="2">
        <v>98</v>
      </c>
      <c r="H3496" t="s">
        <v>4450</v>
      </c>
      <c r="J3496" s="9" t="s">
        <v>5371</v>
      </c>
      <c r="K3496" t="s">
        <v>5189</v>
      </c>
      <c r="L3496" s="2">
        <v>1</v>
      </c>
      <c r="M3496" s="24" t="s">
        <v>5971</v>
      </c>
      <c r="N3496" s="2" t="s">
        <v>23</v>
      </c>
      <c r="O3496" s="18" t="s">
        <v>2703</v>
      </c>
      <c r="P3496" s="18" t="s">
        <v>0</v>
      </c>
      <c r="Q3496" s="6" t="s">
        <v>4475</v>
      </c>
      <c r="T3496" s="23">
        <v>45992</v>
      </c>
      <c r="U3496" s="23">
        <v>47087</v>
      </c>
      <c r="X3496" s="20">
        <v>5000</v>
      </c>
      <c r="Z3496" s="6" t="s">
        <v>5978</v>
      </c>
      <c r="AA3496" s="14">
        <f t="shared" si="465"/>
        <v>5.9999999999999995E-4</v>
      </c>
      <c r="AB3496">
        <v>2.4643319999999997</v>
      </c>
      <c r="AC3496">
        <v>2.5629052799999998</v>
      </c>
    </row>
    <row r="3497" spans="1:29" x14ac:dyDescent="0.3">
      <c r="A3497">
        <v>142510</v>
      </c>
      <c r="B3497" s="25" t="s">
        <v>5984</v>
      </c>
      <c r="C3497" t="s">
        <v>20</v>
      </c>
      <c r="D3497" t="s">
        <v>21</v>
      </c>
      <c r="E3497">
        <v>2222222</v>
      </c>
      <c r="F3497" s="8" t="s">
        <v>22</v>
      </c>
      <c r="G3497" s="2">
        <v>98</v>
      </c>
      <c r="H3497" t="s">
        <v>4451</v>
      </c>
      <c r="J3497" s="9" t="s">
        <v>4970</v>
      </c>
      <c r="K3497" t="s">
        <v>4863</v>
      </c>
      <c r="L3497" s="2">
        <v>1</v>
      </c>
      <c r="M3497" s="24" t="s">
        <v>5971</v>
      </c>
      <c r="N3497" s="2" t="s">
        <v>23</v>
      </c>
      <c r="O3497" s="18" t="s">
        <v>2704</v>
      </c>
      <c r="P3497" s="18" t="s">
        <v>3781</v>
      </c>
      <c r="Q3497" s="6" t="s">
        <v>4475</v>
      </c>
      <c r="T3497" s="23">
        <v>45525</v>
      </c>
      <c r="U3497" s="23">
        <v>46619</v>
      </c>
      <c r="X3497" s="20">
        <v>5000</v>
      </c>
      <c r="Z3497" s="6" t="s">
        <v>5978</v>
      </c>
      <c r="AA3497" s="14">
        <f t="shared" si="465"/>
        <v>5.9999999999999995E-4</v>
      </c>
      <c r="AB3497">
        <v>1.28328</v>
      </c>
      <c r="AC3497">
        <v>1.3346112000000001</v>
      </c>
    </row>
    <row r="3498" spans="1:29" x14ac:dyDescent="0.3">
      <c r="A3498">
        <v>145093</v>
      </c>
      <c r="B3498" s="25" t="s">
        <v>5984</v>
      </c>
      <c r="C3498" t="s">
        <v>20</v>
      </c>
      <c r="D3498" t="s">
        <v>21</v>
      </c>
      <c r="E3498">
        <v>2222222</v>
      </c>
      <c r="F3498" s="8" t="s">
        <v>22</v>
      </c>
      <c r="G3498" s="2">
        <v>98</v>
      </c>
      <c r="H3498" t="s">
        <v>4451</v>
      </c>
      <c r="J3498" s="9" t="s">
        <v>4970</v>
      </c>
      <c r="K3498" t="s">
        <v>4863</v>
      </c>
      <c r="L3498" s="2">
        <v>1</v>
      </c>
      <c r="M3498" s="24" t="s">
        <v>5971</v>
      </c>
      <c r="N3498" s="2" t="s">
        <v>23</v>
      </c>
      <c r="O3498" s="18" t="s">
        <v>2704</v>
      </c>
      <c r="P3498" s="18" t="s">
        <v>3781</v>
      </c>
      <c r="Q3498" s="6" t="s">
        <v>4475</v>
      </c>
      <c r="T3498" s="23">
        <v>45712</v>
      </c>
      <c r="U3498" s="23">
        <v>46444</v>
      </c>
      <c r="X3498" s="20">
        <v>3510</v>
      </c>
      <c r="Z3498" s="6" t="s">
        <v>5978</v>
      </c>
      <c r="AA3498" s="14">
        <f t="shared" si="465"/>
        <v>5.9999999999999995E-4</v>
      </c>
      <c r="AB3498">
        <v>0.69069599999999998</v>
      </c>
      <c r="AC3498">
        <v>0.71832384000000005</v>
      </c>
    </row>
    <row r="3499" spans="1:29" x14ac:dyDescent="0.3">
      <c r="A3499">
        <v>149940</v>
      </c>
      <c r="B3499" s="25" t="s">
        <v>5984</v>
      </c>
      <c r="C3499" t="s">
        <v>20</v>
      </c>
      <c r="D3499" t="s">
        <v>21</v>
      </c>
      <c r="E3499">
        <v>2222222</v>
      </c>
      <c r="F3499" s="8" t="s">
        <v>22</v>
      </c>
      <c r="G3499" s="2">
        <v>98</v>
      </c>
      <c r="H3499" t="s">
        <v>4451</v>
      </c>
      <c r="J3499" s="9" t="s">
        <v>4936</v>
      </c>
      <c r="K3499" t="s">
        <v>4966</v>
      </c>
      <c r="L3499" s="2">
        <v>1</v>
      </c>
      <c r="M3499" s="24" t="s">
        <v>5971</v>
      </c>
      <c r="N3499" s="2" t="s">
        <v>23</v>
      </c>
      <c r="O3499" s="18" t="s">
        <v>602</v>
      </c>
      <c r="P3499" s="18" t="s">
        <v>0</v>
      </c>
      <c r="Q3499" s="6" t="s">
        <v>4475</v>
      </c>
      <c r="T3499" s="23">
        <v>46059</v>
      </c>
      <c r="U3499" s="23">
        <v>47157</v>
      </c>
      <c r="X3499" s="20">
        <v>3720</v>
      </c>
      <c r="Z3499" s="6" t="s">
        <v>5978</v>
      </c>
      <c r="AA3499" s="14">
        <f t="shared" si="465"/>
        <v>5.9999999999999995E-4</v>
      </c>
      <c r="AB3499">
        <v>1.9860359999999997</v>
      </c>
      <c r="AC3499">
        <v>2.0654774399999996</v>
      </c>
    </row>
    <row r="3500" spans="1:29" x14ac:dyDescent="0.3">
      <c r="A3500">
        <v>152176</v>
      </c>
      <c r="B3500" s="25" t="s">
        <v>5984</v>
      </c>
      <c r="C3500" t="s">
        <v>20</v>
      </c>
      <c r="D3500" t="s">
        <v>21</v>
      </c>
      <c r="E3500">
        <v>2222222</v>
      </c>
      <c r="F3500" s="8" t="s">
        <v>22</v>
      </c>
      <c r="G3500" s="2">
        <v>98</v>
      </c>
      <c r="H3500" t="s">
        <v>4451</v>
      </c>
      <c r="J3500" s="9" t="s">
        <v>5038</v>
      </c>
      <c r="K3500" t="s">
        <v>5409</v>
      </c>
      <c r="L3500" s="2">
        <v>1</v>
      </c>
      <c r="M3500" s="24" t="s">
        <v>5971</v>
      </c>
      <c r="N3500" s="2" t="s">
        <v>23</v>
      </c>
      <c r="O3500" s="18" t="s">
        <v>2705</v>
      </c>
      <c r="P3500" s="18" t="s">
        <v>3781</v>
      </c>
      <c r="Q3500" s="6" t="s">
        <v>4475</v>
      </c>
      <c r="T3500" s="23">
        <v>46217</v>
      </c>
      <c r="U3500" s="23">
        <v>47496</v>
      </c>
      <c r="X3500" s="20">
        <v>5000</v>
      </c>
      <c r="Z3500" s="6" t="s">
        <v>5978</v>
      </c>
      <c r="AA3500" s="14">
        <f t="shared" si="465"/>
        <v>5.9999999999999995E-4</v>
      </c>
      <c r="AB3500">
        <v>2.9999999999999996</v>
      </c>
      <c r="AC3500">
        <v>3.1199999999999997</v>
      </c>
    </row>
    <row r="3501" spans="1:29" x14ac:dyDescent="0.3">
      <c r="A3501">
        <v>141239</v>
      </c>
      <c r="B3501" s="25" t="s">
        <v>5984</v>
      </c>
      <c r="C3501" t="s">
        <v>20</v>
      </c>
      <c r="D3501" t="s">
        <v>21</v>
      </c>
      <c r="E3501">
        <v>2222222</v>
      </c>
      <c r="F3501" s="8" t="s">
        <v>22</v>
      </c>
      <c r="G3501" s="2">
        <v>98</v>
      </c>
      <c r="H3501" t="s">
        <v>4452</v>
      </c>
      <c r="J3501" s="9" t="s">
        <v>4870</v>
      </c>
      <c r="K3501" t="s">
        <v>5788</v>
      </c>
      <c r="L3501" s="2">
        <v>1</v>
      </c>
      <c r="M3501" s="24" t="s">
        <v>5971</v>
      </c>
      <c r="N3501" s="2" t="s">
        <v>23</v>
      </c>
      <c r="O3501" s="18" t="s">
        <v>2706</v>
      </c>
      <c r="P3501" s="18" t="s">
        <v>0</v>
      </c>
      <c r="Q3501" s="6" t="s">
        <v>4475</v>
      </c>
      <c r="T3501" s="23">
        <v>45441</v>
      </c>
      <c r="U3501" s="23">
        <v>49919</v>
      </c>
      <c r="X3501" s="20">
        <v>36360</v>
      </c>
      <c r="Z3501" s="6" t="s">
        <v>5978</v>
      </c>
      <c r="AA3501" s="14">
        <f t="shared" si="465"/>
        <v>5.9999999999999995E-4</v>
      </c>
      <c r="AB3501">
        <v>20.213051999999998</v>
      </c>
      <c r="AC3501">
        <v>21.021574079999997</v>
      </c>
    </row>
    <row r="3502" spans="1:29" x14ac:dyDescent="0.3">
      <c r="A3502">
        <v>148552</v>
      </c>
      <c r="B3502" s="25" t="s">
        <v>5984</v>
      </c>
      <c r="C3502" t="s">
        <v>20</v>
      </c>
      <c r="D3502" t="s">
        <v>21</v>
      </c>
      <c r="E3502">
        <v>2222222</v>
      </c>
      <c r="F3502" s="8" t="s">
        <v>22</v>
      </c>
      <c r="G3502" s="2">
        <v>98</v>
      </c>
      <c r="H3502" t="s">
        <v>4452</v>
      </c>
      <c r="J3502" s="9" t="s">
        <v>4815</v>
      </c>
      <c r="K3502" t="s">
        <v>4961</v>
      </c>
      <c r="L3502" s="2">
        <v>1</v>
      </c>
      <c r="M3502" s="24" t="s">
        <v>5971</v>
      </c>
      <c r="N3502" s="2" t="s">
        <v>23</v>
      </c>
      <c r="O3502" s="18" t="s">
        <v>2707</v>
      </c>
      <c r="P3502" s="18" t="s">
        <v>0</v>
      </c>
      <c r="Q3502" s="6" t="s">
        <v>4475</v>
      </c>
      <c r="T3502" s="23">
        <v>45590</v>
      </c>
      <c r="U3502" s="23">
        <v>48126</v>
      </c>
      <c r="X3502" s="20">
        <v>30000</v>
      </c>
      <c r="Z3502" s="6" t="s">
        <v>5978</v>
      </c>
      <c r="AA3502" s="14">
        <f t="shared" si="465"/>
        <v>5.9999999999999995E-4</v>
      </c>
      <c r="AB3502">
        <v>14.986535999999999</v>
      </c>
      <c r="AC3502">
        <v>15.58599744</v>
      </c>
    </row>
    <row r="3503" spans="1:29" x14ac:dyDescent="0.3">
      <c r="A3503">
        <v>143633</v>
      </c>
      <c r="B3503" s="25" t="s">
        <v>5984</v>
      </c>
      <c r="C3503" t="s">
        <v>20</v>
      </c>
      <c r="D3503" t="s">
        <v>21</v>
      </c>
      <c r="E3503">
        <v>2222222</v>
      </c>
      <c r="F3503" s="8" t="s">
        <v>22</v>
      </c>
      <c r="G3503" s="2">
        <v>98</v>
      </c>
      <c r="H3503" t="s">
        <v>4453</v>
      </c>
      <c r="J3503" s="9" t="s">
        <v>5336</v>
      </c>
      <c r="K3503" t="s">
        <v>5035</v>
      </c>
      <c r="L3503" s="2">
        <v>1</v>
      </c>
      <c r="M3503" s="24" t="s">
        <v>5971</v>
      </c>
      <c r="N3503" s="2" t="s">
        <v>23</v>
      </c>
      <c r="O3503" s="18" t="s">
        <v>2708</v>
      </c>
      <c r="P3503" s="18" t="s">
        <v>0</v>
      </c>
      <c r="Q3503" s="6" t="s">
        <v>4475</v>
      </c>
      <c r="T3503" s="23">
        <v>45615</v>
      </c>
      <c r="U3503" s="23">
        <v>46345</v>
      </c>
      <c r="X3503" s="20">
        <v>11000</v>
      </c>
      <c r="Z3503" s="6" t="s">
        <v>5978</v>
      </c>
      <c r="AA3503" s="14">
        <f t="shared" si="465"/>
        <v>5.9999999999999995E-4</v>
      </c>
      <c r="AB3503">
        <v>1.2403919999999999</v>
      </c>
      <c r="AC3503">
        <v>1.29000768</v>
      </c>
    </row>
    <row r="3504" spans="1:29" x14ac:dyDescent="0.3">
      <c r="A3504">
        <v>144711</v>
      </c>
      <c r="B3504" s="25" t="s">
        <v>5984</v>
      </c>
      <c r="C3504" t="s">
        <v>20</v>
      </c>
      <c r="D3504" t="s">
        <v>21</v>
      </c>
      <c r="E3504">
        <v>2222222</v>
      </c>
      <c r="F3504" s="8" t="s">
        <v>22</v>
      </c>
      <c r="G3504" s="2">
        <v>98</v>
      </c>
      <c r="H3504" t="s">
        <v>4454</v>
      </c>
      <c r="J3504" s="9" t="s">
        <v>4830</v>
      </c>
      <c r="K3504" t="s">
        <v>5266</v>
      </c>
      <c r="L3504" s="2">
        <v>1</v>
      </c>
      <c r="M3504" s="24" t="s">
        <v>5971</v>
      </c>
      <c r="N3504" s="2" t="s">
        <v>23</v>
      </c>
      <c r="O3504" s="18" t="s">
        <v>2709</v>
      </c>
      <c r="P3504" s="18" t="s">
        <v>3781</v>
      </c>
      <c r="Q3504" s="6" t="s">
        <v>4475</v>
      </c>
      <c r="T3504" s="23">
        <v>45684</v>
      </c>
      <c r="U3504" s="23">
        <v>46260</v>
      </c>
      <c r="X3504" s="20">
        <v>5000</v>
      </c>
      <c r="Z3504" s="6" t="s">
        <v>5978</v>
      </c>
      <c r="AA3504" s="14">
        <f t="shared" si="465"/>
        <v>5.9999999999999995E-4</v>
      </c>
      <c r="AB3504">
        <v>0.17652599999999996</v>
      </c>
      <c r="AC3504">
        <v>0.18358703999999998</v>
      </c>
    </row>
    <row r="3505" spans="1:29" x14ac:dyDescent="0.3">
      <c r="A3505">
        <v>148524</v>
      </c>
      <c r="B3505" s="25" t="s">
        <v>5984</v>
      </c>
      <c r="C3505" t="s">
        <v>20</v>
      </c>
      <c r="D3505" t="s">
        <v>21</v>
      </c>
      <c r="E3505">
        <v>2222222</v>
      </c>
      <c r="F3505" s="8" t="s">
        <v>22</v>
      </c>
      <c r="G3505" s="2">
        <v>98</v>
      </c>
      <c r="H3505" t="s">
        <v>4454</v>
      </c>
      <c r="J3505" s="9" t="s">
        <v>5063</v>
      </c>
      <c r="K3505" t="s">
        <v>4961</v>
      </c>
      <c r="L3505" s="2">
        <v>1</v>
      </c>
      <c r="M3505" s="24" t="s">
        <v>5971</v>
      </c>
      <c r="N3505" s="2" t="s">
        <v>23</v>
      </c>
      <c r="O3505" s="18" t="s">
        <v>2710</v>
      </c>
      <c r="P3505" s="18" t="s">
        <v>0</v>
      </c>
      <c r="Q3505" s="6" t="s">
        <v>4475</v>
      </c>
      <c r="T3505" s="23">
        <v>44690</v>
      </c>
      <c r="U3505" s="23">
        <v>48340</v>
      </c>
      <c r="X3505" s="20">
        <v>25250</v>
      </c>
      <c r="Z3505" s="6" t="s">
        <v>5978</v>
      </c>
      <c r="AA3505" s="15">
        <f>+(0.42/1000)</f>
        <v>4.1999999999999996E-4</v>
      </c>
      <c r="AB3505">
        <v>8.0961803999999997</v>
      </c>
      <c r="AC3505">
        <v>8.4200276160000005</v>
      </c>
    </row>
    <row r="3506" spans="1:29" x14ac:dyDescent="0.3">
      <c r="A3506">
        <v>148568</v>
      </c>
      <c r="B3506" s="25" t="s">
        <v>5984</v>
      </c>
      <c r="C3506" t="s">
        <v>20</v>
      </c>
      <c r="D3506" t="s">
        <v>21</v>
      </c>
      <c r="E3506">
        <v>2222222</v>
      </c>
      <c r="F3506" s="8" t="s">
        <v>22</v>
      </c>
      <c r="G3506" s="2">
        <v>98</v>
      </c>
      <c r="H3506" t="s">
        <v>4454</v>
      </c>
      <c r="J3506" s="9" t="s">
        <v>4877</v>
      </c>
      <c r="K3506" t="s">
        <v>5298</v>
      </c>
      <c r="L3506" s="2">
        <v>1</v>
      </c>
      <c r="M3506" s="24" t="s">
        <v>5971</v>
      </c>
      <c r="N3506" s="2" t="s">
        <v>23</v>
      </c>
      <c r="O3506" s="18" t="s">
        <v>2711</v>
      </c>
      <c r="P3506" s="18" t="s">
        <v>0</v>
      </c>
      <c r="Q3506" s="6" t="s">
        <v>4475</v>
      </c>
      <c r="T3506" s="23">
        <v>45713</v>
      </c>
      <c r="U3506" s="23">
        <v>48249</v>
      </c>
      <c r="X3506" s="20">
        <v>35000</v>
      </c>
      <c r="Z3506" s="6" t="s">
        <v>5978</v>
      </c>
      <c r="AA3506" s="14">
        <f t="shared" ref="AA3506:AA3513" si="466">+(0.6/1000)</f>
        <v>5.9999999999999995E-4</v>
      </c>
      <c r="AB3506">
        <v>18.542105999999997</v>
      </c>
      <c r="AC3506">
        <v>19.283790239999998</v>
      </c>
    </row>
    <row r="3507" spans="1:29" x14ac:dyDescent="0.3">
      <c r="A3507">
        <v>149666</v>
      </c>
      <c r="B3507" s="25" t="s">
        <v>5984</v>
      </c>
      <c r="C3507" t="s">
        <v>20</v>
      </c>
      <c r="D3507" t="s">
        <v>21</v>
      </c>
      <c r="E3507">
        <v>2222222</v>
      </c>
      <c r="F3507" s="8" t="s">
        <v>22</v>
      </c>
      <c r="G3507" s="2">
        <v>98</v>
      </c>
      <c r="H3507" t="s">
        <v>4454</v>
      </c>
      <c r="J3507" s="9" t="s">
        <v>4911</v>
      </c>
      <c r="K3507" t="s">
        <v>5074</v>
      </c>
      <c r="L3507" s="2">
        <v>1</v>
      </c>
      <c r="M3507" s="24" t="s">
        <v>5971</v>
      </c>
      <c r="N3507" s="2" t="s">
        <v>23</v>
      </c>
      <c r="O3507" s="18" t="s">
        <v>2712</v>
      </c>
      <c r="P3507" s="18" t="s">
        <v>3781</v>
      </c>
      <c r="Q3507" s="6" t="s">
        <v>4475</v>
      </c>
      <c r="T3507" s="23">
        <v>46041</v>
      </c>
      <c r="U3507" s="23">
        <v>46497</v>
      </c>
      <c r="X3507" s="20">
        <v>5000</v>
      </c>
      <c r="Z3507" s="6" t="s">
        <v>5978</v>
      </c>
      <c r="AA3507" s="14">
        <f t="shared" si="466"/>
        <v>5.9999999999999995E-4</v>
      </c>
      <c r="AB3507">
        <v>1.8770219999999997</v>
      </c>
      <c r="AC3507">
        <v>1.9521028799999998</v>
      </c>
    </row>
    <row r="3508" spans="1:29" x14ac:dyDescent="0.3">
      <c r="A3508">
        <v>150601</v>
      </c>
      <c r="B3508" s="25" t="s">
        <v>5984</v>
      </c>
      <c r="C3508" t="s">
        <v>20</v>
      </c>
      <c r="D3508" t="s">
        <v>21</v>
      </c>
      <c r="E3508">
        <v>2222222</v>
      </c>
      <c r="F3508" s="8" t="s">
        <v>22</v>
      </c>
      <c r="G3508" s="2">
        <v>98</v>
      </c>
      <c r="H3508" t="s">
        <v>4454</v>
      </c>
      <c r="J3508" s="9" t="s">
        <v>5204</v>
      </c>
      <c r="K3508" t="s">
        <v>5167</v>
      </c>
      <c r="L3508" s="2">
        <v>1</v>
      </c>
      <c r="M3508" s="24" t="s">
        <v>5971</v>
      </c>
      <c r="N3508" s="2" t="s">
        <v>23</v>
      </c>
      <c r="O3508" s="18" t="s">
        <v>2713</v>
      </c>
      <c r="P3508" s="18" t="s">
        <v>0</v>
      </c>
      <c r="Q3508" s="6" t="s">
        <v>4475</v>
      </c>
      <c r="T3508" s="23">
        <v>46104</v>
      </c>
      <c r="U3508" s="23">
        <v>46652</v>
      </c>
      <c r="X3508" s="20">
        <v>1000</v>
      </c>
      <c r="Z3508" s="6" t="s">
        <v>5978</v>
      </c>
      <c r="AA3508" s="14">
        <f t="shared" si="466"/>
        <v>5.9999999999999995E-4</v>
      </c>
      <c r="AB3508">
        <v>0.51030599999999993</v>
      </c>
      <c r="AC3508">
        <v>0.5307182399999999</v>
      </c>
    </row>
    <row r="3509" spans="1:29" x14ac:dyDescent="0.3">
      <c r="A3509">
        <v>151973</v>
      </c>
      <c r="B3509" s="25" t="s">
        <v>5984</v>
      </c>
      <c r="C3509" t="s">
        <v>20</v>
      </c>
      <c r="D3509" t="s">
        <v>21</v>
      </c>
      <c r="E3509">
        <v>2222222</v>
      </c>
      <c r="F3509" s="8" t="s">
        <v>22</v>
      </c>
      <c r="G3509" s="2">
        <v>98</v>
      </c>
      <c r="H3509" t="s">
        <v>4454</v>
      </c>
      <c r="J3509" s="9" t="s">
        <v>5063</v>
      </c>
      <c r="K3509" t="s">
        <v>4961</v>
      </c>
      <c r="L3509" s="2">
        <v>1</v>
      </c>
      <c r="M3509" s="24" t="s">
        <v>5971</v>
      </c>
      <c r="N3509" s="2" t="s">
        <v>23</v>
      </c>
      <c r="O3509" s="18" t="s">
        <v>2710</v>
      </c>
      <c r="P3509" s="18" t="s">
        <v>0</v>
      </c>
      <c r="Q3509" s="6" t="s">
        <v>4475</v>
      </c>
      <c r="T3509" s="23">
        <v>46202</v>
      </c>
      <c r="U3509" s="23">
        <v>46292</v>
      </c>
      <c r="X3509" s="20">
        <v>2350</v>
      </c>
      <c r="Z3509" s="6" t="s">
        <v>5978</v>
      </c>
      <c r="AA3509" s="14">
        <f t="shared" si="466"/>
        <v>5.9999999999999995E-4</v>
      </c>
      <c r="AB3509">
        <v>1.41</v>
      </c>
      <c r="AC3509">
        <v>1.4663999999999999</v>
      </c>
    </row>
    <row r="3510" spans="1:29" x14ac:dyDescent="0.3">
      <c r="A3510">
        <v>141204</v>
      </c>
      <c r="B3510" s="25" t="s">
        <v>5984</v>
      </c>
      <c r="C3510" t="s">
        <v>20</v>
      </c>
      <c r="D3510" t="s">
        <v>21</v>
      </c>
      <c r="E3510">
        <v>2222222</v>
      </c>
      <c r="F3510" s="8" t="s">
        <v>22</v>
      </c>
      <c r="G3510" s="2">
        <v>98</v>
      </c>
      <c r="H3510" t="s">
        <v>4455</v>
      </c>
      <c r="J3510" s="9" t="s">
        <v>4936</v>
      </c>
      <c r="K3510" t="s">
        <v>5160</v>
      </c>
      <c r="L3510" s="2">
        <v>1</v>
      </c>
      <c r="M3510" s="24" t="s">
        <v>5971</v>
      </c>
      <c r="N3510" s="2" t="s">
        <v>23</v>
      </c>
      <c r="O3510" s="18" t="s">
        <v>2714</v>
      </c>
      <c r="P3510" s="18" t="s">
        <v>0</v>
      </c>
      <c r="Q3510" s="6" t="s">
        <v>4475</v>
      </c>
      <c r="T3510" s="23">
        <v>45470</v>
      </c>
      <c r="U3510" s="23">
        <v>48240</v>
      </c>
      <c r="X3510" s="20">
        <v>100000</v>
      </c>
      <c r="Z3510" s="6" t="s">
        <v>5978</v>
      </c>
      <c r="AA3510" s="14">
        <f t="shared" si="466"/>
        <v>5.9999999999999995E-4</v>
      </c>
      <c r="AB3510">
        <v>34.592993999999997</v>
      </c>
      <c r="AC3510">
        <v>35.976713759999996</v>
      </c>
    </row>
    <row r="3511" spans="1:29" x14ac:dyDescent="0.3">
      <c r="A3511">
        <v>148056</v>
      </c>
      <c r="B3511" s="25" t="s">
        <v>5984</v>
      </c>
      <c r="C3511" t="s">
        <v>20</v>
      </c>
      <c r="D3511" t="s">
        <v>21</v>
      </c>
      <c r="E3511">
        <v>2222222</v>
      </c>
      <c r="F3511" s="8" t="s">
        <v>22</v>
      </c>
      <c r="G3511" s="2">
        <v>98</v>
      </c>
      <c r="H3511" t="s">
        <v>4455</v>
      </c>
      <c r="J3511" s="9" t="s">
        <v>4892</v>
      </c>
      <c r="K3511" t="s">
        <v>5039</v>
      </c>
      <c r="L3511" s="2">
        <v>1</v>
      </c>
      <c r="M3511" s="24" t="s">
        <v>5971</v>
      </c>
      <c r="N3511" s="2" t="s">
        <v>23</v>
      </c>
      <c r="O3511" s="18" t="s">
        <v>2569</v>
      </c>
      <c r="P3511" s="18" t="s">
        <v>3781</v>
      </c>
      <c r="Q3511" s="6" t="s">
        <v>4475</v>
      </c>
      <c r="T3511" s="23">
        <v>45933</v>
      </c>
      <c r="U3511" s="23">
        <v>47393</v>
      </c>
      <c r="X3511" s="20">
        <v>5000</v>
      </c>
      <c r="Z3511" s="6" t="s">
        <v>5978</v>
      </c>
      <c r="AA3511" s="14">
        <f t="shared" si="466"/>
        <v>5.9999999999999995E-4</v>
      </c>
      <c r="AB3511">
        <v>2.5869419999999996</v>
      </c>
      <c r="AC3511">
        <v>2.6904196799999998</v>
      </c>
    </row>
    <row r="3512" spans="1:29" x14ac:dyDescent="0.3">
      <c r="A3512">
        <v>150222</v>
      </c>
      <c r="B3512" s="25" t="s">
        <v>5984</v>
      </c>
      <c r="C3512" t="s">
        <v>20</v>
      </c>
      <c r="D3512" t="s">
        <v>21</v>
      </c>
      <c r="E3512">
        <v>2222222</v>
      </c>
      <c r="F3512" s="8" t="s">
        <v>22</v>
      </c>
      <c r="G3512" s="2">
        <v>98</v>
      </c>
      <c r="H3512" t="s">
        <v>4455</v>
      </c>
      <c r="J3512" s="9" t="s">
        <v>4852</v>
      </c>
      <c r="K3512" t="s">
        <v>4827</v>
      </c>
      <c r="L3512" s="2">
        <v>1</v>
      </c>
      <c r="M3512" s="24" t="s">
        <v>5971</v>
      </c>
      <c r="N3512" s="2" t="s">
        <v>23</v>
      </c>
      <c r="O3512" s="18" t="s">
        <v>2715</v>
      </c>
      <c r="P3512" s="18" t="s">
        <v>0</v>
      </c>
      <c r="Q3512" s="6" t="s">
        <v>4475</v>
      </c>
      <c r="T3512" s="23">
        <v>46080</v>
      </c>
      <c r="U3512" s="23">
        <v>47907</v>
      </c>
      <c r="X3512" s="20">
        <v>35000</v>
      </c>
      <c r="Z3512" s="6" t="s">
        <v>5978</v>
      </c>
      <c r="AA3512" s="14">
        <f t="shared" si="466"/>
        <v>5.9999999999999995E-4</v>
      </c>
      <c r="AB3512">
        <v>19.790291999999997</v>
      </c>
      <c r="AC3512">
        <v>20.581903679999996</v>
      </c>
    </row>
    <row r="3513" spans="1:29" x14ac:dyDescent="0.3">
      <c r="A3513">
        <v>142914</v>
      </c>
      <c r="B3513" s="25" t="s">
        <v>5984</v>
      </c>
      <c r="C3513" t="s">
        <v>20</v>
      </c>
      <c r="D3513" t="s">
        <v>21</v>
      </c>
      <c r="E3513">
        <v>2222222</v>
      </c>
      <c r="F3513" s="8" t="s">
        <v>22</v>
      </c>
      <c r="G3513" s="2">
        <v>98</v>
      </c>
      <c r="H3513" t="s">
        <v>4456</v>
      </c>
      <c r="J3513" s="9" t="s">
        <v>4836</v>
      </c>
      <c r="K3513" t="s">
        <v>4854</v>
      </c>
      <c r="L3513" s="2">
        <v>1</v>
      </c>
      <c r="M3513" s="24" t="s">
        <v>5971</v>
      </c>
      <c r="N3513" s="2" t="s">
        <v>23</v>
      </c>
      <c r="O3513" s="18" t="s">
        <v>2716</v>
      </c>
      <c r="P3513" s="18" t="s">
        <v>3781</v>
      </c>
      <c r="Q3513" s="6" t="s">
        <v>4475</v>
      </c>
      <c r="T3513" s="23">
        <v>45565</v>
      </c>
      <c r="U3513" s="23">
        <v>46965</v>
      </c>
      <c r="X3513" s="20">
        <v>15500</v>
      </c>
      <c r="Z3513" s="6" t="s">
        <v>5978</v>
      </c>
      <c r="AA3513" s="14">
        <f t="shared" si="466"/>
        <v>5.9999999999999995E-4</v>
      </c>
      <c r="AB3513">
        <v>4.8375659999999998</v>
      </c>
      <c r="AC3513">
        <v>5.03106864</v>
      </c>
    </row>
    <row r="3514" spans="1:29" x14ac:dyDescent="0.3">
      <c r="A3514">
        <v>113955</v>
      </c>
      <c r="B3514" s="25" t="s">
        <v>5984</v>
      </c>
      <c r="C3514" t="s">
        <v>20</v>
      </c>
      <c r="D3514" t="s">
        <v>21</v>
      </c>
      <c r="E3514">
        <v>2222222</v>
      </c>
      <c r="F3514" s="8" t="s">
        <v>22</v>
      </c>
      <c r="G3514" s="2">
        <v>98</v>
      </c>
      <c r="H3514" t="s">
        <v>4457</v>
      </c>
      <c r="J3514" s="9" t="s">
        <v>5333</v>
      </c>
      <c r="K3514" t="s">
        <v>4917</v>
      </c>
      <c r="L3514" s="2">
        <v>1</v>
      </c>
      <c r="M3514" s="24" t="s">
        <v>5971</v>
      </c>
      <c r="N3514" s="2" t="s">
        <v>23</v>
      </c>
      <c r="O3514" s="18" t="s">
        <v>2717</v>
      </c>
      <c r="P3514" s="18" t="s">
        <v>3781</v>
      </c>
      <c r="Q3514" s="6" t="s">
        <v>4475</v>
      </c>
      <c r="T3514" s="23">
        <v>44032</v>
      </c>
      <c r="U3514" s="23">
        <v>44762</v>
      </c>
      <c r="X3514" s="20">
        <v>11000</v>
      </c>
      <c r="Z3514" s="6" t="s">
        <v>5978</v>
      </c>
      <c r="AA3514" s="15">
        <f>+(0.42/1000)</f>
        <v>4.1999999999999996E-4</v>
      </c>
      <c r="AB3514">
        <v>2.301936</v>
      </c>
      <c r="AC3514">
        <v>2.3940134400000002</v>
      </c>
    </row>
    <row r="3515" spans="1:29" x14ac:dyDescent="0.3">
      <c r="A3515">
        <v>134002</v>
      </c>
      <c r="B3515" s="25" t="s">
        <v>5984</v>
      </c>
      <c r="C3515" t="s">
        <v>20</v>
      </c>
      <c r="D3515" t="s">
        <v>21</v>
      </c>
      <c r="E3515">
        <v>2222222</v>
      </c>
      <c r="F3515" s="8" t="s">
        <v>22</v>
      </c>
      <c r="G3515" s="2">
        <v>98</v>
      </c>
      <c r="H3515" t="s">
        <v>4457</v>
      </c>
      <c r="J3515" s="9" t="s">
        <v>4839</v>
      </c>
      <c r="K3515" t="s">
        <v>4512</v>
      </c>
      <c r="L3515" s="2">
        <v>1</v>
      </c>
      <c r="M3515" s="24" t="s">
        <v>5971</v>
      </c>
      <c r="N3515" s="2" t="s">
        <v>23</v>
      </c>
      <c r="O3515" s="18" t="s">
        <v>2718</v>
      </c>
      <c r="P3515" s="18" t="s">
        <v>0</v>
      </c>
      <c r="Q3515" s="6" t="s">
        <v>4475</v>
      </c>
      <c r="T3515" s="23">
        <v>45028</v>
      </c>
      <c r="U3515" s="23">
        <v>46489</v>
      </c>
      <c r="X3515" s="20">
        <v>2950</v>
      </c>
      <c r="Z3515" s="6" t="s">
        <v>5978</v>
      </c>
      <c r="AA3515" s="13">
        <f t="shared" ref="AA3515:AA3517" si="467">+(0.56/1000)</f>
        <v>5.6000000000000006E-4</v>
      </c>
      <c r="AB3515">
        <v>0.41435520000000003</v>
      </c>
      <c r="AC3515">
        <v>0.43092940800000007</v>
      </c>
    </row>
    <row r="3516" spans="1:29" x14ac:dyDescent="0.3">
      <c r="A3516">
        <v>139191</v>
      </c>
      <c r="B3516" s="25" t="s">
        <v>5984</v>
      </c>
      <c r="C3516" t="s">
        <v>20</v>
      </c>
      <c r="D3516" t="s">
        <v>21</v>
      </c>
      <c r="E3516">
        <v>2222222</v>
      </c>
      <c r="F3516" s="8" t="s">
        <v>22</v>
      </c>
      <c r="G3516" s="2">
        <v>98</v>
      </c>
      <c r="H3516" t="s">
        <v>4457</v>
      </c>
      <c r="J3516" s="9" t="s">
        <v>4839</v>
      </c>
      <c r="K3516" t="s">
        <v>4875</v>
      </c>
      <c r="L3516" s="2">
        <v>1</v>
      </c>
      <c r="M3516" s="24" t="s">
        <v>5971</v>
      </c>
      <c r="N3516" s="2" t="s">
        <v>23</v>
      </c>
      <c r="O3516" s="18" t="s">
        <v>2719</v>
      </c>
      <c r="P3516" s="18" t="s">
        <v>0</v>
      </c>
      <c r="Q3516" s="6" t="s">
        <v>4475</v>
      </c>
      <c r="T3516" s="23">
        <v>45320</v>
      </c>
      <c r="U3516" s="23">
        <v>47146</v>
      </c>
      <c r="X3516" s="20">
        <v>1740</v>
      </c>
      <c r="Z3516" s="6" t="s">
        <v>5978</v>
      </c>
      <c r="AA3516" s="13">
        <f t="shared" si="467"/>
        <v>5.6000000000000006E-4</v>
      </c>
      <c r="AB3516">
        <v>0.8704248</v>
      </c>
      <c r="AC3516">
        <v>0.90524179199999999</v>
      </c>
    </row>
    <row r="3517" spans="1:29" x14ac:dyDescent="0.3">
      <c r="A3517">
        <v>139447</v>
      </c>
      <c r="B3517" s="25" t="s">
        <v>5984</v>
      </c>
      <c r="C3517" t="s">
        <v>20</v>
      </c>
      <c r="D3517" t="s">
        <v>21</v>
      </c>
      <c r="E3517">
        <v>2222222</v>
      </c>
      <c r="F3517" s="8" t="s">
        <v>22</v>
      </c>
      <c r="G3517" s="2">
        <v>98</v>
      </c>
      <c r="H3517" t="s">
        <v>4457</v>
      </c>
      <c r="J3517" s="9" t="s">
        <v>4928</v>
      </c>
      <c r="K3517" t="s">
        <v>5170</v>
      </c>
      <c r="L3517" s="2">
        <v>1</v>
      </c>
      <c r="M3517" s="24" t="s">
        <v>5971</v>
      </c>
      <c r="N3517" s="2" t="s">
        <v>23</v>
      </c>
      <c r="O3517" s="18" t="s">
        <v>2720</v>
      </c>
      <c r="P3517" s="18" t="s">
        <v>3781</v>
      </c>
      <c r="Q3517" s="6" t="s">
        <v>4475</v>
      </c>
      <c r="T3517" s="23">
        <v>45338</v>
      </c>
      <c r="U3517" s="23">
        <v>47531</v>
      </c>
      <c r="X3517" s="20">
        <v>10000</v>
      </c>
      <c r="Z3517" s="6" t="s">
        <v>5978</v>
      </c>
      <c r="AA3517" s="13">
        <f t="shared" si="467"/>
        <v>5.6000000000000006E-4</v>
      </c>
      <c r="AB3517">
        <v>3.9646936000000008</v>
      </c>
      <c r="AC3517">
        <v>4.1232813440000013</v>
      </c>
    </row>
    <row r="3518" spans="1:29" x14ac:dyDescent="0.3">
      <c r="A3518">
        <v>146395</v>
      </c>
      <c r="B3518" s="25" t="s">
        <v>5984</v>
      </c>
      <c r="C3518" t="s">
        <v>20</v>
      </c>
      <c r="D3518" t="s">
        <v>21</v>
      </c>
      <c r="E3518">
        <v>2222222</v>
      </c>
      <c r="F3518" s="8" t="s">
        <v>22</v>
      </c>
      <c r="G3518" s="2">
        <v>98</v>
      </c>
      <c r="H3518" t="s">
        <v>4457</v>
      </c>
      <c r="J3518" s="9" t="s">
        <v>4941</v>
      </c>
      <c r="K3518" t="s">
        <v>4863</v>
      </c>
      <c r="L3518" s="2">
        <v>1</v>
      </c>
      <c r="M3518" s="24" t="s">
        <v>5971</v>
      </c>
      <c r="N3518" s="2" t="s">
        <v>23</v>
      </c>
      <c r="O3518" s="18" t="s">
        <v>2721</v>
      </c>
      <c r="P3518" s="18" t="s">
        <v>3781</v>
      </c>
      <c r="Q3518" s="6" t="s">
        <v>4475</v>
      </c>
      <c r="T3518" s="23">
        <v>45814</v>
      </c>
      <c r="U3518" s="23">
        <v>46910</v>
      </c>
      <c r="X3518" s="20">
        <v>2800</v>
      </c>
      <c r="Z3518" s="6" t="s">
        <v>5978</v>
      </c>
      <c r="AA3518" s="14">
        <f t="shared" ref="AA3518:AA3521" si="468">+(0.6/1000)</f>
        <v>5.9999999999999995E-4</v>
      </c>
      <c r="AB3518">
        <v>1.1698199999999999</v>
      </c>
      <c r="AC3518">
        <v>1.2166127999999998</v>
      </c>
    </row>
    <row r="3519" spans="1:29" x14ac:dyDescent="0.3">
      <c r="A3519">
        <v>147234</v>
      </c>
      <c r="B3519" s="25" t="s">
        <v>5984</v>
      </c>
      <c r="C3519" t="s">
        <v>20</v>
      </c>
      <c r="D3519" t="s">
        <v>21</v>
      </c>
      <c r="E3519">
        <v>2222222</v>
      </c>
      <c r="F3519" s="8" t="s">
        <v>22</v>
      </c>
      <c r="G3519" s="2">
        <v>98</v>
      </c>
      <c r="H3519" t="s">
        <v>4457</v>
      </c>
      <c r="J3519" s="9" t="s">
        <v>4833</v>
      </c>
      <c r="L3519" s="2">
        <v>1</v>
      </c>
      <c r="M3519" s="24" t="s">
        <v>5971</v>
      </c>
      <c r="N3519" s="2" t="s">
        <v>23</v>
      </c>
      <c r="O3519" s="18" t="s">
        <v>2722</v>
      </c>
      <c r="P3519" s="18" t="s">
        <v>0</v>
      </c>
      <c r="Q3519" s="6" t="s">
        <v>4475</v>
      </c>
      <c r="T3519" s="23">
        <v>45877</v>
      </c>
      <c r="U3519" s="23">
        <v>47337</v>
      </c>
      <c r="X3519" s="20">
        <v>12500</v>
      </c>
      <c r="Z3519" s="6" t="s">
        <v>5978</v>
      </c>
      <c r="AA3519" s="14">
        <f t="shared" si="468"/>
        <v>5.9999999999999995E-4</v>
      </c>
      <c r="AB3519">
        <v>6.1300019999999993</v>
      </c>
      <c r="AC3519">
        <v>6.3752020799999993</v>
      </c>
    </row>
    <row r="3520" spans="1:29" x14ac:dyDescent="0.3">
      <c r="A3520">
        <v>150040</v>
      </c>
      <c r="B3520" s="25" t="s">
        <v>5984</v>
      </c>
      <c r="C3520" t="s">
        <v>20</v>
      </c>
      <c r="D3520" t="s">
        <v>21</v>
      </c>
      <c r="E3520">
        <v>2222222</v>
      </c>
      <c r="F3520" s="8" t="s">
        <v>22</v>
      </c>
      <c r="G3520" s="2">
        <v>98</v>
      </c>
      <c r="H3520" t="s">
        <v>4457</v>
      </c>
      <c r="J3520" s="9" t="s">
        <v>4970</v>
      </c>
      <c r="K3520" t="s">
        <v>4861</v>
      </c>
      <c r="L3520" s="2">
        <v>1</v>
      </c>
      <c r="M3520" s="24" t="s">
        <v>5971</v>
      </c>
      <c r="N3520" s="2" t="s">
        <v>23</v>
      </c>
      <c r="O3520" s="18" t="s">
        <v>2723</v>
      </c>
      <c r="P3520" s="18" t="s">
        <v>3781</v>
      </c>
      <c r="Q3520" s="6" t="s">
        <v>4475</v>
      </c>
      <c r="T3520" s="23">
        <v>46066</v>
      </c>
      <c r="U3520" s="23">
        <v>47164</v>
      </c>
      <c r="X3520" s="20">
        <v>2700</v>
      </c>
      <c r="Z3520" s="6" t="s">
        <v>5978</v>
      </c>
      <c r="AA3520" s="14">
        <f t="shared" si="468"/>
        <v>5.9999999999999995E-4</v>
      </c>
      <c r="AB3520">
        <v>1.4414879999999999</v>
      </c>
      <c r="AC3520">
        <v>1.49914752</v>
      </c>
    </row>
    <row r="3521" spans="1:29" x14ac:dyDescent="0.3">
      <c r="A3521">
        <v>151389</v>
      </c>
      <c r="B3521" s="25" t="s">
        <v>5984</v>
      </c>
      <c r="C3521" t="s">
        <v>20</v>
      </c>
      <c r="D3521" t="s">
        <v>21</v>
      </c>
      <c r="E3521">
        <v>2222222</v>
      </c>
      <c r="F3521" s="8" t="s">
        <v>22</v>
      </c>
      <c r="G3521" s="2">
        <v>98</v>
      </c>
      <c r="H3521" t="s">
        <v>4457</v>
      </c>
      <c r="J3521" s="9" t="s">
        <v>4909</v>
      </c>
      <c r="K3521" t="s">
        <v>5123</v>
      </c>
      <c r="L3521" s="2">
        <v>1</v>
      </c>
      <c r="M3521" s="24" t="s">
        <v>5971</v>
      </c>
      <c r="N3521" s="2" t="s">
        <v>23</v>
      </c>
      <c r="O3521" s="18" t="s">
        <v>350</v>
      </c>
      <c r="P3521" s="18" t="s">
        <v>3781</v>
      </c>
      <c r="Q3521" s="6" t="s">
        <v>4475</v>
      </c>
      <c r="T3521" s="23">
        <v>46161</v>
      </c>
      <c r="U3521" s="23">
        <v>46405</v>
      </c>
      <c r="X3521" s="20">
        <v>3000</v>
      </c>
      <c r="Z3521" s="6" t="s">
        <v>5978</v>
      </c>
      <c r="AA3521" s="14">
        <f t="shared" si="468"/>
        <v>5.9999999999999995E-4</v>
      </c>
      <c r="AB3521">
        <v>1.3683959999999997</v>
      </c>
      <c r="AC3521">
        <v>1.4231318399999997</v>
      </c>
    </row>
    <row r="3522" spans="1:29" x14ac:dyDescent="0.3">
      <c r="A3522">
        <v>96046</v>
      </c>
      <c r="B3522" s="25" t="s">
        <v>5984</v>
      </c>
      <c r="C3522" t="s">
        <v>20</v>
      </c>
      <c r="D3522" t="s">
        <v>21</v>
      </c>
      <c r="E3522">
        <v>2222222</v>
      </c>
      <c r="F3522" s="8" t="s">
        <v>22</v>
      </c>
      <c r="G3522" s="2">
        <v>98</v>
      </c>
      <c r="H3522" t="s">
        <v>4458</v>
      </c>
      <c r="J3522" s="9" t="s">
        <v>4815</v>
      </c>
      <c r="K3522" t="s">
        <v>5006</v>
      </c>
      <c r="L3522" s="2">
        <v>1</v>
      </c>
      <c r="M3522" s="24" t="s">
        <v>5971</v>
      </c>
      <c r="N3522" s="2" t="s">
        <v>23</v>
      </c>
      <c r="O3522" s="18" t="s">
        <v>798</v>
      </c>
      <c r="P3522" s="18" t="s">
        <v>0</v>
      </c>
      <c r="Q3522" s="6" t="s">
        <v>4475</v>
      </c>
      <c r="T3522" s="23">
        <v>43312</v>
      </c>
      <c r="U3522" s="23">
        <v>43681</v>
      </c>
      <c r="X3522" s="20">
        <v>461</v>
      </c>
      <c r="Z3522" s="6" t="s">
        <v>5978</v>
      </c>
      <c r="AA3522" s="15">
        <f>+(0.42/1000)</f>
        <v>4.1999999999999996E-4</v>
      </c>
      <c r="AB3522">
        <v>0.17732399999999998</v>
      </c>
      <c r="AC3522">
        <v>0.18441695999999999</v>
      </c>
    </row>
    <row r="3523" spans="1:29" x14ac:dyDescent="0.3">
      <c r="A3523">
        <v>130903</v>
      </c>
      <c r="B3523" s="25" t="s">
        <v>5984</v>
      </c>
      <c r="C3523" t="s">
        <v>20</v>
      </c>
      <c r="D3523" t="s">
        <v>21</v>
      </c>
      <c r="E3523">
        <v>2222222</v>
      </c>
      <c r="F3523" s="8" t="s">
        <v>22</v>
      </c>
      <c r="G3523" s="2">
        <v>98</v>
      </c>
      <c r="H3523" t="s">
        <v>4458</v>
      </c>
      <c r="J3523" s="9" t="s">
        <v>5023</v>
      </c>
      <c r="K3523" t="s">
        <v>4826</v>
      </c>
      <c r="L3523" s="2">
        <v>1</v>
      </c>
      <c r="M3523" s="24" t="s">
        <v>5971</v>
      </c>
      <c r="N3523" s="2" t="s">
        <v>23</v>
      </c>
      <c r="O3523" s="18" t="s">
        <v>2724</v>
      </c>
      <c r="P3523" s="18" t="s">
        <v>0</v>
      </c>
      <c r="Q3523" s="6" t="s">
        <v>4475</v>
      </c>
      <c r="T3523" s="23">
        <v>44861</v>
      </c>
      <c r="U3523" s="23">
        <v>46695</v>
      </c>
      <c r="X3523" s="20">
        <v>8590</v>
      </c>
      <c r="Z3523" s="6" t="s">
        <v>5978</v>
      </c>
      <c r="AA3523" s="13">
        <f>+(0.56/1000)</f>
        <v>5.6000000000000006E-4</v>
      </c>
      <c r="AB3523">
        <v>3.3803448000000005</v>
      </c>
      <c r="AC3523">
        <v>3.5155585920000005</v>
      </c>
    </row>
    <row r="3524" spans="1:29" x14ac:dyDescent="0.3">
      <c r="A3524">
        <v>143547</v>
      </c>
      <c r="B3524" s="25" t="s">
        <v>5984</v>
      </c>
      <c r="C3524" t="s">
        <v>20</v>
      </c>
      <c r="D3524" t="s">
        <v>21</v>
      </c>
      <c r="E3524">
        <v>2222222</v>
      </c>
      <c r="F3524" s="8" t="s">
        <v>22</v>
      </c>
      <c r="G3524" s="2">
        <v>98</v>
      </c>
      <c r="H3524" t="s">
        <v>4458</v>
      </c>
      <c r="J3524" s="9" t="s">
        <v>4950</v>
      </c>
      <c r="K3524" t="s">
        <v>5130</v>
      </c>
      <c r="L3524" s="2">
        <v>1</v>
      </c>
      <c r="M3524" s="24" t="s">
        <v>5971</v>
      </c>
      <c r="N3524" s="2" t="s">
        <v>23</v>
      </c>
      <c r="O3524" s="18" t="s">
        <v>123</v>
      </c>
      <c r="P3524" s="18" t="s">
        <v>0</v>
      </c>
      <c r="Q3524" s="6" t="s">
        <v>4475</v>
      </c>
      <c r="T3524" s="23">
        <v>45598</v>
      </c>
      <c r="U3524" s="23">
        <v>46328</v>
      </c>
      <c r="X3524" s="20">
        <v>1500</v>
      </c>
      <c r="Z3524" s="6" t="s">
        <v>5978</v>
      </c>
      <c r="AA3524" s="14">
        <f>+(0.6/1000)</f>
        <v>5.9999999999999995E-4</v>
      </c>
      <c r="AB3524">
        <v>0.67154999999999998</v>
      </c>
      <c r="AC3524">
        <v>0.69841200000000003</v>
      </c>
    </row>
    <row r="3525" spans="1:29" x14ac:dyDescent="0.3">
      <c r="A3525">
        <v>516</v>
      </c>
      <c r="B3525" s="25" t="s">
        <v>5984</v>
      </c>
      <c r="C3525" t="s">
        <v>20</v>
      </c>
      <c r="D3525" t="s">
        <v>21</v>
      </c>
      <c r="E3525">
        <v>2222222</v>
      </c>
      <c r="F3525" s="8" t="s">
        <v>22</v>
      </c>
      <c r="G3525" s="2">
        <v>98</v>
      </c>
      <c r="H3525" t="s">
        <v>4459</v>
      </c>
      <c r="J3525" s="9" t="s">
        <v>4836</v>
      </c>
      <c r="K3525" t="s">
        <v>4872</v>
      </c>
      <c r="L3525" s="2">
        <v>1</v>
      </c>
      <c r="M3525" s="24" t="s">
        <v>5971</v>
      </c>
      <c r="N3525" s="2" t="s">
        <v>23</v>
      </c>
      <c r="O3525" s="18" t="s">
        <v>1423</v>
      </c>
      <c r="P3525" s="18" t="s">
        <v>3781</v>
      </c>
      <c r="Q3525" s="6" t="s">
        <v>4475</v>
      </c>
      <c r="T3525" s="23">
        <v>40858</v>
      </c>
      <c r="U3525" s="23">
        <v>42319</v>
      </c>
      <c r="X3525" s="20">
        <v>5000</v>
      </c>
      <c r="Z3525" s="6" t="s">
        <v>5978</v>
      </c>
      <c r="AA3525" s="16">
        <f>+(0.36/1000)</f>
        <v>3.5999999999999997E-4</v>
      </c>
      <c r="AB3525">
        <v>0.74726639999999989</v>
      </c>
      <c r="AC3525">
        <v>0.77715705599999996</v>
      </c>
    </row>
    <row r="3526" spans="1:29" x14ac:dyDescent="0.3">
      <c r="A3526">
        <v>130164</v>
      </c>
      <c r="B3526" s="25" t="s">
        <v>5984</v>
      </c>
      <c r="C3526" t="s">
        <v>20</v>
      </c>
      <c r="D3526" t="s">
        <v>21</v>
      </c>
      <c r="E3526">
        <v>2222222</v>
      </c>
      <c r="F3526" s="8" t="s">
        <v>22</v>
      </c>
      <c r="G3526" s="2">
        <v>98</v>
      </c>
      <c r="H3526" t="s">
        <v>4459</v>
      </c>
      <c r="J3526" s="9" t="s">
        <v>5093</v>
      </c>
      <c r="K3526" t="s">
        <v>5021</v>
      </c>
      <c r="L3526" s="2">
        <v>1</v>
      </c>
      <c r="M3526" s="24" t="s">
        <v>5971</v>
      </c>
      <c r="N3526" s="2" t="s">
        <v>23</v>
      </c>
      <c r="O3526" s="18" t="s">
        <v>2725</v>
      </c>
      <c r="P3526" s="18" t="s">
        <v>3781</v>
      </c>
      <c r="Q3526" s="6" t="s">
        <v>4475</v>
      </c>
      <c r="T3526" s="23">
        <v>44830</v>
      </c>
      <c r="U3526" s="23">
        <v>47486</v>
      </c>
      <c r="X3526" s="20">
        <v>15000</v>
      </c>
      <c r="Z3526" s="6" t="s">
        <v>5978</v>
      </c>
      <c r="AA3526" s="13">
        <f t="shared" ref="AA3526:AA3530" si="469">+(0.56/1000)</f>
        <v>5.6000000000000006E-4</v>
      </c>
      <c r="AB3526">
        <v>5.5427512000000005</v>
      </c>
      <c r="AC3526">
        <v>5.7644612480000008</v>
      </c>
    </row>
    <row r="3527" spans="1:29" x14ac:dyDescent="0.3">
      <c r="A3527">
        <v>137894</v>
      </c>
      <c r="B3527" s="25" t="s">
        <v>5984</v>
      </c>
      <c r="C3527" t="s">
        <v>20</v>
      </c>
      <c r="D3527" t="s">
        <v>21</v>
      </c>
      <c r="E3527">
        <v>2222222</v>
      </c>
      <c r="F3527" s="8" t="s">
        <v>22</v>
      </c>
      <c r="G3527" s="2">
        <v>98</v>
      </c>
      <c r="H3527" t="s">
        <v>4459</v>
      </c>
      <c r="J3527" s="9" t="s">
        <v>5096</v>
      </c>
      <c r="K3527" t="s">
        <v>5019</v>
      </c>
      <c r="L3527" s="2">
        <v>1</v>
      </c>
      <c r="M3527" s="24" t="s">
        <v>5971</v>
      </c>
      <c r="N3527" s="2" t="s">
        <v>23</v>
      </c>
      <c r="O3527" s="18" t="s">
        <v>2726</v>
      </c>
      <c r="P3527" s="18" t="s">
        <v>3781</v>
      </c>
      <c r="Q3527" s="6" t="s">
        <v>4475</v>
      </c>
      <c r="T3527" s="23">
        <v>45246</v>
      </c>
      <c r="U3527" s="23">
        <v>46342</v>
      </c>
      <c r="X3527" s="20">
        <v>3000</v>
      </c>
      <c r="Z3527" s="6" t="s">
        <v>5978</v>
      </c>
      <c r="AA3527" s="13">
        <f t="shared" si="469"/>
        <v>5.6000000000000006E-4</v>
      </c>
      <c r="AB3527">
        <v>0.23512720000000004</v>
      </c>
      <c r="AC3527">
        <v>0.24453228800000004</v>
      </c>
    </row>
    <row r="3528" spans="1:29" x14ac:dyDescent="0.3">
      <c r="A3528">
        <v>137935</v>
      </c>
      <c r="B3528" s="25" t="s">
        <v>5984</v>
      </c>
      <c r="C3528" t="s">
        <v>20</v>
      </c>
      <c r="D3528" t="s">
        <v>21</v>
      </c>
      <c r="E3528">
        <v>2222222</v>
      </c>
      <c r="F3528" s="8" t="s">
        <v>22</v>
      </c>
      <c r="G3528" s="2">
        <v>98</v>
      </c>
      <c r="H3528" t="s">
        <v>4459</v>
      </c>
      <c r="J3528" s="9" t="s">
        <v>4967</v>
      </c>
      <c r="K3528" t="s">
        <v>5640</v>
      </c>
      <c r="L3528" s="2">
        <v>1</v>
      </c>
      <c r="M3528" s="24" t="s">
        <v>5971</v>
      </c>
      <c r="N3528" s="2" t="s">
        <v>23</v>
      </c>
      <c r="O3528" s="18" t="s">
        <v>2727</v>
      </c>
      <c r="P3528" s="18" t="s">
        <v>3781</v>
      </c>
      <c r="Q3528" s="6" t="s">
        <v>4475</v>
      </c>
      <c r="T3528" s="23">
        <v>45261</v>
      </c>
      <c r="U3528" s="23">
        <v>46722</v>
      </c>
      <c r="X3528" s="20">
        <v>7000</v>
      </c>
      <c r="Z3528" s="6" t="s">
        <v>5978</v>
      </c>
      <c r="AA3528" s="13">
        <f t="shared" si="469"/>
        <v>5.6000000000000006E-4</v>
      </c>
      <c r="AB3528">
        <v>1.6827048000000002</v>
      </c>
      <c r="AC3528">
        <v>1.7500129920000003</v>
      </c>
    </row>
    <row r="3529" spans="1:29" x14ac:dyDescent="0.3">
      <c r="A3529">
        <v>139848</v>
      </c>
      <c r="B3529" s="25" t="s">
        <v>5984</v>
      </c>
      <c r="C3529" t="s">
        <v>20</v>
      </c>
      <c r="D3529" t="s">
        <v>21</v>
      </c>
      <c r="E3529">
        <v>2222222</v>
      </c>
      <c r="F3529" s="8" t="s">
        <v>22</v>
      </c>
      <c r="G3529" s="2">
        <v>98</v>
      </c>
      <c r="H3529" t="s">
        <v>4459</v>
      </c>
      <c r="J3529" s="9" t="s">
        <v>4970</v>
      </c>
      <c r="K3529" t="s">
        <v>5520</v>
      </c>
      <c r="L3529" s="2">
        <v>1</v>
      </c>
      <c r="M3529" s="24" t="s">
        <v>5971</v>
      </c>
      <c r="N3529" s="2" t="s">
        <v>23</v>
      </c>
      <c r="O3529" s="18" t="s">
        <v>2728</v>
      </c>
      <c r="P3529" s="18" t="s">
        <v>3781</v>
      </c>
      <c r="Q3529" s="6" t="s">
        <v>4475</v>
      </c>
      <c r="T3529" s="23">
        <v>45352</v>
      </c>
      <c r="U3529" s="23">
        <v>46446</v>
      </c>
      <c r="X3529" s="20">
        <v>1800</v>
      </c>
      <c r="Z3529" s="6" t="s">
        <v>5978</v>
      </c>
      <c r="AA3529" s="13">
        <f t="shared" si="469"/>
        <v>5.6000000000000006E-4</v>
      </c>
      <c r="AB3529">
        <v>0.27622560000000002</v>
      </c>
      <c r="AC3529">
        <v>0.28727462400000003</v>
      </c>
    </row>
    <row r="3530" spans="1:29" x14ac:dyDescent="0.3">
      <c r="A3530">
        <v>140607</v>
      </c>
      <c r="B3530" s="25" t="s">
        <v>5984</v>
      </c>
      <c r="C3530" t="s">
        <v>20</v>
      </c>
      <c r="D3530" t="s">
        <v>21</v>
      </c>
      <c r="E3530">
        <v>2222222</v>
      </c>
      <c r="F3530" s="8" t="s">
        <v>22</v>
      </c>
      <c r="G3530" s="2">
        <v>98</v>
      </c>
      <c r="H3530" t="s">
        <v>4459</v>
      </c>
      <c r="J3530" s="9" t="s">
        <v>4836</v>
      </c>
      <c r="K3530" t="s">
        <v>5030</v>
      </c>
      <c r="L3530" s="2">
        <v>1</v>
      </c>
      <c r="M3530" s="24" t="s">
        <v>5971</v>
      </c>
      <c r="N3530" s="2" t="s">
        <v>23</v>
      </c>
      <c r="O3530" s="18" t="s">
        <v>2729</v>
      </c>
      <c r="P3530" s="18" t="s">
        <v>3781</v>
      </c>
      <c r="Q3530" s="6" t="s">
        <v>4475</v>
      </c>
      <c r="T3530" s="23">
        <v>45405</v>
      </c>
      <c r="U3530" s="23">
        <v>47322</v>
      </c>
      <c r="X3530" s="20">
        <v>6220</v>
      </c>
      <c r="Z3530" s="6" t="s">
        <v>5978</v>
      </c>
      <c r="AA3530" s="13">
        <f t="shared" si="469"/>
        <v>5.6000000000000006E-4</v>
      </c>
      <c r="AB3530">
        <v>2.6005392000000001</v>
      </c>
      <c r="AC3530">
        <v>2.7045607680000003</v>
      </c>
    </row>
    <row r="3531" spans="1:29" x14ac:dyDescent="0.3">
      <c r="A3531">
        <v>143564</v>
      </c>
      <c r="B3531" s="25" t="s">
        <v>5984</v>
      </c>
      <c r="C3531" t="s">
        <v>20</v>
      </c>
      <c r="D3531" t="s">
        <v>21</v>
      </c>
      <c r="E3531">
        <v>2222222</v>
      </c>
      <c r="F3531" s="8" t="s">
        <v>22</v>
      </c>
      <c r="G3531" s="2">
        <v>98</v>
      </c>
      <c r="H3531" t="s">
        <v>4459</v>
      </c>
      <c r="J3531" s="9" t="s">
        <v>4936</v>
      </c>
      <c r="K3531" t="s">
        <v>4965</v>
      </c>
      <c r="L3531" s="2">
        <v>1</v>
      </c>
      <c r="M3531" s="24" t="s">
        <v>5971</v>
      </c>
      <c r="N3531" s="2" t="s">
        <v>23</v>
      </c>
      <c r="O3531" s="18" t="s">
        <v>623</v>
      </c>
      <c r="P3531" s="18" t="s">
        <v>0</v>
      </c>
      <c r="Q3531" s="6" t="s">
        <v>4475</v>
      </c>
      <c r="T3531" s="23">
        <v>45627</v>
      </c>
      <c r="U3531" s="23">
        <v>46721</v>
      </c>
      <c r="X3531" s="20">
        <v>25000</v>
      </c>
      <c r="Z3531" s="6" t="s">
        <v>5978</v>
      </c>
      <c r="AA3531" s="14">
        <f t="shared" ref="AA3531:AA3548" si="470">+(0.6/1000)</f>
        <v>5.9999999999999995E-4</v>
      </c>
      <c r="AB3531">
        <v>7.9735919999999991</v>
      </c>
      <c r="AC3531">
        <v>8.2925356799999985</v>
      </c>
    </row>
    <row r="3532" spans="1:29" x14ac:dyDescent="0.3">
      <c r="A3532">
        <v>144047</v>
      </c>
      <c r="B3532" s="25" t="s">
        <v>5984</v>
      </c>
      <c r="C3532" t="s">
        <v>20</v>
      </c>
      <c r="D3532" t="s">
        <v>21</v>
      </c>
      <c r="E3532">
        <v>2222222</v>
      </c>
      <c r="F3532" s="8" t="s">
        <v>22</v>
      </c>
      <c r="G3532" s="2">
        <v>98</v>
      </c>
      <c r="H3532" t="s">
        <v>4459</v>
      </c>
      <c r="J3532" s="9" t="s">
        <v>4779</v>
      </c>
      <c r="K3532" t="s">
        <v>4875</v>
      </c>
      <c r="L3532" s="2">
        <v>1</v>
      </c>
      <c r="M3532" s="24" t="s">
        <v>5971</v>
      </c>
      <c r="N3532" s="2" t="s">
        <v>23</v>
      </c>
      <c r="O3532" s="18" t="s">
        <v>2730</v>
      </c>
      <c r="P3532" s="18" t="s">
        <v>0</v>
      </c>
      <c r="Q3532" s="6" t="s">
        <v>4475</v>
      </c>
      <c r="T3532" s="23">
        <v>45635</v>
      </c>
      <c r="U3532" s="23">
        <v>46729</v>
      </c>
      <c r="X3532" s="20">
        <v>4850</v>
      </c>
      <c r="Z3532" s="6" t="s">
        <v>5978</v>
      </c>
      <c r="AA3532" s="14">
        <f t="shared" si="470"/>
        <v>5.9999999999999995E-4</v>
      </c>
      <c r="AB3532">
        <v>1.5680459999999998</v>
      </c>
      <c r="AC3532">
        <v>1.6307678399999999</v>
      </c>
    </row>
    <row r="3533" spans="1:29" x14ac:dyDescent="0.3">
      <c r="A3533">
        <v>146909</v>
      </c>
      <c r="B3533" s="25" t="s">
        <v>5984</v>
      </c>
      <c r="C3533" t="s">
        <v>20</v>
      </c>
      <c r="D3533" t="s">
        <v>21</v>
      </c>
      <c r="E3533">
        <v>2222222</v>
      </c>
      <c r="F3533" s="8" t="s">
        <v>22</v>
      </c>
      <c r="G3533" s="2">
        <v>98</v>
      </c>
      <c r="H3533" t="s">
        <v>4459</v>
      </c>
      <c r="J3533" s="9" t="s">
        <v>5007</v>
      </c>
      <c r="K3533" t="s">
        <v>4965</v>
      </c>
      <c r="L3533" s="2">
        <v>1</v>
      </c>
      <c r="M3533" s="24" t="s">
        <v>5971</v>
      </c>
      <c r="N3533" s="2" t="s">
        <v>23</v>
      </c>
      <c r="O3533" s="18" t="s">
        <v>2731</v>
      </c>
      <c r="P3533" s="18" t="s">
        <v>0</v>
      </c>
      <c r="Q3533" s="6" t="s">
        <v>4475</v>
      </c>
      <c r="T3533" s="23">
        <v>45852</v>
      </c>
      <c r="U3533" s="23">
        <v>46947</v>
      </c>
      <c r="X3533" s="20">
        <v>4000</v>
      </c>
      <c r="Z3533" s="6" t="s">
        <v>5978</v>
      </c>
      <c r="AA3533" s="14">
        <f t="shared" si="470"/>
        <v>5.9999999999999995E-4</v>
      </c>
      <c r="AB3533">
        <v>1.7314259999999999</v>
      </c>
      <c r="AC3533">
        <v>1.80068304</v>
      </c>
    </row>
    <row r="3534" spans="1:29" x14ac:dyDescent="0.3">
      <c r="A3534">
        <v>148669</v>
      </c>
      <c r="B3534" s="25" t="s">
        <v>5984</v>
      </c>
      <c r="C3534" t="s">
        <v>20</v>
      </c>
      <c r="D3534" t="s">
        <v>21</v>
      </c>
      <c r="E3534">
        <v>2222222</v>
      </c>
      <c r="F3534" s="8" t="s">
        <v>22</v>
      </c>
      <c r="G3534" s="2">
        <v>98</v>
      </c>
      <c r="H3534" t="s">
        <v>4459</v>
      </c>
      <c r="J3534" s="9" t="s">
        <v>4904</v>
      </c>
      <c r="K3534" t="s">
        <v>4991</v>
      </c>
      <c r="L3534" s="2">
        <v>1</v>
      </c>
      <c r="M3534" s="24" t="s">
        <v>5971</v>
      </c>
      <c r="N3534" s="2" t="s">
        <v>23</v>
      </c>
      <c r="O3534" s="18" t="s">
        <v>2732</v>
      </c>
      <c r="P3534" s="18" t="s">
        <v>3781</v>
      </c>
      <c r="Q3534" s="6" t="s">
        <v>4475</v>
      </c>
      <c r="T3534" s="23">
        <v>45971</v>
      </c>
      <c r="U3534" s="23">
        <v>46336</v>
      </c>
      <c r="X3534" s="20">
        <v>4000</v>
      </c>
      <c r="Z3534" s="6" t="s">
        <v>5978</v>
      </c>
      <c r="AA3534" s="14">
        <f t="shared" si="470"/>
        <v>5.9999999999999995E-4</v>
      </c>
      <c r="AB3534">
        <v>0.84487800000000002</v>
      </c>
      <c r="AC3534">
        <v>0.87867312000000009</v>
      </c>
    </row>
    <row r="3535" spans="1:29" x14ac:dyDescent="0.3">
      <c r="A3535">
        <v>148954</v>
      </c>
      <c r="B3535" s="25" t="s">
        <v>5984</v>
      </c>
      <c r="C3535" t="s">
        <v>20</v>
      </c>
      <c r="D3535" t="s">
        <v>21</v>
      </c>
      <c r="E3535">
        <v>2222222</v>
      </c>
      <c r="F3535" s="8" t="s">
        <v>22</v>
      </c>
      <c r="G3535" s="2">
        <v>98</v>
      </c>
      <c r="H3535" t="s">
        <v>4459</v>
      </c>
      <c r="J3535" s="9" t="s">
        <v>4864</v>
      </c>
      <c r="K3535" t="s">
        <v>5191</v>
      </c>
      <c r="L3535" s="2">
        <v>1</v>
      </c>
      <c r="M3535" s="24" t="s">
        <v>5971</v>
      </c>
      <c r="N3535" s="2" t="s">
        <v>23</v>
      </c>
      <c r="O3535" s="18" t="s">
        <v>2733</v>
      </c>
      <c r="P3535" s="18" t="s">
        <v>0</v>
      </c>
      <c r="Q3535" s="6" t="s">
        <v>4475</v>
      </c>
      <c r="T3535" s="23">
        <v>45992</v>
      </c>
      <c r="U3535" s="23">
        <v>46570</v>
      </c>
      <c r="X3535" s="20">
        <v>20000</v>
      </c>
      <c r="Z3535" s="6" t="s">
        <v>5978</v>
      </c>
      <c r="AA3535" s="14">
        <f t="shared" si="470"/>
        <v>5.9999999999999995E-4</v>
      </c>
      <c r="AB3535">
        <v>7.9208879999999988</v>
      </c>
      <c r="AC3535">
        <v>8.2377235199999994</v>
      </c>
    </row>
    <row r="3536" spans="1:29" x14ac:dyDescent="0.3">
      <c r="A3536">
        <v>149192</v>
      </c>
      <c r="B3536" s="25" t="s">
        <v>5984</v>
      </c>
      <c r="C3536" t="s">
        <v>20</v>
      </c>
      <c r="D3536" t="s">
        <v>21</v>
      </c>
      <c r="E3536">
        <v>2222222</v>
      </c>
      <c r="F3536" s="8" t="s">
        <v>22</v>
      </c>
      <c r="G3536" s="2">
        <v>98</v>
      </c>
      <c r="H3536" t="s">
        <v>4459</v>
      </c>
      <c r="J3536" s="9" t="s">
        <v>4883</v>
      </c>
      <c r="K3536" t="s">
        <v>5192</v>
      </c>
      <c r="L3536" s="2">
        <v>1</v>
      </c>
      <c r="M3536" s="24" t="s">
        <v>5971</v>
      </c>
      <c r="N3536" s="2" t="s">
        <v>23</v>
      </c>
      <c r="O3536" s="18" t="s">
        <v>2734</v>
      </c>
      <c r="P3536" s="18" t="s">
        <v>3781</v>
      </c>
      <c r="Q3536" s="6" t="s">
        <v>4475</v>
      </c>
      <c r="T3536" s="23">
        <v>46003</v>
      </c>
      <c r="U3536" s="23">
        <v>47463</v>
      </c>
      <c r="X3536" s="20">
        <v>5000</v>
      </c>
      <c r="Z3536" s="6" t="s">
        <v>5978</v>
      </c>
      <c r="AA3536" s="14">
        <f t="shared" si="470"/>
        <v>5.9999999999999995E-4</v>
      </c>
      <c r="AB3536">
        <v>2.6827320000000001</v>
      </c>
      <c r="AC3536">
        <v>2.7900412800000001</v>
      </c>
    </row>
    <row r="3537" spans="1:29" x14ac:dyDescent="0.3">
      <c r="A3537">
        <v>149809</v>
      </c>
      <c r="B3537" s="25" t="s">
        <v>5984</v>
      </c>
      <c r="C3537" t="s">
        <v>20</v>
      </c>
      <c r="D3537" t="s">
        <v>21</v>
      </c>
      <c r="E3537">
        <v>2222222</v>
      </c>
      <c r="F3537" s="8" t="s">
        <v>22</v>
      </c>
      <c r="G3537" s="2">
        <v>98</v>
      </c>
      <c r="H3537" t="s">
        <v>4459</v>
      </c>
      <c r="J3537" s="9" t="s">
        <v>4903</v>
      </c>
      <c r="K3537" t="s">
        <v>4893</v>
      </c>
      <c r="L3537" s="2">
        <v>1</v>
      </c>
      <c r="M3537" s="24" t="s">
        <v>5971</v>
      </c>
      <c r="N3537" s="2" t="s">
        <v>23</v>
      </c>
      <c r="O3537" s="18" t="s">
        <v>868</v>
      </c>
      <c r="P3537" s="18" t="s">
        <v>3781</v>
      </c>
      <c r="Q3537" s="6" t="s">
        <v>4475</v>
      </c>
      <c r="T3537" s="23">
        <v>46050</v>
      </c>
      <c r="U3537" s="23">
        <v>47515</v>
      </c>
      <c r="X3537" s="20">
        <v>4000</v>
      </c>
      <c r="Z3537" s="6" t="s">
        <v>5978</v>
      </c>
      <c r="AA3537" s="14">
        <f t="shared" si="470"/>
        <v>5.9999999999999995E-4</v>
      </c>
      <c r="AB3537">
        <v>2.223042</v>
      </c>
      <c r="AC3537">
        <v>2.3119636799999999</v>
      </c>
    </row>
    <row r="3538" spans="1:29" x14ac:dyDescent="0.3">
      <c r="A3538">
        <v>149895</v>
      </c>
      <c r="B3538" s="25" t="s">
        <v>5984</v>
      </c>
      <c r="C3538" t="s">
        <v>20</v>
      </c>
      <c r="D3538" t="s">
        <v>21</v>
      </c>
      <c r="E3538">
        <v>2222222</v>
      </c>
      <c r="F3538" s="8" t="s">
        <v>22</v>
      </c>
      <c r="G3538" s="2">
        <v>98</v>
      </c>
      <c r="H3538" t="s">
        <v>4459</v>
      </c>
      <c r="J3538" s="9" t="s">
        <v>5008</v>
      </c>
      <c r="K3538" t="s">
        <v>4848</v>
      </c>
      <c r="L3538" s="2">
        <v>1</v>
      </c>
      <c r="M3538" s="24" t="s">
        <v>5971</v>
      </c>
      <c r="N3538" s="2" t="s">
        <v>23</v>
      </c>
      <c r="O3538" s="18" t="s">
        <v>2735</v>
      </c>
      <c r="P3538" s="18" t="s">
        <v>0</v>
      </c>
      <c r="Q3538" s="6" t="s">
        <v>4475</v>
      </c>
      <c r="T3538" s="23">
        <v>46059</v>
      </c>
      <c r="U3538" s="23">
        <v>46607</v>
      </c>
      <c r="X3538" s="20">
        <v>8500</v>
      </c>
      <c r="Z3538" s="6" t="s">
        <v>5978</v>
      </c>
      <c r="AA3538" s="14">
        <f t="shared" si="470"/>
        <v>5.9999999999999995E-4</v>
      </c>
      <c r="AB3538">
        <v>3.3379799999999999</v>
      </c>
      <c r="AC3538">
        <v>3.4714992000000002</v>
      </c>
    </row>
    <row r="3539" spans="1:29" x14ac:dyDescent="0.3">
      <c r="A3539">
        <v>150219</v>
      </c>
      <c r="B3539" s="25" t="s">
        <v>5984</v>
      </c>
      <c r="C3539" t="s">
        <v>20</v>
      </c>
      <c r="D3539" t="s">
        <v>21</v>
      </c>
      <c r="E3539">
        <v>2222222</v>
      </c>
      <c r="F3539" s="8" t="s">
        <v>22</v>
      </c>
      <c r="G3539" s="2">
        <v>98</v>
      </c>
      <c r="H3539" t="s">
        <v>4459</v>
      </c>
      <c r="J3539" s="9" t="s">
        <v>4836</v>
      </c>
      <c r="K3539" t="s">
        <v>4911</v>
      </c>
      <c r="L3539" s="2">
        <v>1</v>
      </c>
      <c r="M3539" s="24" t="s">
        <v>5971</v>
      </c>
      <c r="N3539" s="2" t="s">
        <v>23</v>
      </c>
      <c r="O3539" s="18" t="s">
        <v>2736</v>
      </c>
      <c r="P3539" s="18" t="s">
        <v>3781</v>
      </c>
      <c r="Q3539" s="6" t="s">
        <v>4475</v>
      </c>
      <c r="T3539" s="23">
        <v>46083</v>
      </c>
      <c r="U3539" s="23">
        <v>47543</v>
      </c>
      <c r="X3539" s="20">
        <v>6000</v>
      </c>
      <c r="Z3539" s="6" t="s">
        <v>5978</v>
      </c>
      <c r="AA3539" s="14">
        <f t="shared" si="470"/>
        <v>5.9999999999999995E-4</v>
      </c>
      <c r="AB3539">
        <v>3.3881519999999998</v>
      </c>
      <c r="AC3539">
        <v>3.5236780799999998</v>
      </c>
    </row>
    <row r="3540" spans="1:29" x14ac:dyDescent="0.3">
      <c r="A3540">
        <v>151152</v>
      </c>
      <c r="B3540" s="25" t="s">
        <v>5984</v>
      </c>
      <c r="C3540" t="s">
        <v>20</v>
      </c>
      <c r="D3540" t="s">
        <v>21</v>
      </c>
      <c r="E3540">
        <v>2222222</v>
      </c>
      <c r="F3540" s="8" t="s">
        <v>22</v>
      </c>
      <c r="G3540" s="2">
        <v>98</v>
      </c>
      <c r="H3540" t="s">
        <v>4459</v>
      </c>
      <c r="J3540" s="9" t="s">
        <v>4815</v>
      </c>
      <c r="K3540" t="s">
        <v>5789</v>
      </c>
      <c r="L3540" s="2">
        <v>1</v>
      </c>
      <c r="M3540" s="24" t="s">
        <v>5971</v>
      </c>
      <c r="N3540" s="2" t="s">
        <v>23</v>
      </c>
      <c r="O3540" s="18" t="s">
        <v>2737</v>
      </c>
      <c r="P3540" s="18" t="s">
        <v>0</v>
      </c>
      <c r="Q3540" s="6" t="s">
        <v>4475</v>
      </c>
      <c r="T3540" s="23">
        <v>46141</v>
      </c>
      <c r="U3540" s="23">
        <v>46294</v>
      </c>
      <c r="X3540" s="20">
        <v>200</v>
      </c>
      <c r="Z3540" s="6" t="s">
        <v>5978</v>
      </c>
      <c r="AA3540" s="14">
        <f t="shared" si="470"/>
        <v>5.9999999999999995E-4</v>
      </c>
      <c r="AB3540">
        <v>4.9013999999999995E-2</v>
      </c>
      <c r="AC3540">
        <v>5.0974559999999995E-2</v>
      </c>
    </row>
    <row r="3541" spans="1:29" x14ac:dyDescent="0.3">
      <c r="A3541">
        <v>151333</v>
      </c>
      <c r="B3541" s="25" t="s">
        <v>5984</v>
      </c>
      <c r="C3541" t="s">
        <v>20</v>
      </c>
      <c r="D3541" t="s">
        <v>21</v>
      </c>
      <c r="E3541">
        <v>2222222</v>
      </c>
      <c r="F3541" s="8" t="s">
        <v>22</v>
      </c>
      <c r="G3541" s="2">
        <v>98</v>
      </c>
      <c r="H3541" t="s">
        <v>4459</v>
      </c>
      <c r="J3541" s="9" t="s">
        <v>4852</v>
      </c>
      <c r="K3541" t="s">
        <v>5183</v>
      </c>
      <c r="L3541" s="2">
        <v>1</v>
      </c>
      <c r="M3541" s="24" t="s">
        <v>5971</v>
      </c>
      <c r="N3541" s="2" t="s">
        <v>23</v>
      </c>
      <c r="O3541" s="18" t="s">
        <v>2738</v>
      </c>
      <c r="P3541" s="18" t="s">
        <v>0</v>
      </c>
      <c r="Q3541" s="6" t="s">
        <v>4475</v>
      </c>
      <c r="T3541" s="23">
        <v>46156</v>
      </c>
      <c r="U3541" s="23">
        <v>47435</v>
      </c>
      <c r="X3541" s="20">
        <v>4550</v>
      </c>
      <c r="Z3541" s="6" t="s">
        <v>5978</v>
      </c>
      <c r="AA3541" s="14">
        <f t="shared" si="470"/>
        <v>5.9999999999999995E-4</v>
      </c>
      <c r="AB3541">
        <v>2.6343179999999995</v>
      </c>
      <c r="AC3541">
        <v>2.7396907199999996</v>
      </c>
    </row>
    <row r="3542" spans="1:29" x14ac:dyDescent="0.3">
      <c r="A3542">
        <v>151346</v>
      </c>
      <c r="B3542" s="25" t="s">
        <v>5984</v>
      </c>
      <c r="C3542" t="s">
        <v>20</v>
      </c>
      <c r="D3542" t="s">
        <v>21</v>
      </c>
      <c r="E3542">
        <v>2222222</v>
      </c>
      <c r="F3542" s="8" t="s">
        <v>22</v>
      </c>
      <c r="G3542" s="2">
        <v>98</v>
      </c>
      <c r="H3542" t="s">
        <v>4459</v>
      </c>
      <c r="J3542" s="9" t="s">
        <v>4883</v>
      </c>
      <c r="K3542" t="s">
        <v>5192</v>
      </c>
      <c r="L3542" s="2">
        <v>1</v>
      </c>
      <c r="M3542" s="24" t="s">
        <v>5971</v>
      </c>
      <c r="N3542" s="2" t="s">
        <v>23</v>
      </c>
      <c r="O3542" s="18" t="s">
        <v>2734</v>
      </c>
      <c r="P3542" s="18" t="s">
        <v>3781</v>
      </c>
      <c r="Q3542" s="6" t="s">
        <v>4475</v>
      </c>
      <c r="T3542" s="23">
        <v>46157</v>
      </c>
      <c r="U3542" s="23">
        <v>46521</v>
      </c>
      <c r="X3542" s="20">
        <v>2000</v>
      </c>
      <c r="Z3542" s="6" t="s">
        <v>5978</v>
      </c>
      <c r="AA3542" s="14">
        <f t="shared" si="470"/>
        <v>5.9999999999999995E-4</v>
      </c>
      <c r="AB3542">
        <v>1.0135319999999999</v>
      </c>
      <c r="AC3542">
        <v>1.0540732799999999</v>
      </c>
    </row>
    <row r="3543" spans="1:29" x14ac:dyDescent="0.3">
      <c r="A3543">
        <v>151751</v>
      </c>
      <c r="B3543" s="25" t="s">
        <v>5984</v>
      </c>
      <c r="C3543" t="s">
        <v>20</v>
      </c>
      <c r="D3543" t="s">
        <v>21</v>
      </c>
      <c r="E3543">
        <v>2222222</v>
      </c>
      <c r="F3543" s="8" t="s">
        <v>22</v>
      </c>
      <c r="G3543" s="2">
        <v>98</v>
      </c>
      <c r="H3543" t="s">
        <v>4459</v>
      </c>
      <c r="J3543" s="9" t="s">
        <v>4889</v>
      </c>
      <c r="K3543" t="s">
        <v>5097</v>
      </c>
      <c r="L3543" s="2">
        <v>1</v>
      </c>
      <c r="M3543" s="24" t="s">
        <v>5971</v>
      </c>
      <c r="N3543" s="2" t="s">
        <v>23</v>
      </c>
      <c r="O3543" s="18" t="s">
        <v>2739</v>
      </c>
      <c r="P3543" s="18" t="s">
        <v>3781</v>
      </c>
      <c r="Q3543" s="6" t="s">
        <v>4475</v>
      </c>
      <c r="T3543" s="23">
        <v>46184</v>
      </c>
      <c r="U3543" s="23">
        <v>47280</v>
      </c>
      <c r="X3543" s="20">
        <v>2120</v>
      </c>
      <c r="Z3543" s="6" t="s">
        <v>5978</v>
      </c>
      <c r="AA3543" s="14">
        <f t="shared" si="470"/>
        <v>5.9999999999999995E-4</v>
      </c>
      <c r="AB3543">
        <v>1.2445199999999998</v>
      </c>
      <c r="AC3543">
        <v>1.2943007999999998</v>
      </c>
    </row>
    <row r="3544" spans="1:29" x14ac:dyDescent="0.3">
      <c r="A3544">
        <v>151843</v>
      </c>
      <c r="B3544" s="25" t="s">
        <v>5984</v>
      </c>
      <c r="C3544" t="s">
        <v>20</v>
      </c>
      <c r="D3544" t="s">
        <v>21</v>
      </c>
      <c r="E3544">
        <v>2222222</v>
      </c>
      <c r="F3544" s="8" t="s">
        <v>22</v>
      </c>
      <c r="G3544" s="2">
        <v>98</v>
      </c>
      <c r="H3544" t="s">
        <v>4459</v>
      </c>
      <c r="J3544" s="9" t="s">
        <v>4903</v>
      </c>
      <c r="K3544" t="s">
        <v>4893</v>
      </c>
      <c r="L3544" s="2">
        <v>1</v>
      </c>
      <c r="M3544" s="24" t="s">
        <v>5971</v>
      </c>
      <c r="N3544" s="2" t="s">
        <v>23</v>
      </c>
      <c r="O3544" s="18" t="s">
        <v>2740</v>
      </c>
      <c r="P3544" s="18" t="s">
        <v>3781</v>
      </c>
      <c r="Q3544" s="6" t="s">
        <v>4475</v>
      </c>
      <c r="T3544" s="23">
        <v>46191</v>
      </c>
      <c r="U3544" s="23">
        <v>46281</v>
      </c>
      <c r="X3544" s="20">
        <v>2180</v>
      </c>
      <c r="Z3544" s="6" t="s">
        <v>5978</v>
      </c>
      <c r="AA3544" s="14">
        <f t="shared" si="470"/>
        <v>5.9999999999999995E-4</v>
      </c>
      <c r="AB3544">
        <v>1.3079999999999998</v>
      </c>
      <c r="AC3544">
        <v>1.36032</v>
      </c>
    </row>
    <row r="3545" spans="1:29" x14ac:dyDescent="0.3">
      <c r="A3545">
        <v>152168</v>
      </c>
      <c r="B3545" s="25" t="s">
        <v>5984</v>
      </c>
      <c r="C3545" t="s">
        <v>20</v>
      </c>
      <c r="D3545" t="s">
        <v>21</v>
      </c>
      <c r="E3545">
        <v>2222222</v>
      </c>
      <c r="F3545" s="8" t="s">
        <v>22</v>
      </c>
      <c r="G3545" s="2">
        <v>98</v>
      </c>
      <c r="H3545" t="s">
        <v>4459</v>
      </c>
      <c r="J3545" s="9" t="s">
        <v>5008</v>
      </c>
      <c r="K3545" t="s">
        <v>4875</v>
      </c>
      <c r="L3545" s="2">
        <v>1</v>
      </c>
      <c r="M3545" s="24" t="s">
        <v>5971</v>
      </c>
      <c r="N3545" s="2" t="s">
        <v>23</v>
      </c>
      <c r="O3545" s="18" t="s">
        <v>2741</v>
      </c>
      <c r="P3545" s="18" t="s">
        <v>0</v>
      </c>
      <c r="Q3545" s="6" t="s">
        <v>4475</v>
      </c>
      <c r="T3545" s="23">
        <v>46218</v>
      </c>
      <c r="U3545" s="23">
        <v>46674</v>
      </c>
      <c r="X3545" s="20">
        <v>2580</v>
      </c>
      <c r="Z3545" s="6" t="s">
        <v>5978</v>
      </c>
      <c r="AA3545" s="14">
        <f t="shared" si="470"/>
        <v>5.9999999999999995E-4</v>
      </c>
      <c r="AB3545">
        <v>1.5479999999999998</v>
      </c>
      <c r="AC3545">
        <v>1.6099199999999998</v>
      </c>
    </row>
    <row r="3546" spans="1:29" x14ac:dyDescent="0.3">
      <c r="A3546">
        <v>152252</v>
      </c>
      <c r="B3546" s="25" t="s">
        <v>5984</v>
      </c>
      <c r="C3546" t="s">
        <v>20</v>
      </c>
      <c r="D3546" t="s">
        <v>21</v>
      </c>
      <c r="E3546">
        <v>2222222</v>
      </c>
      <c r="F3546" s="8" t="s">
        <v>22</v>
      </c>
      <c r="G3546" s="2">
        <v>98</v>
      </c>
      <c r="H3546" t="s">
        <v>4459</v>
      </c>
      <c r="J3546" s="9" t="s">
        <v>4903</v>
      </c>
      <c r="K3546" t="s">
        <v>4893</v>
      </c>
      <c r="L3546" s="2">
        <v>1</v>
      </c>
      <c r="M3546" s="24" t="s">
        <v>5971</v>
      </c>
      <c r="N3546" s="2" t="s">
        <v>23</v>
      </c>
      <c r="O3546" s="18" t="s">
        <v>2740</v>
      </c>
      <c r="P3546" s="18" t="s">
        <v>3781</v>
      </c>
      <c r="Q3546" s="6" t="s">
        <v>4475</v>
      </c>
      <c r="T3546" s="23">
        <v>46223</v>
      </c>
      <c r="U3546" s="23">
        <v>46284</v>
      </c>
      <c r="X3546" s="20">
        <v>600</v>
      </c>
      <c r="Z3546" s="6" t="s">
        <v>5978</v>
      </c>
      <c r="AA3546" s="14">
        <f t="shared" si="470"/>
        <v>5.9999999999999995E-4</v>
      </c>
      <c r="AB3546">
        <v>0.36</v>
      </c>
      <c r="AC3546">
        <v>0.37440000000000001</v>
      </c>
    </row>
    <row r="3547" spans="1:29" x14ac:dyDescent="0.3">
      <c r="A3547">
        <v>152388</v>
      </c>
      <c r="B3547" s="25" t="s">
        <v>5984</v>
      </c>
      <c r="C3547" t="s">
        <v>20</v>
      </c>
      <c r="D3547" t="s">
        <v>21</v>
      </c>
      <c r="E3547">
        <v>2222222</v>
      </c>
      <c r="F3547" s="8" t="s">
        <v>22</v>
      </c>
      <c r="G3547" s="2">
        <v>98</v>
      </c>
      <c r="H3547" t="s">
        <v>4459</v>
      </c>
      <c r="J3547" s="9" t="s">
        <v>5316</v>
      </c>
      <c r="K3547" t="s">
        <v>4866</v>
      </c>
      <c r="L3547" s="2">
        <v>1</v>
      </c>
      <c r="M3547" s="24" t="s">
        <v>5971</v>
      </c>
      <c r="N3547" s="2" t="s">
        <v>23</v>
      </c>
      <c r="O3547" s="18" t="s">
        <v>2742</v>
      </c>
      <c r="P3547" s="18" t="s">
        <v>0</v>
      </c>
      <c r="Q3547" s="6" t="s">
        <v>4475</v>
      </c>
      <c r="T3547" s="23">
        <v>46234</v>
      </c>
      <c r="U3547" s="23">
        <v>46324</v>
      </c>
      <c r="X3547" s="20">
        <v>3620</v>
      </c>
      <c r="Z3547" s="6" t="s">
        <v>5978</v>
      </c>
      <c r="AA3547" s="14">
        <f t="shared" si="470"/>
        <v>5.9999999999999995E-4</v>
      </c>
      <c r="AB3547">
        <v>2.1719999999999997</v>
      </c>
      <c r="AC3547">
        <v>2.2588799999999996</v>
      </c>
    </row>
    <row r="3548" spans="1:29" x14ac:dyDescent="0.3">
      <c r="A3548">
        <v>149476</v>
      </c>
      <c r="B3548" s="25" t="s">
        <v>5984</v>
      </c>
      <c r="C3548" t="s">
        <v>20</v>
      </c>
      <c r="D3548" t="s">
        <v>21</v>
      </c>
      <c r="E3548">
        <v>2222222</v>
      </c>
      <c r="F3548" s="8" t="s">
        <v>22</v>
      </c>
      <c r="G3548" s="2">
        <v>98</v>
      </c>
      <c r="H3548" t="s">
        <v>4460</v>
      </c>
      <c r="J3548" s="9" t="s">
        <v>4838</v>
      </c>
      <c r="K3548" t="s">
        <v>4774</v>
      </c>
      <c r="L3548" s="2">
        <v>1</v>
      </c>
      <c r="M3548" s="24" t="s">
        <v>5971</v>
      </c>
      <c r="N3548" s="2" t="s">
        <v>23</v>
      </c>
      <c r="O3548" s="18" t="s">
        <v>2743</v>
      </c>
      <c r="P3548" s="18" t="s">
        <v>0</v>
      </c>
      <c r="Q3548" s="6" t="s">
        <v>4475</v>
      </c>
      <c r="T3548" s="23">
        <v>46028</v>
      </c>
      <c r="U3548" s="23">
        <v>46758</v>
      </c>
      <c r="X3548" s="20">
        <v>1900</v>
      </c>
      <c r="Z3548" s="6" t="s">
        <v>5978</v>
      </c>
      <c r="AA3548" s="14">
        <f t="shared" si="470"/>
        <v>5.9999999999999995E-4</v>
      </c>
      <c r="AB3548">
        <v>0.88907999999999987</v>
      </c>
      <c r="AC3548">
        <v>0.92464319999999989</v>
      </c>
    </row>
    <row r="3549" spans="1:29" x14ac:dyDescent="0.3">
      <c r="A3549">
        <v>88669</v>
      </c>
      <c r="B3549" s="25" t="s">
        <v>5984</v>
      </c>
      <c r="C3549" t="s">
        <v>20</v>
      </c>
      <c r="D3549" t="s">
        <v>21</v>
      </c>
      <c r="E3549">
        <v>2222222</v>
      </c>
      <c r="F3549" s="8" t="s">
        <v>22</v>
      </c>
      <c r="G3549" s="2">
        <v>98</v>
      </c>
      <c r="H3549" t="s">
        <v>4461</v>
      </c>
      <c r="J3549" s="9" t="s">
        <v>5018</v>
      </c>
      <c r="K3549" t="s">
        <v>5480</v>
      </c>
      <c r="L3549" s="2">
        <v>1</v>
      </c>
      <c r="M3549" s="24" t="s">
        <v>5971</v>
      </c>
      <c r="N3549" s="2" t="s">
        <v>23</v>
      </c>
      <c r="O3549" s="18" t="s">
        <v>2328</v>
      </c>
      <c r="P3549" s="18" t="s">
        <v>0</v>
      </c>
      <c r="Q3549" s="6" t="s">
        <v>4475</v>
      </c>
      <c r="T3549" s="23">
        <v>43098</v>
      </c>
      <c r="U3549" s="23">
        <v>43466</v>
      </c>
      <c r="X3549" s="20">
        <v>900</v>
      </c>
      <c r="Z3549" s="6" t="s">
        <v>5978</v>
      </c>
      <c r="AA3549" s="15">
        <f>+(0.42/1000)</f>
        <v>4.1999999999999996E-4</v>
      </c>
      <c r="AB3549">
        <v>0.13453019999999999</v>
      </c>
      <c r="AC3549">
        <v>0.13991140799999999</v>
      </c>
    </row>
    <row r="3550" spans="1:29" x14ac:dyDescent="0.3">
      <c r="A3550">
        <v>148793</v>
      </c>
      <c r="B3550" s="25" t="s">
        <v>5984</v>
      </c>
      <c r="C3550" t="s">
        <v>20</v>
      </c>
      <c r="D3550" t="s">
        <v>21</v>
      </c>
      <c r="E3550">
        <v>2222222</v>
      </c>
      <c r="F3550" s="8" t="s">
        <v>22</v>
      </c>
      <c r="G3550" s="2">
        <v>98</v>
      </c>
      <c r="H3550" t="s">
        <v>4462</v>
      </c>
      <c r="J3550" s="9" t="s">
        <v>4990</v>
      </c>
      <c r="K3550" t="s">
        <v>5132</v>
      </c>
      <c r="L3550" s="2">
        <v>1</v>
      </c>
      <c r="M3550" s="24" t="s">
        <v>5971</v>
      </c>
      <c r="N3550" s="2" t="s">
        <v>23</v>
      </c>
      <c r="O3550" s="18" t="s">
        <v>2744</v>
      </c>
      <c r="P3550" s="18" t="s">
        <v>3781</v>
      </c>
      <c r="Q3550" s="6" t="s">
        <v>4475</v>
      </c>
      <c r="T3550" s="23">
        <v>45980</v>
      </c>
      <c r="U3550" s="23">
        <v>46710</v>
      </c>
      <c r="X3550" s="20">
        <v>2070</v>
      </c>
      <c r="Z3550" s="6" t="s">
        <v>5978</v>
      </c>
      <c r="AA3550" s="14">
        <f t="shared" ref="AA3550:AA3554" si="471">+(0.6/1000)</f>
        <v>5.9999999999999995E-4</v>
      </c>
      <c r="AB3550">
        <v>0.87352199999999991</v>
      </c>
      <c r="AC3550">
        <v>0.90846287999999997</v>
      </c>
    </row>
    <row r="3551" spans="1:29" x14ac:dyDescent="0.3">
      <c r="A3551">
        <v>151756</v>
      </c>
      <c r="B3551" s="25" t="s">
        <v>5984</v>
      </c>
      <c r="C3551" t="s">
        <v>20</v>
      </c>
      <c r="D3551" t="s">
        <v>21</v>
      </c>
      <c r="E3551">
        <v>2222222</v>
      </c>
      <c r="F3551" s="8" t="s">
        <v>22</v>
      </c>
      <c r="G3551" s="2">
        <v>98</v>
      </c>
      <c r="H3551" t="s">
        <v>4462</v>
      </c>
      <c r="J3551" s="9" t="s">
        <v>4950</v>
      </c>
      <c r="K3551" t="s">
        <v>4031</v>
      </c>
      <c r="L3551" s="2">
        <v>1</v>
      </c>
      <c r="M3551" s="24" t="s">
        <v>5971</v>
      </c>
      <c r="N3551" s="2" t="s">
        <v>23</v>
      </c>
      <c r="O3551" s="18" t="s">
        <v>2745</v>
      </c>
      <c r="P3551" s="18" t="s">
        <v>0</v>
      </c>
      <c r="Q3551" s="6" t="s">
        <v>4475</v>
      </c>
      <c r="T3551" s="23">
        <v>46185</v>
      </c>
      <c r="U3551" s="23">
        <v>46275</v>
      </c>
      <c r="X3551" s="20">
        <v>1000</v>
      </c>
      <c r="Z3551" s="6" t="s">
        <v>5978</v>
      </c>
      <c r="AA3551" s="14">
        <f t="shared" si="471"/>
        <v>5.9999999999999995E-4</v>
      </c>
      <c r="AB3551">
        <v>0.6</v>
      </c>
      <c r="AC3551">
        <v>0.624</v>
      </c>
    </row>
    <row r="3552" spans="1:29" x14ac:dyDescent="0.3">
      <c r="A3552">
        <v>147109</v>
      </c>
      <c r="B3552" s="25" t="s">
        <v>5984</v>
      </c>
      <c r="C3552" t="s">
        <v>20</v>
      </c>
      <c r="D3552" t="s">
        <v>21</v>
      </c>
      <c r="E3552">
        <v>2222222</v>
      </c>
      <c r="F3552" s="8" t="s">
        <v>22</v>
      </c>
      <c r="G3552" s="2">
        <v>98</v>
      </c>
      <c r="H3552" t="s">
        <v>4463</v>
      </c>
      <c r="J3552" s="9" t="s">
        <v>5059</v>
      </c>
      <c r="K3552" t="s">
        <v>5270</v>
      </c>
      <c r="L3552" s="2">
        <v>1</v>
      </c>
      <c r="M3552" s="24" t="s">
        <v>5971</v>
      </c>
      <c r="N3552" s="2" t="s">
        <v>23</v>
      </c>
      <c r="O3552" s="18" t="s">
        <v>2746</v>
      </c>
      <c r="P3552" s="18" t="s">
        <v>0</v>
      </c>
      <c r="Q3552" s="6" t="s">
        <v>4475</v>
      </c>
      <c r="T3552" s="23">
        <v>45905</v>
      </c>
      <c r="U3552" s="23">
        <v>49557</v>
      </c>
      <c r="X3552" s="20">
        <v>130000</v>
      </c>
      <c r="Z3552" s="6" t="s">
        <v>5978</v>
      </c>
      <c r="AA3552" s="14">
        <f t="shared" si="471"/>
        <v>5.9999999999999995E-4</v>
      </c>
      <c r="AB3552">
        <v>74.454329999999999</v>
      </c>
      <c r="AC3552">
        <v>77.432503199999999</v>
      </c>
    </row>
    <row r="3553" spans="1:29" x14ac:dyDescent="0.3">
      <c r="A3553">
        <v>150376</v>
      </c>
      <c r="B3553" s="25" t="s">
        <v>5984</v>
      </c>
      <c r="C3553" t="s">
        <v>20</v>
      </c>
      <c r="D3553" t="s">
        <v>21</v>
      </c>
      <c r="E3553">
        <v>2222222</v>
      </c>
      <c r="F3553" s="8" t="s">
        <v>22</v>
      </c>
      <c r="G3553" s="2">
        <v>98</v>
      </c>
      <c r="H3553" t="s">
        <v>4464</v>
      </c>
      <c r="J3553" s="9" t="s">
        <v>5790</v>
      </c>
      <c r="K3553" t="s">
        <v>4932</v>
      </c>
      <c r="L3553" s="2">
        <v>1</v>
      </c>
      <c r="M3553" s="24" t="s">
        <v>5971</v>
      </c>
      <c r="N3553" s="2" t="s">
        <v>23</v>
      </c>
      <c r="O3553" s="18" t="s">
        <v>139</v>
      </c>
      <c r="P3553" s="18" t="s">
        <v>3781</v>
      </c>
      <c r="Q3553" s="6" t="s">
        <v>4475</v>
      </c>
      <c r="T3553" s="23">
        <v>46093</v>
      </c>
      <c r="U3553" s="23">
        <v>47918</v>
      </c>
      <c r="X3553" s="20">
        <v>6700</v>
      </c>
      <c r="Z3553" s="6" t="s">
        <v>5978</v>
      </c>
      <c r="AA3553" s="14">
        <f t="shared" si="471"/>
        <v>5.9999999999999995E-4</v>
      </c>
      <c r="AB3553">
        <v>3.8396399999999993</v>
      </c>
      <c r="AC3553">
        <v>3.9932255999999993</v>
      </c>
    </row>
    <row r="3554" spans="1:29" x14ac:dyDescent="0.3">
      <c r="A3554">
        <v>152001</v>
      </c>
      <c r="B3554" s="25" t="s">
        <v>5984</v>
      </c>
      <c r="C3554" t="s">
        <v>20</v>
      </c>
      <c r="D3554" t="s">
        <v>21</v>
      </c>
      <c r="E3554">
        <v>2222222</v>
      </c>
      <c r="F3554" s="8" t="s">
        <v>22</v>
      </c>
      <c r="G3554" s="2">
        <v>98</v>
      </c>
      <c r="H3554" t="s">
        <v>4465</v>
      </c>
      <c r="J3554" s="9" t="s">
        <v>5791</v>
      </c>
      <c r="K3554" t="s">
        <v>4065</v>
      </c>
      <c r="L3554" s="2">
        <v>1</v>
      </c>
      <c r="M3554" s="24" t="s">
        <v>5971</v>
      </c>
      <c r="N3554" s="2" t="s">
        <v>23</v>
      </c>
      <c r="O3554" s="18" t="s">
        <v>2747</v>
      </c>
      <c r="P3554" s="18" t="s">
        <v>3781</v>
      </c>
      <c r="Q3554" s="6" t="s">
        <v>4475</v>
      </c>
      <c r="T3554" s="23">
        <v>46205</v>
      </c>
      <c r="U3554" s="23">
        <v>47300</v>
      </c>
      <c r="X3554" s="20">
        <v>6000</v>
      </c>
      <c r="Z3554" s="6" t="s">
        <v>5978</v>
      </c>
      <c r="AA3554" s="14">
        <f t="shared" si="471"/>
        <v>5.9999999999999995E-4</v>
      </c>
      <c r="AB3554">
        <v>3.5999999999999996</v>
      </c>
      <c r="AC3554">
        <v>3.7439999999999998</v>
      </c>
    </row>
    <row r="3555" spans="1:29" x14ac:dyDescent="0.3">
      <c r="A3555">
        <v>114058</v>
      </c>
      <c r="B3555" s="25" t="s">
        <v>5984</v>
      </c>
      <c r="C3555" t="s">
        <v>20</v>
      </c>
      <c r="D3555" t="s">
        <v>21</v>
      </c>
      <c r="E3555">
        <v>2222222</v>
      </c>
      <c r="F3555" s="8" t="s">
        <v>22</v>
      </c>
      <c r="G3555" s="2">
        <v>98</v>
      </c>
      <c r="H3555" t="s">
        <v>4466</v>
      </c>
      <c r="J3555" s="9" t="s">
        <v>4900</v>
      </c>
      <c r="K3555" t="s">
        <v>4870</v>
      </c>
      <c r="L3555" s="2">
        <v>1</v>
      </c>
      <c r="M3555" s="24" t="s">
        <v>5971</v>
      </c>
      <c r="N3555" s="2" t="s">
        <v>23</v>
      </c>
      <c r="O3555" s="18" t="s">
        <v>2748</v>
      </c>
      <c r="P3555" s="18" t="s">
        <v>0</v>
      </c>
      <c r="Q3555" s="6" t="s">
        <v>4475</v>
      </c>
      <c r="T3555" s="23">
        <v>44035</v>
      </c>
      <c r="U3555" s="23">
        <v>46697</v>
      </c>
      <c r="X3555" s="20">
        <v>19850</v>
      </c>
      <c r="Z3555" s="6" t="s">
        <v>5978</v>
      </c>
      <c r="AA3555" s="15">
        <f>+(0.42/1000)</f>
        <v>4.1999999999999996E-4</v>
      </c>
      <c r="AB3555">
        <v>2.3783213999999999</v>
      </c>
      <c r="AC3555">
        <v>2.4734542560000001</v>
      </c>
    </row>
    <row r="3556" spans="1:29" x14ac:dyDescent="0.3">
      <c r="A3556">
        <v>148078</v>
      </c>
      <c r="B3556" s="25" t="s">
        <v>5984</v>
      </c>
      <c r="C3556" t="s">
        <v>20</v>
      </c>
      <c r="D3556" t="s">
        <v>21</v>
      </c>
      <c r="E3556">
        <v>2222222</v>
      </c>
      <c r="F3556" s="8" t="s">
        <v>22</v>
      </c>
      <c r="G3556" s="2">
        <v>98</v>
      </c>
      <c r="H3556" t="s">
        <v>4466</v>
      </c>
      <c r="J3556" s="9" t="s">
        <v>4901</v>
      </c>
      <c r="K3556" t="s">
        <v>4836</v>
      </c>
      <c r="L3556" s="2">
        <v>1</v>
      </c>
      <c r="M3556" s="24" t="s">
        <v>5971</v>
      </c>
      <c r="N3556" s="2" t="s">
        <v>23</v>
      </c>
      <c r="O3556" s="18" t="s">
        <v>2749</v>
      </c>
      <c r="P3556" s="18" t="s">
        <v>0</v>
      </c>
      <c r="Q3556" s="6" t="s">
        <v>4475</v>
      </c>
      <c r="T3556" s="23">
        <v>45933</v>
      </c>
      <c r="U3556" s="23">
        <v>47028</v>
      </c>
      <c r="X3556" s="20">
        <v>3715</v>
      </c>
      <c r="Z3556" s="6" t="s">
        <v>5978</v>
      </c>
      <c r="AA3556" s="14">
        <f t="shared" ref="AA3556:AA3557" si="472">+(0.6/1000)</f>
        <v>5.9999999999999995E-4</v>
      </c>
      <c r="AB3556">
        <v>1.75539</v>
      </c>
      <c r="AC3556">
        <v>1.8256056000000001</v>
      </c>
    </row>
    <row r="3557" spans="1:29" x14ac:dyDescent="0.3">
      <c r="A3557">
        <v>148267</v>
      </c>
      <c r="B3557" s="25" t="s">
        <v>5984</v>
      </c>
      <c r="C3557" t="s">
        <v>20</v>
      </c>
      <c r="D3557" t="s">
        <v>21</v>
      </c>
      <c r="E3557">
        <v>2222222</v>
      </c>
      <c r="F3557" s="8" t="s">
        <v>22</v>
      </c>
      <c r="G3557" s="2">
        <v>98</v>
      </c>
      <c r="H3557" t="s">
        <v>4466</v>
      </c>
      <c r="J3557" s="9" t="s">
        <v>4829</v>
      </c>
      <c r="K3557" t="s">
        <v>4980</v>
      </c>
      <c r="L3557" s="2">
        <v>1</v>
      </c>
      <c r="M3557" s="24" t="s">
        <v>5971</v>
      </c>
      <c r="N3557" s="2" t="s">
        <v>23</v>
      </c>
      <c r="O3557" s="18" t="s">
        <v>2750</v>
      </c>
      <c r="P3557" s="18" t="s">
        <v>3781</v>
      </c>
      <c r="Q3557" s="6" t="s">
        <v>4475</v>
      </c>
      <c r="T3557" s="23">
        <v>45952</v>
      </c>
      <c r="U3557" s="23">
        <v>46681</v>
      </c>
      <c r="X3557" s="20">
        <v>4600</v>
      </c>
      <c r="Z3557" s="6" t="s">
        <v>5978</v>
      </c>
      <c r="AA3557" s="14">
        <f t="shared" si="472"/>
        <v>5.9999999999999995E-4</v>
      </c>
      <c r="AB3557">
        <v>1.8378060000000001</v>
      </c>
      <c r="AC3557">
        <v>1.9113182400000002</v>
      </c>
    </row>
    <row r="3558" spans="1:29" x14ac:dyDescent="0.3">
      <c r="A3558">
        <v>137223</v>
      </c>
      <c r="B3558" s="25" t="s">
        <v>5984</v>
      </c>
      <c r="C3558" t="s">
        <v>20</v>
      </c>
      <c r="D3558" t="s">
        <v>21</v>
      </c>
      <c r="E3558">
        <v>2222222</v>
      </c>
      <c r="F3558" s="8" t="s">
        <v>22</v>
      </c>
      <c r="G3558" s="2">
        <v>98</v>
      </c>
      <c r="H3558" t="s">
        <v>4467</v>
      </c>
      <c r="J3558" s="9" t="s">
        <v>4864</v>
      </c>
      <c r="K3558" t="s">
        <v>4919</v>
      </c>
      <c r="L3558" s="2">
        <v>1</v>
      </c>
      <c r="M3558" s="24" t="s">
        <v>5971</v>
      </c>
      <c r="N3558" s="2" t="s">
        <v>23</v>
      </c>
      <c r="O3558" s="18" t="s">
        <v>2751</v>
      </c>
      <c r="P3558" s="18" t="s">
        <v>0</v>
      </c>
      <c r="Q3558" s="6" t="s">
        <v>4475</v>
      </c>
      <c r="T3558" s="23">
        <v>45254</v>
      </c>
      <c r="U3558" s="23">
        <v>47081</v>
      </c>
      <c r="X3558" s="20">
        <v>12000</v>
      </c>
      <c r="Z3558" s="6" t="s">
        <v>5978</v>
      </c>
      <c r="AA3558" s="13">
        <f>+(0.56/1000)</f>
        <v>5.6000000000000006E-4</v>
      </c>
      <c r="AB3558">
        <v>3.8067792000000003</v>
      </c>
      <c r="AC3558">
        <v>3.9590503680000002</v>
      </c>
    </row>
    <row r="3559" spans="1:29" x14ac:dyDescent="0.3">
      <c r="A3559">
        <v>147307</v>
      </c>
      <c r="B3559" s="25" t="s">
        <v>5984</v>
      </c>
      <c r="C3559" t="s">
        <v>20</v>
      </c>
      <c r="D3559" t="s">
        <v>21</v>
      </c>
      <c r="E3559">
        <v>2222222</v>
      </c>
      <c r="F3559" s="8" t="s">
        <v>22</v>
      </c>
      <c r="G3559" s="2">
        <v>98</v>
      </c>
      <c r="H3559" t="s">
        <v>4467</v>
      </c>
      <c r="J3559" s="9" t="s">
        <v>5050</v>
      </c>
      <c r="K3559" t="s">
        <v>5518</v>
      </c>
      <c r="L3559" s="2">
        <v>1</v>
      </c>
      <c r="M3559" s="24" t="s">
        <v>5971</v>
      </c>
      <c r="N3559" s="2" t="s">
        <v>23</v>
      </c>
      <c r="O3559" s="18" t="s">
        <v>2752</v>
      </c>
      <c r="P3559" s="18" t="s">
        <v>3781</v>
      </c>
      <c r="Q3559" s="6" t="s">
        <v>4475</v>
      </c>
      <c r="T3559" s="23">
        <v>45881</v>
      </c>
      <c r="U3559" s="23">
        <v>47706</v>
      </c>
      <c r="X3559" s="20">
        <v>5000</v>
      </c>
      <c r="Z3559" s="6" t="s">
        <v>5978</v>
      </c>
      <c r="AA3559" s="14">
        <f>+(0.6/1000)</f>
        <v>5.9999999999999995E-4</v>
      </c>
      <c r="AB3559">
        <v>2.6122259999999997</v>
      </c>
      <c r="AC3559">
        <v>2.71671504</v>
      </c>
    </row>
    <row r="3560" spans="1:29" x14ac:dyDescent="0.3">
      <c r="A3560">
        <v>133668</v>
      </c>
      <c r="B3560" s="25" t="s">
        <v>5984</v>
      </c>
      <c r="C3560" t="s">
        <v>20</v>
      </c>
      <c r="D3560" t="s">
        <v>21</v>
      </c>
      <c r="E3560">
        <v>2222222</v>
      </c>
      <c r="F3560" s="8" t="s">
        <v>22</v>
      </c>
      <c r="G3560" s="2">
        <v>98</v>
      </c>
      <c r="H3560" t="s">
        <v>4468</v>
      </c>
      <c r="J3560" s="9" t="s">
        <v>5051</v>
      </c>
      <c r="K3560" t="s">
        <v>4861</v>
      </c>
      <c r="L3560" s="2">
        <v>1</v>
      </c>
      <c r="M3560" s="24" t="s">
        <v>5971</v>
      </c>
      <c r="N3560" s="2" t="s">
        <v>23</v>
      </c>
      <c r="O3560" s="18" t="s">
        <v>2753</v>
      </c>
      <c r="P3560" s="18" t="s">
        <v>3781</v>
      </c>
      <c r="Q3560" s="6" t="s">
        <v>4475</v>
      </c>
      <c r="T3560" s="23">
        <v>45009</v>
      </c>
      <c r="U3560" s="23">
        <v>46835</v>
      </c>
      <c r="X3560" s="20">
        <v>7000</v>
      </c>
      <c r="Z3560" s="6" t="s">
        <v>5978</v>
      </c>
      <c r="AA3560" s="13">
        <f t="shared" ref="AA3560:AA3561" si="473">+(0.56/1000)</f>
        <v>5.6000000000000006E-4</v>
      </c>
      <c r="AB3560">
        <v>1.6706312000000001</v>
      </c>
      <c r="AC3560">
        <v>1.7374564480000001</v>
      </c>
    </row>
    <row r="3561" spans="1:29" x14ac:dyDescent="0.3">
      <c r="A3561">
        <v>135995</v>
      </c>
      <c r="B3561" s="25" t="s">
        <v>5984</v>
      </c>
      <c r="C3561" t="s">
        <v>20</v>
      </c>
      <c r="D3561" t="s">
        <v>21</v>
      </c>
      <c r="E3561">
        <v>2222222</v>
      </c>
      <c r="F3561" s="8" t="s">
        <v>22</v>
      </c>
      <c r="G3561" s="2">
        <v>98</v>
      </c>
      <c r="H3561" t="s">
        <v>4468</v>
      </c>
      <c r="J3561" s="9" t="s">
        <v>5350</v>
      </c>
      <c r="K3561" t="s">
        <v>5421</v>
      </c>
      <c r="L3561" s="2">
        <v>1</v>
      </c>
      <c r="M3561" s="24" t="s">
        <v>5971</v>
      </c>
      <c r="N3561" s="2" t="s">
        <v>23</v>
      </c>
      <c r="O3561" s="18" t="s">
        <v>683</v>
      </c>
      <c r="P3561" s="18" t="s">
        <v>0</v>
      </c>
      <c r="Q3561" s="6" t="s">
        <v>4475</v>
      </c>
      <c r="T3561" s="23">
        <v>45153</v>
      </c>
      <c r="U3561" s="23">
        <v>46259</v>
      </c>
      <c r="X3561" s="20">
        <v>5000</v>
      </c>
      <c r="Z3561" s="6" t="s">
        <v>5978</v>
      </c>
      <c r="AA3561" s="13">
        <f t="shared" si="473"/>
        <v>5.6000000000000006E-4</v>
      </c>
      <c r="AB3561">
        <v>0.10114720000000001</v>
      </c>
      <c r="AC3561">
        <v>0.105193088</v>
      </c>
    </row>
    <row r="3562" spans="1:29" x14ac:dyDescent="0.3">
      <c r="A3562">
        <v>142596</v>
      </c>
      <c r="B3562" s="25" t="s">
        <v>5984</v>
      </c>
      <c r="C3562" t="s">
        <v>20</v>
      </c>
      <c r="D3562" t="s">
        <v>21</v>
      </c>
      <c r="E3562">
        <v>2222222</v>
      </c>
      <c r="F3562" s="8" t="s">
        <v>22</v>
      </c>
      <c r="G3562" s="2">
        <v>98</v>
      </c>
      <c r="H3562" t="s">
        <v>4468</v>
      </c>
      <c r="J3562" s="9" t="s">
        <v>4836</v>
      </c>
      <c r="K3562" t="s">
        <v>4872</v>
      </c>
      <c r="L3562" s="2">
        <v>1</v>
      </c>
      <c r="M3562" s="24" t="s">
        <v>5971</v>
      </c>
      <c r="N3562" s="2" t="s">
        <v>23</v>
      </c>
      <c r="O3562" s="18" t="s">
        <v>2754</v>
      </c>
      <c r="P3562" s="18" t="s">
        <v>3781</v>
      </c>
      <c r="Q3562" s="6" t="s">
        <v>4475</v>
      </c>
      <c r="T3562" s="23">
        <v>45532</v>
      </c>
      <c r="U3562" s="23">
        <v>46992</v>
      </c>
      <c r="X3562" s="20">
        <v>5000</v>
      </c>
      <c r="Z3562" s="6" t="s">
        <v>5978</v>
      </c>
      <c r="AA3562" s="14">
        <f t="shared" ref="AA3562:AA3565" si="474">+(0.6/1000)</f>
        <v>5.9999999999999995E-4</v>
      </c>
      <c r="AB3562">
        <v>1.8410879999999998</v>
      </c>
      <c r="AC3562">
        <v>1.9147315199999999</v>
      </c>
    </row>
    <row r="3563" spans="1:29" x14ac:dyDescent="0.3">
      <c r="A3563">
        <v>149646</v>
      </c>
      <c r="B3563" s="25" t="s">
        <v>5984</v>
      </c>
      <c r="C3563" t="s">
        <v>20</v>
      </c>
      <c r="D3563" t="s">
        <v>21</v>
      </c>
      <c r="E3563">
        <v>2222222</v>
      </c>
      <c r="F3563" s="8" t="s">
        <v>22</v>
      </c>
      <c r="G3563" s="2">
        <v>98</v>
      </c>
      <c r="H3563" t="s">
        <v>4468</v>
      </c>
      <c r="J3563" s="9" t="s">
        <v>5792</v>
      </c>
      <c r="K3563" t="s">
        <v>4947</v>
      </c>
      <c r="L3563" s="2">
        <v>1</v>
      </c>
      <c r="M3563" s="24" t="s">
        <v>5971</v>
      </c>
      <c r="N3563" s="2" t="s">
        <v>23</v>
      </c>
      <c r="O3563" s="18" t="s">
        <v>2755</v>
      </c>
      <c r="P3563" s="18" t="s">
        <v>3781</v>
      </c>
      <c r="Q3563" s="6" t="s">
        <v>4475</v>
      </c>
      <c r="T3563" s="23">
        <v>46041</v>
      </c>
      <c r="U3563" s="23">
        <v>46770</v>
      </c>
      <c r="X3563" s="20">
        <v>5000</v>
      </c>
      <c r="Z3563" s="6" t="s">
        <v>5978</v>
      </c>
      <c r="AA3563" s="14">
        <f t="shared" si="474"/>
        <v>5.9999999999999995E-4</v>
      </c>
      <c r="AB3563">
        <v>2.3447639999999996</v>
      </c>
      <c r="AC3563">
        <v>2.4385545599999996</v>
      </c>
    </row>
    <row r="3564" spans="1:29" x14ac:dyDescent="0.3">
      <c r="A3564">
        <v>150128</v>
      </c>
      <c r="B3564" s="25" t="s">
        <v>5984</v>
      </c>
      <c r="C3564" t="s">
        <v>20</v>
      </c>
      <c r="D3564" t="s">
        <v>21</v>
      </c>
      <c r="E3564">
        <v>2222222</v>
      </c>
      <c r="F3564" s="8" t="s">
        <v>22</v>
      </c>
      <c r="G3564" s="2">
        <v>98</v>
      </c>
      <c r="H3564" t="s">
        <v>4468</v>
      </c>
      <c r="J3564" s="9" t="s">
        <v>5051</v>
      </c>
      <c r="K3564" t="s">
        <v>4861</v>
      </c>
      <c r="L3564" s="2">
        <v>1</v>
      </c>
      <c r="M3564" s="24" t="s">
        <v>5971</v>
      </c>
      <c r="N3564" s="2" t="s">
        <v>23</v>
      </c>
      <c r="O3564" s="18" t="s">
        <v>2753</v>
      </c>
      <c r="P3564" s="18" t="s">
        <v>3781</v>
      </c>
      <c r="Q3564" s="6" t="s">
        <v>4475</v>
      </c>
      <c r="T3564" s="23">
        <v>46073</v>
      </c>
      <c r="U3564" s="23">
        <v>47536</v>
      </c>
      <c r="X3564" s="20">
        <v>5000</v>
      </c>
      <c r="Z3564" s="6" t="s">
        <v>5978</v>
      </c>
      <c r="AA3564" s="14">
        <f t="shared" si="474"/>
        <v>5.9999999999999995E-4</v>
      </c>
      <c r="AB3564">
        <v>2.7787860000000002</v>
      </c>
      <c r="AC3564">
        <v>2.8899374400000002</v>
      </c>
    </row>
    <row r="3565" spans="1:29" x14ac:dyDescent="0.3">
      <c r="A3565">
        <v>147560</v>
      </c>
      <c r="B3565" s="25" t="s">
        <v>5984</v>
      </c>
      <c r="C3565" t="s">
        <v>20</v>
      </c>
      <c r="D3565" t="s">
        <v>21</v>
      </c>
      <c r="E3565">
        <v>2222222</v>
      </c>
      <c r="F3565" s="8" t="s">
        <v>22</v>
      </c>
      <c r="G3565" s="2">
        <v>98</v>
      </c>
      <c r="H3565" t="s">
        <v>4469</v>
      </c>
      <c r="J3565" s="9" t="s">
        <v>5793</v>
      </c>
      <c r="K3565" t="s">
        <v>5794</v>
      </c>
      <c r="L3565" s="2">
        <v>1</v>
      </c>
      <c r="M3565" s="24" t="s">
        <v>5971</v>
      </c>
      <c r="N3565" s="2" t="s">
        <v>23</v>
      </c>
      <c r="O3565" s="18" t="s">
        <v>2756</v>
      </c>
      <c r="P3565" s="18" t="s">
        <v>3781</v>
      </c>
      <c r="Q3565" s="6" t="s">
        <v>4475</v>
      </c>
      <c r="T3565" s="23">
        <v>45898</v>
      </c>
      <c r="U3565" s="23">
        <v>48454</v>
      </c>
      <c r="X3565" s="20">
        <v>5330</v>
      </c>
      <c r="Z3565" s="6" t="s">
        <v>5978</v>
      </c>
      <c r="AA3565" s="14">
        <f t="shared" si="474"/>
        <v>5.9999999999999995E-4</v>
      </c>
      <c r="AB3565">
        <v>3.1732439999999995</v>
      </c>
      <c r="AC3565">
        <v>3.3001737599999994</v>
      </c>
    </row>
    <row r="3566" spans="1:29" x14ac:dyDescent="0.3">
      <c r="A3566">
        <v>135939</v>
      </c>
      <c r="B3566" s="25" t="s">
        <v>5984</v>
      </c>
      <c r="C3566" t="s">
        <v>20</v>
      </c>
      <c r="D3566" t="s">
        <v>21</v>
      </c>
      <c r="E3566">
        <v>2222222</v>
      </c>
      <c r="F3566" s="8" t="s">
        <v>22</v>
      </c>
      <c r="G3566" s="2">
        <v>98</v>
      </c>
      <c r="H3566" t="s">
        <v>4470</v>
      </c>
      <c r="J3566" s="9" t="s">
        <v>4871</v>
      </c>
      <c r="K3566" t="s">
        <v>5024</v>
      </c>
      <c r="L3566" s="2">
        <v>1</v>
      </c>
      <c r="M3566" s="24" t="s">
        <v>5971</v>
      </c>
      <c r="N3566" s="2" t="s">
        <v>23</v>
      </c>
      <c r="O3566" s="18" t="s">
        <v>2757</v>
      </c>
      <c r="P3566" s="18" t="s">
        <v>0</v>
      </c>
      <c r="Q3566" s="6" t="s">
        <v>4475</v>
      </c>
      <c r="T3566" s="23">
        <v>45142</v>
      </c>
      <c r="U3566" s="23">
        <v>46240</v>
      </c>
      <c r="X3566" s="20">
        <v>2000</v>
      </c>
      <c r="Z3566" s="6" t="s">
        <v>5978</v>
      </c>
      <c r="AA3566" s="13">
        <f>+(0.56/1000)</f>
        <v>5.6000000000000006E-4</v>
      </c>
      <c r="AB3566">
        <v>3.9849599999999999E-2</v>
      </c>
      <c r="AC3566">
        <v>4.1443583999999999E-2</v>
      </c>
    </row>
    <row r="3567" spans="1:29" x14ac:dyDescent="0.3">
      <c r="A3567">
        <v>146530</v>
      </c>
      <c r="B3567" s="25" t="s">
        <v>5984</v>
      </c>
      <c r="C3567" t="s">
        <v>20</v>
      </c>
      <c r="D3567" t="s">
        <v>21</v>
      </c>
      <c r="E3567">
        <v>2222222</v>
      </c>
      <c r="F3567" s="8" t="s">
        <v>22</v>
      </c>
      <c r="G3567" s="2">
        <v>98</v>
      </c>
      <c r="H3567" t="s">
        <v>4471</v>
      </c>
      <c r="J3567" s="9" t="s">
        <v>4863</v>
      </c>
      <c r="K3567" t="s">
        <v>5075</v>
      </c>
      <c r="L3567" s="2">
        <v>1</v>
      </c>
      <c r="M3567" s="24" t="s">
        <v>5971</v>
      </c>
      <c r="N3567" s="2" t="s">
        <v>23</v>
      </c>
      <c r="O3567" s="18" t="s">
        <v>1577</v>
      </c>
      <c r="P3567" s="18" t="s">
        <v>3781</v>
      </c>
      <c r="Q3567" s="6" t="s">
        <v>4475</v>
      </c>
      <c r="T3567" s="23">
        <v>45826</v>
      </c>
      <c r="U3567" s="23">
        <v>46922</v>
      </c>
      <c r="X3567" s="20">
        <v>11000</v>
      </c>
      <c r="Z3567" s="6" t="s">
        <v>5978</v>
      </c>
      <c r="AA3567" s="14">
        <f t="shared" ref="AA3567:AA3569" si="475">+(0.6/1000)</f>
        <v>5.9999999999999995E-4</v>
      </c>
      <c r="AB3567">
        <v>4.5743580000000001</v>
      </c>
      <c r="AC3567">
        <v>4.7573323200000006</v>
      </c>
    </row>
    <row r="3568" spans="1:29" x14ac:dyDescent="0.3">
      <c r="A3568">
        <v>148002</v>
      </c>
      <c r="B3568" s="25" t="s">
        <v>5984</v>
      </c>
      <c r="C3568" t="s">
        <v>20</v>
      </c>
      <c r="D3568" t="s">
        <v>21</v>
      </c>
      <c r="E3568">
        <v>2222222</v>
      </c>
      <c r="F3568" s="8" t="s">
        <v>22</v>
      </c>
      <c r="G3568" s="2">
        <v>98</v>
      </c>
      <c r="H3568" t="s">
        <v>4471</v>
      </c>
      <c r="J3568" s="9" t="s">
        <v>5450</v>
      </c>
      <c r="K3568" t="s">
        <v>4905</v>
      </c>
      <c r="L3568" s="2">
        <v>1</v>
      </c>
      <c r="M3568" s="24" t="s">
        <v>5971</v>
      </c>
      <c r="N3568" s="2" t="s">
        <v>23</v>
      </c>
      <c r="O3568" s="18" t="s">
        <v>2758</v>
      </c>
      <c r="P3568" s="18" t="s">
        <v>0</v>
      </c>
      <c r="Q3568" s="6" t="s">
        <v>4475</v>
      </c>
      <c r="T3568" s="23">
        <v>45937</v>
      </c>
      <c r="U3568" s="23">
        <v>47762</v>
      </c>
      <c r="X3568" s="20">
        <v>20000</v>
      </c>
      <c r="Z3568" s="6" t="s">
        <v>5978</v>
      </c>
      <c r="AA3568" s="14">
        <f t="shared" si="475"/>
        <v>5.9999999999999995E-4</v>
      </c>
      <c r="AB3568">
        <v>10.621763999999999</v>
      </c>
      <c r="AC3568">
        <v>11.046634559999999</v>
      </c>
    </row>
    <row r="3569" spans="1:29" x14ac:dyDescent="0.3">
      <c r="A3569">
        <v>150051</v>
      </c>
      <c r="B3569" s="25" t="s">
        <v>5984</v>
      </c>
      <c r="C3569" t="s">
        <v>20</v>
      </c>
      <c r="D3569" t="s">
        <v>21</v>
      </c>
      <c r="E3569">
        <v>2222222</v>
      </c>
      <c r="F3569" s="8" t="s">
        <v>22</v>
      </c>
      <c r="G3569" s="2">
        <v>98</v>
      </c>
      <c r="H3569" t="s">
        <v>4472</v>
      </c>
      <c r="J3569" s="9" t="s">
        <v>4836</v>
      </c>
      <c r="K3569" t="s">
        <v>5004</v>
      </c>
      <c r="L3569" s="2">
        <v>1</v>
      </c>
      <c r="M3569" s="24" t="s">
        <v>5971</v>
      </c>
      <c r="N3569" s="2" t="s">
        <v>23</v>
      </c>
      <c r="O3569" s="18" t="s">
        <v>2759</v>
      </c>
      <c r="P3569" s="18" t="s">
        <v>3781</v>
      </c>
      <c r="Q3569" s="6" t="s">
        <v>4475</v>
      </c>
      <c r="T3569" s="23">
        <v>46066</v>
      </c>
      <c r="U3569" s="23">
        <v>46433</v>
      </c>
      <c r="X3569" s="20">
        <v>1000</v>
      </c>
      <c r="Z3569" s="6" t="s">
        <v>5978</v>
      </c>
      <c r="AA3569" s="14">
        <f t="shared" si="475"/>
        <v>5.9999999999999995E-4</v>
      </c>
      <c r="AB3569">
        <v>0.36238199999999998</v>
      </c>
      <c r="AC3569">
        <v>0.37687727999999998</v>
      </c>
    </row>
    <row r="3570" spans="1:29" x14ac:dyDescent="0.3">
      <c r="A3570">
        <v>126426</v>
      </c>
      <c r="B3570" s="25" t="s">
        <v>5984</v>
      </c>
      <c r="C3570" t="s">
        <v>20</v>
      </c>
      <c r="D3570" t="s">
        <v>21</v>
      </c>
      <c r="E3570">
        <v>2222222</v>
      </c>
      <c r="F3570" s="8" t="s">
        <v>22</v>
      </c>
      <c r="G3570" s="2">
        <v>98</v>
      </c>
      <c r="H3570" t="s">
        <v>4473</v>
      </c>
      <c r="J3570" s="9" t="s">
        <v>5232</v>
      </c>
      <c r="K3570" t="s">
        <v>4991</v>
      </c>
      <c r="L3570" s="2">
        <v>1</v>
      </c>
      <c r="M3570" s="24" t="s">
        <v>5971</v>
      </c>
      <c r="N3570" s="2" t="s">
        <v>23</v>
      </c>
      <c r="O3570" s="18" t="s">
        <v>2760</v>
      </c>
      <c r="P3570" s="18" t="s">
        <v>0</v>
      </c>
      <c r="Q3570" s="6" t="s">
        <v>4475</v>
      </c>
      <c r="T3570" s="23">
        <v>44617</v>
      </c>
      <c r="U3570" s="23">
        <v>46078</v>
      </c>
      <c r="X3570" s="20">
        <v>3000</v>
      </c>
      <c r="Z3570" s="6" t="s">
        <v>5978</v>
      </c>
      <c r="AA3570" s="15">
        <f>+(0.42/1000)</f>
        <v>4.1999999999999996E-4</v>
      </c>
      <c r="AB3570">
        <v>1.0039805999999998</v>
      </c>
      <c r="AC3570">
        <v>1.0441398239999997</v>
      </c>
    </row>
    <row r="3571" spans="1:29" x14ac:dyDescent="0.3">
      <c r="A3571">
        <v>131728</v>
      </c>
      <c r="B3571" s="25" t="s">
        <v>5984</v>
      </c>
      <c r="C3571" t="s">
        <v>20</v>
      </c>
      <c r="D3571" t="s">
        <v>21</v>
      </c>
      <c r="E3571">
        <v>2222222</v>
      </c>
      <c r="F3571" s="8" t="s">
        <v>22</v>
      </c>
      <c r="G3571" s="2">
        <v>98</v>
      </c>
      <c r="H3571" t="s">
        <v>4473</v>
      </c>
      <c r="J3571" s="9" t="s">
        <v>5795</v>
      </c>
      <c r="K3571" t="s">
        <v>5132</v>
      </c>
      <c r="L3571" s="2">
        <v>1</v>
      </c>
      <c r="M3571" s="24" t="s">
        <v>5971</v>
      </c>
      <c r="N3571" s="2" t="s">
        <v>23</v>
      </c>
      <c r="O3571" s="18" t="s">
        <v>2761</v>
      </c>
      <c r="P3571" s="18" t="s">
        <v>3781</v>
      </c>
      <c r="Q3571" s="6" t="s">
        <v>4475</v>
      </c>
      <c r="T3571" s="23">
        <v>44904</v>
      </c>
      <c r="U3571" s="23">
        <v>46371</v>
      </c>
      <c r="X3571" s="20">
        <v>5000</v>
      </c>
      <c r="Z3571" s="6" t="s">
        <v>5978</v>
      </c>
      <c r="AA3571" s="13">
        <f t="shared" ref="AA3571:AA3572" si="476">+(0.56/1000)</f>
        <v>5.6000000000000006E-4</v>
      </c>
      <c r="AB3571">
        <v>0.39903920000000009</v>
      </c>
      <c r="AC3571">
        <v>0.41500076800000013</v>
      </c>
    </row>
    <row r="3572" spans="1:29" x14ac:dyDescent="0.3">
      <c r="A3572">
        <v>133714</v>
      </c>
      <c r="B3572" s="25" t="s">
        <v>5984</v>
      </c>
      <c r="C3572" t="s">
        <v>20</v>
      </c>
      <c r="D3572" t="s">
        <v>21</v>
      </c>
      <c r="E3572">
        <v>2222222</v>
      </c>
      <c r="F3572" s="8" t="s">
        <v>22</v>
      </c>
      <c r="G3572" s="2">
        <v>98</v>
      </c>
      <c r="H3572" t="s">
        <v>4473</v>
      </c>
      <c r="J3572" s="9" t="s">
        <v>4836</v>
      </c>
      <c r="K3572" t="s">
        <v>5796</v>
      </c>
      <c r="L3572" s="2">
        <v>1</v>
      </c>
      <c r="M3572" s="24" t="s">
        <v>5971</v>
      </c>
      <c r="N3572" s="2" t="s">
        <v>23</v>
      </c>
      <c r="O3572" s="18" t="s">
        <v>2762</v>
      </c>
      <c r="P3572" s="18" t="s">
        <v>3781</v>
      </c>
      <c r="Q3572" s="6" t="s">
        <v>4475</v>
      </c>
      <c r="T3572" s="23">
        <v>45011</v>
      </c>
      <c r="U3572" s="23">
        <v>46471</v>
      </c>
      <c r="X3572" s="20">
        <v>5000</v>
      </c>
      <c r="Z3572" s="6" t="s">
        <v>5978</v>
      </c>
      <c r="AA3572" s="13">
        <f t="shared" si="476"/>
        <v>5.6000000000000006E-4</v>
      </c>
      <c r="AB3572">
        <v>0.62834240000000008</v>
      </c>
      <c r="AC3572">
        <v>0.65347609600000012</v>
      </c>
    </row>
    <row r="3573" spans="1:29" x14ac:dyDescent="0.3">
      <c r="A3573">
        <v>142286</v>
      </c>
      <c r="B3573" s="25" t="s">
        <v>5984</v>
      </c>
      <c r="C3573" t="s">
        <v>20</v>
      </c>
      <c r="D3573" t="s">
        <v>21</v>
      </c>
      <c r="E3573">
        <v>2222222</v>
      </c>
      <c r="F3573" s="8" t="s">
        <v>22</v>
      </c>
      <c r="G3573" s="2">
        <v>98</v>
      </c>
      <c r="H3573" t="s">
        <v>4473</v>
      </c>
      <c r="J3573" s="9" t="s">
        <v>5502</v>
      </c>
      <c r="K3573" t="s">
        <v>5598</v>
      </c>
      <c r="L3573" s="2">
        <v>1</v>
      </c>
      <c r="M3573" s="24" t="s">
        <v>5971</v>
      </c>
      <c r="N3573" s="2" t="s">
        <v>23</v>
      </c>
      <c r="O3573" s="18" t="s">
        <v>2763</v>
      </c>
      <c r="P3573" s="18" t="s">
        <v>3781</v>
      </c>
      <c r="Q3573" s="6" t="s">
        <v>4475</v>
      </c>
      <c r="T3573" s="23">
        <v>45510</v>
      </c>
      <c r="U3573" s="23">
        <v>46604</v>
      </c>
      <c r="X3573" s="20">
        <v>2000</v>
      </c>
      <c r="Z3573" s="6" t="s">
        <v>5978</v>
      </c>
      <c r="AA3573" s="14">
        <f t="shared" ref="AA3573:AA3578" si="477">+(0.6/1000)</f>
        <v>5.9999999999999995E-4</v>
      </c>
      <c r="AB3573">
        <v>0.51331799999999994</v>
      </c>
      <c r="AC3573">
        <v>0.53385072</v>
      </c>
    </row>
    <row r="3574" spans="1:29" x14ac:dyDescent="0.3">
      <c r="A3574">
        <v>143254</v>
      </c>
      <c r="B3574" s="25" t="s">
        <v>5984</v>
      </c>
      <c r="C3574" t="s">
        <v>20</v>
      </c>
      <c r="D3574" t="s">
        <v>21</v>
      </c>
      <c r="E3574">
        <v>2222222</v>
      </c>
      <c r="F3574" s="8" t="s">
        <v>22</v>
      </c>
      <c r="G3574" s="2">
        <v>98</v>
      </c>
      <c r="H3574" t="s">
        <v>4473</v>
      </c>
      <c r="J3574" s="9" t="s">
        <v>4901</v>
      </c>
      <c r="K3574" t="s">
        <v>4865</v>
      </c>
      <c r="L3574" s="2">
        <v>1</v>
      </c>
      <c r="M3574" s="24" t="s">
        <v>5971</v>
      </c>
      <c r="N3574" s="2" t="s">
        <v>23</v>
      </c>
      <c r="O3574" s="18" t="s">
        <v>2764</v>
      </c>
      <c r="P3574" s="18" t="s">
        <v>0</v>
      </c>
      <c r="Q3574" s="6" t="s">
        <v>4475</v>
      </c>
      <c r="T3574" s="23">
        <v>45581</v>
      </c>
      <c r="U3574" s="23">
        <v>46675</v>
      </c>
      <c r="X3574" s="20">
        <v>3500</v>
      </c>
      <c r="Z3574" s="6" t="s">
        <v>5978</v>
      </c>
      <c r="AA3574" s="14">
        <f t="shared" si="477"/>
        <v>5.9999999999999995E-4</v>
      </c>
      <c r="AB3574">
        <v>1.1395199999999999</v>
      </c>
      <c r="AC3574">
        <v>1.1851007999999998</v>
      </c>
    </row>
    <row r="3575" spans="1:29" x14ac:dyDescent="0.3">
      <c r="A3575">
        <v>144188</v>
      </c>
      <c r="B3575" s="25" t="s">
        <v>5984</v>
      </c>
      <c r="C3575" t="s">
        <v>20</v>
      </c>
      <c r="D3575" t="s">
        <v>21</v>
      </c>
      <c r="E3575">
        <v>2222222</v>
      </c>
      <c r="F3575" s="8" t="s">
        <v>22</v>
      </c>
      <c r="G3575" s="2">
        <v>98</v>
      </c>
      <c r="H3575" t="s">
        <v>4473</v>
      </c>
      <c r="J3575" s="9" t="s">
        <v>4854</v>
      </c>
      <c r="K3575" t="s">
        <v>4836</v>
      </c>
      <c r="L3575" s="2">
        <v>1</v>
      </c>
      <c r="M3575" s="24" t="s">
        <v>5971</v>
      </c>
      <c r="N3575" s="2" t="s">
        <v>23</v>
      </c>
      <c r="O3575" s="18" t="s">
        <v>2765</v>
      </c>
      <c r="P3575" s="18" t="s">
        <v>3781</v>
      </c>
      <c r="Q3575" s="6" t="s">
        <v>4475</v>
      </c>
      <c r="T3575" s="23">
        <v>45644</v>
      </c>
      <c r="U3575" s="23">
        <v>47104</v>
      </c>
      <c r="X3575" s="20">
        <v>5000</v>
      </c>
      <c r="Z3575" s="6" t="s">
        <v>5978</v>
      </c>
      <c r="AA3575" s="14">
        <f t="shared" si="477"/>
        <v>5.9999999999999995E-4</v>
      </c>
      <c r="AB3575">
        <v>2.0600999999999998</v>
      </c>
      <c r="AC3575">
        <v>2.1425039999999997</v>
      </c>
    </row>
    <row r="3576" spans="1:29" x14ac:dyDescent="0.3">
      <c r="A3576">
        <v>147051</v>
      </c>
      <c r="B3576" s="25" t="s">
        <v>5984</v>
      </c>
      <c r="C3576" t="s">
        <v>20</v>
      </c>
      <c r="D3576" t="s">
        <v>21</v>
      </c>
      <c r="E3576">
        <v>2222222</v>
      </c>
      <c r="F3576" s="8" t="s">
        <v>22</v>
      </c>
      <c r="G3576" s="2">
        <v>98</v>
      </c>
      <c r="H3576" t="s">
        <v>4473</v>
      </c>
      <c r="J3576" s="9" t="s">
        <v>4854</v>
      </c>
      <c r="K3576" t="s">
        <v>4836</v>
      </c>
      <c r="L3576" s="2">
        <v>1</v>
      </c>
      <c r="M3576" s="24" t="s">
        <v>5971</v>
      </c>
      <c r="N3576" s="2" t="s">
        <v>23</v>
      </c>
      <c r="O3576" s="18" t="s">
        <v>2765</v>
      </c>
      <c r="P3576" s="18" t="s">
        <v>3781</v>
      </c>
      <c r="Q3576" s="6" t="s">
        <v>4475</v>
      </c>
      <c r="T3576" s="23">
        <v>45861</v>
      </c>
      <c r="U3576" s="23">
        <v>46956</v>
      </c>
      <c r="X3576" s="20">
        <v>4000</v>
      </c>
      <c r="Z3576" s="6" t="s">
        <v>5978</v>
      </c>
      <c r="AA3576" s="14">
        <f t="shared" si="477"/>
        <v>5.9999999999999995E-4</v>
      </c>
      <c r="AB3576">
        <v>1.7314259999999999</v>
      </c>
      <c r="AC3576">
        <v>1.80068304</v>
      </c>
    </row>
    <row r="3577" spans="1:29" x14ac:dyDescent="0.3">
      <c r="A3577">
        <v>148590</v>
      </c>
      <c r="B3577" s="25" t="s">
        <v>5984</v>
      </c>
      <c r="C3577" t="s">
        <v>20</v>
      </c>
      <c r="D3577" t="s">
        <v>21</v>
      </c>
      <c r="E3577">
        <v>2222222</v>
      </c>
      <c r="F3577" s="8" t="s">
        <v>22</v>
      </c>
      <c r="G3577" s="2">
        <v>98</v>
      </c>
      <c r="H3577" t="s">
        <v>4473</v>
      </c>
      <c r="J3577" s="9" t="s">
        <v>5055</v>
      </c>
      <c r="K3577" t="s">
        <v>4884</v>
      </c>
      <c r="L3577" s="2">
        <v>1</v>
      </c>
      <c r="M3577" s="24" t="s">
        <v>5971</v>
      </c>
      <c r="N3577" s="2" t="s">
        <v>23</v>
      </c>
      <c r="O3577" s="18" t="s">
        <v>2386</v>
      </c>
      <c r="P3577" s="18" t="s">
        <v>3781</v>
      </c>
      <c r="Q3577" s="6" t="s">
        <v>4475</v>
      </c>
      <c r="T3577" s="23">
        <v>45793</v>
      </c>
      <c r="U3577" s="23">
        <v>46517</v>
      </c>
      <c r="X3577" s="20">
        <v>20000</v>
      </c>
      <c r="Z3577" s="6" t="s">
        <v>5978</v>
      </c>
      <c r="AA3577" s="14">
        <f t="shared" si="477"/>
        <v>5.9999999999999995E-4</v>
      </c>
      <c r="AB3577">
        <v>5.4411119999999995</v>
      </c>
      <c r="AC3577">
        <v>5.6587564800000001</v>
      </c>
    </row>
    <row r="3578" spans="1:29" x14ac:dyDescent="0.3">
      <c r="A3578">
        <v>149124</v>
      </c>
      <c r="B3578" s="25" t="s">
        <v>5984</v>
      </c>
      <c r="C3578" t="s">
        <v>20</v>
      </c>
      <c r="D3578" t="s">
        <v>21</v>
      </c>
      <c r="E3578">
        <v>2222222</v>
      </c>
      <c r="F3578" s="8" t="s">
        <v>22</v>
      </c>
      <c r="G3578" s="2">
        <v>98</v>
      </c>
      <c r="H3578" t="s">
        <v>4473</v>
      </c>
      <c r="J3578" s="9" t="s">
        <v>4967</v>
      </c>
      <c r="K3578" t="s">
        <v>4863</v>
      </c>
      <c r="L3578" s="2">
        <v>1</v>
      </c>
      <c r="M3578" s="24" t="s">
        <v>5971</v>
      </c>
      <c r="N3578" s="2" t="s">
        <v>23</v>
      </c>
      <c r="O3578" s="18" t="s">
        <v>2766</v>
      </c>
      <c r="P3578" s="18" t="s">
        <v>3781</v>
      </c>
      <c r="Q3578" s="6" t="s">
        <v>4475</v>
      </c>
      <c r="T3578" s="23">
        <v>46008</v>
      </c>
      <c r="U3578" s="23">
        <v>48198</v>
      </c>
      <c r="X3578" s="20">
        <v>10000</v>
      </c>
      <c r="Z3578" s="6" t="s">
        <v>5978</v>
      </c>
      <c r="AA3578" s="14">
        <f t="shared" si="477"/>
        <v>5.9999999999999995E-4</v>
      </c>
      <c r="AB3578">
        <v>5.6318279999999987</v>
      </c>
      <c r="AC3578">
        <v>5.8571011199999985</v>
      </c>
    </row>
    <row r="3579" spans="1:29" x14ac:dyDescent="0.3">
      <c r="A3579">
        <v>137230</v>
      </c>
      <c r="B3579" s="25" t="s">
        <v>5984</v>
      </c>
      <c r="C3579" t="s">
        <v>20</v>
      </c>
      <c r="D3579" t="s">
        <v>21</v>
      </c>
      <c r="E3579">
        <v>2222222</v>
      </c>
      <c r="F3579" s="8" t="s">
        <v>22</v>
      </c>
      <c r="G3579" s="2">
        <v>98</v>
      </c>
      <c r="H3579" t="s">
        <v>4474</v>
      </c>
      <c r="J3579" s="9" t="s">
        <v>5347</v>
      </c>
      <c r="K3579" t="s">
        <v>5797</v>
      </c>
      <c r="L3579" s="2">
        <v>1</v>
      </c>
      <c r="M3579" s="24" t="s">
        <v>5971</v>
      </c>
      <c r="N3579" s="2" t="s">
        <v>23</v>
      </c>
      <c r="O3579" s="18" t="s">
        <v>2757</v>
      </c>
      <c r="P3579" s="18" t="s">
        <v>3781</v>
      </c>
      <c r="Q3579" s="6" t="s">
        <v>4475</v>
      </c>
      <c r="T3579" s="23">
        <v>45212</v>
      </c>
      <c r="U3579" s="23">
        <v>47130</v>
      </c>
      <c r="X3579" s="20">
        <v>17950</v>
      </c>
      <c r="Z3579" s="6" t="s">
        <v>5978</v>
      </c>
      <c r="AA3579" s="13">
        <f>+(0.56/1000)</f>
        <v>5.6000000000000006E-4</v>
      </c>
      <c r="AB3579">
        <v>6.1535488000000003</v>
      </c>
      <c r="AC3579">
        <v>6.3996907520000006</v>
      </c>
    </row>
    <row r="3580" spans="1:29" x14ac:dyDescent="0.3">
      <c r="A3580">
        <v>151970</v>
      </c>
      <c r="B3580" s="25" t="s">
        <v>5984</v>
      </c>
      <c r="C3580" t="s">
        <v>20</v>
      </c>
      <c r="D3580" t="s">
        <v>21</v>
      </c>
      <c r="E3580">
        <v>2222222</v>
      </c>
      <c r="F3580" s="8" t="s">
        <v>22</v>
      </c>
      <c r="G3580" s="2">
        <v>98</v>
      </c>
      <c r="H3580" t="s">
        <v>4474</v>
      </c>
      <c r="J3580" s="9" t="s">
        <v>5347</v>
      </c>
      <c r="K3580" t="s">
        <v>5797</v>
      </c>
      <c r="L3580" s="2">
        <v>1</v>
      </c>
      <c r="M3580" s="24" t="s">
        <v>5971</v>
      </c>
      <c r="N3580" s="2" t="s">
        <v>23</v>
      </c>
      <c r="O3580" s="18" t="s">
        <v>2757</v>
      </c>
      <c r="P3580" s="18" t="s">
        <v>3781</v>
      </c>
      <c r="Q3580" s="6" t="s">
        <v>4475</v>
      </c>
      <c r="T3580" s="23">
        <v>46202</v>
      </c>
      <c r="U3580" s="23">
        <v>46292</v>
      </c>
      <c r="X3580" s="20">
        <v>2440</v>
      </c>
      <c r="Z3580" s="6" t="s">
        <v>5978</v>
      </c>
      <c r="AA3580" s="14">
        <f>+(0.6/1000)</f>
        <v>5.9999999999999995E-4</v>
      </c>
      <c r="AB3580">
        <v>1.464</v>
      </c>
      <c r="AC3580">
        <v>1.5225599999999999</v>
      </c>
    </row>
    <row r="3581" spans="1:29" x14ac:dyDescent="0.3">
      <c r="A3581">
        <v>122736</v>
      </c>
      <c r="B3581" s="25" t="s">
        <v>5984</v>
      </c>
      <c r="C3581" t="s">
        <v>20</v>
      </c>
      <c r="D3581" t="s">
        <v>21</v>
      </c>
      <c r="E3581">
        <v>2222222</v>
      </c>
      <c r="F3581" s="8" t="s">
        <v>22</v>
      </c>
      <c r="G3581" s="2">
        <v>98</v>
      </c>
      <c r="H3581" t="s">
        <v>4475</v>
      </c>
      <c r="J3581" s="9" t="s">
        <v>5073</v>
      </c>
      <c r="K3581" t="s">
        <v>4836</v>
      </c>
      <c r="L3581" s="2">
        <v>1</v>
      </c>
      <c r="M3581" s="24" t="s">
        <v>5971</v>
      </c>
      <c r="N3581" s="2" t="s">
        <v>23</v>
      </c>
      <c r="O3581" s="18" t="s">
        <v>2767</v>
      </c>
      <c r="P3581" s="18" t="s">
        <v>3781</v>
      </c>
      <c r="Q3581" s="6" t="s">
        <v>4475</v>
      </c>
      <c r="T3581" s="23">
        <v>44435</v>
      </c>
      <c r="U3581" s="23">
        <v>46991</v>
      </c>
      <c r="X3581" s="20">
        <v>13500</v>
      </c>
      <c r="Z3581" s="6" t="s">
        <v>5978</v>
      </c>
      <c r="AA3581" s="15">
        <f>+(0.42/1000)</f>
        <v>4.1999999999999996E-4</v>
      </c>
      <c r="AB3581">
        <v>5.6322629999999991</v>
      </c>
      <c r="AC3581">
        <v>5.8575535199999997</v>
      </c>
    </row>
    <row r="3582" spans="1:29" x14ac:dyDescent="0.3">
      <c r="A3582">
        <v>139280</v>
      </c>
      <c r="B3582" s="25" t="s">
        <v>5984</v>
      </c>
      <c r="C3582" t="s">
        <v>20</v>
      </c>
      <c r="D3582" t="s">
        <v>21</v>
      </c>
      <c r="E3582">
        <v>2222222</v>
      </c>
      <c r="F3582" s="8" t="s">
        <v>22</v>
      </c>
      <c r="G3582" s="2">
        <v>98</v>
      </c>
      <c r="H3582" t="s">
        <v>4475</v>
      </c>
      <c r="J3582" s="9" t="s">
        <v>5098</v>
      </c>
      <c r="K3582" t="s">
        <v>4899</v>
      </c>
      <c r="L3582" s="2">
        <v>1</v>
      </c>
      <c r="M3582" s="24" t="s">
        <v>5971</v>
      </c>
      <c r="N3582" s="2" t="s">
        <v>23</v>
      </c>
      <c r="O3582" s="18" t="s">
        <v>2768</v>
      </c>
      <c r="P3582" s="18" t="s">
        <v>3781</v>
      </c>
      <c r="Q3582" s="6" t="s">
        <v>4475</v>
      </c>
      <c r="T3582" s="23">
        <v>45322</v>
      </c>
      <c r="U3582" s="23">
        <v>46788</v>
      </c>
      <c r="X3582" s="20">
        <v>4000</v>
      </c>
      <c r="Z3582" s="6" t="s">
        <v>5978</v>
      </c>
      <c r="AA3582" s="13">
        <f>+(0.56/1000)</f>
        <v>5.6000000000000006E-4</v>
      </c>
      <c r="AB3582">
        <v>2.1572768000000004</v>
      </c>
      <c r="AC3582">
        <v>2.2435678720000007</v>
      </c>
    </row>
    <row r="3583" spans="1:29" x14ac:dyDescent="0.3">
      <c r="A3583">
        <v>146910</v>
      </c>
      <c r="B3583" s="25" t="s">
        <v>5984</v>
      </c>
      <c r="C3583" t="s">
        <v>20</v>
      </c>
      <c r="D3583" t="s">
        <v>21</v>
      </c>
      <c r="E3583">
        <v>2222222</v>
      </c>
      <c r="F3583" s="8" t="s">
        <v>22</v>
      </c>
      <c r="G3583" s="2">
        <v>98</v>
      </c>
      <c r="H3583" t="s">
        <v>4475</v>
      </c>
      <c r="J3583" s="9" t="s">
        <v>4950</v>
      </c>
      <c r="K3583" t="s">
        <v>5174</v>
      </c>
      <c r="L3583" s="2">
        <v>1</v>
      </c>
      <c r="M3583" s="24" t="s">
        <v>5971</v>
      </c>
      <c r="N3583" s="2" t="s">
        <v>23</v>
      </c>
      <c r="O3583" s="18" t="s">
        <v>2769</v>
      </c>
      <c r="P3583" s="18" t="s">
        <v>0</v>
      </c>
      <c r="Q3583" s="6" t="s">
        <v>4475</v>
      </c>
      <c r="T3583" s="23">
        <v>45855</v>
      </c>
      <c r="U3583" s="23">
        <v>46950</v>
      </c>
      <c r="X3583" s="20">
        <v>20000</v>
      </c>
      <c r="Z3583" s="6" t="s">
        <v>5978</v>
      </c>
      <c r="AA3583" s="14">
        <f>+(0.6/1000)</f>
        <v>5.9999999999999995E-4</v>
      </c>
      <c r="AB3583">
        <v>8.4700199999999999</v>
      </c>
      <c r="AC3583">
        <v>8.8088207999999995</v>
      </c>
    </row>
    <row r="3584" spans="1:29" x14ac:dyDescent="0.3">
      <c r="A3584">
        <v>148532</v>
      </c>
      <c r="B3584" s="25" t="s">
        <v>5984</v>
      </c>
      <c r="C3584" t="s">
        <v>20</v>
      </c>
      <c r="D3584" t="s">
        <v>21</v>
      </c>
      <c r="E3584">
        <v>2222222</v>
      </c>
      <c r="F3584" s="8" t="s">
        <v>22</v>
      </c>
      <c r="G3584" s="2">
        <v>98</v>
      </c>
      <c r="H3584" t="s">
        <v>4475</v>
      </c>
      <c r="J3584" s="9" t="s">
        <v>5063</v>
      </c>
      <c r="K3584" t="s">
        <v>4870</v>
      </c>
      <c r="L3584" s="2">
        <v>1</v>
      </c>
      <c r="M3584" s="24" t="s">
        <v>5971</v>
      </c>
      <c r="N3584" s="2" t="s">
        <v>23</v>
      </c>
      <c r="O3584" s="18" t="s">
        <v>2770</v>
      </c>
      <c r="P3584" s="18" t="s">
        <v>0</v>
      </c>
      <c r="Q3584" s="6" t="s">
        <v>4475</v>
      </c>
      <c r="T3584" s="23">
        <v>44834</v>
      </c>
      <c r="U3584" s="23">
        <v>47578</v>
      </c>
      <c r="X3584" s="20">
        <v>9400</v>
      </c>
      <c r="Z3584" s="6" t="s">
        <v>5978</v>
      </c>
      <c r="AA3584" s="13">
        <f>+(0.56/1000)</f>
        <v>5.6000000000000006E-4</v>
      </c>
      <c r="AB3584">
        <v>3.4942432000000005</v>
      </c>
      <c r="AC3584">
        <v>3.6340129280000006</v>
      </c>
    </row>
    <row r="3585" spans="1:29" x14ac:dyDescent="0.3">
      <c r="A3585">
        <v>149208</v>
      </c>
      <c r="B3585" s="25" t="s">
        <v>5984</v>
      </c>
      <c r="C3585" t="s">
        <v>20</v>
      </c>
      <c r="D3585" t="s">
        <v>21</v>
      </c>
      <c r="E3585">
        <v>2222222</v>
      </c>
      <c r="F3585" s="8" t="s">
        <v>22</v>
      </c>
      <c r="G3585" s="2">
        <v>98</v>
      </c>
      <c r="H3585" t="s">
        <v>4475</v>
      </c>
      <c r="J3585" s="9" t="s">
        <v>5041</v>
      </c>
      <c r="K3585" t="s">
        <v>5160</v>
      </c>
      <c r="L3585" s="2">
        <v>1</v>
      </c>
      <c r="M3585" s="24" t="s">
        <v>5971</v>
      </c>
      <c r="N3585" s="2" t="s">
        <v>23</v>
      </c>
      <c r="O3585" s="18" t="s">
        <v>2771</v>
      </c>
      <c r="P3585" s="18" t="s">
        <v>0</v>
      </c>
      <c r="Q3585" s="6" t="s">
        <v>4475</v>
      </c>
      <c r="T3585" s="23">
        <v>46005</v>
      </c>
      <c r="U3585" s="23">
        <v>46095</v>
      </c>
      <c r="X3585" s="20">
        <v>2850</v>
      </c>
      <c r="Z3585" s="6" t="s">
        <v>5978</v>
      </c>
      <c r="AA3585" s="14">
        <f t="shared" ref="AA3585:AA3586" si="478">+(0.6/1000)</f>
        <v>5.9999999999999995E-4</v>
      </c>
      <c r="AB3585">
        <v>1.7099999999999997</v>
      </c>
      <c r="AC3585">
        <v>1.7783999999999998</v>
      </c>
    </row>
    <row r="3586" spans="1:29" x14ac:dyDescent="0.3">
      <c r="A3586">
        <v>151213</v>
      </c>
      <c r="B3586" s="25" t="s">
        <v>5984</v>
      </c>
      <c r="C3586" t="s">
        <v>20</v>
      </c>
      <c r="D3586" t="s">
        <v>21</v>
      </c>
      <c r="E3586">
        <v>2222222</v>
      </c>
      <c r="F3586" s="8" t="s">
        <v>22</v>
      </c>
      <c r="G3586" s="2">
        <v>98</v>
      </c>
      <c r="H3586" t="s">
        <v>4475</v>
      </c>
      <c r="J3586" s="9" t="s">
        <v>5798</v>
      </c>
      <c r="K3586" t="s">
        <v>5031</v>
      </c>
      <c r="L3586" s="2">
        <v>1</v>
      </c>
      <c r="M3586" s="24" t="s">
        <v>5971</v>
      </c>
      <c r="N3586" s="2" t="s">
        <v>23</v>
      </c>
      <c r="O3586" s="18" t="s">
        <v>2772</v>
      </c>
      <c r="P3586" s="18" t="s">
        <v>3781</v>
      </c>
      <c r="Q3586" s="6" t="s">
        <v>4475</v>
      </c>
      <c r="T3586" s="23">
        <v>46147</v>
      </c>
      <c r="U3586" s="23">
        <v>47061</v>
      </c>
      <c r="X3586" s="20">
        <v>5000</v>
      </c>
      <c r="Z3586" s="6" t="s">
        <v>5978</v>
      </c>
      <c r="AA3586" s="14">
        <f t="shared" si="478"/>
        <v>5.9999999999999995E-4</v>
      </c>
      <c r="AB3586">
        <v>2.8382219999999996</v>
      </c>
      <c r="AC3586">
        <v>2.9517508799999996</v>
      </c>
    </row>
    <row r="3587" spans="1:29" x14ac:dyDescent="0.3">
      <c r="A3587">
        <v>130776</v>
      </c>
      <c r="B3587" s="25" t="s">
        <v>5984</v>
      </c>
      <c r="C3587" t="s">
        <v>20</v>
      </c>
      <c r="D3587" t="s">
        <v>21</v>
      </c>
      <c r="E3587">
        <v>2222222</v>
      </c>
      <c r="F3587" s="8" t="s">
        <v>22</v>
      </c>
      <c r="G3587" s="2">
        <v>98</v>
      </c>
      <c r="H3587" t="s">
        <v>4476</v>
      </c>
      <c r="J3587" s="9" t="s">
        <v>5799</v>
      </c>
      <c r="K3587" t="s">
        <v>5271</v>
      </c>
      <c r="L3587" s="2">
        <v>1</v>
      </c>
      <c r="M3587" s="24" t="s">
        <v>5971</v>
      </c>
      <c r="N3587" s="2" t="s">
        <v>23</v>
      </c>
      <c r="O3587" s="18" t="s">
        <v>2773</v>
      </c>
      <c r="P3587" s="18" t="s">
        <v>0</v>
      </c>
      <c r="Q3587" s="6" t="s">
        <v>4475</v>
      </c>
      <c r="T3587" s="23">
        <v>44858</v>
      </c>
      <c r="U3587" s="23">
        <v>46695</v>
      </c>
      <c r="X3587" s="20">
        <v>11000</v>
      </c>
      <c r="Z3587" s="6" t="s">
        <v>5978</v>
      </c>
      <c r="AA3587" s="13">
        <f>+(0.56/1000)</f>
        <v>5.6000000000000006E-4</v>
      </c>
      <c r="AB3587">
        <v>2.1522144000000001</v>
      </c>
      <c r="AC3587">
        <v>2.2383029759999999</v>
      </c>
    </row>
    <row r="3588" spans="1:29" x14ac:dyDescent="0.3">
      <c r="A3588">
        <v>142560</v>
      </c>
      <c r="B3588" s="25" t="s">
        <v>5984</v>
      </c>
      <c r="C3588" t="s">
        <v>20</v>
      </c>
      <c r="D3588" t="s">
        <v>21</v>
      </c>
      <c r="E3588">
        <v>2222222</v>
      </c>
      <c r="F3588" s="8" t="s">
        <v>22</v>
      </c>
      <c r="G3588" s="2">
        <v>98</v>
      </c>
      <c r="H3588" t="s">
        <v>4476</v>
      </c>
      <c r="J3588" s="9" t="s">
        <v>4838</v>
      </c>
      <c r="K3588" t="s">
        <v>4826</v>
      </c>
      <c r="L3588" s="2">
        <v>1</v>
      </c>
      <c r="M3588" s="24" t="s">
        <v>5971</v>
      </c>
      <c r="N3588" s="2" t="s">
        <v>23</v>
      </c>
      <c r="O3588" s="18" t="s">
        <v>2774</v>
      </c>
      <c r="P3588" s="18" t="s">
        <v>0</v>
      </c>
      <c r="Q3588" s="6" t="s">
        <v>4475</v>
      </c>
      <c r="T3588" s="23">
        <v>45547</v>
      </c>
      <c r="U3588" s="23">
        <v>47373</v>
      </c>
      <c r="X3588" s="20">
        <v>10000</v>
      </c>
      <c r="Z3588" s="6" t="s">
        <v>5978</v>
      </c>
      <c r="AA3588" s="14">
        <f>+(0.6/1000)</f>
        <v>5.9999999999999995E-4</v>
      </c>
      <c r="AB3588">
        <v>4.3623779999999996</v>
      </c>
      <c r="AC3588">
        <v>4.5368731200000001</v>
      </c>
    </row>
    <row r="3589" spans="1:29" x14ac:dyDescent="0.3">
      <c r="A3589">
        <v>114024</v>
      </c>
      <c r="B3589" s="25" t="s">
        <v>5984</v>
      </c>
      <c r="C3589" t="s">
        <v>20</v>
      </c>
      <c r="D3589" t="s">
        <v>21</v>
      </c>
      <c r="E3589">
        <v>2222222</v>
      </c>
      <c r="F3589" s="8" t="s">
        <v>22</v>
      </c>
      <c r="G3589" s="2">
        <v>98</v>
      </c>
      <c r="H3589" t="s">
        <v>4477</v>
      </c>
      <c r="J3589" s="9" t="s">
        <v>4967</v>
      </c>
      <c r="K3589" t="s">
        <v>4872</v>
      </c>
      <c r="L3589" s="2">
        <v>1</v>
      </c>
      <c r="M3589" s="24" t="s">
        <v>5971</v>
      </c>
      <c r="N3589" s="2" t="s">
        <v>23</v>
      </c>
      <c r="O3589" s="18" t="s">
        <v>2775</v>
      </c>
      <c r="P3589" s="18" t="s">
        <v>3781</v>
      </c>
      <c r="Q3589" s="6" t="s">
        <v>4475</v>
      </c>
      <c r="T3589" s="23">
        <v>44034</v>
      </c>
      <c r="U3589" s="23">
        <v>46600</v>
      </c>
      <c r="X3589" s="20">
        <v>11050</v>
      </c>
      <c r="Z3589" s="6" t="s">
        <v>5978</v>
      </c>
      <c r="AA3589" s="15">
        <f t="shared" ref="AA3589:AA3590" si="479">+(0.42/1000)</f>
        <v>4.1999999999999996E-4</v>
      </c>
      <c r="AB3589">
        <v>1.0960487999999999</v>
      </c>
      <c r="AC3589">
        <v>1.1398907519999999</v>
      </c>
    </row>
    <row r="3590" spans="1:29" x14ac:dyDescent="0.3">
      <c r="A3590">
        <v>125071</v>
      </c>
      <c r="B3590" s="25" t="s">
        <v>5984</v>
      </c>
      <c r="C3590" t="s">
        <v>20</v>
      </c>
      <c r="D3590" t="s">
        <v>21</v>
      </c>
      <c r="E3590">
        <v>2222222</v>
      </c>
      <c r="F3590" s="8" t="s">
        <v>22</v>
      </c>
      <c r="G3590" s="2">
        <v>98</v>
      </c>
      <c r="H3590" t="s">
        <v>4477</v>
      </c>
      <c r="J3590" s="9" t="s">
        <v>5239</v>
      </c>
      <c r="K3590" t="s">
        <v>5421</v>
      </c>
      <c r="L3590" s="2">
        <v>1</v>
      </c>
      <c r="M3590" s="24" t="s">
        <v>5971</v>
      </c>
      <c r="N3590" s="2" t="s">
        <v>23</v>
      </c>
      <c r="O3590" s="18" t="s">
        <v>2776</v>
      </c>
      <c r="P3590" s="18" t="s">
        <v>0</v>
      </c>
      <c r="Q3590" s="6" t="s">
        <v>4475</v>
      </c>
      <c r="T3590" s="23">
        <v>44546</v>
      </c>
      <c r="U3590" s="23">
        <v>46006</v>
      </c>
      <c r="X3590" s="20">
        <v>5000</v>
      </c>
      <c r="Z3590" s="6" t="s">
        <v>5978</v>
      </c>
      <c r="AA3590" s="15">
        <f t="shared" si="479"/>
        <v>4.1999999999999996E-4</v>
      </c>
      <c r="AB3590">
        <v>1.7825849999999999</v>
      </c>
      <c r="AC3590">
        <v>1.8538884</v>
      </c>
    </row>
    <row r="3591" spans="1:29" x14ac:dyDescent="0.3">
      <c r="A3591">
        <v>130519</v>
      </c>
      <c r="B3591" s="25" t="s">
        <v>5984</v>
      </c>
      <c r="C3591" t="s">
        <v>20</v>
      </c>
      <c r="D3591" t="s">
        <v>21</v>
      </c>
      <c r="E3591">
        <v>2222222</v>
      </c>
      <c r="F3591" s="8" t="s">
        <v>22</v>
      </c>
      <c r="G3591" s="2">
        <v>98</v>
      </c>
      <c r="H3591" t="s">
        <v>4477</v>
      </c>
      <c r="J3591" s="9" t="s">
        <v>5239</v>
      </c>
      <c r="K3591" t="s">
        <v>5421</v>
      </c>
      <c r="L3591" s="2">
        <v>1</v>
      </c>
      <c r="M3591" s="24" t="s">
        <v>5971</v>
      </c>
      <c r="N3591" s="2" t="s">
        <v>23</v>
      </c>
      <c r="O3591" s="18" t="s">
        <v>2776</v>
      </c>
      <c r="P3591" s="18" t="s">
        <v>0</v>
      </c>
      <c r="Q3591" s="6" t="s">
        <v>4475</v>
      </c>
      <c r="T3591" s="23">
        <v>44839</v>
      </c>
      <c r="U3591" s="23">
        <v>45934</v>
      </c>
      <c r="X3591" s="20">
        <v>3000</v>
      </c>
      <c r="Z3591" s="6" t="s">
        <v>5978</v>
      </c>
      <c r="AA3591" s="13">
        <f t="shared" ref="AA3591:AA3593" si="480">+(0.56/1000)</f>
        <v>5.6000000000000006E-4</v>
      </c>
      <c r="AB3591">
        <v>1.6442552000000001</v>
      </c>
      <c r="AC3591">
        <v>1.7100254080000001</v>
      </c>
    </row>
    <row r="3592" spans="1:29" x14ac:dyDescent="0.3">
      <c r="A3592">
        <v>137987</v>
      </c>
      <c r="B3592" s="25" t="s">
        <v>5984</v>
      </c>
      <c r="C3592" t="s">
        <v>20</v>
      </c>
      <c r="D3592" t="s">
        <v>21</v>
      </c>
      <c r="E3592">
        <v>2222222</v>
      </c>
      <c r="F3592" s="8" t="s">
        <v>22</v>
      </c>
      <c r="G3592" s="2">
        <v>98</v>
      </c>
      <c r="H3592" t="s">
        <v>4477</v>
      </c>
      <c r="J3592" s="9" t="s">
        <v>4815</v>
      </c>
      <c r="K3592" t="s">
        <v>5377</v>
      </c>
      <c r="L3592" s="2">
        <v>1</v>
      </c>
      <c r="M3592" s="24" t="s">
        <v>5971</v>
      </c>
      <c r="N3592" s="2" t="s">
        <v>23</v>
      </c>
      <c r="O3592" s="18" t="s">
        <v>2777</v>
      </c>
      <c r="P3592" s="18" t="s">
        <v>0</v>
      </c>
      <c r="Q3592" s="6" t="s">
        <v>4475</v>
      </c>
      <c r="T3592" s="23">
        <v>45252</v>
      </c>
      <c r="U3592" s="23">
        <v>46351</v>
      </c>
      <c r="X3592" s="20">
        <v>4000</v>
      </c>
      <c r="Z3592" s="6" t="s">
        <v>5978</v>
      </c>
      <c r="AA3592" s="13">
        <f t="shared" si="480"/>
        <v>5.6000000000000006E-4</v>
      </c>
      <c r="AB3592">
        <v>0.31343200000000004</v>
      </c>
      <c r="AC3592">
        <v>0.32596928000000008</v>
      </c>
    </row>
    <row r="3593" spans="1:29" x14ac:dyDescent="0.3">
      <c r="A3593">
        <v>140610</v>
      </c>
      <c r="B3593" s="25" t="s">
        <v>5984</v>
      </c>
      <c r="C3593" t="s">
        <v>20</v>
      </c>
      <c r="D3593" t="s">
        <v>21</v>
      </c>
      <c r="E3593">
        <v>2222222</v>
      </c>
      <c r="F3593" s="8" t="s">
        <v>22</v>
      </c>
      <c r="G3593" s="2">
        <v>98</v>
      </c>
      <c r="H3593" t="s">
        <v>4477</v>
      </c>
      <c r="J3593" s="9" t="s">
        <v>4967</v>
      </c>
      <c r="K3593" t="s">
        <v>4872</v>
      </c>
      <c r="L3593" s="2">
        <v>1</v>
      </c>
      <c r="M3593" s="24" t="s">
        <v>5971</v>
      </c>
      <c r="N3593" s="2" t="s">
        <v>23</v>
      </c>
      <c r="O3593" s="18" t="s">
        <v>2775</v>
      </c>
      <c r="P3593" s="18" t="s">
        <v>3781</v>
      </c>
      <c r="Q3593" s="6" t="s">
        <v>4475</v>
      </c>
      <c r="T3593" s="23">
        <v>45399</v>
      </c>
      <c r="U3593" s="23">
        <v>46860</v>
      </c>
      <c r="X3593" s="20">
        <v>4500</v>
      </c>
      <c r="Z3593" s="6" t="s">
        <v>5978</v>
      </c>
      <c r="AA3593" s="13">
        <f t="shared" si="480"/>
        <v>5.6000000000000006E-4</v>
      </c>
      <c r="AB3593">
        <v>1.3407408000000001</v>
      </c>
      <c r="AC3593">
        <v>1.3943704320000001</v>
      </c>
    </row>
    <row r="3594" spans="1:29" x14ac:dyDescent="0.3">
      <c r="A3594">
        <v>142415</v>
      </c>
      <c r="B3594" s="25" t="s">
        <v>5984</v>
      </c>
      <c r="C3594" t="s">
        <v>20</v>
      </c>
      <c r="D3594" t="s">
        <v>21</v>
      </c>
      <c r="E3594">
        <v>2222222</v>
      </c>
      <c r="F3594" s="8" t="s">
        <v>22</v>
      </c>
      <c r="G3594" s="2">
        <v>98</v>
      </c>
      <c r="H3594" t="s">
        <v>4477</v>
      </c>
      <c r="J3594" s="9" t="s">
        <v>4815</v>
      </c>
      <c r="K3594" t="s">
        <v>5377</v>
      </c>
      <c r="L3594" s="2">
        <v>1</v>
      </c>
      <c r="M3594" s="24" t="s">
        <v>5971</v>
      </c>
      <c r="N3594" s="2" t="s">
        <v>23</v>
      </c>
      <c r="O3594" s="18" t="s">
        <v>2777</v>
      </c>
      <c r="P3594" s="18" t="s">
        <v>0</v>
      </c>
      <c r="Q3594" s="6" t="s">
        <v>4475</v>
      </c>
      <c r="T3594" s="23">
        <v>45518</v>
      </c>
      <c r="U3594" s="23">
        <v>46981</v>
      </c>
      <c r="X3594" s="20">
        <v>5000</v>
      </c>
      <c r="Z3594" s="6" t="s">
        <v>5978</v>
      </c>
      <c r="AA3594" s="14">
        <f t="shared" ref="AA3594:AA3599" si="481">+(0.6/1000)</f>
        <v>5.9999999999999995E-4</v>
      </c>
      <c r="AB3594">
        <v>1.8410879999999998</v>
      </c>
      <c r="AC3594">
        <v>1.9147315199999999</v>
      </c>
    </row>
    <row r="3595" spans="1:29" x14ac:dyDescent="0.3">
      <c r="A3595">
        <v>148304</v>
      </c>
      <c r="B3595" s="25" t="s">
        <v>5984</v>
      </c>
      <c r="C3595" t="s">
        <v>20</v>
      </c>
      <c r="D3595" t="s">
        <v>21</v>
      </c>
      <c r="E3595">
        <v>2222222</v>
      </c>
      <c r="F3595" s="8" t="s">
        <v>22</v>
      </c>
      <c r="G3595" s="2">
        <v>98</v>
      </c>
      <c r="H3595" t="s">
        <v>4477</v>
      </c>
      <c r="J3595" s="9" t="s">
        <v>4997</v>
      </c>
      <c r="K3595" t="s">
        <v>4928</v>
      </c>
      <c r="L3595" s="2">
        <v>1</v>
      </c>
      <c r="M3595" s="24" t="s">
        <v>5971</v>
      </c>
      <c r="N3595" s="2" t="s">
        <v>23</v>
      </c>
      <c r="O3595" s="18" t="s">
        <v>2778</v>
      </c>
      <c r="P3595" s="18" t="s">
        <v>3781</v>
      </c>
      <c r="Q3595" s="6" t="s">
        <v>4475</v>
      </c>
      <c r="T3595" s="23">
        <v>45952</v>
      </c>
      <c r="U3595" s="23">
        <v>46317</v>
      </c>
      <c r="X3595" s="20">
        <v>1500</v>
      </c>
      <c r="Z3595" s="6" t="s">
        <v>5978</v>
      </c>
      <c r="AA3595" s="14">
        <f t="shared" si="481"/>
        <v>5.9999999999999995E-4</v>
      </c>
      <c r="AB3595">
        <v>0.23903399999999997</v>
      </c>
      <c r="AC3595">
        <v>0.24859535999999999</v>
      </c>
    </row>
    <row r="3596" spans="1:29" x14ac:dyDescent="0.3">
      <c r="A3596">
        <v>148589</v>
      </c>
      <c r="B3596" s="25" t="s">
        <v>5984</v>
      </c>
      <c r="C3596" t="s">
        <v>20</v>
      </c>
      <c r="D3596" t="s">
        <v>21</v>
      </c>
      <c r="E3596">
        <v>2222222</v>
      </c>
      <c r="F3596" s="8" t="s">
        <v>22</v>
      </c>
      <c r="G3596" s="2">
        <v>98</v>
      </c>
      <c r="H3596" t="s">
        <v>4477</v>
      </c>
      <c r="J3596" s="9" t="s">
        <v>4901</v>
      </c>
      <c r="K3596" t="s">
        <v>5078</v>
      </c>
      <c r="L3596" s="2">
        <v>1</v>
      </c>
      <c r="M3596" s="24" t="s">
        <v>5971</v>
      </c>
      <c r="N3596" s="2" t="s">
        <v>23</v>
      </c>
      <c r="O3596" s="18" t="s">
        <v>2779</v>
      </c>
      <c r="P3596" s="18" t="s">
        <v>0</v>
      </c>
      <c r="Q3596" s="6" t="s">
        <v>4475</v>
      </c>
      <c r="T3596" s="23">
        <v>45792</v>
      </c>
      <c r="U3596" s="23">
        <v>47978</v>
      </c>
      <c r="X3596" s="20">
        <v>30000</v>
      </c>
      <c r="Z3596" s="6" t="s">
        <v>5978</v>
      </c>
      <c r="AA3596" s="14">
        <f t="shared" si="481"/>
        <v>5.9999999999999995E-4</v>
      </c>
      <c r="AB3596">
        <v>15.665399999999998</v>
      </c>
      <c r="AC3596">
        <v>16.292016</v>
      </c>
    </row>
    <row r="3597" spans="1:29" x14ac:dyDescent="0.3">
      <c r="A3597">
        <v>150552</v>
      </c>
      <c r="B3597" s="25" t="s">
        <v>5984</v>
      </c>
      <c r="C3597" t="s">
        <v>20</v>
      </c>
      <c r="D3597" t="s">
        <v>21</v>
      </c>
      <c r="E3597">
        <v>2222222</v>
      </c>
      <c r="F3597" s="8" t="s">
        <v>22</v>
      </c>
      <c r="G3597" s="2">
        <v>98</v>
      </c>
      <c r="H3597" t="s">
        <v>4477</v>
      </c>
      <c r="J3597" s="9" t="s">
        <v>4955</v>
      </c>
      <c r="K3597" t="s">
        <v>4836</v>
      </c>
      <c r="L3597" s="2">
        <v>1</v>
      </c>
      <c r="M3597" s="24" t="s">
        <v>5971</v>
      </c>
      <c r="N3597" s="2" t="s">
        <v>23</v>
      </c>
      <c r="O3597" s="18" t="s">
        <v>2780</v>
      </c>
      <c r="P3597" s="18" t="s">
        <v>3781</v>
      </c>
      <c r="Q3597" s="6" t="s">
        <v>4475</v>
      </c>
      <c r="T3597" s="23">
        <v>46100</v>
      </c>
      <c r="U3597" s="23">
        <v>46648</v>
      </c>
      <c r="X3597" s="20">
        <v>2070</v>
      </c>
      <c r="Z3597" s="6" t="s">
        <v>5978</v>
      </c>
      <c r="AA3597" s="14">
        <f t="shared" si="481"/>
        <v>5.9999999999999995E-4</v>
      </c>
      <c r="AB3597">
        <v>0.9924719999999998</v>
      </c>
      <c r="AC3597">
        <v>1.0321708799999998</v>
      </c>
    </row>
    <row r="3598" spans="1:29" x14ac:dyDescent="0.3">
      <c r="A3598">
        <v>150994</v>
      </c>
      <c r="B3598" s="25" t="s">
        <v>5984</v>
      </c>
      <c r="C3598" t="s">
        <v>20</v>
      </c>
      <c r="D3598" t="s">
        <v>21</v>
      </c>
      <c r="E3598">
        <v>2222222</v>
      </c>
      <c r="F3598" s="8" t="s">
        <v>22</v>
      </c>
      <c r="G3598" s="2">
        <v>98</v>
      </c>
      <c r="H3598" t="s">
        <v>4477</v>
      </c>
      <c r="J3598" s="9" t="s">
        <v>4929</v>
      </c>
      <c r="K3598" t="s">
        <v>5257</v>
      </c>
      <c r="L3598" s="2">
        <v>1</v>
      </c>
      <c r="M3598" s="24" t="s">
        <v>5971</v>
      </c>
      <c r="N3598" s="2" t="s">
        <v>23</v>
      </c>
      <c r="O3598" s="18" t="s">
        <v>2781</v>
      </c>
      <c r="P3598" s="18" t="s">
        <v>0</v>
      </c>
      <c r="Q3598" s="6" t="s">
        <v>4475</v>
      </c>
      <c r="T3598" s="23">
        <v>46133</v>
      </c>
      <c r="U3598" s="23">
        <v>46864</v>
      </c>
      <c r="X3598" s="20">
        <v>2600</v>
      </c>
      <c r="Z3598" s="6" t="s">
        <v>5978</v>
      </c>
      <c r="AA3598" s="14">
        <f t="shared" si="481"/>
        <v>5.9999999999999995E-4</v>
      </c>
      <c r="AB3598">
        <v>1.3927259999999999</v>
      </c>
      <c r="AC3598">
        <v>1.4484350399999999</v>
      </c>
    </row>
    <row r="3599" spans="1:29" x14ac:dyDescent="0.3">
      <c r="A3599">
        <v>151576</v>
      </c>
      <c r="B3599" s="25" t="s">
        <v>5984</v>
      </c>
      <c r="C3599" t="s">
        <v>20</v>
      </c>
      <c r="D3599" t="s">
        <v>21</v>
      </c>
      <c r="E3599">
        <v>2222222</v>
      </c>
      <c r="F3599" s="8" t="s">
        <v>22</v>
      </c>
      <c r="G3599" s="2">
        <v>98</v>
      </c>
      <c r="H3599" t="s">
        <v>4477</v>
      </c>
      <c r="J3599" s="9" t="s">
        <v>4852</v>
      </c>
      <c r="K3599" t="s">
        <v>5715</v>
      </c>
      <c r="L3599" s="2">
        <v>1</v>
      </c>
      <c r="M3599" s="24" t="s">
        <v>5971</v>
      </c>
      <c r="N3599" s="2" t="s">
        <v>23</v>
      </c>
      <c r="O3599" s="18" t="s">
        <v>2782</v>
      </c>
      <c r="P3599" s="18" t="s">
        <v>0</v>
      </c>
      <c r="Q3599" s="6" t="s">
        <v>4475</v>
      </c>
      <c r="T3599" s="23">
        <v>46174</v>
      </c>
      <c r="U3599" s="23">
        <v>46264</v>
      </c>
      <c r="X3599" s="20">
        <v>5000</v>
      </c>
      <c r="Z3599" s="6" t="s">
        <v>5978</v>
      </c>
      <c r="AA3599" s="14">
        <f t="shared" si="481"/>
        <v>5.9999999999999995E-4</v>
      </c>
      <c r="AB3599">
        <v>2.9999999999999996</v>
      </c>
      <c r="AC3599">
        <v>3.1199999999999997</v>
      </c>
    </row>
    <row r="3600" spans="1:29" x14ac:dyDescent="0.3">
      <c r="A3600">
        <v>133186</v>
      </c>
      <c r="B3600" s="25" t="s">
        <v>5984</v>
      </c>
      <c r="C3600" t="s">
        <v>20</v>
      </c>
      <c r="D3600" t="s">
        <v>21</v>
      </c>
      <c r="E3600">
        <v>2222222</v>
      </c>
      <c r="F3600" s="8" t="s">
        <v>22</v>
      </c>
      <c r="G3600" s="2">
        <v>98</v>
      </c>
      <c r="H3600" t="s">
        <v>4478</v>
      </c>
      <c r="J3600" s="9" t="s">
        <v>4859</v>
      </c>
      <c r="K3600" t="s">
        <v>5031</v>
      </c>
      <c r="L3600" s="2">
        <v>1</v>
      </c>
      <c r="M3600" s="24" t="s">
        <v>5971</v>
      </c>
      <c r="N3600" s="2" t="s">
        <v>23</v>
      </c>
      <c r="O3600" s="18" t="s">
        <v>2783</v>
      </c>
      <c r="P3600" s="18" t="s">
        <v>3781</v>
      </c>
      <c r="Q3600" s="6" t="s">
        <v>4475</v>
      </c>
      <c r="T3600" s="23">
        <v>44994</v>
      </c>
      <c r="U3600" s="23">
        <v>47185</v>
      </c>
      <c r="X3600" s="20">
        <v>9500</v>
      </c>
      <c r="Z3600" s="6" t="s">
        <v>5978</v>
      </c>
      <c r="AA3600" s="13">
        <f>+(0.56/1000)</f>
        <v>5.6000000000000006E-4</v>
      </c>
      <c r="AB3600">
        <v>3.0006312000000004</v>
      </c>
      <c r="AC3600">
        <v>3.1206564480000005</v>
      </c>
    </row>
    <row r="3601" spans="1:29" x14ac:dyDescent="0.3">
      <c r="A3601">
        <v>149325</v>
      </c>
      <c r="B3601" s="25" t="s">
        <v>5984</v>
      </c>
      <c r="C3601" t="s">
        <v>20</v>
      </c>
      <c r="D3601" t="s">
        <v>21</v>
      </c>
      <c r="E3601">
        <v>2222222</v>
      </c>
      <c r="F3601" s="8" t="s">
        <v>22</v>
      </c>
      <c r="G3601" s="2">
        <v>98</v>
      </c>
      <c r="H3601" t="s">
        <v>4478</v>
      </c>
      <c r="J3601" s="9" t="s">
        <v>4859</v>
      </c>
      <c r="K3601" t="s">
        <v>5031</v>
      </c>
      <c r="L3601" s="2">
        <v>1</v>
      </c>
      <c r="M3601" s="24" t="s">
        <v>5971</v>
      </c>
      <c r="N3601" s="2" t="s">
        <v>23</v>
      </c>
      <c r="O3601" s="18" t="s">
        <v>2783</v>
      </c>
      <c r="P3601" s="18" t="s">
        <v>3781</v>
      </c>
      <c r="Q3601" s="6" t="s">
        <v>4475</v>
      </c>
      <c r="T3601" s="23">
        <v>46014</v>
      </c>
      <c r="U3601" s="23">
        <v>46926</v>
      </c>
      <c r="X3601" s="20">
        <v>3500</v>
      </c>
      <c r="Z3601" s="6" t="s">
        <v>5978</v>
      </c>
      <c r="AA3601" s="14">
        <f t="shared" ref="AA3601:AA3605" si="482">+(0.6/1000)</f>
        <v>5.9999999999999995E-4</v>
      </c>
      <c r="AB3601">
        <v>1.6893479999999998</v>
      </c>
      <c r="AC3601">
        <v>1.7569219199999999</v>
      </c>
    </row>
    <row r="3602" spans="1:29" x14ac:dyDescent="0.3">
      <c r="A3602">
        <v>150353</v>
      </c>
      <c r="B3602" s="25" t="s">
        <v>5984</v>
      </c>
      <c r="C3602" t="s">
        <v>20</v>
      </c>
      <c r="D3602" t="s">
        <v>21</v>
      </c>
      <c r="E3602">
        <v>2222222</v>
      </c>
      <c r="F3602" s="8" t="s">
        <v>22</v>
      </c>
      <c r="G3602" s="2">
        <v>98</v>
      </c>
      <c r="H3602" t="s">
        <v>4478</v>
      </c>
      <c r="J3602" s="9" t="s">
        <v>5800</v>
      </c>
      <c r="K3602" t="s">
        <v>5801</v>
      </c>
      <c r="L3602" s="2">
        <v>1</v>
      </c>
      <c r="M3602" s="24" t="s">
        <v>5971</v>
      </c>
      <c r="N3602" s="2" t="s">
        <v>23</v>
      </c>
      <c r="O3602" s="18" t="s">
        <v>2784</v>
      </c>
      <c r="P3602" s="18" t="s">
        <v>0</v>
      </c>
      <c r="Q3602" s="6" t="s">
        <v>4475</v>
      </c>
      <c r="T3602" s="23">
        <v>46087</v>
      </c>
      <c r="U3602" s="23">
        <v>47182</v>
      </c>
      <c r="X3602" s="20">
        <v>2350</v>
      </c>
      <c r="Z3602" s="6" t="s">
        <v>5978</v>
      </c>
      <c r="AA3602" s="14">
        <f t="shared" si="482"/>
        <v>5.9999999999999995E-4</v>
      </c>
      <c r="AB3602">
        <v>1.2861839999999998</v>
      </c>
      <c r="AC3602">
        <v>1.3376313599999998</v>
      </c>
    </row>
    <row r="3603" spans="1:29" x14ac:dyDescent="0.3">
      <c r="A3603">
        <v>152032</v>
      </c>
      <c r="B3603" s="25" t="s">
        <v>5984</v>
      </c>
      <c r="C3603" t="s">
        <v>20</v>
      </c>
      <c r="D3603" t="s">
        <v>21</v>
      </c>
      <c r="E3603">
        <v>2222222</v>
      </c>
      <c r="F3603" s="8" t="s">
        <v>22</v>
      </c>
      <c r="G3603" s="2">
        <v>98</v>
      </c>
      <c r="H3603" t="s">
        <v>4478</v>
      </c>
      <c r="J3603" s="9" t="s">
        <v>4859</v>
      </c>
      <c r="K3603" t="s">
        <v>5031</v>
      </c>
      <c r="L3603" s="2">
        <v>1</v>
      </c>
      <c r="M3603" s="24" t="s">
        <v>5971</v>
      </c>
      <c r="N3603" s="2" t="s">
        <v>23</v>
      </c>
      <c r="O3603" s="18" t="s">
        <v>2783</v>
      </c>
      <c r="P3603" s="18" t="s">
        <v>3781</v>
      </c>
      <c r="Q3603" s="6" t="s">
        <v>4475</v>
      </c>
      <c r="T3603" s="23">
        <v>46206</v>
      </c>
      <c r="U3603" s="23">
        <v>46296</v>
      </c>
      <c r="X3603" s="20">
        <v>3500</v>
      </c>
      <c r="Z3603" s="6" t="s">
        <v>5978</v>
      </c>
      <c r="AA3603" s="14">
        <f t="shared" si="482"/>
        <v>5.9999999999999995E-4</v>
      </c>
      <c r="AB3603">
        <v>2.0999999999999996</v>
      </c>
      <c r="AC3603">
        <v>2.1839999999999997</v>
      </c>
    </row>
    <row r="3604" spans="1:29" x14ac:dyDescent="0.3">
      <c r="A3604">
        <v>149302</v>
      </c>
      <c r="B3604" s="25" t="s">
        <v>5984</v>
      </c>
      <c r="C3604" t="s">
        <v>20</v>
      </c>
      <c r="D3604" t="s">
        <v>21</v>
      </c>
      <c r="E3604">
        <v>2222222</v>
      </c>
      <c r="F3604" s="8" t="s">
        <v>22</v>
      </c>
      <c r="G3604" s="2">
        <v>98</v>
      </c>
      <c r="H3604" t="s">
        <v>4479</v>
      </c>
      <c r="J3604" s="9" t="s">
        <v>4901</v>
      </c>
      <c r="K3604" t="s">
        <v>4866</v>
      </c>
      <c r="L3604" s="2">
        <v>1</v>
      </c>
      <c r="M3604" s="24" t="s">
        <v>5971</v>
      </c>
      <c r="N3604" s="2" t="s">
        <v>23</v>
      </c>
      <c r="O3604" s="18" t="s">
        <v>2785</v>
      </c>
      <c r="P3604" s="18" t="s">
        <v>0</v>
      </c>
      <c r="Q3604" s="6" t="s">
        <v>4475</v>
      </c>
      <c r="T3604" s="23">
        <v>46012</v>
      </c>
      <c r="U3604" s="23">
        <v>46376</v>
      </c>
      <c r="X3604" s="20">
        <v>1000</v>
      </c>
      <c r="Z3604" s="6" t="s">
        <v>5978</v>
      </c>
      <c r="AA3604" s="14">
        <f t="shared" si="482"/>
        <v>5.9999999999999995E-4</v>
      </c>
      <c r="AB3604">
        <v>0.26274599999999998</v>
      </c>
      <c r="AC3604">
        <v>0.27325583999999997</v>
      </c>
    </row>
    <row r="3605" spans="1:29" x14ac:dyDescent="0.3">
      <c r="A3605">
        <v>151286</v>
      </c>
      <c r="B3605" s="25" t="s">
        <v>5984</v>
      </c>
      <c r="C3605" t="s">
        <v>20</v>
      </c>
      <c r="D3605" t="s">
        <v>21</v>
      </c>
      <c r="E3605">
        <v>2222222</v>
      </c>
      <c r="F3605" s="8" t="s">
        <v>22</v>
      </c>
      <c r="G3605" s="2">
        <v>98</v>
      </c>
      <c r="H3605" t="s">
        <v>4479</v>
      </c>
      <c r="J3605" s="9" t="s">
        <v>4815</v>
      </c>
      <c r="K3605" t="s">
        <v>5480</v>
      </c>
      <c r="L3605" s="2">
        <v>1</v>
      </c>
      <c r="M3605" s="24" t="s">
        <v>5971</v>
      </c>
      <c r="N3605" s="2" t="s">
        <v>23</v>
      </c>
      <c r="O3605" s="18" t="s">
        <v>2786</v>
      </c>
      <c r="P3605" s="18" t="s">
        <v>0</v>
      </c>
      <c r="Q3605" s="6" t="s">
        <v>4475</v>
      </c>
      <c r="T3605" s="23">
        <v>46154</v>
      </c>
      <c r="U3605" s="23">
        <v>47249</v>
      </c>
      <c r="X3605" s="20">
        <v>3430</v>
      </c>
      <c r="Z3605" s="6" t="s">
        <v>5978</v>
      </c>
      <c r="AA3605" s="14">
        <f t="shared" si="482"/>
        <v>5.9999999999999995E-4</v>
      </c>
      <c r="AB3605">
        <v>2.0114819999999995</v>
      </c>
      <c r="AC3605">
        <v>2.0919412799999995</v>
      </c>
    </row>
    <row r="3606" spans="1:29" x14ac:dyDescent="0.3">
      <c r="A3606">
        <v>137645</v>
      </c>
      <c r="B3606" s="25" t="s">
        <v>5984</v>
      </c>
      <c r="C3606" t="s">
        <v>20</v>
      </c>
      <c r="D3606" t="s">
        <v>21</v>
      </c>
      <c r="E3606">
        <v>2222222</v>
      </c>
      <c r="F3606" s="8" t="s">
        <v>22</v>
      </c>
      <c r="G3606" s="2">
        <v>98</v>
      </c>
      <c r="H3606" t="s">
        <v>4480</v>
      </c>
      <c r="J3606" s="9" t="s">
        <v>4815</v>
      </c>
      <c r="K3606" t="s">
        <v>4853</v>
      </c>
      <c r="L3606" s="2">
        <v>1</v>
      </c>
      <c r="M3606" s="24" t="s">
        <v>5971</v>
      </c>
      <c r="N3606" s="2" t="s">
        <v>23</v>
      </c>
      <c r="O3606" s="18" t="s">
        <v>2787</v>
      </c>
      <c r="P3606" s="18" t="s">
        <v>0</v>
      </c>
      <c r="Q3606" s="6" t="s">
        <v>4475</v>
      </c>
      <c r="T3606" s="23">
        <v>45247</v>
      </c>
      <c r="U3606" s="23">
        <v>47074</v>
      </c>
      <c r="X3606" s="20">
        <v>40000</v>
      </c>
      <c r="Z3606" s="6" t="s">
        <v>5978</v>
      </c>
      <c r="AA3606" s="13">
        <f>+(0.56/1000)</f>
        <v>5.6000000000000006E-4</v>
      </c>
      <c r="AB3606">
        <v>12.6896056</v>
      </c>
      <c r="AC3606">
        <v>13.197189824000001</v>
      </c>
    </row>
    <row r="3607" spans="1:29" x14ac:dyDescent="0.3">
      <c r="A3607">
        <v>148684</v>
      </c>
      <c r="B3607" s="25" t="s">
        <v>5984</v>
      </c>
      <c r="C3607" t="s">
        <v>20</v>
      </c>
      <c r="D3607" t="s">
        <v>21</v>
      </c>
      <c r="E3607">
        <v>2222222</v>
      </c>
      <c r="F3607" s="8" t="s">
        <v>22</v>
      </c>
      <c r="G3607" s="2">
        <v>98</v>
      </c>
      <c r="H3607" t="s">
        <v>4480</v>
      </c>
      <c r="J3607" s="9" t="s">
        <v>4815</v>
      </c>
      <c r="K3607" t="s">
        <v>4853</v>
      </c>
      <c r="L3607" s="2">
        <v>1</v>
      </c>
      <c r="M3607" s="24" t="s">
        <v>5971</v>
      </c>
      <c r="N3607" s="2" t="s">
        <v>23</v>
      </c>
      <c r="O3607" s="18" t="s">
        <v>2787</v>
      </c>
      <c r="P3607" s="18" t="s">
        <v>0</v>
      </c>
      <c r="Q3607" s="6" t="s">
        <v>4475</v>
      </c>
      <c r="T3607" s="23">
        <v>45992</v>
      </c>
      <c r="U3607" s="23">
        <v>47087</v>
      </c>
      <c r="X3607" s="20">
        <v>5000</v>
      </c>
      <c r="Z3607" s="6" t="s">
        <v>5978</v>
      </c>
      <c r="AA3607" s="14">
        <f>+(0.6/1000)</f>
        <v>5.9999999999999995E-4</v>
      </c>
      <c r="AB3607">
        <v>1.9701479999999998</v>
      </c>
      <c r="AC3607">
        <v>2.0489539199999998</v>
      </c>
    </row>
    <row r="3608" spans="1:29" x14ac:dyDescent="0.3">
      <c r="A3608">
        <v>133697</v>
      </c>
      <c r="B3608" s="25" t="s">
        <v>5984</v>
      </c>
      <c r="C3608" t="s">
        <v>20</v>
      </c>
      <c r="D3608" t="s">
        <v>21</v>
      </c>
      <c r="E3608">
        <v>2222222</v>
      </c>
      <c r="F3608" s="8" t="s">
        <v>22</v>
      </c>
      <c r="G3608" s="2">
        <v>98</v>
      </c>
      <c r="H3608" t="s">
        <v>4481</v>
      </c>
      <c r="J3608" s="9" t="s">
        <v>5009</v>
      </c>
      <c r="K3608" t="s">
        <v>4986</v>
      </c>
      <c r="L3608" s="2">
        <v>1</v>
      </c>
      <c r="M3608" s="24" t="s">
        <v>5971</v>
      </c>
      <c r="N3608" s="2" t="s">
        <v>23</v>
      </c>
      <c r="O3608" s="18" t="s">
        <v>2788</v>
      </c>
      <c r="P3608" s="18" t="s">
        <v>0</v>
      </c>
      <c r="Q3608" s="6" t="s">
        <v>4475</v>
      </c>
      <c r="T3608" s="23">
        <v>45009</v>
      </c>
      <c r="U3608" s="23">
        <v>46469</v>
      </c>
      <c r="X3608" s="20">
        <v>5000</v>
      </c>
      <c r="Z3608" s="6" t="s">
        <v>5978</v>
      </c>
      <c r="AA3608" s="13">
        <f>+(0.56/1000)</f>
        <v>5.6000000000000006E-4</v>
      </c>
      <c r="AB3608">
        <v>1.3694464000000002</v>
      </c>
      <c r="AC3608">
        <v>1.4242242560000002</v>
      </c>
    </row>
    <row r="3609" spans="1:29" x14ac:dyDescent="0.3">
      <c r="A3609">
        <v>142997</v>
      </c>
      <c r="B3609" s="25" t="s">
        <v>5984</v>
      </c>
      <c r="C3609" t="s">
        <v>20</v>
      </c>
      <c r="D3609" t="s">
        <v>21</v>
      </c>
      <c r="E3609">
        <v>2222222</v>
      </c>
      <c r="F3609" s="8" t="s">
        <v>22</v>
      </c>
      <c r="G3609" s="2">
        <v>98</v>
      </c>
      <c r="H3609" t="s">
        <v>4481</v>
      </c>
      <c r="J3609" s="9" t="s">
        <v>4852</v>
      </c>
      <c r="K3609" t="s">
        <v>4983</v>
      </c>
      <c r="L3609" s="2">
        <v>1</v>
      </c>
      <c r="M3609" s="24" t="s">
        <v>5971</v>
      </c>
      <c r="N3609" s="2" t="s">
        <v>23</v>
      </c>
      <c r="O3609" s="18" t="s">
        <v>2789</v>
      </c>
      <c r="P3609" s="18" t="s">
        <v>0</v>
      </c>
      <c r="Q3609" s="6" t="s">
        <v>4475</v>
      </c>
      <c r="T3609" s="23">
        <v>45561</v>
      </c>
      <c r="U3609" s="23">
        <v>46291</v>
      </c>
      <c r="X3609" s="20">
        <v>2000</v>
      </c>
      <c r="Z3609" s="6" t="s">
        <v>5978</v>
      </c>
      <c r="AA3609" s="14">
        <f t="shared" ref="AA3609:AA3614" si="483">+(0.6/1000)</f>
        <v>5.9999999999999995E-4</v>
      </c>
      <c r="AB3609">
        <v>0.118044</v>
      </c>
      <c r="AC3609">
        <v>0.12276576</v>
      </c>
    </row>
    <row r="3610" spans="1:29" x14ac:dyDescent="0.3">
      <c r="A3610">
        <v>147760</v>
      </c>
      <c r="B3610" s="25" t="s">
        <v>5984</v>
      </c>
      <c r="C3610" t="s">
        <v>20</v>
      </c>
      <c r="D3610" t="s">
        <v>21</v>
      </c>
      <c r="E3610">
        <v>2222222</v>
      </c>
      <c r="F3610" s="8" t="s">
        <v>22</v>
      </c>
      <c r="G3610" s="2">
        <v>98</v>
      </c>
      <c r="H3610" t="s">
        <v>4481</v>
      </c>
      <c r="J3610" s="9" t="s">
        <v>4936</v>
      </c>
      <c r="K3610" t="s">
        <v>4965</v>
      </c>
      <c r="L3610" s="2">
        <v>1</v>
      </c>
      <c r="M3610" s="24" t="s">
        <v>5971</v>
      </c>
      <c r="N3610" s="2" t="s">
        <v>23</v>
      </c>
      <c r="O3610" s="18" t="s">
        <v>2210</v>
      </c>
      <c r="P3610" s="18" t="s">
        <v>0</v>
      </c>
      <c r="Q3610" s="6" t="s">
        <v>4475</v>
      </c>
      <c r="T3610" s="23">
        <v>45911</v>
      </c>
      <c r="U3610" s="23">
        <v>46276</v>
      </c>
      <c r="X3610" s="20">
        <v>1000</v>
      </c>
      <c r="Z3610" s="6" t="s">
        <v>5978</v>
      </c>
      <c r="AA3610" s="14">
        <f t="shared" si="483"/>
        <v>5.9999999999999995E-4</v>
      </c>
      <c r="AB3610">
        <v>0.10748999999999999</v>
      </c>
      <c r="AC3610">
        <v>0.11178959999999999</v>
      </c>
    </row>
    <row r="3611" spans="1:29" x14ac:dyDescent="0.3">
      <c r="A3611">
        <v>148400</v>
      </c>
      <c r="B3611" s="25" t="s">
        <v>5984</v>
      </c>
      <c r="C3611" t="s">
        <v>20</v>
      </c>
      <c r="D3611" t="s">
        <v>21</v>
      </c>
      <c r="E3611">
        <v>2222222</v>
      </c>
      <c r="F3611" s="8" t="s">
        <v>22</v>
      </c>
      <c r="G3611" s="2">
        <v>98</v>
      </c>
      <c r="H3611" t="s">
        <v>4481</v>
      </c>
      <c r="J3611" s="9" t="s">
        <v>5096</v>
      </c>
      <c r="K3611" t="s">
        <v>5019</v>
      </c>
      <c r="L3611" s="2">
        <v>1</v>
      </c>
      <c r="M3611" s="24" t="s">
        <v>5971</v>
      </c>
      <c r="N3611" s="2" t="s">
        <v>23</v>
      </c>
      <c r="O3611" s="18" t="s">
        <v>2790</v>
      </c>
      <c r="P3611" s="18" t="s">
        <v>3781</v>
      </c>
      <c r="Q3611" s="6" t="s">
        <v>4475</v>
      </c>
      <c r="T3611" s="23">
        <v>45973</v>
      </c>
      <c r="U3611" s="23">
        <v>47069</v>
      </c>
      <c r="X3611" s="20">
        <v>15000</v>
      </c>
      <c r="Z3611" s="6" t="s">
        <v>5978</v>
      </c>
      <c r="AA3611" s="14">
        <f t="shared" si="483"/>
        <v>5.9999999999999995E-4</v>
      </c>
      <c r="AB3611">
        <v>7.3110959999999992</v>
      </c>
      <c r="AC3611">
        <v>7.6035398399999989</v>
      </c>
    </row>
    <row r="3612" spans="1:29" x14ac:dyDescent="0.3">
      <c r="A3612">
        <v>150539</v>
      </c>
      <c r="B3612" s="25" t="s">
        <v>5984</v>
      </c>
      <c r="C3612" t="s">
        <v>20</v>
      </c>
      <c r="D3612" t="s">
        <v>21</v>
      </c>
      <c r="E3612">
        <v>2222222</v>
      </c>
      <c r="F3612" s="8" t="s">
        <v>22</v>
      </c>
      <c r="G3612" s="2">
        <v>98</v>
      </c>
      <c r="H3612" t="s">
        <v>4481</v>
      </c>
      <c r="J3612" s="9" t="s">
        <v>4870</v>
      </c>
      <c r="K3612" t="s">
        <v>5174</v>
      </c>
      <c r="L3612" s="2">
        <v>1</v>
      </c>
      <c r="M3612" s="24" t="s">
        <v>5971</v>
      </c>
      <c r="N3612" s="2" t="s">
        <v>23</v>
      </c>
      <c r="O3612" s="18" t="s">
        <v>1627</v>
      </c>
      <c r="P3612" s="18" t="s">
        <v>0</v>
      </c>
      <c r="Q3612" s="6" t="s">
        <v>4475</v>
      </c>
      <c r="T3612" s="23">
        <v>46100</v>
      </c>
      <c r="U3612" s="23">
        <v>46830</v>
      </c>
      <c r="X3612" s="20">
        <v>3000</v>
      </c>
      <c r="Z3612" s="6" t="s">
        <v>5978</v>
      </c>
      <c r="AA3612" s="14">
        <f t="shared" si="483"/>
        <v>5.9999999999999995E-4</v>
      </c>
      <c r="AB3612">
        <v>1.1859719999999998</v>
      </c>
      <c r="AC3612">
        <v>1.2334108799999999</v>
      </c>
    </row>
    <row r="3613" spans="1:29" x14ac:dyDescent="0.3">
      <c r="A3613">
        <v>149436</v>
      </c>
      <c r="B3613" s="25" t="s">
        <v>5984</v>
      </c>
      <c r="C3613" t="s">
        <v>20</v>
      </c>
      <c r="D3613" t="s">
        <v>21</v>
      </c>
      <c r="E3613">
        <v>2222222</v>
      </c>
      <c r="F3613" s="8" t="s">
        <v>22</v>
      </c>
      <c r="G3613" s="2">
        <v>98</v>
      </c>
      <c r="H3613" t="s">
        <v>4482</v>
      </c>
      <c r="J3613" s="9" t="s">
        <v>5502</v>
      </c>
      <c r="K3613" t="s">
        <v>5075</v>
      </c>
      <c r="L3613" s="2">
        <v>1</v>
      </c>
      <c r="M3613" s="24" t="s">
        <v>5971</v>
      </c>
      <c r="N3613" s="2" t="s">
        <v>23</v>
      </c>
      <c r="O3613" s="18" t="s">
        <v>2791</v>
      </c>
      <c r="P3613" s="18" t="s">
        <v>3781</v>
      </c>
      <c r="Q3613" s="6" t="s">
        <v>4475</v>
      </c>
      <c r="T3613" s="23">
        <v>46026</v>
      </c>
      <c r="U3613" s="23">
        <v>46572</v>
      </c>
      <c r="X3613" s="20">
        <v>3500</v>
      </c>
      <c r="Z3613" s="6" t="s">
        <v>5978</v>
      </c>
      <c r="AA3613" s="14">
        <f t="shared" si="483"/>
        <v>5.9999999999999995E-4</v>
      </c>
      <c r="AB3613">
        <v>1.4564519999999999</v>
      </c>
      <c r="AC3613">
        <v>1.51471008</v>
      </c>
    </row>
    <row r="3614" spans="1:29" x14ac:dyDescent="0.3">
      <c r="A3614">
        <v>150977</v>
      </c>
      <c r="B3614" s="25" t="s">
        <v>5984</v>
      </c>
      <c r="C3614" t="s">
        <v>20</v>
      </c>
      <c r="D3614" t="s">
        <v>21</v>
      </c>
      <c r="E3614">
        <v>2222222</v>
      </c>
      <c r="F3614" s="8" t="s">
        <v>22</v>
      </c>
      <c r="G3614" s="2">
        <v>98</v>
      </c>
      <c r="H3614" t="s">
        <v>4482</v>
      </c>
      <c r="J3614" s="9" t="s">
        <v>5502</v>
      </c>
      <c r="K3614" t="s">
        <v>5075</v>
      </c>
      <c r="L3614" s="2">
        <v>1</v>
      </c>
      <c r="M3614" s="24" t="s">
        <v>5971</v>
      </c>
      <c r="N3614" s="2" t="s">
        <v>23</v>
      </c>
      <c r="O3614" s="18" t="s">
        <v>2791</v>
      </c>
      <c r="P3614" s="18" t="s">
        <v>3781</v>
      </c>
      <c r="Q3614" s="6" t="s">
        <v>4475</v>
      </c>
      <c r="T3614" s="23">
        <v>46130</v>
      </c>
      <c r="U3614" s="23">
        <v>46344</v>
      </c>
      <c r="X3614" s="20">
        <v>3100</v>
      </c>
      <c r="Z3614" s="6" t="s">
        <v>5978</v>
      </c>
      <c r="AA3614" s="14">
        <f t="shared" si="483"/>
        <v>5.9999999999999995E-4</v>
      </c>
      <c r="AB3614">
        <v>1.0866539999999998</v>
      </c>
      <c r="AC3614">
        <v>1.1301201599999997</v>
      </c>
    </row>
    <row r="3615" spans="1:29" x14ac:dyDescent="0.3">
      <c r="A3615">
        <v>130300</v>
      </c>
      <c r="B3615" s="25" t="s">
        <v>5984</v>
      </c>
      <c r="C3615" t="s">
        <v>20</v>
      </c>
      <c r="D3615" t="s">
        <v>21</v>
      </c>
      <c r="E3615">
        <v>2222222</v>
      </c>
      <c r="F3615" s="8" t="s">
        <v>22</v>
      </c>
      <c r="G3615" s="2">
        <v>98</v>
      </c>
      <c r="H3615" t="s">
        <v>4483</v>
      </c>
      <c r="J3615" s="9" t="s">
        <v>4891</v>
      </c>
      <c r="K3615" t="s">
        <v>4926</v>
      </c>
      <c r="L3615" s="2">
        <v>1</v>
      </c>
      <c r="M3615" s="24" t="s">
        <v>5971</v>
      </c>
      <c r="N3615" s="2" t="s">
        <v>23</v>
      </c>
      <c r="O3615" s="18" t="s">
        <v>2792</v>
      </c>
      <c r="P3615" s="18" t="s">
        <v>3781</v>
      </c>
      <c r="Q3615" s="6" t="s">
        <v>4475</v>
      </c>
      <c r="T3615" s="23">
        <v>44826</v>
      </c>
      <c r="U3615" s="23">
        <v>46287</v>
      </c>
      <c r="X3615" s="20">
        <v>5000</v>
      </c>
      <c r="Z3615" s="6" t="s">
        <v>5978</v>
      </c>
      <c r="AA3615" s="13">
        <f t="shared" ref="AA3615:AA3616" si="484">+(0.56/1000)</f>
        <v>5.6000000000000006E-4</v>
      </c>
      <c r="AB3615">
        <v>0.16444960000000003</v>
      </c>
      <c r="AC3615">
        <v>0.17102758400000004</v>
      </c>
    </row>
    <row r="3616" spans="1:29" x14ac:dyDescent="0.3">
      <c r="A3616">
        <v>132170</v>
      </c>
      <c r="B3616" s="25" t="s">
        <v>5984</v>
      </c>
      <c r="C3616" t="s">
        <v>20</v>
      </c>
      <c r="D3616" t="s">
        <v>21</v>
      </c>
      <c r="E3616">
        <v>2222222</v>
      </c>
      <c r="F3616" s="8" t="s">
        <v>22</v>
      </c>
      <c r="G3616" s="2">
        <v>98</v>
      </c>
      <c r="H3616" t="s">
        <v>4483</v>
      </c>
      <c r="J3616" s="9" t="s">
        <v>4852</v>
      </c>
      <c r="K3616" t="s">
        <v>4827</v>
      </c>
      <c r="L3616" s="2">
        <v>1</v>
      </c>
      <c r="M3616" s="24" t="s">
        <v>5971</v>
      </c>
      <c r="N3616" s="2" t="s">
        <v>23</v>
      </c>
      <c r="O3616" s="18" t="s">
        <v>2793</v>
      </c>
      <c r="P3616" s="18" t="s">
        <v>0</v>
      </c>
      <c r="Q3616" s="6" t="s">
        <v>4475</v>
      </c>
      <c r="T3616" s="23">
        <v>44926</v>
      </c>
      <c r="U3616" s="23">
        <v>46402</v>
      </c>
      <c r="X3616" s="20">
        <v>5000</v>
      </c>
      <c r="Z3616" s="6" t="s">
        <v>5978</v>
      </c>
      <c r="AA3616" s="13">
        <f t="shared" si="484"/>
        <v>5.6000000000000006E-4</v>
      </c>
      <c r="AB3616">
        <v>0.47388320000000006</v>
      </c>
      <c r="AC3616">
        <v>0.49283852800000005</v>
      </c>
    </row>
    <row r="3617" spans="1:29" x14ac:dyDescent="0.3">
      <c r="A3617">
        <v>146291</v>
      </c>
      <c r="B3617" s="25" t="s">
        <v>5984</v>
      </c>
      <c r="C3617" t="s">
        <v>20</v>
      </c>
      <c r="D3617" t="s">
        <v>21</v>
      </c>
      <c r="E3617">
        <v>2222222</v>
      </c>
      <c r="F3617" s="8" t="s">
        <v>22</v>
      </c>
      <c r="G3617" s="2">
        <v>98</v>
      </c>
      <c r="H3617" t="s">
        <v>4483</v>
      </c>
      <c r="J3617" s="9" t="s">
        <v>5055</v>
      </c>
      <c r="K3617" t="s">
        <v>4923</v>
      </c>
      <c r="L3617" s="2">
        <v>1</v>
      </c>
      <c r="M3617" s="24" t="s">
        <v>5971</v>
      </c>
      <c r="N3617" s="2" t="s">
        <v>23</v>
      </c>
      <c r="O3617" s="18" t="s">
        <v>2794</v>
      </c>
      <c r="P3617" s="18" t="s">
        <v>3781</v>
      </c>
      <c r="Q3617" s="6" t="s">
        <v>4475</v>
      </c>
      <c r="T3617" s="23">
        <v>45807</v>
      </c>
      <c r="U3617" s="23">
        <v>46416</v>
      </c>
      <c r="X3617" s="20">
        <v>1040</v>
      </c>
      <c r="Z3617" s="6" t="s">
        <v>5978</v>
      </c>
      <c r="AA3617" s="14">
        <f t="shared" ref="AA3617:AA3618" si="485">+(0.6/1000)</f>
        <v>5.9999999999999995E-4</v>
      </c>
      <c r="AB3617">
        <v>0.26175599999999999</v>
      </c>
      <c r="AC3617">
        <v>0.27222624000000001</v>
      </c>
    </row>
    <row r="3618" spans="1:29" x14ac:dyDescent="0.3">
      <c r="A3618">
        <v>147616</v>
      </c>
      <c r="B3618" s="25" t="s">
        <v>5984</v>
      </c>
      <c r="C3618" t="s">
        <v>20</v>
      </c>
      <c r="D3618" t="s">
        <v>21</v>
      </c>
      <c r="E3618">
        <v>2222222</v>
      </c>
      <c r="F3618" s="8" t="s">
        <v>22</v>
      </c>
      <c r="G3618" s="2">
        <v>98</v>
      </c>
      <c r="H3618" t="s">
        <v>4483</v>
      </c>
      <c r="J3618" s="9" t="s">
        <v>5112</v>
      </c>
      <c r="K3618" t="s">
        <v>5234</v>
      </c>
      <c r="L3618" s="2">
        <v>1</v>
      </c>
      <c r="M3618" s="24" t="s">
        <v>5971</v>
      </c>
      <c r="N3618" s="2" t="s">
        <v>23</v>
      </c>
      <c r="O3618" s="18" t="s">
        <v>2795</v>
      </c>
      <c r="P3618" s="18" t="s">
        <v>0</v>
      </c>
      <c r="Q3618" s="6" t="s">
        <v>4475</v>
      </c>
      <c r="T3618" s="23">
        <v>45901</v>
      </c>
      <c r="U3618" s="23">
        <v>47727</v>
      </c>
      <c r="X3618" s="20">
        <v>4500</v>
      </c>
      <c r="Z3618" s="6" t="s">
        <v>5978</v>
      </c>
      <c r="AA3618" s="14">
        <f t="shared" si="485"/>
        <v>5.9999999999999995E-4</v>
      </c>
      <c r="AB3618">
        <v>2.4051419999999997</v>
      </c>
      <c r="AC3618">
        <v>2.5013476799999999</v>
      </c>
    </row>
    <row r="3619" spans="1:29" x14ac:dyDescent="0.3">
      <c r="A3619">
        <v>128256</v>
      </c>
      <c r="B3619" s="25" t="s">
        <v>5984</v>
      </c>
      <c r="C3619" t="s">
        <v>20</v>
      </c>
      <c r="D3619" t="s">
        <v>21</v>
      </c>
      <c r="E3619">
        <v>2222222</v>
      </c>
      <c r="F3619" s="8" t="s">
        <v>22</v>
      </c>
      <c r="G3619" s="2">
        <v>98</v>
      </c>
      <c r="H3619" t="s">
        <v>4484</v>
      </c>
      <c r="J3619" s="9" t="s">
        <v>5165</v>
      </c>
      <c r="K3619" t="s">
        <v>4924</v>
      </c>
      <c r="L3619" s="2">
        <v>1</v>
      </c>
      <c r="M3619" s="24" t="s">
        <v>5971</v>
      </c>
      <c r="N3619" s="2" t="s">
        <v>23</v>
      </c>
      <c r="O3619" s="18" t="s">
        <v>2796</v>
      </c>
      <c r="P3619" s="18" t="s">
        <v>3781</v>
      </c>
      <c r="Q3619" s="6" t="s">
        <v>4475</v>
      </c>
      <c r="T3619" s="23">
        <v>44714</v>
      </c>
      <c r="U3619" s="23">
        <v>46175</v>
      </c>
      <c r="X3619" s="20">
        <v>5930</v>
      </c>
      <c r="Z3619" s="6" t="s">
        <v>5978</v>
      </c>
      <c r="AA3619" s="15">
        <f>+(0.42/1000)</f>
        <v>4.1999999999999996E-4</v>
      </c>
      <c r="AB3619">
        <v>0.44880359999999991</v>
      </c>
      <c r="AC3619">
        <v>0.46675574399999992</v>
      </c>
    </row>
    <row r="3620" spans="1:29" x14ac:dyDescent="0.3">
      <c r="A3620">
        <v>138550</v>
      </c>
      <c r="B3620" s="25" t="s">
        <v>5984</v>
      </c>
      <c r="C3620" t="s">
        <v>20</v>
      </c>
      <c r="D3620" t="s">
        <v>21</v>
      </c>
      <c r="E3620">
        <v>2222222</v>
      </c>
      <c r="F3620" s="8" t="s">
        <v>22</v>
      </c>
      <c r="G3620" s="2">
        <v>98</v>
      </c>
      <c r="H3620" t="s">
        <v>4485</v>
      </c>
      <c r="J3620" s="9" t="s">
        <v>5179</v>
      </c>
      <c r="K3620" t="s">
        <v>4861</v>
      </c>
      <c r="L3620" s="2">
        <v>1</v>
      </c>
      <c r="M3620" s="24" t="s">
        <v>5971</v>
      </c>
      <c r="N3620" s="2" t="s">
        <v>23</v>
      </c>
      <c r="O3620" s="18" t="s">
        <v>2797</v>
      </c>
      <c r="P3620" s="18" t="s">
        <v>3781</v>
      </c>
      <c r="Q3620" s="6" t="s">
        <v>4475</v>
      </c>
      <c r="T3620" s="23">
        <v>45295</v>
      </c>
      <c r="U3620" s="23">
        <v>47576</v>
      </c>
      <c r="X3620" s="20">
        <v>15000</v>
      </c>
      <c r="Z3620" s="6" t="s">
        <v>5978</v>
      </c>
      <c r="AA3620" s="13">
        <f t="shared" ref="AA3620:AA3621" si="486">+(0.56/1000)</f>
        <v>5.6000000000000006E-4</v>
      </c>
      <c r="AB3620">
        <v>6.3432936</v>
      </c>
      <c r="AC3620">
        <v>6.5970253440000004</v>
      </c>
    </row>
    <row r="3621" spans="1:29" x14ac:dyDescent="0.3">
      <c r="A3621">
        <v>140201</v>
      </c>
      <c r="B3621" s="25" t="s">
        <v>5984</v>
      </c>
      <c r="C3621" t="s">
        <v>20</v>
      </c>
      <c r="D3621" t="s">
        <v>21</v>
      </c>
      <c r="E3621">
        <v>2222222</v>
      </c>
      <c r="F3621" s="8" t="s">
        <v>22</v>
      </c>
      <c r="G3621" s="2">
        <v>98</v>
      </c>
      <c r="H3621" t="s">
        <v>4485</v>
      </c>
      <c r="J3621" s="9" t="s">
        <v>5316</v>
      </c>
      <c r="K3621" t="s">
        <v>5802</v>
      </c>
      <c r="L3621" s="2">
        <v>1</v>
      </c>
      <c r="M3621" s="24" t="s">
        <v>5971</v>
      </c>
      <c r="N3621" s="2" t="s">
        <v>23</v>
      </c>
      <c r="O3621" s="18" t="s">
        <v>2798</v>
      </c>
      <c r="P3621" s="18" t="s">
        <v>0</v>
      </c>
      <c r="Q3621" s="6" t="s">
        <v>4475</v>
      </c>
      <c r="T3621" s="23">
        <v>45390</v>
      </c>
      <c r="U3621" s="23">
        <v>47946</v>
      </c>
      <c r="X3621" s="20">
        <v>100000</v>
      </c>
      <c r="Z3621" s="6" t="s">
        <v>5978</v>
      </c>
      <c r="AA3621" s="13">
        <f t="shared" si="486"/>
        <v>5.6000000000000006E-4</v>
      </c>
      <c r="AB3621">
        <v>43.037937600000006</v>
      </c>
      <c r="AC3621">
        <v>44.759455104000011</v>
      </c>
    </row>
    <row r="3622" spans="1:29" x14ac:dyDescent="0.3">
      <c r="A3622">
        <v>141828</v>
      </c>
      <c r="B3622" s="25" t="s">
        <v>5984</v>
      </c>
      <c r="C3622" t="s">
        <v>20</v>
      </c>
      <c r="D3622" t="s">
        <v>21</v>
      </c>
      <c r="E3622">
        <v>2222222</v>
      </c>
      <c r="F3622" s="8" t="s">
        <v>22</v>
      </c>
      <c r="G3622" s="2">
        <v>98</v>
      </c>
      <c r="H3622" t="s">
        <v>4485</v>
      </c>
      <c r="J3622" s="9" t="s">
        <v>4779</v>
      </c>
      <c r="K3622" t="s">
        <v>4949</v>
      </c>
      <c r="L3622" s="2">
        <v>1</v>
      </c>
      <c r="M3622" s="24" t="s">
        <v>5971</v>
      </c>
      <c r="N3622" s="2" t="s">
        <v>23</v>
      </c>
      <c r="O3622" s="18" t="s">
        <v>1401</v>
      </c>
      <c r="P3622" s="18" t="s">
        <v>0</v>
      </c>
      <c r="Q3622" s="6" t="s">
        <v>4475</v>
      </c>
      <c r="T3622" s="23">
        <v>45477</v>
      </c>
      <c r="U3622" s="23">
        <v>46663</v>
      </c>
      <c r="X3622" s="20">
        <v>4120</v>
      </c>
      <c r="Z3622" s="6" t="s">
        <v>5978</v>
      </c>
      <c r="AA3622" s="14">
        <f t="shared" ref="AA3622:AA3628" si="487">+(0.6/1000)</f>
        <v>5.9999999999999995E-4</v>
      </c>
      <c r="AB3622">
        <v>1.2031559999999999</v>
      </c>
      <c r="AC3622">
        <v>1.2512822399999999</v>
      </c>
    </row>
    <row r="3623" spans="1:29" x14ac:dyDescent="0.3">
      <c r="A3623">
        <v>148948</v>
      </c>
      <c r="B3623" s="25" t="s">
        <v>5984</v>
      </c>
      <c r="C3623" t="s">
        <v>20</v>
      </c>
      <c r="D3623" t="s">
        <v>21</v>
      </c>
      <c r="E3623">
        <v>2222222</v>
      </c>
      <c r="F3623" s="8" t="s">
        <v>22</v>
      </c>
      <c r="G3623" s="2">
        <v>98</v>
      </c>
      <c r="H3623" t="s">
        <v>4485</v>
      </c>
      <c r="J3623" s="9" t="s">
        <v>4876</v>
      </c>
      <c r="K3623" t="s">
        <v>4875</v>
      </c>
      <c r="L3623" s="2">
        <v>1</v>
      </c>
      <c r="M3623" s="24" t="s">
        <v>5971</v>
      </c>
      <c r="N3623" s="2" t="s">
        <v>23</v>
      </c>
      <c r="O3623" s="18" t="s">
        <v>2799</v>
      </c>
      <c r="P3623" s="18" t="s">
        <v>0</v>
      </c>
      <c r="Q3623" s="6" t="s">
        <v>4475</v>
      </c>
      <c r="T3623" s="23">
        <v>45989</v>
      </c>
      <c r="U3623" s="23">
        <v>46509</v>
      </c>
      <c r="X3623" s="20">
        <v>3100</v>
      </c>
      <c r="Z3623" s="6" t="s">
        <v>5978</v>
      </c>
      <c r="AA3623" s="14">
        <f t="shared" si="487"/>
        <v>5.9999999999999995E-4</v>
      </c>
      <c r="AB3623">
        <v>1.14669</v>
      </c>
      <c r="AC3623">
        <v>1.1925576</v>
      </c>
    </row>
    <row r="3624" spans="1:29" x14ac:dyDescent="0.3">
      <c r="A3624">
        <v>149768</v>
      </c>
      <c r="B3624" s="25" t="s">
        <v>5984</v>
      </c>
      <c r="C3624" t="s">
        <v>20</v>
      </c>
      <c r="D3624" t="s">
        <v>21</v>
      </c>
      <c r="E3624">
        <v>2222222</v>
      </c>
      <c r="F3624" s="8" t="s">
        <v>22</v>
      </c>
      <c r="G3624" s="2">
        <v>98</v>
      </c>
      <c r="H3624" t="s">
        <v>4485</v>
      </c>
      <c r="J3624" s="9" t="s">
        <v>4779</v>
      </c>
      <c r="K3624" t="s">
        <v>5300</v>
      </c>
      <c r="L3624" s="2">
        <v>1</v>
      </c>
      <c r="M3624" s="24" t="s">
        <v>5971</v>
      </c>
      <c r="N3624" s="2" t="s">
        <v>23</v>
      </c>
      <c r="O3624" s="18" t="s">
        <v>1789</v>
      </c>
      <c r="P3624" s="18" t="s">
        <v>0</v>
      </c>
      <c r="Q3624" s="6" t="s">
        <v>4475</v>
      </c>
      <c r="T3624" s="23">
        <v>46052</v>
      </c>
      <c r="U3624" s="23">
        <v>49706</v>
      </c>
      <c r="X3624" s="20">
        <v>200000</v>
      </c>
      <c r="Z3624" s="6" t="s">
        <v>5978</v>
      </c>
      <c r="AA3624" s="14">
        <f t="shared" si="487"/>
        <v>5.9999999999999995E-4</v>
      </c>
      <c r="AB3624">
        <v>114.99998999999998</v>
      </c>
      <c r="AC3624">
        <v>119.59998959999999</v>
      </c>
    </row>
    <row r="3625" spans="1:29" x14ac:dyDescent="0.3">
      <c r="A3625">
        <v>151295</v>
      </c>
      <c r="B3625" s="25" t="s">
        <v>5984</v>
      </c>
      <c r="C3625" t="s">
        <v>20</v>
      </c>
      <c r="D3625" t="s">
        <v>21</v>
      </c>
      <c r="E3625">
        <v>2222222</v>
      </c>
      <c r="F3625" s="8" t="s">
        <v>22</v>
      </c>
      <c r="G3625" s="2">
        <v>98</v>
      </c>
      <c r="H3625" t="s">
        <v>4485</v>
      </c>
      <c r="J3625" s="9" t="s">
        <v>5803</v>
      </c>
      <c r="K3625" t="s">
        <v>5804</v>
      </c>
      <c r="L3625" s="2">
        <v>1</v>
      </c>
      <c r="M3625" s="24" t="s">
        <v>5971</v>
      </c>
      <c r="N3625" s="2" t="s">
        <v>23</v>
      </c>
      <c r="O3625" s="18" t="s">
        <v>2800</v>
      </c>
      <c r="P3625" s="18" t="s">
        <v>3781</v>
      </c>
      <c r="Q3625" s="6" t="s">
        <v>4475</v>
      </c>
      <c r="T3625" s="23">
        <v>46160</v>
      </c>
      <c r="U3625" s="23">
        <v>47260</v>
      </c>
      <c r="X3625" s="20">
        <v>5000</v>
      </c>
      <c r="Z3625" s="6" t="s">
        <v>5978</v>
      </c>
      <c r="AA3625" s="14">
        <f t="shared" si="487"/>
        <v>5.9999999999999995E-4</v>
      </c>
      <c r="AB3625">
        <v>2.8713719999999996</v>
      </c>
      <c r="AC3625">
        <v>2.9862268799999998</v>
      </c>
    </row>
    <row r="3626" spans="1:29" x14ac:dyDescent="0.3">
      <c r="A3626">
        <v>151498</v>
      </c>
      <c r="B3626" s="25" t="s">
        <v>5984</v>
      </c>
      <c r="C3626" t="s">
        <v>20</v>
      </c>
      <c r="D3626" t="s">
        <v>21</v>
      </c>
      <c r="E3626">
        <v>2222222</v>
      </c>
      <c r="F3626" s="8" t="s">
        <v>22</v>
      </c>
      <c r="G3626" s="2">
        <v>98</v>
      </c>
      <c r="H3626" t="s">
        <v>4485</v>
      </c>
      <c r="J3626" s="9" t="s">
        <v>4859</v>
      </c>
      <c r="K3626" t="s">
        <v>5033</v>
      </c>
      <c r="L3626" s="2">
        <v>1</v>
      </c>
      <c r="M3626" s="24" t="s">
        <v>5971</v>
      </c>
      <c r="N3626" s="2" t="s">
        <v>23</v>
      </c>
      <c r="O3626" s="18" t="s">
        <v>2801</v>
      </c>
      <c r="P3626" s="18" t="s">
        <v>3781</v>
      </c>
      <c r="Q3626" s="6" t="s">
        <v>4475</v>
      </c>
      <c r="T3626" s="23">
        <v>46170</v>
      </c>
      <c r="U3626" s="23">
        <v>47265</v>
      </c>
      <c r="X3626" s="20">
        <v>3100</v>
      </c>
      <c r="Z3626" s="6" t="s">
        <v>5978</v>
      </c>
      <c r="AA3626" s="14">
        <f t="shared" si="487"/>
        <v>5.9999999999999995E-4</v>
      </c>
      <c r="AB3626">
        <v>1.7790659999999998</v>
      </c>
      <c r="AC3626">
        <v>1.8502286399999999</v>
      </c>
    </row>
    <row r="3627" spans="1:29" x14ac:dyDescent="0.3">
      <c r="A3627">
        <v>151545</v>
      </c>
      <c r="B3627" s="25" t="s">
        <v>5984</v>
      </c>
      <c r="C3627" t="s">
        <v>20</v>
      </c>
      <c r="D3627" t="s">
        <v>21</v>
      </c>
      <c r="E3627">
        <v>2222222</v>
      </c>
      <c r="F3627" s="8" t="s">
        <v>22</v>
      </c>
      <c r="G3627" s="2">
        <v>98</v>
      </c>
      <c r="H3627" t="s">
        <v>4485</v>
      </c>
      <c r="J3627" s="9" t="s">
        <v>4854</v>
      </c>
      <c r="K3627" t="s">
        <v>5011</v>
      </c>
      <c r="L3627" s="2">
        <v>1</v>
      </c>
      <c r="M3627" s="24" t="s">
        <v>5971</v>
      </c>
      <c r="N3627" s="2" t="s">
        <v>23</v>
      </c>
      <c r="O3627" s="18" t="s">
        <v>2802</v>
      </c>
      <c r="P3627" s="18" t="s">
        <v>3781</v>
      </c>
      <c r="Q3627" s="6" t="s">
        <v>4475</v>
      </c>
      <c r="T3627" s="23">
        <v>46171</v>
      </c>
      <c r="U3627" s="23">
        <v>46535</v>
      </c>
      <c r="X3627" s="20">
        <v>3000</v>
      </c>
      <c r="Z3627" s="6" t="s">
        <v>5978</v>
      </c>
      <c r="AA3627" s="14">
        <f t="shared" si="487"/>
        <v>5.9999999999999995E-4</v>
      </c>
      <c r="AB3627">
        <v>1.520292</v>
      </c>
      <c r="AC3627">
        <v>1.58110368</v>
      </c>
    </row>
    <row r="3628" spans="1:29" x14ac:dyDescent="0.3">
      <c r="A3628">
        <v>152213</v>
      </c>
      <c r="B3628" s="25" t="s">
        <v>5984</v>
      </c>
      <c r="C3628" t="s">
        <v>20</v>
      </c>
      <c r="D3628" t="s">
        <v>21</v>
      </c>
      <c r="E3628">
        <v>2222222</v>
      </c>
      <c r="F3628" s="8" t="s">
        <v>22</v>
      </c>
      <c r="G3628" s="2">
        <v>98</v>
      </c>
      <c r="H3628" t="s">
        <v>4485</v>
      </c>
      <c r="J3628" s="9" t="s">
        <v>4929</v>
      </c>
      <c r="K3628" t="s">
        <v>4965</v>
      </c>
      <c r="L3628" s="2">
        <v>1</v>
      </c>
      <c r="M3628" s="24" t="s">
        <v>5971</v>
      </c>
      <c r="N3628" s="2" t="s">
        <v>23</v>
      </c>
      <c r="O3628" s="18" t="s">
        <v>1830</v>
      </c>
      <c r="P3628" s="18" t="s">
        <v>0</v>
      </c>
      <c r="Q3628" s="6" t="s">
        <v>4475</v>
      </c>
      <c r="T3628" s="23">
        <v>46220</v>
      </c>
      <c r="U3628" s="23">
        <v>46310</v>
      </c>
      <c r="X3628" s="20">
        <v>1525</v>
      </c>
      <c r="Z3628" s="6" t="s">
        <v>5978</v>
      </c>
      <c r="AA3628" s="14">
        <f t="shared" si="487"/>
        <v>5.9999999999999995E-4</v>
      </c>
      <c r="AB3628">
        <v>0.91499999999999992</v>
      </c>
      <c r="AC3628">
        <v>0.9516</v>
      </c>
    </row>
    <row r="3629" spans="1:29" x14ac:dyDescent="0.3">
      <c r="A3629">
        <v>118588</v>
      </c>
      <c r="B3629" s="25" t="s">
        <v>5984</v>
      </c>
      <c r="C3629" t="s">
        <v>20</v>
      </c>
      <c r="D3629" t="s">
        <v>21</v>
      </c>
      <c r="E3629">
        <v>2222222</v>
      </c>
      <c r="F3629" s="8" t="s">
        <v>22</v>
      </c>
      <c r="G3629" s="2">
        <v>98</v>
      </c>
      <c r="H3629" t="s">
        <v>4486</v>
      </c>
      <c r="J3629" s="9" t="s">
        <v>5210</v>
      </c>
      <c r="K3629" t="s">
        <v>5805</v>
      </c>
      <c r="L3629" s="2">
        <v>1</v>
      </c>
      <c r="M3629" s="24" t="s">
        <v>5971</v>
      </c>
      <c r="N3629" s="2" t="s">
        <v>23</v>
      </c>
      <c r="O3629" s="18" t="s">
        <v>2803</v>
      </c>
      <c r="P3629" s="18" t="s">
        <v>0</v>
      </c>
      <c r="Q3629" s="6" t="s">
        <v>4475</v>
      </c>
      <c r="T3629" s="23">
        <v>44245</v>
      </c>
      <c r="U3629" s="23">
        <v>46806</v>
      </c>
      <c r="X3629" s="20">
        <v>15000</v>
      </c>
      <c r="Z3629" s="6" t="s">
        <v>5978</v>
      </c>
      <c r="AA3629" s="15">
        <f>+(0.42/1000)</f>
        <v>4.1999999999999996E-4</v>
      </c>
      <c r="AB3629">
        <v>4.0201349999999998</v>
      </c>
      <c r="AC3629">
        <v>4.1809403999999999</v>
      </c>
    </row>
    <row r="3630" spans="1:29" x14ac:dyDescent="0.3">
      <c r="A3630">
        <v>136144</v>
      </c>
      <c r="B3630" s="25" t="s">
        <v>5984</v>
      </c>
      <c r="C3630" t="s">
        <v>20</v>
      </c>
      <c r="D3630" t="s">
        <v>21</v>
      </c>
      <c r="E3630">
        <v>2222222</v>
      </c>
      <c r="F3630" s="8" t="s">
        <v>22</v>
      </c>
      <c r="G3630" s="2">
        <v>98</v>
      </c>
      <c r="H3630" t="s">
        <v>4486</v>
      </c>
      <c r="J3630" s="9" t="s">
        <v>5210</v>
      </c>
      <c r="K3630" t="s">
        <v>5805</v>
      </c>
      <c r="L3630" s="2">
        <v>1</v>
      </c>
      <c r="M3630" s="24" t="s">
        <v>5971</v>
      </c>
      <c r="N3630" s="2" t="s">
        <v>23</v>
      </c>
      <c r="O3630" s="18" t="s">
        <v>2803</v>
      </c>
      <c r="P3630" s="18" t="s">
        <v>0</v>
      </c>
      <c r="Q3630" s="6" t="s">
        <v>4475</v>
      </c>
      <c r="T3630" s="23">
        <v>45156</v>
      </c>
      <c r="U3630" s="23">
        <v>46616</v>
      </c>
      <c r="X3630" s="20">
        <v>3620</v>
      </c>
      <c r="Z3630" s="6" t="s">
        <v>5978</v>
      </c>
      <c r="AA3630" s="13">
        <f t="shared" ref="AA3630:AA3633" si="488">+(0.56/1000)</f>
        <v>5.6000000000000006E-4</v>
      </c>
      <c r="AB3630">
        <v>1.6213064000000001</v>
      </c>
      <c r="AC3630">
        <v>1.6861586560000001</v>
      </c>
    </row>
    <row r="3631" spans="1:29" x14ac:dyDescent="0.3">
      <c r="A3631">
        <v>130683</v>
      </c>
      <c r="B3631" s="25" t="s">
        <v>5984</v>
      </c>
      <c r="C3631" t="s">
        <v>20</v>
      </c>
      <c r="D3631" t="s">
        <v>21</v>
      </c>
      <c r="E3631">
        <v>2222222</v>
      </c>
      <c r="F3631" s="8" t="s">
        <v>22</v>
      </c>
      <c r="G3631" s="2">
        <v>98</v>
      </c>
      <c r="H3631" t="s">
        <v>4487</v>
      </c>
      <c r="J3631" s="9" t="s">
        <v>5041</v>
      </c>
      <c r="K3631" t="s">
        <v>5024</v>
      </c>
      <c r="L3631" s="2">
        <v>1</v>
      </c>
      <c r="M3631" s="24" t="s">
        <v>5971</v>
      </c>
      <c r="N3631" s="2" t="s">
        <v>23</v>
      </c>
      <c r="O3631" s="18" t="s">
        <v>2804</v>
      </c>
      <c r="P3631" s="18" t="s">
        <v>0</v>
      </c>
      <c r="Q3631" s="6" t="s">
        <v>4475</v>
      </c>
      <c r="T3631" s="23">
        <v>44858</v>
      </c>
      <c r="U3631" s="23">
        <v>47141</v>
      </c>
      <c r="X3631" s="20">
        <v>15000</v>
      </c>
      <c r="Z3631" s="6" t="s">
        <v>5978</v>
      </c>
      <c r="AA3631" s="13">
        <f t="shared" si="488"/>
        <v>5.6000000000000006E-4</v>
      </c>
      <c r="AB3631">
        <v>4.491323200000001</v>
      </c>
      <c r="AC3631">
        <v>4.6709761280000013</v>
      </c>
    </row>
    <row r="3632" spans="1:29" x14ac:dyDescent="0.3">
      <c r="A3632">
        <v>139256</v>
      </c>
      <c r="B3632" s="25" t="s">
        <v>5984</v>
      </c>
      <c r="C3632" t="s">
        <v>20</v>
      </c>
      <c r="D3632" t="s">
        <v>21</v>
      </c>
      <c r="E3632">
        <v>2222222</v>
      </c>
      <c r="F3632" s="8" t="s">
        <v>22</v>
      </c>
      <c r="G3632" s="2">
        <v>98</v>
      </c>
      <c r="H3632" t="s">
        <v>4487</v>
      </c>
      <c r="J3632" s="9" t="s">
        <v>5806</v>
      </c>
      <c r="K3632" t="s">
        <v>5807</v>
      </c>
      <c r="L3632" s="2">
        <v>1</v>
      </c>
      <c r="M3632" s="24" t="s">
        <v>5971</v>
      </c>
      <c r="N3632" s="2" t="s">
        <v>23</v>
      </c>
      <c r="O3632" s="18" t="s">
        <v>2805</v>
      </c>
      <c r="P3632" s="18" t="s">
        <v>0</v>
      </c>
      <c r="Q3632" s="6" t="s">
        <v>4475</v>
      </c>
      <c r="T3632" s="23">
        <v>45322</v>
      </c>
      <c r="U3632" s="23">
        <v>46422</v>
      </c>
      <c r="X3632" s="20">
        <v>5000</v>
      </c>
      <c r="Z3632" s="6" t="s">
        <v>5978</v>
      </c>
      <c r="AA3632" s="13">
        <f t="shared" si="488"/>
        <v>5.6000000000000006E-4</v>
      </c>
      <c r="AB3632">
        <v>1.2016480000000003</v>
      </c>
      <c r="AC3632">
        <v>1.2497139200000003</v>
      </c>
    </row>
    <row r="3633" spans="1:29" x14ac:dyDescent="0.3">
      <c r="A3633">
        <v>139567</v>
      </c>
      <c r="B3633" s="25" t="s">
        <v>5984</v>
      </c>
      <c r="C3633" t="s">
        <v>20</v>
      </c>
      <c r="D3633" t="s">
        <v>21</v>
      </c>
      <c r="E3633">
        <v>2222222</v>
      </c>
      <c r="F3633" s="8" t="s">
        <v>22</v>
      </c>
      <c r="G3633" s="2">
        <v>98</v>
      </c>
      <c r="H3633" t="s">
        <v>4487</v>
      </c>
      <c r="J3633" s="9" t="s">
        <v>4936</v>
      </c>
      <c r="K3633" t="s">
        <v>4846</v>
      </c>
      <c r="L3633" s="2">
        <v>1</v>
      </c>
      <c r="M3633" s="24" t="s">
        <v>5971</v>
      </c>
      <c r="N3633" s="2" t="s">
        <v>23</v>
      </c>
      <c r="O3633" s="18" t="s">
        <v>2806</v>
      </c>
      <c r="P3633" s="18" t="s">
        <v>0</v>
      </c>
      <c r="Q3633" s="6" t="s">
        <v>4475</v>
      </c>
      <c r="T3633" s="23">
        <v>45338</v>
      </c>
      <c r="U3633" s="23">
        <v>46800</v>
      </c>
      <c r="X3633" s="20">
        <v>5000</v>
      </c>
      <c r="Z3633" s="6" t="s">
        <v>5978</v>
      </c>
      <c r="AA3633" s="13">
        <f t="shared" si="488"/>
        <v>5.6000000000000006E-4</v>
      </c>
      <c r="AB3633">
        <v>1.3687016000000003</v>
      </c>
      <c r="AC3633">
        <v>1.4234496640000003</v>
      </c>
    </row>
    <row r="3634" spans="1:29" x14ac:dyDescent="0.3">
      <c r="A3634">
        <v>147759</v>
      </c>
      <c r="B3634" s="25" t="s">
        <v>5984</v>
      </c>
      <c r="C3634" t="s">
        <v>20</v>
      </c>
      <c r="D3634" t="s">
        <v>21</v>
      </c>
      <c r="E3634">
        <v>2222222</v>
      </c>
      <c r="F3634" s="8" t="s">
        <v>22</v>
      </c>
      <c r="G3634" s="2">
        <v>98</v>
      </c>
      <c r="H3634" t="s">
        <v>4487</v>
      </c>
      <c r="J3634" s="9" t="s">
        <v>4815</v>
      </c>
      <c r="K3634" t="s">
        <v>4964</v>
      </c>
      <c r="L3634" s="2">
        <v>1</v>
      </c>
      <c r="M3634" s="24" t="s">
        <v>5971</v>
      </c>
      <c r="N3634" s="2" t="s">
        <v>23</v>
      </c>
      <c r="O3634" s="18" t="s">
        <v>2402</v>
      </c>
      <c r="P3634" s="18" t="s">
        <v>0</v>
      </c>
      <c r="Q3634" s="6" t="s">
        <v>4475</v>
      </c>
      <c r="T3634" s="23">
        <v>45928</v>
      </c>
      <c r="U3634" s="23">
        <v>47757</v>
      </c>
      <c r="X3634" s="20">
        <v>20000</v>
      </c>
      <c r="Z3634" s="6" t="s">
        <v>5978</v>
      </c>
      <c r="AA3634" s="14">
        <f t="shared" ref="AA3634:AA3638" si="489">+(0.6/1000)</f>
        <v>5.9999999999999995E-4</v>
      </c>
      <c r="AB3634">
        <v>10.684733999999999</v>
      </c>
      <c r="AC3634">
        <v>11.11212336</v>
      </c>
    </row>
    <row r="3635" spans="1:29" x14ac:dyDescent="0.3">
      <c r="A3635">
        <v>151602</v>
      </c>
      <c r="B3635" s="25" t="s">
        <v>5984</v>
      </c>
      <c r="C3635" t="s">
        <v>20</v>
      </c>
      <c r="D3635" t="s">
        <v>21</v>
      </c>
      <c r="E3635">
        <v>2222222</v>
      </c>
      <c r="F3635" s="8" t="s">
        <v>22</v>
      </c>
      <c r="G3635" s="2">
        <v>98</v>
      </c>
      <c r="H3635" t="s">
        <v>4487</v>
      </c>
      <c r="J3635" s="9" t="s">
        <v>4836</v>
      </c>
      <c r="K3635" t="s">
        <v>5019</v>
      </c>
      <c r="L3635" s="2">
        <v>1</v>
      </c>
      <c r="M3635" s="24" t="s">
        <v>5971</v>
      </c>
      <c r="N3635" s="2" t="s">
        <v>23</v>
      </c>
      <c r="O3635" s="18" t="s">
        <v>2807</v>
      </c>
      <c r="P3635" s="18" t="s">
        <v>3781</v>
      </c>
      <c r="Q3635" s="6" t="s">
        <v>4475</v>
      </c>
      <c r="T3635" s="23">
        <v>46176</v>
      </c>
      <c r="U3635" s="23">
        <v>46266</v>
      </c>
      <c r="X3635" s="20">
        <v>2050</v>
      </c>
      <c r="Z3635" s="6" t="s">
        <v>5978</v>
      </c>
      <c r="AA3635" s="14">
        <f t="shared" si="489"/>
        <v>5.9999999999999995E-4</v>
      </c>
      <c r="AB3635">
        <v>1.23</v>
      </c>
      <c r="AC3635">
        <v>1.2792000000000001</v>
      </c>
    </row>
    <row r="3636" spans="1:29" x14ac:dyDescent="0.3">
      <c r="A3636">
        <v>151603</v>
      </c>
      <c r="B3636" s="25" t="s">
        <v>5984</v>
      </c>
      <c r="C3636" t="s">
        <v>20</v>
      </c>
      <c r="D3636" t="s">
        <v>21</v>
      </c>
      <c r="E3636">
        <v>2222222</v>
      </c>
      <c r="F3636" s="8" t="s">
        <v>22</v>
      </c>
      <c r="G3636" s="2">
        <v>98</v>
      </c>
      <c r="H3636" t="s">
        <v>4487</v>
      </c>
      <c r="J3636" s="9" t="s">
        <v>4903</v>
      </c>
      <c r="K3636" t="s">
        <v>4993</v>
      </c>
      <c r="L3636" s="2">
        <v>1</v>
      </c>
      <c r="M3636" s="24" t="s">
        <v>5971</v>
      </c>
      <c r="N3636" s="2" t="s">
        <v>23</v>
      </c>
      <c r="O3636" s="18" t="s">
        <v>2808</v>
      </c>
      <c r="P3636" s="18" t="s">
        <v>3781</v>
      </c>
      <c r="Q3636" s="6" t="s">
        <v>4475</v>
      </c>
      <c r="T3636" s="23">
        <v>46178</v>
      </c>
      <c r="U3636" s="23">
        <v>46909</v>
      </c>
      <c r="X3636" s="20">
        <v>6000</v>
      </c>
      <c r="Z3636" s="6" t="s">
        <v>5978</v>
      </c>
      <c r="AA3636" s="14">
        <f t="shared" si="489"/>
        <v>5.9999999999999995E-4</v>
      </c>
      <c r="AB3636">
        <v>3.4738379999999993</v>
      </c>
      <c r="AC3636">
        <v>3.6127915199999996</v>
      </c>
    </row>
    <row r="3637" spans="1:29" x14ac:dyDescent="0.3">
      <c r="A3637">
        <v>151811</v>
      </c>
      <c r="B3637" s="25" t="s">
        <v>5984</v>
      </c>
      <c r="C3637" t="s">
        <v>20</v>
      </c>
      <c r="D3637" t="s">
        <v>21</v>
      </c>
      <c r="E3637">
        <v>2222222</v>
      </c>
      <c r="F3637" s="8" t="s">
        <v>22</v>
      </c>
      <c r="G3637" s="2">
        <v>98</v>
      </c>
      <c r="H3637" t="s">
        <v>4487</v>
      </c>
      <c r="J3637" s="9" t="s">
        <v>5048</v>
      </c>
      <c r="K3637" t="s">
        <v>5311</v>
      </c>
      <c r="L3637" s="2">
        <v>1</v>
      </c>
      <c r="M3637" s="24" t="s">
        <v>5971</v>
      </c>
      <c r="N3637" s="2" t="s">
        <v>23</v>
      </c>
      <c r="O3637" s="18" t="s">
        <v>2809</v>
      </c>
      <c r="P3637" s="18" t="s">
        <v>3781</v>
      </c>
      <c r="Q3637" s="6" t="s">
        <v>4475</v>
      </c>
      <c r="T3637" s="23">
        <v>46189</v>
      </c>
      <c r="U3637" s="23">
        <v>46554</v>
      </c>
      <c r="X3637" s="20">
        <v>1000</v>
      </c>
      <c r="Z3637" s="6" t="s">
        <v>5978</v>
      </c>
      <c r="AA3637" s="14">
        <f t="shared" si="489"/>
        <v>5.9999999999999995E-4</v>
      </c>
      <c r="AB3637">
        <v>0.55370999999999992</v>
      </c>
      <c r="AC3637">
        <v>0.57585839999999999</v>
      </c>
    </row>
    <row r="3638" spans="1:29" x14ac:dyDescent="0.3">
      <c r="A3638">
        <v>149087</v>
      </c>
      <c r="B3638" s="25" t="s">
        <v>5984</v>
      </c>
      <c r="C3638" t="s">
        <v>20</v>
      </c>
      <c r="D3638" t="s">
        <v>21</v>
      </c>
      <c r="E3638">
        <v>2222222</v>
      </c>
      <c r="F3638" s="8" t="s">
        <v>22</v>
      </c>
      <c r="G3638" s="2">
        <v>98</v>
      </c>
      <c r="H3638" t="s">
        <v>4488</v>
      </c>
      <c r="J3638" s="9" t="s">
        <v>4838</v>
      </c>
      <c r="K3638" t="s">
        <v>4826</v>
      </c>
      <c r="L3638" s="2">
        <v>1</v>
      </c>
      <c r="M3638" s="24" t="s">
        <v>5971</v>
      </c>
      <c r="N3638" s="2" t="s">
        <v>23</v>
      </c>
      <c r="O3638" s="18" t="s">
        <v>1265</v>
      </c>
      <c r="P3638" s="18" t="s">
        <v>0</v>
      </c>
      <c r="Q3638" s="6" t="s">
        <v>4475</v>
      </c>
      <c r="T3638" s="23">
        <v>45999</v>
      </c>
      <c r="U3638" s="23">
        <v>46728</v>
      </c>
      <c r="X3638" s="20">
        <v>5000</v>
      </c>
      <c r="Z3638" s="6" t="s">
        <v>5978</v>
      </c>
      <c r="AA3638" s="14">
        <f t="shared" si="489"/>
        <v>5.9999999999999995E-4</v>
      </c>
      <c r="AB3638">
        <v>2.2313699999999996</v>
      </c>
      <c r="AC3638">
        <v>2.3206247999999996</v>
      </c>
    </row>
    <row r="3639" spans="1:29" x14ac:dyDescent="0.3">
      <c r="A3639">
        <v>550</v>
      </c>
      <c r="B3639" s="25" t="s">
        <v>5984</v>
      </c>
      <c r="C3639" t="s">
        <v>20</v>
      </c>
      <c r="D3639" t="s">
        <v>21</v>
      </c>
      <c r="E3639">
        <v>2222222</v>
      </c>
      <c r="F3639" s="8" t="s">
        <v>22</v>
      </c>
      <c r="G3639" s="2">
        <v>98</v>
      </c>
      <c r="H3639" t="s">
        <v>4489</v>
      </c>
      <c r="J3639" s="9" t="s">
        <v>4848</v>
      </c>
      <c r="K3639" t="s">
        <v>4846</v>
      </c>
      <c r="L3639" s="2">
        <v>1</v>
      </c>
      <c r="M3639" s="24" t="s">
        <v>5971</v>
      </c>
      <c r="N3639" s="2" t="s">
        <v>23</v>
      </c>
      <c r="O3639" s="18" t="s">
        <v>2810</v>
      </c>
      <c r="P3639" s="18" t="s">
        <v>0</v>
      </c>
      <c r="Q3639" s="6" t="s">
        <v>4475</v>
      </c>
      <c r="T3639" s="23">
        <v>40885</v>
      </c>
      <c r="U3639" s="23">
        <v>42712</v>
      </c>
      <c r="X3639" s="20">
        <v>8000</v>
      </c>
      <c r="Z3639" s="6" t="s">
        <v>5978</v>
      </c>
      <c r="AA3639" s="16">
        <f>+(0.36/1000)</f>
        <v>3.5999999999999997E-4</v>
      </c>
      <c r="AB3639">
        <v>2.4440831999999997</v>
      </c>
      <c r="AC3639">
        <v>2.5418465279999998</v>
      </c>
    </row>
    <row r="3640" spans="1:29" x14ac:dyDescent="0.3">
      <c r="A3640">
        <v>151700</v>
      </c>
      <c r="B3640" s="25" t="s">
        <v>5984</v>
      </c>
      <c r="C3640" t="s">
        <v>20</v>
      </c>
      <c r="D3640" t="s">
        <v>21</v>
      </c>
      <c r="E3640">
        <v>2222222</v>
      </c>
      <c r="F3640" s="8" t="s">
        <v>22</v>
      </c>
      <c r="G3640" s="2">
        <v>98</v>
      </c>
      <c r="H3640" t="s">
        <v>4489</v>
      </c>
      <c r="J3640" s="9" t="s">
        <v>4901</v>
      </c>
      <c r="K3640" t="s">
        <v>5198</v>
      </c>
      <c r="L3640" s="2">
        <v>1</v>
      </c>
      <c r="M3640" s="24" t="s">
        <v>5971</v>
      </c>
      <c r="N3640" s="2" t="s">
        <v>23</v>
      </c>
      <c r="O3640" s="18" t="s">
        <v>2811</v>
      </c>
      <c r="P3640" s="18" t="s">
        <v>0</v>
      </c>
      <c r="Q3640" s="6" t="s">
        <v>4475</v>
      </c>
      <c r="T3640" s="23">
        <v>46181</v>
      </c>
      <c r="U3640" s="23">
        <v>48007</v>
      </c>
      <c r="X3640" s="20">
        <v>5000</v>
      </c>
      <c r="Z3640" s="6" t="s">
        <v>5978</v>
      </c>
      <c r="AA3640" s="14">
        <f t="shared" ref="AA3640:AA3642" si="490">+(0.6/1000)</f>
        <v>5.9999999999999995E-4</v>
      </c>
      <c r="AB3640">
        <v>2.96841</v>
      </c>
      <c r="AC3640">
        <v>3.0871464</v>
      </c>
    </row>
    <row r="3641" spans="1:29" x14ac:dyDescent="0.3">
      <c r="A3641">
        <v>151893</v>
      </c>
      <c r="B3641" s="25" t="s">
        <v>5984</v>
      </c>
      <c r="C3641" t="s">
        <v>20</v>
      </c>
      <c r="D3641" t="s">
        <v>21</v>
      </c>
      <c r="E3641">
        <v>2222222</v>
      </c>
      <c r="F3641" s="8" t="s">
        <v>22</v>
      </c>
      <c r="G3641" s="2">
        <v>98</v>
      </c>
      <c r="H3641" t="s">
        <v>4490</v>
      </c>
      <c r="J3641" s="9" t="s">
        <v>5126</v>
      </c>
      <c r="K3641" t="s">
        <v>4876</v>
      </c>
      <c r="L3641" s="2">
        <v>1</v>
      </c>
      <c r="M3641" s="24" t="s">
        <v>5971</v>
      </c>
      <c r="N3641" s="2" t="s">
        <v>23</v>
      </c>
      <c r="O3641" s="18" t="s">
        <v>2812</v>
      </c>
      <c r="P3641" s="18" t="s">
        <v>0</v>
      </c>
      <c r="Q3641" s="6" t="s">
        <v>4475</v>
      </c>
      <c r="T3641" s="23">
        <v>46196</v>
      </c>
      <c r="U3641" s="23">
        <v>46286</v>
      </c>
      <c r="X3641" s="20">
        <v>1540</v>
      </c>
      <c r="Z3641" s="6" t="s">
        <v>5978</v>
      </c>
      <c r="AA3641" s="14">
        <f t="shared" si="490"/>
        <v>5.9999999999999995E-4</v>
      </c>
      <c r="AB3641">
        <v>0.92399999999999993</v>
      </c>
      <c r="AC3641">
        <v>0.96095999999999993</v>
      </c>
    </row>
    <row r="3642" spans="1:29" x14ac:dyDescent="0.3">
      <c r="A3642">
        <v>152091</v>
      </c>
      <c r="B3642" s="25" t="s">
        <v>5984</v>
      </c>
      <c r="C3642" t="s">
        <v>20</v>
      </c>
      <c r="D3642" t="s">
        <v>21</v>
      </c>
      <c r="E3642">
        <v>2222222</v>
      </c>
      <c r="F3642" s="8" t="s">
        <v>22</v>
      </c>
      <c r="G3642" s="2">
        <v>98</v>
      </c>
      <c r="H3642" t="s">
        <v>4490</v>
      </c>
      <c r="J3642" s="9" t="s">
        <v>4929</v>
      </c>
      <c r="L3642" s="2">
        <v>1</v>
      </c>
      <c r="M3642" s="24" t="s">
        <v>5971</v>
      </c>
      <c r="N3642" s="2" t="s">
        <v>23</v>
      </c>
      <c r="O3642" s="18" t="s">
        <v>2639</v>
      </c>
      <c r="P3642" s="18" t="s">
        <v>0</v>
      </c>
      <c r="Q3642" s="6" t="s">
        <v>4475</v>
      </c>
      <c r="T3642" s="23">
        <v>46210</v>
      </c>
      <c r="U3642" s="23">
        <v>46574</v>
      </c>
      <c r="X3642" s="20">
        <v>2110</v>
      </c>
      <c r="Z3642" s="6" t="s">
        <v>5978</v>
      </c>
      <c r="AA3642" s="14">
        <f t="shared" si="490"/>
        <v>5.9999999999999995E-4</v>
      </c>
      <c r="AB3642">
        <v>1.2659999999999998</v>
      </c>
      <c r="AC3642">
        <v>1.3166399999999998</v>
      </c>
    </row>
    <row r="3643" spans="1:29" x14ac:dyDescent="0.3">
      <c r="A3643">
        <v>116715</v>
      </c>
      <c r="B3643" s="25" t="s">
        <v>5984</v>
      </c>
      <c r="C3643" t="s">
        <v>20</v>
      </c>
      <c r="D3643" t="s">
        <v>21</v>
      </c>
      <c r="E3643">
        <v>2222222</v>
      </c>
      <c r="F3643" s="8" t="s">
        <v>22</v>
      </c>
      <c r="G3643" s="2">
        <v>98</v>
      </c>
      <c r="H3643" t="s">
        <v>4491</v>
      </c>
      <c r="J3643" s="9" t="s">
        <v>4826</v>
      </c>
      <c r="K3643" t="s">
        <v>5197</v>
      </c>
      <c r="L3643" s="2">
        <v>1</v>
      </c>
      <c r="M3643" s="24" t="s">
        <v>5971</v>
      </c>
      <c r="N3643" s="2" t="s">
        <v>23</v>
      </c>
      <c r="O3643" s="18" t="s">
        <v>2813</v>
      </c>
      <c r="P3643" s="18" t="s">
        <v>0</v>
      </c>
      <c r="Q3643" s="6" t="s">
        <v>4475</v>
      </c>
      <c r="T3643" s="23">
        <v>44172</v>
      </c>
      <c r="U3643" s="23">
        <v>46727</v>
      </c>
      <c r="X3643" s="20">
        <v>10000</v>
      </c>
      <c r="Z3643" s="6" t="s">
        <v>5978</v>
      </c>
      <c r="AA3643" s="15">
        <f>+(0.42/1000)</f>
        <v>4.1999999999999996E-4</v>
      </c>
      <c r="AB3643">
        <v>1.2633473999999998</v>
      </c>
      <c r="AC3643">
        <v>1.3138812959999999</v>
      </c>
    </row>
    <row r="3644" spans="1:29" x14ac:dyDescent="0.3">
      <c r="A3644">
        <v>151807</v>
      </c>
      <c r="B3644" s="25" t="s">
        <v>5984</v>
      </c>
      <c r="C3644" t="s">
        <v>20</v>
      </c>
      <c r="D3644" t="s">
        <v>21</v>
      </c>
      <c r="E3644">
        <v>2222222</v>
      </c>
      <c r="F3644" s="8" t="s">
        <v>22</v>
      </c>
      <c r="G3644" s="2">
        <v>98</v>
      </c>
      <c r="H3644" t="s">
        <v>4492</v>
      </c>
      <c r="J3644" s="9" t="s">
        <v>4826</v>
      </c>
      <c r="K3644" t="s">
        <v>4900</v>
      </c>
      <c r="L3644" s="2">
        <v>1</v>
      </c>
      <c r="M3644" s="24" t="s">
        <v>5971</v>
      </c>
      <c r="N3644" s="2" t="s">
        <v>23</v>
      </c>
      <c r="O3644" s="18" t="s">
        <v>2814</v>
      </c>
      <c r="P3644" s="18" t="s">
        <v>0</v>
      </c>
      <c r="Q3644" s="6" t="s">
        <v>4475</v>
      </c>
      <c r="T3644" s="23">
        <v>46189</v>
      </c>
      <c r="U3644" s="23">
        <v>46316</v>
      </c>
      <c r="X3644" s="20">
        <v>5850</v>
      </c>
      <c r="Z3644" s="6" t="s">
        <v>5978</v>
      </c>
      <c r="AA3644" s="14">
        <f>+(0.6/1000)</f>
        <v>5.9999999999999995E-4</v>
      </c>
      <c r="AB3644">
        <v>3.51</v>
      </c>
      <c r="AC3644">
        <v>3.6503999999999999</v>
      </c>
    </row>
    <row r="3645" spans="1:29" x14ac:dyDescent="0.3">
      <c r="A3645">
        <v>139158</v>
      </c>
      <c r="B3645" s="25" t="s">
        <v>5984</v>
      </c>
      <c r="C3645" t="s">
        <v>20</v>
      </c>
      <c r="D3645" t="s">
        <v>21</v>
      </c>
      <c r="E3645">
        <v>2222222</v>
      </c>
      <c r="F3645" s="8" t="s">
        <v>22</v>
      </c>
      <c r="G3645" s="2">
        <v>98</v>
      </c>
      <c r="H3645" t="s">
        <v>4493</v>
      </c>
      <c r="J3645" s="9" t="s">
        <v>5128</v>
      </c>
      <c r="K3645" t="s">
        <v>4875</v>
      </c>
      <c r="L3645" s="2">
        <v>1</v>
      </c>
      <c r="M3645" s="24" t="s">
        <v>5971</v>
      </c>
      <c r="N3645" s="2" t="s">
        <v>23</v>
      </c>
      <c r="O3645" s="18" t="s">
        <v>2815</v>
      </c>
      <c r="P3645" s="18" t="s">
        <v>0</v>
      </c>
      <c r="Q3645" s="6" t="s">
        <v>4475</v>
      </c>
      <c r="T3645" s="23">
        <v>45356</v>
      </c>
      <c r="U3645" s="23">
        <v>47181</v>
      </c>
      <c r="X3645" s="20">
        <v>14100</v>
      </c>
      <c r="Z3645" s="6" t="s">
        <v>5978</v>
      </c>
      <c r="AA3645" s="13">
        <f>+(0.56/1000)</f>
        <v>5.6000000000000006E-4</v>
      </c>
      <c r="AB3645">
        <v>4.8906144000000005</v>
      </c>
      <c r="AC3645">
        <v>5.0862389760000006</v>
      </c>
    </row>
    <row r="3646" spans="1:29" x14ac:dyDescent="0.3">
      <c r="A3646">
        <v>150044</v>
      </c>
      <c r="B3646" s="25" t="s">
        <v>5984</v>
      </c>
      <c r="C3646" t="s">
        <v>20</v>
      </c>
      <c r="D3646" t="s">
        <v>21</v>
      </c>
      <c r="E3646">
        <v>2222222</v>
      </c>
      <c r="F3646" s="8" t="s">
        <v>22</v>
      </c>
      <c r="G3646" s="2">
        <v>98</v>
      </c>
      <c r="H3646" t="s">
        <v>4493</v>
      </c>
      <c r="J3646" s="9" t="s">
        <v>4815</v>
      </c>
      <c r="K3646" t="s">
        <v>4841</v>
      </c>
      <c r="L3646" s="2">
        <v>1</v>
      </c>
      <c r="M3646" s="24" t="s">
        <v>5971</v>
      </c>
      <c r="N3646" s="2" t="s">
        <v>23</v>
      </c>
      <c r="O3646" s="18" t="s">
        <v>2816</v>
      </c>
      <c r="P3646" s="18" t="s">
        <v>0</v>
      </c>
      <c r="Q3646" s="6" t="s">
        <v>4475</v>
      </c>
      <c r="T3646" s="23">
        <v>46067</v>
      </c>
      <c r="U3646" s="23">
        <v>47530</v>
      </c>
      <c r="X3646" s="20">
        <v>3000</v>
      </c>
      <c r="Z3646" s="6" t="s">
        <v>5978</v>
      </c>
      <c r="AA3646" s="14">
        <f>+(0.6/1000)</f>
        <v>5.9999999999999995E-4</v>
      </c>
      <c r="AB3646">
        <v>1.6949579999999997</v>
      </c>
      <c r="AC3646">
        <v>1.7627563199999998</v>
      </c>
    </row>
    <row r="3647" spans="1:29" x14ac:dyDescent="0.3">
      <c r="A3647">
        <v>132071</v>
      </c>
      <c r="B3647" s="25" t="s">
        <v>5984</v>
      </c>
      <c r="C3647" t="s">
        <v>20</v>
      </c>
      <c r="D3647" t="s">
        <v>21</v>
      </c>
      <c r="E3647">
        <v>2222222</v>
      </c>
      <c r="F3647" s="8" t="s">
        <v>22</v>
      </c>
      <c r="G3647" s="2">
        <v>98</v>
      </c>
      <c r="H3647" t="s">
        <v>4494</v>
      </c>
      <c r="J3647" s="9" t="s">
        <v>5093</v>
      </c>
      <c r="K3647" t="s">
        <v>5097</v>
      </c>
      <c r="L3647" s="2">
        <v>1</v>
      </c>
      <c r="M3647" s="24" t="s">
        <v>5971</v>
      </c>
      <c r="N3647" s="2" t="s">
        <v>23</v>
      </c>
      <c r="O3647" s="18" t="s">
        <v>2817</v>
      </c>
      <c r="P3647" s="18" t="s">
        <v>3781</v>
      </c>
      <c r="Q3647" s="6" t="s">
        <v>4475</v>
      </c>
      <c r="T3647" s="23">
        <v>44923</v>
      </c>
      <c r="U3647" s="23">
        <v>46383</v>
      </c>
      <c r="X3647" s="20">
        <v>7400</v>
      </c>
      <c r="Z3647" s="6" t="s">
        <v>5978</v>
      </c>
      <c r="AA3647" s="13">
        <f>+(0.56/1000)</f>
        <v>5.6000000000000006E-4</v>
      </c>
      <c r="AB3647">
        <v>0.56437360000000003</v>
      </c>
      <c r="AC3647">
        <v>0.58694854400000007</v>
      </c>
    </row>
    <row r="3648" spans="1:29" x14ac:dyDescent="0.3">
      <c r="A3648">
        <v>150852</v>
      </c>
      <c r="B3648" s="25" t="s">
        <v>5984</v>
      </c>
      <c r="C3648" t="s">
        <v>20</v>
      </c>
      <c r="D3648" t="s">
        <v>21</v>
      </c>
      <c r="E3648">
        <v>2222222</v>
      </c>
      <c r="F3648" s="8" t="s">
        <v>22</v>
      </c>
      <c r="G3648" s="2">
        <v>98</v>
      </c>
      <c r="H3648" t="s">
        <v>4494</v>
      </c>
      <c r="J3648" s="9" t="s">
        <v>4864</v>
      </c>
      <c r="K3648" t="s">
        <v>4961</v>
      </c>
      <c r="L3648" s="2">
        <v>1</v>
      </c>
      <c r="M3648" s="24" t="s">
        <v>5971</v>
      </c>
      <c r="N3648" s="2" t="s">
        <v>23</v>
      </c>
      <c r="O3648" s="18" t="s">
        <v>2818</v>
      </c>
      <c r="P3648" s="18" t="s">
        <v>0</v>
      </c>
      <c r="Q3648" s="6" t="s">
        <v>4475</v>
      </c>
      <c r="T3648" s="23">
        <v>46122</v>
      </c>
      <c r="U3648" s="23">
        <v>49775</v>
      </c>
      <c r="X3648" s="20">
        <v>9200</v>
      </c>
      <c r="Z3648" s="6" t="s">
        <v>5978</v>
      </c>
      <c r="AA3648" s="14">
        <f t="shared" ref="AA3648:AA3651" si="491">+(0.6/1000)</f>
        <v>5.9999999999999995E-4</v>
      </c>
      <c r="AB3648">
        <v>5.447525999999999</v>
      </c>
      <c r="AC3648">
        <v>5.6654270399999991</v>
      </c>
    </row>
    <row r="3649" spans="1:29" x14ac:dyDescent="0.3">
      <c r="A3649">
        <v>152383</v>
      </c>
      <c r="B3649" s="25" t="s">
        <v>5984</v>
      </c>
      <c r="C3649" t="s">
        <v>20</v>
      </c>
      <c r="D3649" t="s">
        <v>21</v>
      </c>
      <c r="E3649">
        <v>2222222</v>
      </c>
      <c r="F3649" s="8" t="s">
        <v>22</v>
      </c>
      <c r="G3649" s="2">
        <v>98</v>
      </c>
      <c r="H3649" t="s">
        <v>4494</v>
      </c>
      <c r="J3649" s="9" t="s">
        <v>4891</v>
      </c>
      <c r="K3649" t="s">
        <v>5808</v>
      </c>
      <c r="L3649" s="2">
        <v>1</v>
      </c>
      <c r="M3649" s="24" t="s">
        <v>5971</v>
      </c>
      <c r="N3649" s="2" t="s">
        <v>23</v>
      </c>
      <c r="O3649" s="18" t="s">
        <v>2819</v>
      </c>
      <c r="P3649" s="18" t="s">
        <v>3781</v>
      </c>
      <c r="Q3649" s="6" t="s">
        <v>4475</v>
      </c>
      <c r="T3649" s="23">
        <v>46234</v>
      </c>
      <c r="U3649" s="23">
        <v>47694</v>
      </c>
      <c r="X3649" s="20">
        <v>1860</v>
      </c>
      <c r="Z3649" s="6" t="s">
        <v>5978</v>
      </c>
      <c r="AA3649" s="14">
        <f t="shared" si="491"/>
        <v>5.9999999999999995E-4</v>
      </c>
      <c r="AB3649">
        <v>1.1159999999999999</v>
      </c>
      <c r="AC3649">
        <v>1.1606399999999999</v>
      </c>
    </row>
    <row r="3650" spans="1:29" x14ac:dyDescent="0.3">
      <c r="A3650">
        <v>151877</v>
      </c>
      <c r="B3650" s="25" t="s">
        <v>5984</v>
      </c>
      <c r="C3650" t="s">
        <v>20</v>
      </c>
      <c r="D3650" t="s">
        <v>21</v>
      </c>
      <c r="E3650">
        <v>2222222</v>
      </c>
      <c r="F3650" s="8" t="s">
        <v>22</v>
      </c>
      <c r="G3650" s="2">
        <v>98</v>
      </c>
      <c r="H3650" t="s">
        <v>4495</v>
      </c>
      <c r="J3650" s="9" t="s">
        <v>4852</v>
      </c>
      <c r="K3650" t="s">
        <v>5374</v>
      </c>
      <c r="L3650" s="2">
        <v>1</v>
      </c>
      <c r="M3650" s="24" t="s">
        <v>5971</v>
      </c>
      <c r="N3650" s="2" t="s">
        <v>23</v>
      </c>
      <c r="O3650" s="18" t="s">
        <v>2820</v>
      </c>
      <c r="P3650" s="18" t="s">
        <v>0</v>
      </c>
      <c r="Q3650" s="6" t="s">
        <v>4475</v>
      </c>
      <c r="T3650" s="23">
        <v>46192</v>
      </c>
      <c r="U3650" s="23">
        <v>46282</v>
      </c>
      <c r="X3650" s="20">
        <v>4990</v>
      </c>
      <c r="Z3650" s="6" t="s">
        <v>5978</v>
      </c>
      <c r="AA3650" s="14">
        <f t="shared" si="491"/>
        <v>5.9999999999999995E-4</v>
      </c>
      <c r="AB3650">
        <v>2.9939999999999998</v>
      </c>
      <c r="AC3650">
        <v>3.1137600000000001</v>
      </c>
    </row>
    <row r="3651" spans="1:29" x14ac:dyDescent="0.3">
      <c r="A3651">
        <v>149911</v>
      </c>
      <c r="B3651" s="25" t="s">
        <v>5984</v>
      </c>
      <c r="C3651" t="s">
        <v>20</v>
      </c>
      <c r="D3651" t="s">
        <v>21</v>
      </c>
      <c r="E3651">
        <v>2222222</v>
      </c>
      <c r="F3651" s="8" t="s">
        <v>22</v>
      </c>
      <c r="G3651" s="2">
        <v>98</v>
      </c>
      <c r="H3651" t="s">
        <v>4496</v>
      </c>
      <c r="J3651" s="9" t="s">
        <v>4864</v>
      </c>
      <c r="K3651" t="s">
        <v>5064</v>
      </c>
      <c r="L3651" s="2">
        <v>1</v>
      </c>
      <c r="M3651" s="24" t="s">
        <v>5971</v>
      </c>
      <c r="N3651" s="2" t="s">
        <v>23</v>
      </c>
      <c r="O3651" s="18" t="s">
        <v>1528</v>
      </c>
      <c r="P3651" s="18" t="s">
        <v>0</v>
      </c>
      <c r="Q3651" s="6" t="s">
        <v>4475</v>
      </c>
      <c r="T3651" s="23">
        <v>46057</v>
      </c>
      <c r="U3651" s="23">
        <v>47155</v>
      </c>
      <c r="X3651" s="20">
        <v>5000</v>
      </c>
      <c r="Z3651" s="6" t="s">
        <v>5978</v>
      </c>
      <c r="AA3651" s="14">
        <f t="shared" si="491"/>
        <v>5.9999999999999995E-4</v>
      </c>
      <c r="AB3651">
        <v>2.6740679999999997</v>
      </c>
      <c r="AC3651">
        <v>2.78103072</v>
      </c>
    </row>
    <row r="3652" spans="1:29" x14ac:dyDescent="0.3">
      <c r="A3652">
        <v>128145</v>
      </c>
      <c r="B3652" s="25" t="s">
        <v>5984</v>
      </c>
      <c r="C3652" t="s">
        <v>20</v>
      </c>
      <c r="D3652" t="s">
        <v>21</v>
      </c>
      <c r="E3652">
        <v>2222222</v>
      </c>
      <c r="F3652" s="8" t="s">
        <v>22</v>
      </c>
      <c r="G3652" s="2">
        <v>98</v>
      </c>
      <c r="H3652" t="s">
        <v>4497</v>
      </c>
      <c r="J3652" s="9" t="s">
        <v>5000</v>
      </c>
      <c r="K3652" t="s">
        <v>5010</v>
      </c>
      <c r="L3652" s="2">
        <v>1</v>
      </c>
      <c r="M3652" s="24" t="s">
        <v>5971</v>
      </c>
      <c r="N3652" s="2" t="s">
        <v>23</v>
      </c>
      <c r="O3652" s="18" t="s">
        <v>2821</v>
      </c>
      <c r="P3652" s="18" t="s">
        <v>0</v>
      </c>
      <c r="Q3652" s="6" t="s">
        <v>4475</v>
      </c>
      <c r="T3652" s="23">
        <v>44718</v>
      </c>
      <c r="U3652" s="23">
        <v>46910</v>
      </c>
      <c r="X3652" s="20">
        <v>20000</v>
      </c>
      <c r="Z3652" s="6" t="s">
        <v>5978</v>
      </c>
      <c r="AA3652" s="15">
        <f>+(0.42/1000)</f>
        <v>4.1999999999999996E-4</v>
      </c>
      <c r="AB3652">
        <v>3.6068129999999994</v>
      </c>
      <c r="AC3652">
        <v>3.7510855199999993</v>
      </c>
    </row>
    <row r="3653" spans="1:29" x14ac:dyDescent="0.3">
      <c r="A3653">
        <v>131870</v>
      </c>
      <c r="B3653" s="25" t="s">
        <v>5984</v>
      </c>
      <c r="C3653" t="s">
        <v>20</v>
      </c>
      <c r="D3653" t="s">
        <v>21</v>
      </c>
      <c r="E3653">
        <v>2222222</v>
      </c>
      <c r="F3653" s="8" t="s">
        <v>22</v>
      </c>
      <c r="G3653" s="2">
        <v>98</v>
      </c>
      <c r="H3653" t="s">
        <v>4497</v>
      </c>
      <c r="J3653" s="9" t="s">
        <v>5809</v>
      </c>
      <c r="K3653" t="s">
        <v>4863</v>
      </c>
      <c r="L3653" s="2">
        <v>1</v>
      </c>
      <c r="M3653" s="24" t="s">
        <v>5971</v>
      </c>
      <c r="N3653" s="2" t="s">
        <v>23</v>
      </c>
      <c r="O3653" s="18" t="s">
        <v>2822</v>
      </c>
      <c r="P3653" s="18" t="s">
        <v>3781</v>
      </c>
      <c r="Q3653" s="6" t="s">
        <v>4475</v>
      </c>
      <c r="T3653" s="23">
        <v>44925</v>
      </c>
      <c r="U3653" s="23">
        <v>47119</v>
      </c>
      <c r="X3653" s="20">
        <v>12000</v>
      </c>
      <c r="Z3653" s="6" t="s">
        <v>5978</v>
      </c>
      <c r="AA3653" s="13">
        <f t="shared" ref="AA3653:AA3657" si="492">+(0.56/1000)</f>
        <v>5.6000000000000006E-4</v>
      </c>
      <c r="AB3653">
        <v>3.5889392</v>
      </c>
      <c r="AC3653">
        <v>3.7324967680000003</v>
      </c>
    </row>
    <row r="3654" spans="1:29" x14ac:dyDescent="0.3">
      <c r="A3654">
        <v>132647</v>
      </c>
      <c r="B3654" s="25" t="s">
        <v>5984</v>
      </c>
      <c r="C3654" t="s">
        <v>20</v>
      </c>
      <c r="D3654" t="s">
        <v>21</v>
      </c>
      <c r="E3654">
        <v>2222222</v>
      </c>
      <c r="F3654" s="8" t="s">
        <v>22</v>
      </c>
      <c r="G3654" s="2">
        <v>98</v>
      </c>
      <c r="H3654" t="s">
        <v>4497</v>
      </c>
      <c r="J3654" s="9" t="s">
        <v>4885</v>
      </c>
      <c r="K3654" t="s">
        <v>5075</v>
      </c>
      <c r="L3654" s="2">
        <v>1</v>
      </c>
      <c r="M3654" s="24" t="s">
        <v>5971</v>
      </c>
      <c r="N3654" s="2" t="s">
        <v>23</v>
      </c>
      <c r="O3654" s="18" t="s">
        <v>2823</v>
      </c>
      <c r="P3654" s="18" t="s">
        <v>3781</v>
      </c>
      <c r="Q3654" s="6" t="s">
        <v>4475</v>
      </c>
      <c r="T3654" s="23">
        <v>44957</v>
      </c>
      <c r="U3654" s="23">
        <v>48701</v>
      </c>
      <c r="X3654" s="20">
        <v>58000</v>
      </c>
      <c r="Z3654" s="6" t="s">
        <v>5978</v>
      </c>
      <c r="AA3654" s="13">
        <f t="shared" si="492"/>
        <v>5.6000000000000006E-4</v>
      </c>
      <c r="AB3654">
        <v>27.115239200000001</v>
      </c>
      <c r="AC3654">
        <v>28.199848768000003</v>
      </c>
    </row>
    <row r="3655" spans="1:29" x14ac:dyDescent="0.3">
      <c r="A3655">
        <v>136504</v>
      </c>
      <c r="B3655" s="25" t="s">
        <v>5984</v>
      </c>
      <c r="C3655" t="s">
        <v>20</v>
      </c>
      <c r="D3655" t="s">
        <v>21</v>
      </c>
      <c r="E3655">
        <v>2222222</v>
      </c>
      <c r="F3655" s="8" t="s">
        <v>22</v>
      </c>
      <c r="G3655" s="2">
        <v>98</v>
      </c>
      <c r="H3655" t="s">
        <v>4497</v>
      </c>
      <c r="J3655" s="9" t="s">
        <v>4836</v>
      </c>
      <c r="K3655" t="s">
        <v>4899</v>
      </c>
      <c r="L3655" s="2">
        <v>1</v>
      </c>
      <c r="M3655" s="24" t="s">
        <v>5971</v>
      </c>
      <c r="N3655" s="2" t="s">
        <v>23</v>
      </c>
      <c r="O3655" s="18" t="s">
        <v>2824</v>
      </c>
      <c r="P3655" s="18" t="s">
        <v>3781</v>
      </c>
      <c r="Q3655" s="6" t="s">
        <v>4475</v>
      </c>
      <c r="T3655" s="23">
        <v>45184</v>
      </c>
      <c r="U3655" s="23">
        <v>46645</v>
      </c>
      <c r="X3655" s="20">
        <v>16500</v>
      </c>
      <c r="Z3655" s="6" t="s">
        <v>5978</v>
      </c>
      <c r="AA3655" s="13">
        <f t="shared" si="492"/>
        <v>5.6000000000000006E-4</v>
      </c>
      <c r="AB3655">
        <v>3.3347328000000003</v>
      </c>
      <c r="AC3655">
        <v>3.4681221120000005</v>
      </c>
    </row>
    <row r="3656" spans="1:29" x14ac:dyDescent="0.3">
      <c r="A3656">
        <v>138065</v>
      </c>
      <c r="B3656" s="25" t="s">
        <v>5984</v>
      </c>
      <c r="C3656" t="s">
        <v>20</v>
      </c>
      <c r="D3656" t="s">
        <v>21</v>
      </c>
      <c r="E3656">
        <v>2222222</v>
      </c>
      <c r="F3656" s="8" t="s">
        <v>22</v>
      </c>
      <c r="G3656" s="2">
        <v>98</v>
      </c>
      <c r="H3656" t="s">
        <v>4497</v>
      </c>
      <c r="J3656" s="9" t="s">
        <v>5201</v>
      </c>
      <c r="K3656" t="s">
        <v>5189</v>
      </c>
      <c r="L3656" s="2">
        <v>1</v>
      </c>
      <c r="M3656" s="24" t="s">
        <v>5971</v>
      </c>
      <c r="N3656" s="2" t="s">
        <v>23</v>
      </c>
      <c r="O3656" s="18" t="s">
        <v>2825</v>
      </c>
      <c r="P3656" s="18" t="s">
        <v>0</v>
      </c>
      <c r="Q3656" s="6" t="s">
        <v>4475</v>
      </c>
      <c r="T3656" s="23">
        <v>45261</v>
      </c>
      <c r="U3656" s="23">
        <v>46721</v>
      </c>
      <c r="X3656" s="20">
        <v>5000</v>
      </c>
      <c r="Z3656" s="6" t="s">
        <v>5978</v>
      </c>
      <c r="AA3656" s="13">
        <f t="shared" si="492"/>
        <v>5.6000000000000006E-4</v>
      </c>
      <c r="AB3656">
        <v>1.1777080000000002</v>
      </c>
      <c r="AC3656">
        <v>1.2248163200000002</v>
      </c>
    </row>
    <row r="3657" spans="1:29" x14ac:dyDescent="0.3">
      <c r="A3657">
        <v>139138</v>
      </c>
      <c r="B3657" s="25" t="s">
        <v>5984</v>
      </c>
      <c r="C3657" t="s">
        <v>20</v>
      </c>
      <c r="D3657" t="s">
        <v>21</v>
      </c>
      <c r="E3657">
        <v>2222222</v>
      </c>
      <c r="F3657" s="8" t="s">
        <v>22</v>
      </c>
      <c r="G3657" s="2">
        <v>98</v>
      </c>
      <c r="H3657" t="s">
        <v>4497</v>
      </c>
      <c r="J3657" s="9" t="s">
        <v>5810</v>
      </c>
      <c r="K3657" t="s">
        <v>4832</v>
      </c>
      <c r="L3657" s="2">
        <v>1</v>
      </c>
      <c r="M3657" s="24" t="s">
        <v>5971</v>
      </c>
      <c r="N3657" s="2" t="s">
        <v>23</v>
      </c>
      <c r="O3657" s="18" t="s">
        <v>2826</v>
      </c>
      <c r="P3657" s="18" t="s">
        <v>3781</v>
      </c>
      <c r="Q3657" s="6" t="s">
        <v>4475</v>
      </c>
      <c r="T3657" s="23">
        <v>45316</v>
      </c>
      <c r="U3657" s="23">
        <v>46776</v>
      </c>
      <c r="X3657" s="20">
        <v>5000</v>
      </c>
      <c r="Z3657" s="6" t="s">
        <v>5978</v>
      </c>
      <c r="AA3657" s="13">
        <f t="shared" si="492"/>
        <v>5.6000000000000006E-4</v>
      </c>
      <c r="AB3657">
        <v>1.3033048</v>
      </c>
      <c r="AC3657">
        <v>1.355436992</v>
      </c>
    </row>
    <row r="3658" spans="1:29" x14ac:dyDescent="0.3">
      <c r="A3658">
        <v>143455</v>
      </c>
      <c r="B3658" s="25" t="s">
        <v>5984</v>
      </c>
      <c r="C3658" t="s">
        <v>20</v>
      </c>
      <c r="D3658" t="s">
        <v>21</v>
      </c>
      <c r="E3658">
        <v>2222222</v>
      </c>
      <c r="F3658" s="8" t="s">
        <v>22</v>
      </c>
      <c r="G3658" s="2">
        <v>98</v>
      </c>
      <c r="H3658" t="s">
        <v>4497</v>
      </c>
      <c r="J3658" s="9" t="s">
        <v>5073</v>
      </c>
      <c r="K3658" t="s">
        <v>4836</v>
      </c>
      <c r="L3658" s="2">
        <v>1</v>
      </c>
      <c r="M3658" s="24" t="s">
        <v>5971</v>
      </c>
      <c r="N3658" s="2" t="s">
        <v>23</v>
      </c>
      <c r="O3658" s="18" t="s">
        <v>2827</v>
      </c>
      <c r="P3658" s="18" t="s">
        <v>3781</v>
      </c>
      <c r="Q3658" s="6" t="s">
        <v>4475</v>
      </c>
      <c r="T3658" s="23">
        <v>45594</v>
      </c>
      <c r="U3658" s="23">
        <v>47876</v>
      </c>
      <c r="X3658" s="20">
        <v>16000</v>
      </c>
      <c r="Z3658" s="6" t="s">
        <v>5978</v>
      </c>
      <c r="AA3658" s="14">
        <f t="shared" ref="AA3658:AA3680" si="493">+(0.6/1000)</f>
        <v>5.9999999999999995E-4</v>
      </c>
      <c r="AB3658">
        <v>8.0182859999999998</v>
      </c>
      <c r="AC3658">
        <v>8.3390174399999992</v>
      </c>
    </row>
    <row r="3659" spans="1:29" x14ac:dyDescent="0.3">
      <c r="A3659">
        <v>145602</v>
      </c>
      <c r="B3659" s="25" t="s">
        <v>5984</v>
      </c>
      <c r="C3659" t="s">
        <v>20</v>
      </c>
      <c r="D3659" t="s">
        <v>21</v>
      </c>
      <c r="E3659">
        <v>2222222</v>
      </c>
      <c r="F3659" s="8" t="s">
        <v>22</v>
      </c>
      <c r="G3659" s="2">
        <v>98</v>
      </c>
      <c r="H3659" t="s">
        <v>4497</v>
      </c>
      <c r="J3659" s="9" t="s">
        <v>5811</v>
      </c>
      <c r="K3659" t="s">
        <v>4932</v>
      </c>
      <c r="L3659" s="2">
        <v>1</v>
      </c>
      <c r="M3659" s="24" t="s">
        <v>5971</v>
      </c>
      <c r="N3659" s="2" t="s">
        <v>23</v>
      </c>
      <c r="O3659" s="18" t="s">
        <v>2828</v>
      </c>
      <c r="P3659" s="18" t="s">
        <v>3781</v>
      </c>
      <c r="Q3659" s="6" t="s">
        <v>4475</v>
      </c>
      <c r="T3659" s="23">
        <v>45750</v>
      </c>
      <c r="U3659" s="23">
        <v>46846</v>
      </c>
      <c r="X3659" s="20">
        <v>2500</v>
      </c>
      <c r="Z3659" s="6" t="s">
        <v>5978</v>
      </c>
      <c r="AA3659" s="14">
        <f t="shared" si="493"/>
        <v>5.9999999999999995E-4</v>
      </c>
      <c r="AB3659">
        <v>1.0061639999999998</v>
      </c>
      <c r="AC3659">
        <v>1.0464105599999998</v>
      </c>
    </row>
    <row r="3660" spans="1:29" x14ac:dyDescent="0.3">
      <c r="A3660">
        <v>146016</v>
      </c>
      <c r="B3660" s="25" t="s">
        <v>5984</v>
      </c>
      <c r="C3660" t="s">
        <v>20</v>
      </c>
      <c r="D3660" t="s">
        <v>21</v>
      </c>
      <c r="E3660">
        <v>2222222</v>
      </c>
      <c r="F3660" s="8" t="s">
        <v>22</v>
      </c>
      <c r="G3660" s="2">
        <v>98</v>
      </c>
      <c r="H3660" t="s">
        <v>4497</v>
      </c>
      <c r="J3660" s="9" t="s">
        <v>4891</v>
      </c>
      <c r="K3660" t="s">
        <v>4915</v>
      </c>
      <c r="L3660" s="2">
        <v>1</v>
      </c>
      <c r="M3660" s="24" t="s">
        <v>5971</v>
      </c>
      <c r="N3660" s="2" t="s">
        <v>23</v>
      </c>
      <c r="O3660" s="18" t="s">
        <v>2829</v>
      </c>
      <c r="P3660" s="18" t="s">
        <v>3781</v>
      </c>
      <c r="Q3660" s="6" t="s">
        <v>4475</v>
      </c>
      <c r="T3660" s="23">
        <v>45790</v>
      </c>
      <c r="U3660" s="23">
        <v>47993</v>
      </c>
      <c r="X3660" s="20">
        <v>14400</v>
      </c>
      <c r="Z3660" s="6" t="s">
        <v>5978</v>
      </c>
      <c r="AA3660" s="14">
        <f t="shared" si="493"/>
        <v>5.9999999999999995E-4</v>
      </c>
      <c r="AB3660">
        <v>7.540379999999999</v>
      </c>
      <c r="AC3660">
        <v>7.8419951999999995</v>
      </c>
    </row>
    <row r="3661" spans="1:29" x14ac:dyDescent="0.3">
      <c r="A3661">
        <v>146245</v>
      </c>
      <c r="B3661" s="25" t="s">
        <v>5984</v>
      </c>
      <c r="C3661" t="s">
        <v>20</v>
      </c>
      <c r="D3661" t="s">
        <v>21</v>
      </c>
      <c r="E3661">
        <v>2222222</v>
      </c>
      <c r="F3661" s="8" t="s">
        <v>22</v>
      </c>
      <c r="G3661" s="2">
        <v>98</v>
      </c>
      <c r="H3661" t="s">
        <v>4497</v>
      </c>
      <c r="J3661" s="9" t="s">
        <v>5265</v>
      </c>
      <c r="K3661" t="s">
        <v>5812</v>
      </c>
      <c r="L3661" s="2">
        <v>1</v>
      </c>
      <c r="M3661" s="24" t="s">
        <v>5971</v>
      </c>
      <c r="N3661" s="2" t="s">
        <v>23</v>
      </c>
      <c r="O3661" s="18" t="s">
        <v>2830</v>
      </c>
      <c r="P3661" s="18" t="s">
        <v>0</v>
      </c>
      <c r="Q3661" s="6" t="s">
        <v>4475</v>
      </c>
      <c r="T3661" s="23">
        <v>45805</v>
      </c>
      <c r="U3661" s="23">
        <v>47265</v>
      </c>
      <c r="X3661" s="20">
        <v>4250</v>
      </c>
      <c r="Z3661" s="6" t="s">
        <v>5978</v>
      </c>
      <c r="AA3661" s="14">
        <f t="shared" si="493"/>
        <v>5.9999999999999995E-4</v>
      </c>
      <c r="AB3661">
        <v>2.0729039999999999</v>
      </c>
      <c r="AC3661">
        <v>2.1558201599999998</v>
      </c>
    </row>
    <row r="3662" spans="1:29" x14ac:dyDescent="0.3">
      <c r="A3662">
        <v>146350</v>
      </c>
      <c r="B3662" s="25" t="s">
        <v>5984</v>
      </c>
      <c r="C3662" t="s">
        <v>20</v>
      </c>
      <c r="D3662" t="s">
        <v>21</v>
      </c>
      <c r="E3662">
        <v>2222222</v>
      </c>
      <c r="F3662" s="8" t="s">
        <v>22</v>
      </c>
      <c r="G3662" s="2">
        <v>98</v>
      </c>
      <c r="H3662" t="s">
        <v>4497</v>
      </c>
      <c r="J3662" s="9" t="s">
        <v>4836</v>
      </c>
      <c r="K3662" t="s">
        <v>4899</v>
      </c>
      <c r="L3662" s="2">
        <v>1</v>
      </c>
      <c r="M3662" s="24" t="s">
        <v>5971</v>
      </c>
      <c r="N3662" s="2" t="s">
        <v>23</v>
      </c>
      <c r="O3662" s="18" t="s">
        <v>2824</v>
      </c>
      <c r="P3662" s="18" t="s">
        <v>3781</v>
      </c>
      <c r="Q3662" s="6" t="s">
        <v>4475</v>
      </c>
      <c r="T3662" s="23">
        <v>45811</v>
      </c>
      <c r="U3662" s="23">
        <v>47272</v>
      </c>
      <c r="X3662" s="20">
        <v>5000</v>
      </c>
      <c r="Z3662" s="6" t="s">
        <v>5978</v>
      </c>
      <c r="AA3662" s="14">
        <f t="shared" si="493"/>
        <v>5.9999999999999995E-4</v>
      </c>
      <c r="AB3662">
        <v>1.2030539999999998</v>
      </c>
      <c r="AC3662">
        <v>1.25117616</v>
      </c>
    </row>
    <row r="3663" spans="1:29" x14ac:dyDescent="0.3">
      <c r="A3663">
        <v>146371</v>
      </c>
      <c r="B3663" s="25" t="s">
        <v>5984</v>
      </c>
      <c r="C3663" t="s">
        <v>20</v>
      </c>
      <c r="D3663" t="s">
        <v>21</v>
      </c>
      <c r="E3663">
        <v>2222222</v>
      </c>
      <c r="F3663" s="8" t="s">
        <v>22</v>
      </c>
      <c r="G3663" s="2">
        <v>98</v>
      </c>
      <c r="H3663" t="s">
        <v>4497</v>
      </c>
      <c r="J3663" s="9" t="s">
        <v>5265</v>
      </c>
      <c r="K3663" t="s">
        <v>5812</v>
      </c>
      <c r="L3663" s="2">
        <v>1</v>
      </c>
      <c r="M3663" s="24" t="s">
        <v>5971</v>
      </c>
      <c r="N3663" s="2" t="s">
        <v>23</v>
      </c>
      <c r="O3663" s="18" t="s">
        <v>2830</v>
      </c>
      <c r="P3663" s="18" t="s">
        <v>0</v>
      </c>
      <c r="Q3663" s="6" t="s">
        <v>4475</v>
      </c>
      <c r="T3663" s="23">
        <v>45812</v>
      </c>
      <c r="U3663" s="23">
        <v>46908</v>
      </c>
      <c r="X3663" s="20">
        <v>1000</v>
      </c>
      <c r="Z3663" s="6" t="s">
        <v>5978</v>
      </c>
      <c r="AA3663" s="14">
        <f t="shared" si="493"/>
        <v>5.9999999999999995E-4</v>
      </c>
      <c r="AB3663">
        <v>0.43313399999999996</v>
      </c>
      <c r="AC3663">
        <v>0.45045935999999998</v>
      </c>
    </row>
    <row r="3664" spans="1:29" x14ac:dyDescent="0.3">
      <c r="A3664">
        <v>147241</v>
      </c>
      <c r="B3664" s="25" t="s">
        <v>5984</v>
      </c>
      <c r="C3664" t="s">
        <v>20</v>
      </c>
      <c r="D3664" t="s">
        <v>21</v>
      </c>
      <c r="E3664">
        <v>2222222</v>
      </c>
      <c r="F3664" s="8" t="s">
        <v>22</v>
      </c>
      <c r="G3664" s="2">
        <v>98</v>
      </c>
      <c r="H3664" t="s">
        <v>4497</v>
      </c>
      <c r="J3664" s="9" t="s">
        <v>4815</v>
      </c>
      <c r="K3664" t="s">
        <v>5385</v>
      </c>
      <c r="L3664" s="2">
        <v>1</v>
      </c>
      <c r="M3664" s="24" t="s">
        <v>5971</v>
      </c>
      <c r="N3664" s="2" t="s">
        <v>23</v>
      </c>
      <c r="O3664" s="18" t="s">
        <v>2831</v>
      </c>
      <c r="P3664" s="18" t="s">
        <v>0</v>
      </c>
      <c r="Q3664" s="6" t="s">
        <v>4475</v>
      </c>
      <c r="T3664" s="23">
        <v>45874</v>
      </c>
      <c r="U3664" s="23">
        <v>46603</v>
      </c>
      <c r="X3664" s="20">
        <v>2600</v>
      </c>
      <c r="Z3664" s="6" t="s">
        <v>5978</v>
      </c>
      <c r="AA3664" s="14">
        <f t="shared" si="493"/>
        <v>5.9999999999999995E-4</v>
      </c>
      <c r="AB3664">
        <v>0.90973199999999999</v>
      </c>
      <c r="AC3664">
        <v>0.94612128000000006</v>
      </c>
    </row>
    <row r="3665" spans="1:29" x14ac:dyDescent="0.3">
      <c r="A3665">
        <v>148072</v>
      </c>
      <c r="B3665" s="25" t="s">
        <v>5984</v>
      </c>
      <c r="C3665" t="s">
        <v>20</v>
      </c>
      <c r="D3665" t="s">
        <v>21</v>
      </c>
      <c r="E3665">
        <v>2222222</v>
      </c>
      <c r="F3665" s="8" t="s">
        <v>22</v>
      </c>
      <c r="G3665" s="2">
        <v>98</v>
      </c>
      <c r="H3665" t="s">
        <v>4497</v>
      </c>
      <c r="J3665" s="9" t="s">
        <v>5068</v>
      </c>
      <c r="K3665" t="s">
        <v>4848</v>
      </c>
      <c r="L3665" s="2">
        <v>1</v>
      </c>
      <c r="M3665" s="24" t="s">
        <v>5971</v>
      </c>
      <c r="N3665" s="2" t="s">
        <v>23</v>
      </c>
      <c r="O3665" s="18" t="s">
        <v>2314</v>
      </c>
      <c r="P3665" s="18" t="s">
        <v>0</v>
      </c>
      <c r="Q3665" s="6" t="s">
        <v>4475</v>
      </c>
      <c r="T3665" s="23">
        <v>45933</v>
      </c>
      <c r="U3665" s="23">
        <v>47393</v>
      </c>
      <c r="X3665" s="20">
        <v>4700</v>
      </c>
      <c r="Z3665" s="6" t="s">
        <v>5978</v>
      </c>
      <c r="AA3665" s="14">
        <f t="shared" si="493"/>
        <v>5.9999999999999995E-4</v>
      </c>
      <c r="AB3665">
        <v>2.4317219999999997</v>
      </c>
      <c r="AC3665">
        <v>2.5289908799999998</v>
      </c>
    </row>
    <row r="3666" spans="1:29" x14ac:dyDescent="0.3">
      <c r="A3666">
        <v>148123</v>
      </c>
      <c r="B3666" s="25" t="s">
        <v>5984</v>
      </c>
      <c r="C3666" t="s">
        <v>20</v>
      </c>
      <c r="D3666" t="s">
        <v>21</v>
      </c>
      <c r="E3666">
        <v>2222222</v>
      </c>
      <c r="F3666" s="8" t="s">
        <v>22</v>
      </c>
      <c r="G3666" s="2">
        <v>98</v>
      </c>
      <c r="H3666" t="s">
        <v>4497</v>
      </c>
      <c r="J3666" s="9" t="s">
        <v>4891</v>
      </c>
      <c r="K3666" t="s">
        <v>4915</v>
      </c>
      <c r="L3666" s="2">
        <v>1</v>
      </c>
      <c r="M3666" s="24" t="s">
        <v>5971</v>
      </c>
      <c r="N3666" s="2" t="s">
        <v>23</v>
      </c>
      <c r="O3666" s="18" t="s">
        <v>2829</v>
      </c>
      <c r="P3666" s="18" t="s">
        <v>3781</v>
      </c>
      <c r="Q3666" s="6" t="s">
        <v>4475</v>
      </c>
      <c r="T3666" s="23">
        <v>45937</v>
      </c>
      <c r="U3666" s="23">
        <v>46483</v>
      </c>
      <c r="X3666" s="20">
        <v>2500</v>
      </c>
      <c r="Z3666" s="6" t="s">
        <v>5978</v>
      </c>
      <c r="AA3666" s="14">
        <f t="shared" si="493"/>
        <v>5.9999999999999995E-4</v>
      </c>
      <c r="AB3666">
        <v>0.79971599999999987</v>
      </c>
      <c r="AC3666">
        <v>0.83170463999999988</v>
      </c>
    </row>
    <row r="3667" spans="1:29" x14ac:dyDescent="0.3">
      <c r="A3667">
        <v>149188</v>
      </c>
      <c r="B3667" s="25" t="s">
        <v>5984</v>
      </c>
      <c r="C3667" t="s">
        <v>20</v>
      </c>
      <c r="D3667" t="s">
        <v>21</v>
      </c>
      <c r="E3667">
        <v>2222222</v>
      </c>
      <c r="F3667" s="8" t="s">
        <v>22</v>
      </c>
      <c r="G3667" s="2">
        <v>98</v>
      </c>
      <c r="H3667" t="s">
        <v>4497</v>
      </c>
      <c r="J3667" s="9" t="s">
        <v>4891</v>
      </c>
      <c r="K3667" t="s">
        <v>4915</v>
      </c>
      <c r="L3667" s="2">
        <v>1</v>
      </c>
      <c r="M3667" s="24" t="s">
        <v>5971</v>
      </c>
      <c r="N3667" s="2" t="s">
        <v>23</v>
      </c>
      <c r="O3667" s="18" t="s">
        <v>2829</v>
      </c>
      <c r="P3667" s="18" t="s">
        <v>3781</v>
      </c>
      <c r="Q3667" s="6" t="s">
        <v>4475</v>
      </c>
      <c r="T3667" s="23">
        <v>46003</v>
      </c>
      <c r="U3667" s="23">
        <v>46573</v>
      </c>
      <c r="X3667" s="20">
        <v>1100</v>
      </c>
      <c r="Z3667" s="6" t="s">
        <v>5978</v>
      </c>
      <c r="AA3667" s="14">
        <f t="shared" si="493"/>
        <v>5.9999999999999995E-4</v>
      </c>
      <c r="AB3667">
        <v>0.45672599999999997</v>
      </c>
      <c r="AC3667">
        <v>0.47499503999999998</v>
      </c>
    </row>
    <row r="3668" spans="1:29" x14ac:dyDescent="0.3">
      <c r="A3668">
        <v>149207</v>
      </c>
      <c r="B3668" s="25" t="s">
        <v>5984</v>
      </c>
      <c r="C3668" t="s">
        <v>20</v>
      </c>
      <c r="D3668" t="s">
        <v>21</v>
      </c>
      <c r="E3668">
        <v>2222222</v>
      </c>
      <c r="F3668" s="8" t="s">
        <v>22</v>
      </c>
      <c r="G3668" s="2">
        <v>98</v>
      </c>
      <c r="H3668" t="s">
        <v>4497</v>
      </c>
      <c r="J3668" s="9" t="s">
        <v>5810</v>
      </c>
      <c r="K3668" t="s">
        <v>4832</v>
      </c>
      <c r="L3668" s="2">
        <v>1</v>
      </c>
      <c r="M3668" s="24" t="s">
        <v>5971</v>
      </c>
      <c r="N3668" s="2" t="s">
        <v>23</v>
      </c>
      <c r="O3668" s="18" t="s">
        <v>2826</v>
      </c>
      <c r="P3668" s="18" t="s">
        <v>3781</v>
      </c>
      <c r="Q3668" s="6" t="s">
        <v>4475</v>
      </c>
      <c r="T3668" s="23">
        <v>46005</v>
      </c>
      <c r="U3668" s="23">
        <v>47100</v>
      </c>
      <c r="X3668" s="20">
        <v>4000</v>
      </c>
      <c r="Z3668" s="6" t="s">
        <v>5978</v>
      </c>
      <c r="AA3668" s="14">
        <f t="shared" si="493"/>
        <v>5.9999999999999995E-4</v>
      </c>
      <c r="AB3668">
        <v>2.0222879999999996</v>
      </c>
      <c r="AC3668">
        <v>2.1031795199999999</v>
      </c>
    </row>
    <row r="3669" spans="1:29" x14ac:dyDescent="0.3">
      <c r="A3669">
        <v>150728</v>
      </c>
      <c r="B3669" s="25" t="s">
        <v>5984</v>
      </c>
      <c r="C3669" t="s">
        <v>20</v>
      </c>
      <c r="D3669" t="s">
        <v>21</v>
      </c>
      <c r="E3669">
        <v>2222222</v>
      </c>
      <c r="F3669" s="8" t="s">
        <v>22</v>
      </c>
      <c r="G3669" s="2">
        <v>98</v>
      </c>
      <c r="H3669" t="s">
        <v>4497</v>
      </c>
      <c r="J3669" s="9" t="s">
        <v>4838</v>
      </c>
      <c r="K3669" t="s">
        <v>5068</v>
      </c>
      <c r="L3669" s="2">
        <v>1</v>
      </c>
      <c r="M3669" s="24" t="s">
        <v>5971</v>
      </c>
      <c r="N3669" s="2" t="s">
        <v>23</v>
      </c>
      <c r="O3669" s="18" t="s">
        <v>2514</v>
      </c>
      <c r="P3669" s="18" t="s">
        <v>0</v>
      </c>
      <c r="Q3669" s="6" t="s">
        <v>4475</v>
      </c>
      <c r="T3669" s="23">
        <v>46111</v>
      </c>
      <c r="U3669" s="23">
        <v>47571</v>
      </c>
      <c r="X3669" s="20">
        <v>5000</v>
      </c>
      <c r="Z3669" s="6" t="s">
        <v>5978</v>
      </c>
      <c r="AA3669" s="14">
        <f t="shared" si="493"/>
        <v>5.9999999999999995E-4</v>
      </c>
      <c r="AB3669">
        <v>2.8234439999999998</v>
      </c>
      <c r="AC3669">
        <v>2.9363817599999997</v>
      </c>
    </row>
    <row r="3670" spans="1:29" x14ac:dyDescent="0.3">
      <c r="A3670">
        <v>151372</v>
      </c>
      <c r="B3670" s="25" t="s">
        <v>5984</v>
      </c>
      <c r="C3670" t="s">
        <v>20</v>
      </c>
      <c r="D3670" t="s">
        <v>21</v>
      </c>
      <c r="E3670">
        <v>2222222</v>
      </c>
      <c r="F3670" s="8" t="s">
        <v>22</v>
      </c>
      <c r="G3670" s="2">
        <v>98</v>
      </c>
      <c r="H3670" t="s">
        <v>4497</v>
      </c>
      <c r="J3670" s="9" t="s">
        <v>5809</v>
      </c>
      <c r="K3670" t="s">
        <v>4863</v>
      </c>
      <c r="L3670" s="2">
        <v>1</v>
      </c>
      <c r="M3670" s="24" t="s">
        <v>5971</v>
      </c>
      <c r="N3670" s="2" t="s">
        <v>23</v>
      </c>
      <c r="O3670" s="18" t="s">
        <v>2822</v>
      </c>
      <c r="P3670" s="18" t="s">
        <v>3781</v>
      </c>
      <c r="Q3670" s="6" t="s">
        <v>4475</v>
      </c>
      <c r="T3670" s="23">
        <v>46160</v>
      </c>
      <c r="U3670" s="23">
        <v>46250</v>
      </c>
      <c r="X3670" s="20">
        <v>5000</v>
      </c>
      <c r="Z3670" s="6" t="s">
        <v>5978</v>
      </c>
      <c r="AA3670" s="14">
        <f t="shared" si="493"/>
        <v>5.9999999999999995E-4</v>
      </c>
      <c r="AB3670">
        <v>2.9999999999999996</v>
      </c>
      <c r="AC3670">
        <v>3.1199999999999997</v>
      </c>
    </row>
    <row r="3671" spans="1:29" x14ac:dyDescent="0.3">
      <c r="A3671">
        <v>151658</v>
      </c>
      <c r="B3671" s="25" t="s">
        <v>5984</v>
      </c>
      <c r="C3671" t="s">
        <v>20</v>
      </c>
      <c r="D3671" t="s">
        <v>21</v>
      </c>
      <c r="E3671">
        <v>2222222</v>
      </c>
      <c r="F3671" s="8" t="s">
        <v>22</v>
      </c>
      <c r="G3671" s="2">
        <v>98</v>
      </c>
      <c r="H3671" t="s">
        <v>4497</v>
      </c>
      <c r="J3671" s="9" t="s">
        <v>4916</v>
      </c>
      <c r="K3671" t="s">
        <v>5025</v>
      </c>
      <c r="L3671" s="2">
        <v>1</v>
      </c>
      <c r="M3671" s="24" t="s">
        <v>5971</v>
      </c>
      <c r="N3671" s="2" t="s">
        <v>23</v>
      </c>
      <c r="O3671" s="18" t="s">
        <v>2832</v>
      </c>
      <c r="P3671" s="18" t="s">
        <v>3781</v>
      </c>
      <c r="Q3671" s="6" t="s">
        <v>4475</v>
      </c>
      <c r="T3671" s="23">
        <v>46177</v>
      </c>
      <c r="U3671" s="23">
        <v>46447</v>
      </c>
      <c r="X3671" s="20">
        <v>1550</v>
      </c>
      <c r="Z3671" s="6" t="s">
        <v>5978</v>
      </c>
      <c r="AA3671" s="14">
        <f t="shared" si="493"/>
        <v>5.9999999999999995E-4</v>
      </c>
      <c r="AB3671">
        <v>0.92999999999999994</v>
      </c>
      <c r="AC3671">
        <v>0.96719999999999995</v>
      </c>
    </row>
    <row r="3672" spans="1:29" x14ac:dyDescent="0.3">
      <c r="A3672">
        <v>151664</v>
      </c>
      <c r="B3672" s="25" t="s">
        <v>5984</v>
      </c>
      <c r="C3672" t="s">
        <v>20</v>
      </c>
      <c r="D3672" t="s">
        <v>21</v>
      </c>
      <c r="E3672">
        <v>2222222</v>
      </c>
      <c r="F3672" s="8" t="s">
        <v>22</v>
      </c>
      <c r="G3672" s="2">
        <v>98</v>
      </c>
      <c r="H3672" t="s">
        <v>4497</v>
      </c>
      <c r="J3672" s="9" t="s">
        <v>5000</v>
      </c>
      <c r="K3672" t="s">
        <v>5010</v>
      </c>
      <c r="L3672" s="2">
        <v>1</v>
      </c>
      <c r="M3672" s="24" t="s">
        <v>5971</v>
      </c>
      <c r="N3672" s="2" t="s">
        <v>23</v>
      </c>
      <c r="O3672" s="18" t="s">
        <v>2821</v>
      </c>
      <c r="P3672" s="18" t="s">
        <v>0</v>
      </c>
      <c r="Q3672" s="6" t="s">
        <v>4475</v>
      </c>
      <c r="T3672" s="23">
        <v>46178</v>
      </c>
      <c r="U3672" s="23">
        <v>46268</v>
      </c>
      <c r="X3672" s="20">
        <v>3480</v>
      </c>
      <c r="Z3672" s="6" t="s">
        <v>5978</v>
      </c>
      <c r="AA3672" s="14">
        <f t="shared" si="493"/>
        <v>5.9999999999999995E-4</v>
      </c>
      <c r="AB3672">
        <v>2.0879999999999996</v>
      </c>
      <c r="AC3672">
        <v>2.1715199999999997</v>
      </c>
    </row>
    <row r="3673" spans="1:29" x14ac:dyDescent="0.3">
      <c r="A3673">
        <v>151913</v>
      </c>
      <c r="B3673" s="25" t="s">
        <v>5984</v>
      </c>
      <c r="C3673" t="s">
        <v>20</v>
      </c>
      <c r="D3673" t="s">
        <v>21</v>
      </c>
      <c r="E3673">
        <v>2222222</v>
      </c>
      <c r="F3673" s="8" t="s">
        <v>22</v>
      </c>
      <c r="G3673" s="2">
        <v>98</v>
      </c>
      <c r="H3673" t="s">
        <v>4497</v>
      </c>
      <c r="J3673" s="9" t="s">
        <v>4891</v>
      </c>
      <c r="K3673" t="s">
        <v>4915</v>
      </c>
      <c r="L3673" s="2">
        <v>1</v>
      </c>
      <c r="M3673" s="24" t="s">
        <v>5971</v>
      </c>
      <c r="N3673" s="2" t="s">
        <v>23</v>
      </c>
      <c r="O3673" s="18" t="s">
        <v>2829</v>
      </c>
      <c r="P3673" s="18" t="s">
        <v>3781</v>
      </c>
      <c r="Q3673" s="6" t="s">
        <v>4475</v>
      </c>
      <c r="T3673" s="23">
        <v>46196</v>
      </c>
      <c r="U3673" s="23">
        <v>46927</v>
      </c>
      <c r="X3673" s="20">
        <v>890</v>
      </c>
      <c r="Z3673" s="6" t="s">
        <v>5978</v>
      </c>
      <c r="AA3673" s="14">
        <f t="shared" si="493"/>
        <v>5.9999999999999995E-4</v>
      </c>
      <c r="AB3673">
        <v>0.51510599999999995</v>
      </c>
      <c r="AC3673">
        <v>0.53571024</v>
      </c>
    </row>
    <row r="3674" spans="1:29" x14ac:dyDescent="0.3">
      <c r="A3674">
        <v>152055</v>
      </c>
      <c r="B3674" s="25" t="s">
        <v>5984</v>
      </c>
      <c r="C3674" t="s">
        <v>20</v>
      </c>
      <c r="D3674" t="s">
        <v>21</v>
      </c>
      <c r="E3674">
        <v>2222222</v>
      </c>
      <c r="F3674" s="8" t="s">
        <v>22</v>
      </c>
      <c r="G3674" s="2">
        <v>98</v>
      </c>
      <c r="H3674" t="s">
        <v>4497</v>
      </c>
      <c r="J3674" s="9" t="s">
        <v>5813</v>
      </c>
      <c r="K3674" t="s">
        <v>5035</v>
      </c>
      <c r="L3674" s="2">
        <v>1</v>
      </c>
      <c r="M3674" s="24" t="s">
        <v>5971</v>
      </c>
      <c r="N3674" s="2" t="s">
        <v>23</v>
      </c>
      <c r="O3674" s="18" t="s">
        <v>2833</v>
      </c>
      <c r="P3674" s="18" t="s">
        <v>0</v>
      </c>
      <c r="Q3674" s="6" t="s">
        <v>4475</v>
      </c>
      <c r="T3674" s="23">
        <v>46208</v>
      </c>
      <c r="U3674" s="23">
        <v>46298</v>
      </c>
      <c r="X3674" s="20">
        <v>600</v>
      </c>
      <c r="Z3674" s="6" t="s">
        <v>5978</v>
      </c>
      <c r="AA3674" s="14">
        <f t="shared" si="493"/>
        <v>5.9999999999999995E-4</v>
      </c>
      <c r="AB3674">
        <v>0.36</v>
      </c>
      <c r="AC3674">
        <v>0.37440000000000001</v>
      </c>
    </row>
    <row r="3675" spans="1:29" x14ac:dyDescent="0.3">
      <c r="A3675">
        <v>152087</v>
      </c>
      <c r="B3675" s="25" t="s">
        <v>5984</v>
      </c>
      <c r="C3675" t="s">
        <v>20</v>
      </c>
      <c r="D3675" t="s">
        <v>21</v>
      </c>
      <c r="E3675">
        <v>2222222</v>
      </c>
      <c r="F3675" s="8" t="s">
        <v>22</v>
      </c>
      <c r="G3675" s="2">
        <v>98</v>
      </c>
      <c r="H3675" t="s">
        <v>4497</v>
      </c>
      <c r="J3675" s="9" t="s">
        <v>4929</v>
      </c>
      <c r="K3675" t="s">
        <v>5814</v>
      </c>
      <c r="L3675" s="2">
        <v>1</v>
      </c>
      <c r="M3675" s="24" t="s">
        <v>5971</v>
      </c>
      <c r="N3675" s="2" t="s">
        <v>23</v>
      </c>
      <c r="O3675" s="18" t="s">
        <v>2834</v>
      </c>
      <c r="P3675" s="18" t="s">
        <v>0</v>
      </c>
      <c r="Q3675" s="6" t="s">
        <v>4475</v>
      </c>
      <c r="T3675" s="23">
        <v>46210</v>
      </c>
      <c r="U3675" s="23">
        <v>46940</v>
      </c>
      <c r="X3675" s="20">
        <v>2000</v>
      </c>
      <c r="Z3675" s="6" t="s">
        <v>5978</v>
      </c>
      <c r="AA3675" s="14">
        <f t="shared" si="493"/>
        <v>5.9999999999999995E-4</v>
      </c>
      <c r="AB3675">
        <v>1.2</v>
      </c>
      <c r="AC3675">
        <v>1.248</v>
      </c>
    </row>
    <row r="3676" spans="1:29" x14ac:dyDescent="0.3">
      <c r="A3676">
        <v>152124</v>
      </c>
      <c r="B3676" s="25" t="s">
        <v>5984</v>
      </c>
      <c r="C3676" t="s">
        <v>20</v>
      </c>
      <c r="D3676" t="s">
        <v>21</v>
      </c>
      <c r="E3676">
        <v>2222222</v>
      </c>
      <c r="F3676" s="8" t="s">
        <v>22</v>
      </c>
      <c r="G3676" s="2">
        <v>98</v>
      </c>
      <c r="H3676" t="s">
        <v>4497</v>
      </c>
      <c r="J3676" s="9" t="s">
        <v>4916</v>
      </c>
      <c r="K3676" t="s">
        <v>5025</v>
      </c>
      <c r="L3676" s="2">
        <v>1</v>
      </c>
      <c r="M3676" s="24" t="s">
        <v>5971</v>
      </c>
      <c r="N3676" s="2" t="s">
        <v>23</v>
      </c>
      <c r="O3676" s="18" t="s">
        <v>2832</v>
      </c>
      <c r="P3676" s="18" t="s">
        <v>3781</v>
      </c>
      <c r="Q3676" s="6" t="s">
        <v>4475</v>
      </c>
      <c r="T3676" s="23">
        <v>46217</v>
      </c>
      <c r="U3676" s="23">
        <v>46447</v>
      </c>
      <c r="X3676" s="20">
        <v>27500</v>
      </c>
      <c r="Z3676" s="6" t="s">
        <v>5978</v>
      </c>
      <c r="AA3676" s="14">
        <f t="shared" si="493"/>
        <v>5.9999999999999995E-4</v>
      </c>
      <c r="AB3676">
        <v>16.5</v>
      </c>
      <c r="AC3676">
        <v>17.16</v>
      </c>
    </row>
    <row r="3677" spans="1:29" x14ac:dyDescent="0.3">
      <c r="A3677">
        <v>152143</v>
      </c>
      <c r="B3677" s="25" t="s">
        <v>5984</v>
      </c>
      <c r="C3677" t="s">
        <v>20</v>
      </c>
      <c r="D3677" t="s">
        <v>21</v>
      </c>
      <c r="E3677">
        <v>2222222</v>
      </c>
      <c r="F3677" s="8" t="s">
        <v>22</v>
      </c>
      <c r="G3677" s="2">
        <v>98</v>
      </c>
      <c r="H3677" t="s">
        <v>4497</v>
      </c>
      <c r="J3677" s="9" t="s">
        <v>4836</v>
      </c>
      <c r="K3677" t="s">
        <v>4899</v>
      </c>
      <c r="L3677" s="2">
        <v>1</v>
      </c>
      <c r="M3677" s="24" t="s">
        <v>5971</v>
      </c>
      <c r="N3677" s="2" t="s">
        <v>23</v>
      </c>
      <c r="O3677" s="18" t="s">
        <v>2824</v>
      </c>
      <c r="P3677" s="18" t="s">
        <v>3781</v>
      </c>
      <c r="Q3677" s="6" t="s">
        <v>4475</v>
      </c>
      <c r="T3677" s="23">
        <v>46216</v>
      </c>
      <c r="U3677" s="23">
        <v>46306</v>
      </c>
      <c r="X3677" s="20">
        <v>4000</v>
      </c>
      <c r="Z3677" s="6" t="s">
        <v>5978</v>
      </c>
      <c r="AA3677" s="14">
        <f t="shared" si="493"/>
        <v>5.9999999999999995E-4</v>
      </c>
      <c r="AB3677">
        <v>2.4</v>
      </c>
      <c r="AC3677">
        <v>2.496</v>
      </c>
    </row>
    <row r="3678" spans="1:29" x14ac:dyDescent="0.3">
      <c r="A3678">
        <v>152161</v>
      </c>
      <c r="B3678" s="25" t="s">
        <v>5984</v>
      </c>
      <c r="C3678" t="s">
        <v>20</v>
      </c>
      <c r="D3678" t="s">
        <v>21</v>
      </c>
      <c r="E3678">
        <v>2222222</v>
      </c>
      <c r="F3678" s="8" t="s">
        <v>22</v>
      </c>
      <c r="G3678" s="2">
        <v>98</v>
      </c>
      <c r="H3678" t="s">
        <v>4497</v>
      </c>
      <c r="J3678" s="9" t="s">
        <v>4864</v>
      </c>
      <c r="K3678" t="s">
        <v>4876</v>
      </c>
      <c r="L3678" s="2">
        <v>1</v>
      </c>
      <c r="M3678" s="24" t="s">
        <v>5971</v>
      </c>
      <c r="N3678" s="2" t="s">
        <v>23</v>
      </c>
      <c r="O3678" s="18" t="s">
        <v>2648</v>
      </c>
      <c r="P3678" s="18" t="s">
        <v>0</v>
      </c>
      <c r="Q3678" s="6" t="s">
        <v>4475</v>
      </c>
      <c r="T3678" s="23">
        <v>46217</v>
      </c>
      <c r="U3678" s="23">
        <v>46307</v>
      </c>
      <c r="X3678" s="20">
        <v>5000</v>
      </c>
      <c r="Z3678" s="6" t="s">
        <v>5978</v>
      </c>
      <c r="AA3678" s="14">
        <f t="shared" si="493"/>
        <v>5.9999999999999995E-4</v>
      </c>
      <c r="AB3678">
        <v>2.9999999999999996</v>
      </c>
      <c r="AC3678">
        <v>3.1199999999999997</v>
      </c>
    </row>
    <row r="3679" spans="1:29" x14ac:dyDescent="0.3">
      <c r="A3679">
        <v>152237</v>
      </c>
      <c r="B3679" s="25" t="s">
        <v>5984</v>
      </c>
      <c r="C3679" t="s">
        <v>20</v>
      </c>
      <c r="D3679" t="s">
        <v>21</v>
      </c>
      <c r="E3679">
        <v>2222222</v>
      </c>
      <c r="F3679" s="8" t="s">
        <v>22</v>
      </c>
      <c r="G3679" s="2">
        <v>98</v>
      </c>
      <c r="H3679" t="s">
        <v>4497</v>
      </c>
      <c r="J3679" s="9" t="s">
        <v>5000</v>
      </c>
      <c r="K3679" t="s">
        <v>5010</v>
      </c>
      <c r="L3679" s="2">
        <v>1</v>
      </c>
      <c r="M3679" s="24" t="s">
        <v>5971</v>
      </c>
      <c r="N3679" s="2" t="s">
        <v>23</v>
      </c>
      <c r="O3679" s="18" t="s">
        <v>2821</v>
      </c>
      <c r="P3679" s="18" t="s">
        <v>0</v>
      </c>
      <c r="Q3679" s="6" t="s">
        <v>4475</v>
      </c>
      <c r="T3679" s="23">
        <v>46220</v>
      </c>
      <c r="U3679" s="23">
        <v>47680</v>
      </c>
      <c r="X3679" s="20">
        <v>4130</v>
      </c>
      <c r="Z3679" s="6" t="s">
        <v>5978</v>
      </c>
      <c r="AA3679" s="14">
        <f t="shared" si="493"/>
        <v>5.9999999999999995E-4</v>
      </c>
      <c r="AB3679">
        <v>2.4779999999999998</v>
      </c>
      <c r="AC3679">
        <v>2.5771199999999999</v>
      </c>
    </row>
    <row r="3680" spans="1:29" x14ac:dyDescent="0.3">
      <c r="A3680">
        <v>152290</v>
      </c>
      <c r="B3680" s="25" t="s">
        <v>5984</v>
      </c>
      <c r="C3680" t="s">
        <v>20</v>
      </c>
      <c r="D3680" t="s">
        <v>21</v>
      </c>
      <c r="E3680">
        <v>2222222</v>
      </c>
      <c r="F3680" s="8" t="s">
        <v>22</v>
      </c>
      <c r="G3680" s="2">
        <v>98</v>
      </c>
      <c r="H3680" t="s">
        <v>4497</v>
      </c>
      <c r="J3680" s="9" t="s">
        <v>5815</v>
      </c>
      <c r="K3680" t="s">
        <v>5816</v>
      </c>
      <c r="L3680" s="2">
        <v>1</v>
      </c>
      <c r="M3680" s="24" t="s">
        <v>5971</v>
      </c>
      <c r="N3680" s="2" t="s">
        <v>23</v>
      </c>
      <c r="O3680" s="18" t="s">
        <v>2835</v>
      </c>
      <c r="P3680" s="18" t="s">
        <v>3781</v>
      </c>
      <c r="Q3680" s="6" t="s">
        <v>4475</v>
      </c>
      <c r="T3680" s="23">
        <v>46225</v>
      </c>
      <c r="U3680" s="23">
        <v>46956</v>
      </c>
      <c r="X3680" s="20">
        <v>4200</v>
      </c>
      <c r="Z3680" s="6" t="s">
        <v>5978</v>
      </c>
      <c r="AA3680" s="14">
        <f t="shared" si="493"/>
        <v>5.9999999999999995E-4</v>
      </c>
      <c r="AB3680">
        <v>2.5199999999999996</v>
      </c>
      <c r="AC3680">
        <v>2.6207999999999996</v>
      </c>
    </row>
    <row r="3681" spans="1:29" x14ac:dyDescent="0.3">
      <c r="A3681">
        <v>127663</v>
      </c>
      <c r="B3681" s="25" t="s">
        <v>5984</v>
      </c>
      <c r="C3681" t="s">
        <v>20</v>
      </c>
      <c r="D3681" t="s">
        <v>21</v>
      </c>
      <c r="E3681">
        <v>2222222</v>
      </c>
      <c r="F3681" s="8" t="s">
        <v>22</v>
      </c>
      <c r="G3681" s="2">
        <v>98</v>
      </c>
      <c r="H3681" t="s">
        <v>4498</v>
      </c>
      <c r="J3681" s="9" t="s">
        <v>4854</v>
      </c>
      <c r="K3681" t="s">
        <v>5599</v>
      </c>
      <c r="L3681" s="2">
        <v>1</v>
      </c>
      <c r="M3681" s="24" t="s">
        <v>5971</v>
      </c>
      <c r="N3681" s="2" t="s">
        <v>23</v>
      </c>
      <c r="O3681" s="18" t="s">
        <v>2836</v>
      </c>
      <c r="P3681" s="18" t="s">
        <v>0</v>
      </c>
      <c r="Q3681" s="6" t="s">
        <v>4475</v>
      </c>
      <c r="T3681" s="23">
        <v>44684</v>
      </c>
      <c r="U3681" s="23">
        <v>46144</v>
      </c>
      <c r="X3681" s="20">
        <v>5000</v>
      </c>
      <c r="Z3681" s="6" t="s">
        <v>5978</v>
      </c>
      <c r="AA3681" s="15">
        <f>+(0.42/1000)</f>
        <v>4.1999999999999996E-4</v>
      </c>
      <c r="AB3681">
        <v>1.6197971999999998</v>
      </c>
      <c r="AC3681">
        <v>1.6845890879999998</v>
      </c>
    </row>
    <row r="3682" spans="1:29" x14ac:dyDescent="0.3">
      <c r="A3682">
        <v>130973</v>
      </c>
      <c r="B3682" s="25" t="s">
        <v>5984</v>
      </c>
      <c r="C3682" t="s">
        <v>20</v>
      </c>
      <c r="D3682" t="s">
        <v>21</v>
      </c>
      <c r="E3682">
        <v>2222222</v>
      </c>
      <c r="F3682" s="8" t="s">
        <v>22</v>
      </c>
      <c r="G3682" s="2">
        <v>98</v>
      </c>
      <c r="H3682" t="s">
        <v>4498</v>
      </c>
      <c r="J3682" s="9" t="s">
        <v>4865</v>
      </c>
      <c r="K3682" t="s">
        <v>4846</v>
      </c>
      <c r="L3682" s="2">
        <v>1</v>
      </c>
      <c r="M3682" s="24" t="s">
        <v>5971</v>
      </c>
      <c r="N3682" s="2" t="s">
        <v>23</v>
      </c>
      <c r="O3682" s="18" t="s">
        <v>2837</v>
      </c>
      <c r="P3682" s="18" t="s">
        <v>0</v>
      </c>
      <c r="Q3682" s="6" t="s">
        <v>4475</v>
      </c>
      <c r="T3682" s="23">
        <v>44865</v>
      </c>
      <c r="U3682" s="23">
        <v>48523</v>
      </c>
      <c r="X3682" s="20">
        <v>11050</v>
      </c>
      <c r="Z3682" s="6" t="s">
        <v>5978</v>
      </c>
      <c r="AA3682" s="13">
        <f t="shared" ref="AA3682:AA3683" si="494">+(0.56/1000)</f>
        <v>5.6000000000000006E-4</v>
      </c>
      <c r="AB3682">
        <v>4.943848</v>
      </c>
      <c r="AC3682">
        <v>5.1416019200000003</v>
      </c>
    </row>
    <row r="3683" spans="1:29" x14ac:dyDescent="0.3">
      <c r="A3683">
        <v>135371</v>
      </c>
      <c r="B3683" s="25" t="s">
        <v>5984</v>
      </c>
      <c r="C3683" t="s">
        <v>20</v>
      </c>
      <c r="D3683" t="s">
        <v>21</v>
      </c>
      <c r="E3683">
        <v>2222222</v>
      </c>
      <c r="F3683" s="8" t="s">
        <v>22</v>
      </c>
      <c r="G3683" s="2">
        <v>98</v>
      </c>
      <c r="H3683" t="s">
        <v>4498</v>
      </c>
      <c r="J3683" s="9" t="s">
        <v>5536</v>
      </c>
      <c r="K3683" t="s">
        <v>5817</v>
      </c>
      <c r="L3683" s="2">
        <v>1</v>
      </c>
      <c r="M3683" s="24" t="s">
        <v>5971</v>
      </c>
      <c r="N3683" s="2" t="s">
        <v>23</v>
      </c>
      <c r="O3683" s="18" t="s">
        <v>2838</v>
      </c>
      <c r="P3683" s="18" t="s">
        <v>3781</v>
      </c>
      <c r="Q3683" s="6" t="s">
        <v>4475</v>
      </c>
      <c r="T3683" s="23">
        <v>45107</v>
      </c>
      <c r="U3683" s="23">
        <v>50648</v>
      </c>
      <c r="X3683" s="20">
        <v>63400</v>
      </c>
      <c r="Z3683" s="6" t="s">
        <v>5978</v>
      </c>
      <c r="AA3683" s="13">
        <f t="shared" si="494"/>
        <v>5.6000000000000006E-4</v>
      </c>
      <c r="AB3683">
        <v>34.345371200000002</v>
      </c>
      <c r="AC3683">
        <v>35.719186048000005</v>
      </c>
    </row>
    <row r="3684" spans="1:29" x14ac:dyDescent="0.3">
      <c r="A3684">
        <v>126472</v>
      </c>
      <c r="B3684" s="25" t="s">
        <v>5984</v>
      </c>
      <c r="C3684" t="s">
        <v>20</v>
      </c>
      <c r="D3684" t="s">
        <v>21</v>
      </c>
      <c r="E3684">
        <v>2222222</v>
      </c>
      <c r="F3684" s="8" t="s">
        <v>22</v>
      </c>
      <c r="G3684" s="2">
        <v>98</v>
      </c>
      <c r="H3684" t="s">
        <v>4499</v>
      </c>
      <c r="J3684" s="9" t="s">
        <v>5818</v>
      </c>
      <c r="K3684" t="s">
        <v>4893</v>
      </c>
      <c r="L3684" s="2">
        <v>1</v>
      </c>
      <c r="M3684" s="24" t="s">
        <v>5971</v>
      </c>
      <c r="N3684" s="2" t="s">
        <v>23</v>
      </c>
      <c r="O3684" s="18" t="s">
        <v>2839</v>
      </c>
      <c r="P3684" s="18" t="s">
        <v>3781</v>
      </c>
      <c r="Q3684" s="6" t="s">
        <v>4475</v>
      </c>
      <c r="T3684" s="23">
        <v>44624</v>
      </c>
      <c r="U3684" s="23">
        <v>45719</v>
      </c>
      <c r="X3684" s="20">
        <v>9600</v>
      </c>
      <c r="Z3684" s="6" t="s">
        <v>5978</v>
      </c>
      <c r="AA3684" s="15">
        <f>+(0.42/1000)</f>
        <v>4.1999999999999996E-4</v>
      </c>
      <c r="AB3684">
        <v>1.6664339999999997</v>
      </c>
      <c r="AC3684">
        <v>1.7330913599999997</v>
      </c>
    </row>
    <row r="3685" spans="1:29" x14ac:dyDescent="0.3">
      <c r="A3685">
        <v>134358</v>
      </c>
      <c r="B3685" s="25" t="s">
        <v>5984</v>
      </c>
      <c r="C3685" t="s">
        <v>20</v>
      </c>
      <c r="D3685" t="s">
        <v>21</v>
      </c>
      <c r="E3685">
        <v>2222222</v>
      </c>
      <c r="F3685" s="8" t="s">
        <v>22</v>
      </c>
      <c r="G3685" s="2">
        <v>98</v>
      </c>
      <c r="H3685" t="s">
        <v>4499</v>
      </c>
      <c r="J3685" s="9" t="s">
        <v>4894</v>
      </c>
      <c r="K3685" t="s">
        <v>5228</v>
      </c>
      <c r="L3685" s="2">
        <v>1</v>
      </c>
      <c r="M3685" s="24" t="s">
        <v>5971</v>
      </c>
      <c r="N3685" s="2" t="s">
        <v>23</v>
      </c>
      <c r="O3685" s="18" t="s">
        <v>2840</v>
      </c>
      <c r="P3685" s="18" t="s">
        <v>0</v>
      </c>
      <c r="Q3685" s="6" t="s">
        <v>4475</v>
      </c>
      <c r="T3685" s="23">
        <v>45051</v>
      </c>
      <c r="U3685" s="23">
        <v>46517</v>
      </c>
      <c r="X3685" s="20">
        <v>7000</v>
      </c>
      <c r="Z3685" s="6" t="s">
        <v>5978</v>
      </c>
      <c r="AA3685" s="13">
        <f t="shared" ref="AA3685:AA3686" si="495">+(0.56/1000)</f>
        <v>5.6000000000000006E-4</v>
      </c>
      <c r="AB3685">
        <v>1.0381896000000002</v>
      </c>
      <c r="AC3685">
        <v>1.0797171840000002</v>
      </c>
    </row>
    <row r="3686" spans="1:29" x14ac:dyDescent="0.3">
      <c r="A3686">
        <v>140424</v>
      </c>
      <c r="B3686" s="25" t="s">
        <v>5984</v>
      </c>
      <c r="C3686" t="s">
        <v>20</v>
      </c>
      <c r="D3686" t="s">
        <v>21</v>
      </c>
      <c r="E3686">
        <v>2222222</v>
      </c>
      <c r="F3686" s="8" t="s">
        <v>22</v>
      </c>
      <c r="G3686" s="2">
        <v>98</v>
      </c>
      <c r="H3686" t="s">
        <v>4499</v>
      </c>
      <c r="J3686" s="9" t="s">
        <v>4892</v>
      </c>
      <c r="K3686" t="s">
        <v>5101</v>
      </c>
      <c r="L3686" s="2">
        <v>1</v>
      </c>
      <c r="M3686" s="24" t="s">
        <v>5971</v>
      </c>
      <c r="N3686" s="2" t="s">
        <v>23</v>
      </c>
      <c r="O3686" s="18" t="s">
        <v>2841</v>
      </c>
      <c r="P3686" s="18" t="s">
        <v>3781</v>
      </c>
      <c r="Q3686" s="6" t="s">
        <v>4475</v>
      </c>
      <c r="T3686" s="23">
        <v>45387</v>
      </c>
      <c r="U3686" s="23">
        <v>46484</v>
      </c>
      <c r="X3686" s="20">
        <v>5000</v>
      </c>
      <c r="Z3686" s="6" t="s">
        <v>5978</v>
      </c>
      <c r="AA3686" s="13">
        <f t="shared" si="495"/>
        <v>5.6000000000000006E-4</v>
      </c>
      <c r="AB3686">
        <v>0.85740480000000008</v>
      </c>
      <c r="AC3686">
        <v>0.89170099200000008</v>
      </c>
    </row>
    <row r="3687" spans="1:29" x14ac:dyDescent="0.3">
      <c r="A3687">
        <v>126820</v>
      </c>
      <c r="B3687" s="25" t="s">
        <v>5984</v>
      </c>
      <c r="C3687" t="s">
        <v>20</v>
      </c>
      <c r="D3687" t="s">
        <v>21</v>
      </c>
      <c r="E3687">
        <v>2222222</v>
      </c>
      <c r="F3687" s="8" t="s">
        <v>22</v>
      </c>
      <c r="G3687" s="2">
        <v>98</v>
      </c>
      <c r="H3687" t="s">
        <v>4500</v>
      </c>
      <c r="J3687" s="9" t="s">
        <v>5372</v>
      </c>
      <c r="K3687" t="s">
        <v>5115</v>
      </c>
      <c r="L3687" s="2">
        <v>1</v>
      </c>
      <c r="M3687" s="24" t="s">
        <v>5971</v>
      </c>
      <c r="N3687" s="2" t="s">
        <v>23</v>
      </c>
      <c r="O3687" s="18" t="s">
        <v>2842</v>
      </c>
      <c r="P3687" s="18" t="s">
        <v>3781</v>
      </c>
      <c r="Q3687" s="6" t="s">
        <v>4475</v>
      </c>
      <c r="T3687" s="23">
        <v>44637</v>
      </c>
      <c r="U3687" s="23">
        <v>45001</v>
      </c>
      <c r="X3687" s="20">
        <v>1205</v>
      </c>
      <c r="Z3687" s="6" t="s">
        <v>5978</v>
      </c>
      <c r="AA3687" s="15">
        <f t="shared" ref="AA3687:AA3689" si="496">+(0.42/1000)</f>
        <v>4.1999999999999996E-4</v>
      </c>
      <c r="AB3687">
        <v>0.50609999999999999</v>
      </c>
      <c r="AC3687">
        <v>0.52634400000000003</v>
      </c>
    </row>
    <row r="3688" spans="1:29" x14ac:dyDescent="0.3">
      <c r="A3688">
        <v>127606</v>
      </c>
      <c r="B3688" s="25" t="s">
        <v>5984</v>
      </c>
      <c r="C3688" t="s">
        <v>20</v>
      </c>
      <c r="D3688" t="s">
        <v>21</v>
      </c>
      <c r="E3688">
        <v>2222222</v>
      </c>
      <c r="F3688" s="8" t="s">
        <v>22</v>
      </c>
      <c r="G3688" s="2">
        <v>98</v>
      </c>
      <c r="H3688" t="s">
        <v>4500</v>
      </c>
      <c r="J3688" s="9" t="s">
        <v>5070</v>
      </c>
      <c r="K3688" t="s">
        <v>5819</v>
      </c>
      <c r="L3688" s="2">
        <v>1</v>
      </c>
      <c r="M3688" s="24" t="s">
        <v>5971</v>
      </c>
      <c r="N3688" s="2" t="s">
        <v>23</v>
      </c>
      <c r="O3688" s="18" t="s">
        <v>2843</v>
      </c>
      <c r="P3688" s="18" t="s">
        <v>3781</v>
      </c>
      <c r="Q3688" s="6" t="s">
        <v>4475</v>
      </c>
      <c r="T3688" s="23">
        <v>44712</v>
      </c>
      <c r="U3688" s="23">
        <v>47270</v>
      </c>
      <c r="X3688" s="20">
        <v>36075</v>
      </c>
      <c r="Z3688" s="6" t="s">
        <v>5978</v>
      </c>
      <c r="AA3688" s="15">
        <f t="shared" si="496"/>
        <v>4.1999999999999996E-4</v>
      </c>
      <c r="AB3688">
        <v>8.3283899999999988</v>
      </c>
      <c r="AC3688">
        <v>8.6615255999999992</v>
      </c>
    </row>
    <row r="3689" spans="1:29" x14ac:dyDescent="0.3">
      <c r="A3689">
        <v>129301</v>
      </c>
      <c r="B3689" s="25" t="s">
        <v>5984</v>
      </c>
      <c r="C3689" t="s">
        <v>20</v>
      </c>
      <c r="D3689" t="s">
        <v>21</v>
      </c>
      <c r="E3689">
        <v>2222222</v>
      </c>
      <c r="F3689" s="8" t="s">
        <v>22</v>
      </c>
      <c r="G3689" s="2">
        <v>98</v>
      </c>
      <c r="H3689" t="s">
        <v>4500</v>
      </c>
      <c r="J3689" s="9" t="s">
        <v>4838</v>
      </c>
      <c r="K3689" t="s">
        <v>4826</v>
      </c>
      <c r="L3689" s="2">
        <v>1</v>
      </c>
      <c r="M3689" s="24" t="s">
        <v>5971</v>
      </c>
      <c r="N3689" s="2" t="s">
        <v>23</v>
      </c>
      <c r="O3689" s="18" t="s">
        <v>2844</v>
      </c>
      <c r="P3689" s="18" t="s">
        <v>0</v>
      </c>
      <c r="Q3689" s="6" t="s">
        <v>4475</v>
      </c>
      <c r="T3689" s="23">
        <v>44771</v>
      </c>
      <c r="U3689" s="23">
        <v>45871</v>
      </c>
      <c r="X3689" s="20">
        <v>2534.09</v>
      </c>
      <c r="Z3689" s="6" t="s">
        <v>5978</v>
      </c>
      <c r="AA3689" s="15">
        <f t="shared" si="496"/>
        <v>4.1999999999999996E-4</v>
      </c>
      <c r="AB3689">
        <v>0.68778359999999994</v>
      </c>
      <c r="AC3689">
        <v>0.71529494399999993</v>
      </c>
    </row>
    <row r="3690" spans="1:29" x14ac:dyDescent="0.3">
      <c r="A3690">
        <v>130400</v>
      </c>
      <c r="B3690" s="25" t="s">
        <v>5984</v>
      </c>
      <c r="C3690" t="s">
        <v>20</v>
      </c>
      <c r="D3690" t="s">
        <v>21</v>
      </c>
      <c r="E3690">
        <v>2222222</v>
      </c>
      <c r="F3690" s="8" t="s">
        <v>22</v>
      </c>
      <c r="G3690" s="2">
        <v>98</v>
      </c>
      <c r="H3690" t="s">
        <v>4500</v>
      </c>
      <c r="J3690" s="9" t="s">
        <v>4916</v>
      </c>
      <c r="K3690" t="s">
        <v>5820</v>
      </c>
      <c r="L3690" s="2">
        <v>1</v>
      </c>
      <c r="M3690" s="24" t="s">
        <v>5971</v>
      </c>
      <c r="N3690" s="2" t="s">
        <v>23</v>
      </c>
      <c r="O3690" s="18" t="s">
        <v>2845</v>
      </c>
      <c r="P3690" s="18" t="s">
        <v>3781</v>
      </c>
      <c r="Q3690" s="6" t="s">
        <v>4475</v>
      </c>
      <c r="T3690" s="23">
        <v>44833</v>
      </c>
      <c r="U3690" s="23">
        <v>47393</v>
      </c>
      <c r="X3690" s="20">
        <v>15750</v>
      </c>
      <c r="Z3690" s="6" t="s">
        <v>5978</v>
      </c>
      <c r="AA3690" s="13">
        <f t="shared" ref="AA3690:AA3693" si="497">+(0.56/1000)</f>
        <v>5.6000000000000006E-4</v>
      </c>
      <c r="AB3690">
        <v>5.3127704000000007</v>
      </c>
      <c r="AC3690">
        <v>5.5252812160000007</v>
      </c>
    </row>
    <row r="3691" spans="1:29" x14ac:dyDescent="0.3">
      <c r="A3691">
        <v>133605</v>
      </c>
      <c r="B3691" s="25" t="s">
        <v>5984</v>
      </c>
      <c r="C3691" t="s">
        <v>20</v>
      </c>
      <c r="D3691" t="s">
        <v>21</v>
      </c>
      <c r="E3691">
        <v>2222222</v>
      </c>
      <c r="F3691" s="8" t="s">
        <v>22</v>
      </c>
      <c r="G3691" s="2">
        <v>98</v>
      </c>
      <c r="H3691" t="s">
        <v>4500</v>
      </c>
      <c r="J3691" s="9" t="s">
        <v>5629</v>
      </c>
      <c r="K3691" t="s">
        <v>4946</v>
      </c>
      <c r="L3691" s="2">
        <v>1</v>
      </c>
      <c r="M3691" s="24" t="s">
        <v>5971</v>
      </c>
      <c r="N3691" s="2" t="s">
        <v>23</v>
      </c>
      <c r="O3691" s="18" t="s">
        <v>2846</v>
      </c>
      <c r="P3691" s="18" t="s">
        <v>0</v>
      </c>
      <c r="Q3691" s="6" t="s">
        <v>4475</v>
      </c>
      <c r="T3691" s="23">
        <v>45013</v>
      </c>
      <c r="U3691" s="23">
        <v>46478</v>
      </c>
      <c r="X3691" s="20">
        <v>10000</v>
      </c>
      <c r="Z3691" s="6" t="s">
        <v>5978</v>
      </c>
      <c r="AA3691" s="13">
        <f t="shared" si="497"/>
        <v>5.6000000000000006E-4</v>
      </c>
      <c r="AB3691">
        <v>1.3462008000000001</v>
      </c>
      <c r="AC3691">
        <v>1.4000488320000002</v>
      </c>
    </row>
    <row r="3692" spans="1:29" x14ac:dyDescent="0.3">
      <c r="A3692">
        <v>133955</v>
      </c>
      <c r="B3692" s="25" t="s">
        <v>5984</v>
      </c>
      <c r="C3692" t="s">
        <v>20</v>
      </c>
      <c r="D3692" t="s">
        <v>21</v>
      </c>
      <c r="E3692">
        <v>2222222</v>
      </c>
      <c r="F3692" s="8" t="s">
        <v>22</v>
      </c>
      <c r="G3692" s="2">
        <v>98</v>
      </c>
      <c r="H3692" t="s">
        <v>4500</v>
      </c>
      <c r="J3692" s="9" t="s">
        <v>4907</v>
      </c>
      <c r="K3692" t="s">
        <v>4904</v>
      </c>
      <c r="L3692" s="2">
        <v>1</v>
      </c>
      <c r="M3692" s="24" t="s">
        <v>5971</v>
      </c>
      <c r="N3692" s="2" t="s">
        <v>23</v>
      </c>
      <c r="O3692" s="18" t="s">
        <v>2847</v>
      </c>
      <c r="P3692" s="18" t="s">
        <v>3781</v>
      </c>
      <c r="Q3692" s="6" t="s">
        <v>4475</v>
      </c>
      <c r="T3692" s="23">
        <v>45027</v>
      </c>
      <c r="U3692" s="23">
        <v>46488</v>
      </c>
      <c r="X3692" s="20">
        <v>5000</v>
      </c>
      <c r="Z3692" s="6" t="s">
        <v>5978</v>
      </c>
      <c r="AA3692" s="13">
        <f t="shared" si="497"/>
        <v>5.6000000000000006E-4</v>
      </c>
      <c r="AB3692">
        <v>0.70243040000000001</v>
      </c>
      <c r="AC3692">
        <v>0.73052761600000005</v>
      </c>
    </row>
    <row r="3693" spans="1:29" x14ac:dyDescent="0.3">
      <c r="A3693">
        <v>137795</v>
      </c>
      <c r="B3693" s="25" t="s">
        <v>5984</v>
      </c>
      <c r="C3693" t="s">
        <v>20</v>
      </c>
      <c r="D3693" t="s">
        <v>21</v>
      </c>
      <c r="E3693">
        <v>2222222</v>
      </c>
      <c r="F3693" s="8" t="s">
        <v>22</v>
      </c>
      <c r="G3693" s="2">
        <v>98</v>
      </c>
      <c r="H3693" t="s">
        <v>4500</v>
      </c>
      <c r="J3693" s="9" t="s">
        <v>5201</v>
      </c>
      <c r="K3693" t="s">
        <v>5064</v>
      </c>
      <c r="L3693" s="2">
        <v>1</v>
      </c>
      <c r="M3693" s="24" t="s">
        <v>5971</v>
      </c>
      <c r="N3693" s="2" t="s">
        <v>23</v>
      </c>
      <c r="O3693" s="18" t="s">
        <v>301</v>
      </c>
      <c r="P3693" s="18" t="s">
        <v>0</v>
      </c>
      <c r="Q3693" s="6" t="s">
        <v>4475</v>
      </c>
      <c r="T3693" s="23">
        <v>45246</v>
      </c>
      <c r="U3693" s="23">
        <v>46707</v>
      </c>
      <c r="X3693" s="20">
        <v>7600</v>
      </c>
      <c r="Z3693" s="6" t="s">
        <v>5978</v>
      </c>
      <c r="AA3693" s="13">
        <f t="shared" si="497"/>
        <v>5.6000000000000006E-4</v>
      </c>
      <c r="AB3693">
        <v>1.7322424000000001</v>
      </c>
      <c r="AC3693">
        <v>1.8015320960000001</v>
      </c>
    </row>
    <row r="3694" spans="1:29" x14ac:dyDescent="0.3">
      <c r="A3694">
        <v>143345</v>
      </c>
      <c r="B3694" s="25" t="s">
        <v>5984</v>
      </c>
      <c r="C3694" t="s">
        <v>20</v>
      </c>
      <c r="D3694" t="s">
        <v>21</v>
      </c>
      <c r="E3694">
        <v>2222222</v>
      </c>
      <c r="F3694" s="8" t="s">
        <v>22</v>
      </c>
      <c r="G3694" s="2">
        <v>98</v>
      </c>
      <c r="H3694" t="s">
        <v>4500</v>
      </c>
      <c r="J3694" s="9" t="s">
        <v>5295</v>
      </c>
      <c r="K3694" t="s">
        <v>5622</v>
      </c>
      <c r="L3694" s="2">
        <v>1</v>
      </c>
      <c r="M3694" s="24" t="s">
        <v>5971</v>
      </c>
      <c r="N3694" s="2" t="s">
        <v>23</v>
      </c>
      <c r="O3694" s="18" t="s">
        <v>2848</v>
      </c>
      <c r="P3694" s="18" t="s">
        <v>3781</v>
      </c>
      <c r="Q3694" s="6" t="s">
        <v>4475</v>
      </c>
      <c r="T3694" s="23">
        <v>45583</v>
      </c>
      <c r="U3694" s="23">
        <v>47043</v>
      </c>
      <c r="X3694" s="20">
        <v>5000</v>
      </c>
      <c r="Z3694" s="6" t="s">
        <v>5978</v>
      </c>
      <c r="AA3694" s="14">
        <f t="shared" ref="AA3694:AA3717" si="498">+(0.6/1000)</f>
        <v>5.9999999999999995E-4</v>
      </c>
      <c r="AB3694">
        <v>1.9589219999999998</v>
      </c>
      <c r="AC3694">
        <v>2.0372788799999997</v>
      </c>
    </row>
    <row r="3695" spans="1:29" x14ac:dyDescent="0.3">
      <c r="A3695">
        <v>144198</v>
      </c>
      <c r="B3695" s="25" t="s">
        <v>5984</v>
      </c>
      <c r="C3695" t="s">
        <v>20</v>
      </c>
      <c r="D3695" t="s">
        <v>21</v>
      </c>
      <c r="E3695">
        <v>2222222</v>
      </c>
      <c r="F3695" s="8" t="s">
        <v>22</v>
      </c>
      <c r="G3695" s="2">
        <v>98</v>
      </c>
      <c r="H3695" t="s">
        <v>4500</v>
      </c>
      <c r="J3695" s="9" t="s">
        <v>5096</v>
      </c>
      <c r="K3695" t="s">
        <v>4942</v>
      </c>
      <c r="L3695" s="2">
        <v>1</v>
      </c>
      <c r="M3695" s="24" t="s">
        <v>5971</v>
      </c>
      <c r="N3695" s="2" t="s">
        <v>23</v>
      </c>
      <c r="O3695" s="18" t="s">
        <v>2849</v>
      </c>
      <c r="P3695" s="18" t="s">
        <v>3781</v>
      </c>
      <c r="Q3695" s="6" t="s">
        <v>4475</v>
      </c>
      <c r="T3695" s="23">
        <v>45652</v>
      </c>
      <c r="U3695" s="23">
        <v>46381</v>
      </c>
      <c r="X3695" s="20">
        <v>10000</v>
      </c>
      <c r="Z3695" s="6" t="s">
        <v>5978</v>
      </c>
      <c r="AA3695" s="14">
        <f t="shared" si="498"/>
        <v>5.9999999999999995E-4</v>
      </c>
      <c r="AB3695">
        <v>1.3892939999999998</v>
      </c>
      <c r="AC3695">
        <v>1.4448657599999999</v>
      </c>
    </row>
    <row r="3696" spans="1:29" x14ac:dyDescent="0.3">
      <c r="A3696">
        <v>146364</v>
      </c>
      <c r="B3696" s="25" t="s">
        <v>5984</v>
      </c>
      <c r="C3696" t="s">
        <v>20</v>
      </c>
      <c r="D3696" t="s">
        <v>21</v>
      </c>
      <c r="E3696">
        <v>2222222</v>
      </c>
      <c r="F3696" s="8" t="s">
        <v>22</v>
      </c>
      <c r="G3696" s="2">
        <v>98</v>
      </c>
      <c r="H3696" t="s">
        <v>4500</v>
      </c>
      <c r="J3696" s="9" t="s">
        <v>4887</v>
      </c>
      <c r="K3696" t="s">
        <v>4932</v>
      </c>
      <c r="L3696" s="2">
        <v>1</v>
      </c>
      <c r="M3696" s="24" t="s">
        <v>5971</v>
      </c>
      <c r="N3696" s="2" t="s">
        <v>23</v>
      </c>
      <c r="O3696" s="18" t="s">
        <v>2850</v>
      </c>
      <c r="P3696" s="18" t="s">
        <v>3781</v>
      </c>
      <c r="Q3696" s="6" t="s">
        <v>4475</v>
      </c>
      <c r="T3696" s="23">
        <v>45834</v>
      </c>
      <c r="U3696" s="23">
        <v>51318</v>
      </c>
      <c r="X3696" s="20">
        <v>63500</v>
      </c>
      <c r="Z3696" s="6" t="s">
        <v>5978</v>
      </c>
      <c r="AA3696" s="14">
        <f t="shared" si="498"/>
        <v>5.9999999999999995E-4</v>
      </c>
      <c r="AB3696">
        <v>37.090440000000001</v>
      </c>
      <c r="AC3696">
        <v>38.574057600000003</v>
      </c>
    </row>
    <row r="3697" spans="1:29" x14ac:dyDescent="0.3">
      <c r="A3697">
        <v>146589</v>
      </c>
      <c r="B3697" s="25" t="s">
        <v>5984</v>
      </c>
      <c r="C3697" t="s">
        <v>20</v>
      </c>
      <c r="D3697" t="s">
        <v>21</v>
      </c>
      <c r="E3697">
        <v>2222222</v>
      </c>
      <c r="F3697" s="8" t="s">
        <v>22</v>
      </c>
      <c r="G3697" s="2">
        <v>98</v>
      </c>
      <c r="H3697" t="s">
        <v>4500</v>
      </c>
      <c r="J3697" s="9" t="s">
        <v>5096</v>
      </c>
      <c r="K3697" t="s">
        <v>4942</v>
      </c>
      <c r="L3697" s="2">
        <v>1</v>
      </c>
      <c r="M3697" s="24" t="s">
        <v>5971</v>
      </c>
      <c r="N3697" s="2" t="s">
        <v>23</v>
      </c>
      <c r="O3697" s="18" t="s">
        <v>2851</v>
      </c>
      <c r="P3697" s="18" t="s">
        <v>3781</v>
      </c>
      <c r="Q3697" s="6" t="s">
        <v>4475</v>
      </c>
      <c r="T3697" s="23">
        <v>45828</v>
      </c>
      <c r="U3697" s="23">
        <v>46741</v>
      </c>
      <c r="X3697" s="20">
        <v>6000</v>
      </c>
      <c r="Z3697" s="6" t="s">
        <v>5978</v>
      </c>
      <c r="AA3697" s="14">
        <f t="shared" si="498"/>
        <v>5.9999999999999995E-4</v>
      </c>
      <c r="AB3697">
        <v>2.2157039999999997</v>
      </c>
      <c r="AC3697">
        <v>2.3043321599999995</v>
      </c>
    </row>
    <row r="3698" spans="1:29" x14ac:dyDescent="0.3">
      <c r="A3698">
        <v>146646</v>
      </c>
      <c r="B3698" s="25" t="s">
        <v>5984</v>
      </c>
      <c r="C3698" t="s">
        <v>20</v>
      </c>
      <c r="D3698" t="s">
        <v>21</v>
      </c>
      <c r="E3698">
        <v>2222222</v>
      </c>
      <c r="F3698" s="8" t="s">
        <v>22</v>
      </c>
      <c r="G3698" s="2">
        <v>98</v>
      </c>
      <c r="H3698" t="s">
        <v>4500</v>
      </c>
      <c r="J3698" s="9" t="s">
        <v>5052</v>
      </c>
      <c r="K3698" t="s">
        <v>4856</v>
      </c>
      <c r="L3698" s="2">
        <v>1</v>
      </c>
      <c r="M3698" s="24" t="s">
        <v>5971</v>
      </c>
      <c r="N3698" s="2" t="s">
        <v>23</v>
      </c>
      <c r="O3698" s="18" t="s">
        <v>2852</v>
      </c>
      <c r="P3698" s="18" t="s">
        <v>0</v>
      </c>
      <c r="Q3698" s="6" t="s">
        <v>4475</v>
      </c>
      <c r="T3698" s="23">
        <v>45833</v>
      </c>
      <c r="U3698" s="23">
        <v>46929</v>
      </c>
      <c r="X3698" s="20">
        <v>4500</v>
      </c>
      <c r="Z3698" s="6" t="s">
        <v>5978</v>
      </c>
      <c r="AA3698" s="14">
        <f t="shared" si="498"/>
        <v>5.9999999999999995E-4</v>
      </c>
      <c r="AB3698">
        <v>1.8888599999999998</v>
      </c>
      <c r="AC3698">
        <v>1.9644143999999999</v>
      </c>
    </row>
    <row r="3699" spans="1:29" x14ac:dyDescent="0.3">
      <c r="A3699">
        <v>147016</v>
      </c>
      <c r="B3699" s="25" t="s">
        <v>5984</v>
      </c>
      <c r="C3699" t="s">
        <v>20</v>
      </c>
      <c r="D3699" t="s">
        <v>21</v>
      </c>
      <c r="E3699">
        <v>2222222</v>
      </c>
      <c r="F3699" s="8" t="s">
        <v>22</v>
      </c>
      <c r="G3699" s="2">
        <v>98</v>
      </c>
      <c r="H3699" t="s">
        <v>4500</v>
      </c>
      <c r="J3699" s="9" t="s">
        <v>4962</v>
      </c>
      <c r="K3699" t="s">
        <v>5821</v>
      </c>
      <c r="L3699" s="2">
        <v>1</v>
      </c>
      <c r="M3699" s="24" t="s">
        <v>5971</v>
      </c>
      <c r="N3699" s="2" t="s">
        <v>23</v>
      </c>
      <c r="O3699" s="18" t="s">
        <v>2853</v>
      </c>
      <c r="P3699" s="18" t="s">
        <v>3781</v>
      </c>
      <c r="Q3699" s="6" t="s">
        <v>4475</v>
      </c>
      <c r="T3699" s="23">
        <v>45874</v>
      </c>
      <c r="U3699" s="23">
        <v>51352</v>
      </c>
      <c r="X3699" s="20">
        <v>60000</v>
      </c>
      <c r="Z3699" s="6" t="s">
        <v>5978</v>
      </c>
      <c r="AA3699" s="14">
        <f t="shared" si="498"/>
        <v>5.9999999999999995E-4</v>
      </c>
      <c r="AB3699">
        <v>35.24268</v>
      </c>
      <c r="AC3699">
        <v>36.6523872</v>
      </c>
    </row>
    <row r="3700" spans="1:29" x14ac:dyDescent="0.3">
      <c r="A3700">
        <v>149089</v>
      </c>
      <c r="B3700" s="25" t="s">
        <v>5984</v>
      </c>
      <c r="C3700" t="s">
        <v>20</v>
      </c>
      <c r="D3700" t="s">
        <v>21</v>
      </c>
      <c r="E3700">
        <v>2222222</v>
      </c>
      <c r="F3700" s="8" t="s">
        <v>22</v>
      </c>
      <c r="G3700" s="2">
        <v>98</v>
      </c>
      <c r="H3700" t="s">
        <v>4500</v>
      </c>
      <c r="J3700" s="9" t="s">
        <v>5822</v>
      </c>
      <c r="K3700" t="s">
        <v>5823</v>
      </c>
      <c r="L3700" s="2">
        <v>1</v>
      </c>
      <c r="M3700" s="24" t="s">
        <v>5971</v>
      </c>
      <c r="N3700" s="2" t="s">
        <v>23</v>
      </c>
      <c r="O3700" s="18" t="s">
        <v>2854</v>
      </c>
      <c r="P3700" s="18" t="s">
        <v>0</v>
      </c>
      <c r="Q3700" s="6" t="s">
        <v>4475</v>
      </c>
      <c r="T3700" s="23">
        <v>45996</v>
      </c>
      <c r="U3700" s="23">
        <v>46725</v>
      </c>
      <c r="X3700" s="20">
        <v>4000</v>
      </c>
      <c r="Z3700" s="6" t="s">
        <v>5978</v>
      </c>
      <c r="AA3700" s="14">
        <f t="shared" si="498"/>
        <v>5.9999999999999995E-4</v>
      </c>
      <c r="AB3700">
        <v>1.7805419999999998</v>
      </c>
      <c r="AC3700">
        <v>1.8517636799999999</v>
      </c>
    </row>
    <row r="3701" spans="1:29" x14ac:dyDescent="0.3">
      <c r="A3701">
        <v>149463</v>
      </c>
      <c r="B3701" s="25" t="s">
        <v>5984</v>
      </c>
      <c r="C3701" t="s">
        <v>20</v>
      </c>
      <c r="D3701" t="s">
        <v>21</v>
      </c>
      <c r="E3701">
        <v>2222222</v>
      </c>
      <c r="F3701" s="8" t="s">
        <v>22</v>
      </c>
      <c r="G3701" s="2">
        <v>98</v>
      </c>
      <c r="H3701" t="s">
        <v>4500</v>
      </c>
      <c r="J3701" s="9" t="s">
        <v>4898</v>
      </c>
      <c r="K3701" t="s">
        <v>5824</v>
      </c>
      <c r="L3701" s="2">
        <v>1</v>
      </c>
      <c r="M3701" s="24" t="s">
        <v>5971</v>
      </c>
      <c r="N3701" s="2" t="s">
        <v>23</v>
      </c>
      <c r="O3701" s="18" t="s">
        <v>2855</v>
      </c>
      <c r="P3701" s="18" t="s">
        <v>3781</v>
      </c>
      <c r="Q3701" s="6" t="s">
        <v>4475</v>
      </c>
      <c r="T3701" s="23">
        <v>46028</v>
      </c>
      <c r="U3701" s="23">
        <v>46757</v>
      </c>
      <c r="X3701" s="20">
        <v>2000</v>
      </c>
      <c r="Z3701" s="6" t="s">
        <v>5978</v>
      </c>
      <c r="AA3701" s="14">
        <f t="shared" si="498"/>
        <v>5.9999999999999995E-4</v>
      </c>
      <c r="AB3701">
        <v>0.93588599999999988</v>
      </c>
      <c r="AC3701">
        <v>0.97332143999999987</v>
      </c>
    </row>
    <row r="3702" spans="1:29" x14ac:dyDescent="0.3">
      <c r="A3702">
        <v>150536</v>
      </c>
      <c r="B3702" s="25" t="s">
        <v>5984</v>
      </c>
      <c r="C3702" t="s">
        <v>20</v>
      </c>
      <c r="D3702" t="s">
        <v>21</v>
      </c>
      <c r="E3702">
        <v>2222222</v>
      </c>
      <c r="F3702" s="8" t="s">
        <v>22</v>
      </c>
      <c r="G3702" s="2">
        <v>98</v>
      </c>
      <c r="H3702" t="s">
        <v>4500</v>
      </c>
      <c r="J3702" s="9" t="s">
        <v>4829</v>
      </c>
      <c r="L3702" s="2">
        <v>1</v>
      </c>
      <c r="M3702" s="24" t="s">
        <v>5971</v>
      </c>
      <c r="N3702" s="2" t="s">
        <v>23</v>
      </c>
      <c r="O3702" s="18" t="s">
        <v>2856</v>
      </c>
      <c r="P3702" s="18" t="s">
        <v>3781</v>
      </c>
      <c r="Q3702" s="6" t="s">
        <v>4475</v>
      </c>
      <c r="T3702" s="23">
        <v>46100</v>
      </c>
      <c r="U3702" s="23">
        <v>47379</v>
      </c>
      <c r="X3702" s="20">
        <v>4500</v>
      </c>
      <c r="Z3702" s="6" t="s">
        <v>5978</v>
      </c>
      <c r="AA3702" s="14">
        <f t="shared" si="498"/>
        <v>5.9999999999999995E-4</v>
      </c>
      <c r="AB3702">
        <v>2.5092120000000002</v>
      </c>
      <c r="AC3702">
        <v>2.6095804800000004</v>
      </c>
    </row>
    <row r="3703" spans="1:29" x14ac:dyDescent="0.3">
      <c r="A3703">
        <v>150944</v>
      </c>
      <c r="B3703" s="25" t="s">
        <v>5984</v>
      </c>
      <c r="C3703" t="s">
        <v>20</v>
      </c>
      <c r="D3703" t="s">
        <v>21</v>
      </c>
      <c r="E3703">
        <v>2222222</v>
      </c>
      <c r="F3703" s="8" t="s">
        <v>22</v>
      </c>
      <c r="G3703" s="2">
        <v>98</v>
      </c>
      <c r="H3703" t="s">
        <v>4500</v>
      </c>
      <c r="J3703" s="9" t="s">
        <v>4887</v>
      </c>
      <c r="K3703" t="s">
        <v>4932</v>
      </c>
      <c r="L3703" s="2">
        <v>1</v>
      </c>
      <c r="M3703" s="24" t="s">
        <v>5971</v>
      </c>
      <c r="N3703" s="2" t="s">
        <v>23</v>
      </c>
      <c r="O3703" s="18" t="s">
        <v>2850</v>
      </c>
      <c r="P3703" s="18" t="s">
        <v>3781</v>
      </c>
      <c r="Q3703" s="6" t="s">
        <v>4475</v>
      </c>
      <c r="T3703" s="23">
        <v>46128</v>
      </c>
      <c r="U3703" s="23">
        <v>46859</v>
      </c>
      <c r="X3703" s="20">
        <v>830</v>
      </c>
      <c r="Z3703" s="6" t="s">
        <v>5978</v>
      </c>
      <c r="AA3703" s="14">
        <f t="shared" si="498"/>
        <v>5.9999999999999995E-4</v>
      </c>
      <c r="AB3703">
        <v>0.46273199999999998</v>
      </c>
      <c r="AC3703">
        <v>0.48124127999999999</v>
      </c>
    </row>
    <row r="3704" spans="1:29" x14ac:dyDescent="0.3">
      <c r="A3704">
        <v>151344</v>
      </c>
      <c r="B3704" s="25" t="s">
        <v>5984</v>
      </c>
      <c r="C3704" t="s">
        <v>20</v>
      </c>
      <c r="D3704" t="s">
        <v>21</v>
      </c>
      <c r="E3704">
        <v>2222222</v>
      </c>
      <c r="F3704" s="8" t="s">
        <v>22</v>
      </c>
      <c r="G3704" s="2">
        <v>98</v>
      </c>
      <c r="H3704" t="s">
        <v>4500</v>
      </c>
      <c r="J3704" s="9" t="s">
        <v>5041</v>
      </c>
      <c r="K3704" t="s">
        <v>5128</v>
      </c>
      <c r="L3704" s="2">
        <v>1</v>
      </c>
      <c r="M3704" s="24" t="s">
        <v>5971</v>
      </c>
      <c r="N3704" s="2" t="s">
        <v>23</v>
      </c>
      <c r="O3704" s="18" t="s">
        <v>2857</v>
      </c>
      <c r="P3704" s="18" t="s">
        <v>0</v>
      </c>
      <c r="Q3704" s="6" t="s">
        <v>4475</v>
      </c>
      <c r="T3704" s="23">
        <v>46164</v>
      </c>
      <c r="U3704" s="23">
        <v>49816</v>
      </c>
      <c r="X3704" s="20">
        <v>85000</v>
      </c>
      <c r="Z3704" s="6" t="s">
        <v>5978</v>
      </c>
      <c r="AA3704" s="14">
        <f t="shared" si="498"/>
        <v>5.9999999999999995E-4</v>
      </c>
      <c r="AB3704">
        <v>50.54448</v>
      </c>
      <c r="AC3704">
        <v>52.566259200000005</v>
      </c>
    </row>
    <row r="3705" spans="1:29" x14ac:dyDescent="0.3">
      <c r="A3705">
        <v>152273</v>
      </c>
      <c r="B3705" s="25" t="s">
        <v>5984</v>
      </c>
      <c r="C3705" t="s">
        <v>20</v>
      </c>
      <c r="D3705" t="s">
        <v>21</v>
      </c>
      <c r="E3705">
        <v>2222222</v>
      </c>
      <c r="F3705" s="8" t="s">
        <v>22</v>
      </c>
      <c r="G3705" s="2">
        <v>98</v>
      </c>
      <c r="H3705" t="s">
        <v>4500</v>
      </c>
      <c r="J3705" s="9" t="s">
        <v>4898</v>
      </c>
      <c r="K3705" t="s">
        <v>5824</v>
      </c>
      <c r="L3705" s="2">
        <v>1</v>
      </c>
      <c r="M3705" s="24" t="s">
        <v>5971</v>
      </c>
      <c r="N3705" s="2" t="s">
        <v>23</v>
      </c>
      <c r="O3705" s="18" t="s">
        <v>2855</v>
      </c>
      <c r="P3705" s="18" t="s">
        <v>3781</v>
      </c>
      <c r="Q3705" s="6" t="s">
        <v>4475</v>
      </c>
      <c r="T3705" s="23">
        <v>46224</v>
      </c>
      <c r="U3705" s="23">
        <v>46954</v>
      </c>
      <c r="X3705" s="20">
        <v>4500</v>
      </c>
      <c r="Z3705" s="6" t="s">
        <v>5978</v>
      </c>
      <c r="AA3705" s="14">
        <f t="shared" si="498"/>
        <v>5.9999999999999995E-4</v>
      </c>
      <c r="AB3705">
        <v>2.6999999999999997</v>
      </c>
      <c r="AC3705">
        <v>2.8079999999999998</v>
      </c>
    </row>
    <row r="3706" spans="1:29" x14ac:dyDescent="0.3">
      <c r="A3706">
        <v>152362</v>
      </c>
      <c r="B3706" s="25" t="s">
        <v>5984</v>
      </c>
      <c r="C3706" t="s">
        <v>20</v>
      </c>
      <c r="D3706" t="s">
        <v>21</v>
      </c>
      <c r="E3706">
        <v>2222222</v>
      </c>
      <c r="F3706" s="8" t="s">
        <v>22</v>
      </c>
      <c r="G3706" s="2">
        <v>98</v>
      </c>
      <c r="H3706" t="s">
        <v>4500</v>
      </c>
      <c r="J3706" s="9" t="s">
        <v>5142</v>
      </c>
      <c r="K3706" t="s">
        <v>4894</v>
      </c>
      <c r="L3706" s="2">
        <v>1</v>
      </c>
      <c r="M3706" s="24" t="s">
        <v>5971</v>
      </c>
      <c r="N3706" s="2" t="s">
        <v>23</v>
      </c>
      <c r="O3706" s="18" t="s">
        <v>2858</v>
      </c>
      <c r="P3706" s="18" t="s">
        <v>3781</v>
      </c>
      <c r="Q3706" s="6" t="s">
        <v>4475</v>
      </c>
      <c r="T3706" s="23">
        <v>46232</v>
      </c>
      <c r="U3706" s="23">
        <v>46596</v>
      </c>
      <c r="X3706" s="20">
        <v>1250</v>
      </c>
      <c r="Z3706" s="6" t="s">
        <v>5978</v>
      </c>
      <c r="AA3706" s="14">
        <f t="shared" si="498"/>
        <v>5.9999999999999995E-4</v>
      </c>
      <c r="AB3706">
        <v>0.74999999999999989</v>
      </c>
      <c r="AC3706">
        <v>0.77999999999999992</v>
      </c>
    </row>
    <row r="3707" spans="1:29" x14ac:dyDescent="0.3">
      <c r="A3707">
        <v>143122</v>
      </c>
      <c r="B3707" s="25" t="s">
        <v>5984</v>
      </c>
      <c r="C3707" t="s">
        <v>20</v>
      </c>
      <c r="D3707" t="s">
        <v>21</v>
      </c>
      <c r="E3707">
        <v>2222222</v>
      </c>
      <c r="F3707" s="8" t="s">
        <v>22</v>
      </c>
      <c r="G3707" s="2">
        <v>98</v>
      </c>
      <c r="H3707" t="s">
        <v>4501</v>
      </c>
      <c r="J3707" s="9" t="s">
        <v>4911</v>
      </c>
      <c r="K3707" t="s">
        <v>4836</v>
      </c>
      <c r="L3707" s="2">
        <v>1</v>
      </c>
      <c r="M3707" s="24" t="s">
        <v>5971</v>
      </c>
      <c r="N3707" s="2" t="s">
        <v>23</v>
      </c>
      <c r="O3707" s="18" t="s">
        <v>2859</v>
      </c>
      <c r="P3707" s="18" t="s">
        <v>3781</v>
      </c>
      <c r="Q3707" s="6" t="s">
        <v>4475</v>
      </c>
      <c r="T3707" s="23">
        <v>45579</v>
      </c>
      <c r="U3707" s="23">
        <v>47769</v>
      </c>
      <c r="X3707" s="20">
        <v>20000</v>
      </c>
      <c r="Z3707" s="6" t="s">
        <v>5978</v>
      </c>
      <c r="AA3707" s="14">
        <f t="shared" si="498"/>
        <v>5.9999999999999995E-4</v>
      </c>
      <c r="AB3707">
        <v>9.650993999999999</v>
      </c>
      <c r="AC3707">
        <v>10.03703376</v>
      </c>
    </row>
    <row r="3708" spans="1:29" x14ac:dyDescent="0.3">
      <c r="A3708">
        <v>146536</v>
      </c>
      <c r="B3708" s="25" t="s">
        <v>5984</v>
      </c>
      <c r="C3708" t="s">
        <v>20</v>
      </c>
      <c r="D3708" t="s">
        <v>21</v>
      </c>
      <c r="E3708">
        <v>2222222</v>
      </c>
      <c r="F3708" s="8" t="s">
        <v>22</v>
      </c>
      <c r="G3708" s="2">
        <v>98</v>
      </c>
      <c r="H3708" t="s">
        <v>4501</v>
      </c>
      <c r="J3708" s="9" t="s">
        <v>5351</v>
      </c>
      <c r="K3708" t="s">
        <v>5258</v>
      </c>
      <c r="L3708" s="2">
        <v>1</v>
      </c>
      <c r="M3708" s="24" t="s">
        <v>5971</v>
      </c>
      <c r="N3708" s="2" t="s">
        <v>23</v>
      </c>
      <c r="O3708" s="18" t="s">
        <v>2860</v>
      </c>
      <c r="P3708" s="18" t="s">
        <v>0</v>
      </c>
      <c r="Q3708" s="6" t="s">
        <v>4475</v>
      </c>
      <c r="T3708" s="23">
        <v>45824</v>
      </c>
      <c r="U3708" s="23">
        <v>46920</v>
      </c>
      <c r="X3708" s="20">
        <v>3500</v>
      </c>
      <c r="Z3708" s="6" t="s">
        <v>5978</v>
      </c>
      <c r="AA3708" s="14">
        <f t="shared" si="498"/>
        <v>5.9999999999999995E-4</v>
      </c>
      <c r="AB3708">
        <v>1.4622839999999997</v>
      </c>
      <c r="AC3708">
        <v>1.5207753599999998</v>
      </c>
    </row>
    <row r="3709" spans="1:29" x14ac:dyDescent="0.3">
      <c r="A3709">
        <v>146666</v>
      </c>
      <c r="B3709" s="25" t="s">
        <v>5984</v>
      </c>
      <c r="C3709" t="s">
        <v>20</v>
      </c>
      <c r="D3709" t="s">
        <v>21</v>
      </c>
      <c r="E3709">
        <v>2222222</v>
      </c>
      <c r="F3709" s="8" t="s">
        <v>22</v>
      </c>
      <c r="G3709" s="2">
        <v>98</v>
      </c>
      <c r="H3709" t="s">
        <v>4501</v>
      </c>
      <c r="J3709" s="9" t="s">
        <v>4911</v>
      </c>
      <c r="K3709" t="s">
        <v>4836</v>
      </c>
      <c r="L3709" s="2">
        <v>1</v>
      </c>
      <c r="M3709" s="24" t="s">
        <v>5971</v>
      </c>
      <c r="N3709" s="2" t="s">
        <v>23</v>
      </c>
      <c r="O3709" s="18" t="s">
        <v>2859</v>
      </c>
      <c r="P3709" s="18" t="s">
        <v>3781</v>
      </c>
      <c r="Q3709" s="6" t="s">
        <v>4475</v>
      </c>
      <c r="T3709" s="23">
        <v>45834</v>
      </c>
      <c r="U3709" s="23">
        <v>47295</v>
      </c>
      <c r="X3709" s="20">
        <v>5000</v>
      </c>
      <c r="Z3709" s="6" t="s">
        <v>5978</v>
      </c>
      <c r="AA3709" s="14">
        <f t="shared" si="498"/>
        <v>5.9999999999999995E-4</v>
      </c>
      <c r="AB3709">
        <v>2.3882219999999998</v>
      </c>
      <c r="AC3709">
        <v>2.4837508800000001</v>
      </c>
    </row>
    <row r="3710" spans="1:29" x14ac:dyDescent="0.3">
      <c r="A3710">
        <v>145331</v>
      </c>
      <c r="B3710" s="25" t="s">
        <v>5984</v>
      </c>
      <c r="C3710" t="s">
        <v>20</v>
      </c>
      <c r="D3710" t="s">
        <v>21</v>
      </c>
      <c r="E3710">
        <v>2222222</v>
      </c>
      <c r="F3710" s="8" t="s">
        <v>22</v>
      </c>
      <c r="G3710" s="2">
        <v>98</v>
      </c>
      <c r="H3710" t="s">
        <v>4502</v>
      </c>
      <c r="J3710" s="9" t="s">
        <v>4900</v>
      </c>
      <c r="K3710" t="s">
        <v>4964</v>
      </c>
      <c r="L3710" s="2">
        <v>1</v>
      </c>
      <c r="M3710" s="24" t="s">
        <v>5971</v>
      </c>
      <c r="N3710" s="2" t="s">
        <v>23</v>
      </c>
      <c r="O3710" s="18" t="s">
        <v>192</v>
      </c>
      <c r="P3710" s="18" t="s">
        <v>0</v>
      </c>
      <c r="Q3710" s="6" t="s">
        <v>4475</v>
      </c>
      <c r="T3710" s="23">
        <v>45730</v>
      </c>
      <c r="U3710" s="23">
        <v>46643</v>
      </c>
      <c r="X3710" s="20">
        <v>2290</v>
      </c>
      <c r="Z3710" s="6" t="s">
        <v>5978</v>
      </c>
      <c r="AA3710" s="14">
        <f t="shared" si="498"/>
        <v>5.9999999999999995E-4</v>
      </c>
      <c r="AB3710">
        <v>0.71410799999999997</v>
      </c>
      <c r="AC3710">
        <v>0.74267231999999994</v>
      </c>
    </row>
    <row r="3711" spans="1:29" x14ac:dyDescent="0.3">
      <c r="A3711">
        <v>146603</v>
      </c>
      <c r="B3711" s="25" t="s">
        <v>5984</v>
      </c>
      <c r="C3711" t="s">
        <v>20</v>
      </c>
      <c r="D3711" t="s">
        <v>21</v>
      </c>
      <c r="E3711">
        <v>2222222</v>
      </c>
      <c r="F3711" s="8" t="s">
        <v>22</v>
      </c>
      <c r="G3711" s="2">
        <v>98</v>
      </c>
      <c r="H3711" t="s">
        <v>4502</v>
      </c>
      <c r="J3711" s="9" t="s">
        <v>5825</v>
      </c>
      <c r="K3711" t="s">
        <v>5174</v>
      </c>
      <c r="L3711" s="2">
        <v>1</v>
      </c>
      <c r="M3711" s="24" t="s">
        <v>5971</v>
      </c>
      <c r="N3711" s="2" t="s">
        <v>23</v>
      </c>
      <c r="O3711" s="18" t="s">
        <v>2861</v>
      </c>
      <c r="P3711" s="18" t="s">
        <v>0</v>
      </c>
      <c r="Q3711" s="6" t="s">
        <v>4475</v>
      </c>
      <c r="T3711" s="23">
        <v>45833</v>
      </c>
      <c r="U3711" s="23">
        <v>47659</v>
      </c>
      <c r="X3711" s="20">
        <v>76000</v>
      </c>
      <c r="Z3711" s="6" t="s">
        <v>5978</v>
      </c>
      <c r="AA3711" s="14">
        <f t="shared" si="498"/>
        <v>5.9999999999999995E-4</v>
      </c>
      <c r="AB3711">
        <v>38.409935999999995</v>
      </c>
      <c r="AC3711">
        <v>39.946333439999997</v>
      </c>
    </row>
    <row r="3712" spans="1:29" x14ac:dyDescent="0.3">
      <c r="A3712">
        <v>147535</v>
      </c>
      <c r="B3712" s="25" t="s">
        <v>5984</v>
      </c>
      <c r="C3712" t="s">
        <v>20</v>
      </c>
      <c r="D3712" t="s">
        <v>21</v>
      </c>
      <c r="E3712">
        <v>2222222</v>
      </c>
      <c r="F3712" s="8" t="s">
        <v>22</v>
      </c>
      <c r="G3712" s="2">
        <v>98</v>
      </c>
      <c r="H3712" t="s">
        <v>4502</v>
      </c>
      <c r="J3712" s="9" t="s">
        <v>4929</v>
      </c>
      <c r="K3712" t="s">
        <v>4827</v>
      </c>
      <c r="L3712" s="2">
        <v>1</v>
      </c>
      <c r="M3712" s="24" t="s">
        <v>5971</v>
      </c>
      <c r="N3712" s="2" t="s">
        <v>23</v>
      </c>
      <c r="O3712" s="18" t="s">
        <v>2862</v>
      </c>
      <c r="P3712" s="18" t="s">
        <v>0</v>
      </c>
      <c r="Q3712" s="6" t="s">
        <v>4475</v>
      </c>
      <c r="T3712" s="23">
        <v>45896</v>
      </c>
      <c r="U3712" s="23">
        <v>49547</v>
      </c>
      <c r="X3712" s="20">
        <v>23300</v>
      </c>
      <c r="Z3712" s="6" t="s">
        <v>5978</v>
      </c>
      <c r="AA3712" s="14">
        <f t="shared" si="498"/>
        <v>5.9999999999999995E-4</v>
      </c>
      <c r="AB3712">
        <v>13.501973999999999</v>
      </c>
      <c r="AC3712">
        <v>14.042052959999999</v>
      </c>
    </row>
    <row r="3713" spans="1:29" x14ac:dyDescent="0.3">
      <c r="A3713">
        <v>150168</v>
      </c>
      <c r="B3713" s="25" t="s">
        <v>5984</v>
      </c>
      <c r="C3713" t="s">
        <v>20</v>
      </c>
      <c r="D3713" t="s">
        <v>21</v>
      </c>
      <c r="E3713">
        <v>2222222</v>
      </c>
      <c r="F3713" s="8" t="s">
        <v>22</v>
      </c>
      <c r="G3713" s="2">
        <v>98</v>
      </c>
      <c r="H3713" t="s">
        <v>4502</v>
      </c>
      <c r="J3713" s="9" t="s">
        <v>5825</v>
      </c>
      <c r="K3713" t="s">
        <v>5174</v>
      </c>
      <c r="L3713" s="2">
        <v>1</v>
      </c>
      <c r="M3713" s="24" t="s">
        <v>5971</v>
      </c>
      <c r="N3713" s="2" t="s">
        <v>23</v>
      </c>
      <c r="O3713" s="18" t="s">
        <v>2861</v>
      </c>
      <c r="P3713" s="18" t="s">
        <v>0</v>
      </c>
      <c r="Q3713" s="6" t="s">
        <v>4475</v>
      </c>
      <c r="T3713" s="23">
        <v>46079</v>
      </c>
      <c r="U3713" s="23">
        <v>47542</v>
      </c>
      <c r="X3713" s="20">
        <v>35000</v>
      </c>
      <c r="Z3713" s="6" t="s">
        <v>5978</v>
      </c>
      <c r="AA3713" s="14">
        <f t="shared" si="498"/>
        <v>5.9999999999999995E-4</v>
      </c>
      <c r="AB3713">
        <v>19.322616</v>
      </c>
      <c r="AC3713">
        <v>20.09552064</v>
      </c>
    </row>
    <row r="3714" spans="1:29" x14ac:dyDescent="0.3">
      <c r="A3714">
        <v>150313</v>
      </c>
      <c r="B3714" s="25" t="s">
        <v>5984</v>
      </c>
      <c r="C3714" t="s">
        <v>20</v>
      </c>
      <c r="D3714" t="s">
        <v>21</v>
      </c>
      <c r="E3714">
        <v>2222222</v>
      </c>
      <c r="F3714" s="8" t="s">
        <v>22</v>
      </c>
      <c r="G3714" s="2">
        <v>98</v>
      </c>
      <c r="H3714" t="s">
        <v>4502</v>
      </c>
      <c r="J3714" s="9" t="s">
        <v>4936</v>
      </c>
      <c r="K3714" t="s">
        <v>4965</v>
      </c>
      <c r="L3714" s="2">
        <v>1</v>
      </c>
      <c r="M3714" s="24" t="s">
        <v>5971</v>
      </c>
      <c r="N3714" s="2" t="s">
        <v>23</v>
      </c>
      <c r="O3714" s="18" t="s">
        <v>2863</v>
      </c>
      <c r="P3714" s="18" t="s">
        <v>0</v>
      </c>
      <c r="Q3714" s="6" t="s">
        <v>4475</v>
      </c>
      <c r="T3714" s="23">
        <v>46099</v>
      </c>
      <c r="U3714" s="23">
        <v>47194</v>
      </c>
      <c r="X3714" s="20">
        <v>7600</v>
      </c>
      <c r="Z3714" s="6" t="s">
        <v>5978</v>
      </c>
      <c r="AA3714" s="14">
        <f t="shared" si="498"/>
        <v>5.9999999999999995E-4</v>
      </c>
      <c r="AB3714">
        <v>4.1421179999999991</v>
      </c>
      <c r="AC3714">
        <v>4.3078027199999989</v>
      </c>
    </row>
    <row r="3715" spans="1:29" x14ac:dyDescent="0.3">
      <c r="A3715">
        <v>150862</v>
      </c>
      <c r="B3715" s="25" t="s">
        <v>5984</v>
      </c>
      <c r="C3715" t="s">
        <v>20</v>
      </c>
      <c r="D3715" t="s">
        <v>21</v>
      </c>
      <c r="E3715">
        <v>2222222</v>
      </c>
      <c r="F3715" s="8" t="s">
        <v>22</v>
      </c>
      <c r="G3715" s="2">
        <v>98</v>
      </c>
      <c r="H3715" t="s">
        <v>4502</v>
      </c>
      <c r="J3715" s="9" t="s">
        <v>4836</v>
      </c>
      <c r="K3715" t="s">
        <v>4926</v>
      </c>
      <c r="L3715" s="2">
        <v>1</v>
      </c>
      <c r="M3715" s="24" t="s">
        <v>5971</v>
      </c>
      <c r="N3715" s="2" t="s">
        <v>23</v>
      </c>
      <c r="O3715" s="18" t="s">
        <v>1162</v>
      </c>
      <c r="P3715" s="18" t="s">
        <v>3781</v>
      </c>
      <c r="Q3715" s="6" t="s">
        <v>4475</v>
      </c>
      <c r="T3715" s="23">
        <v>46220</v>
      </c>
      <c r="U3715" s="23">
        <v>47315</v>
      </c>
      <c r="X3715" s="20">
        <v>40000</v>
      </c>
      <c r="Z3715" s="6" t="s">
        <v>5978</v>
      </c>
      <c r="AA3715" s="14">
        <f t="shared" si="498"/>
        <v>5.9999999999999995E-4</v>
      </c>
      <c r="AB3715">
        <v>23.999999999999996</v>
      </c>
      <c r="AC3715">
        <v>24.959999999999997</v>
      </c>
    </row>
    <row r="3716" spans="1:29" x14ac:dyDescent="0.3">
      <c r="A3716">
        <v>151107</v>
      </c>
      <c r="B3716" s="25" t="s">
        <v>5984</v>
      </c>
      <c r="C3716" t="s">
        <v>20</v>
      </c>
      <c r="D3716" t="s">
        <v>21</v>
      </c>
      <c r="E3716">
        <v>2222222</v>
      </c>
      <c r="F3716" s="8" t="s">
        <v>22</v>
      </c>
      <c r="G3716" s="2">
        <v>98</v>
      </c>
      <c r="H3716" t="s">
        <v>4502</v>
      </c>
      <c r="J3716" s="9" t="s">
        <v>4836</v>
      </c>
      <c r="K3716" t="s">
        <v>4873</v>
      </c>
      <c r="L3716" s="2">
        <v>1</v>
      </c>
      <c r="M3716" s="24" t="s">
        <v>5971</v>
      </c>
      <c r="N3716" s="2" t="s">
        <v>23</v>
      </c>
      <c r="O3716" s="18" t="s">
        <v>2864</v>
      </c>
      <c r="P3716" s="18" t="s">
        <v>3781</v>
      </c>
      <c r="Q3716" s="6" t="s">
        <v>4475</v>
      </c>
      <c r="T3716" s="23">
        <v>46139</v>
      </c>
      <c r="U3716" s="23">
        <v>46870</v>
      </c>
      <c r="X3716" s="20">
        <v>6750</v>
      </c>
      <c r="Z3716" s="6" t="s">
        <v>5978</v>
      </c>
      <c r="AA3716" s="14">
        <f t="shared" si="498"/>
        <v>5.9999999999999995E-4</v>
      </c>
      <c r="AB3716">
        <v>3.9024239999999994</v>
      </c>
      <c r="AC3716">
        <v>4.0585209599999992</v>
      </c>
    </row>
    <row r="3717" spans="1:29" x14ac:dyDescent="0.3">
      <c r="A3717">
        <v>150665</v>
      </c>
      <c r="B3717" s="25" t="s">
        <v>5984</v>
      </c>
      <c r="C3717" t="s">
        <v>20</v>
      </c>
      <c r="D3717" t="s">
        <v>21</v>
      </c>
      <c r="E3717">
        <v>2222222</v>
      </c>
      <c r="F3717" s="8" t="s">
        <v>22</v>
      </c>
      <c r="G3717" s="2">
        <v>98</v>
      </c>
      <c r="H3717" t="s">
        <v>4503</v>
      </c>
      <c r="J3717" s="9" t="s">
        <v>5134</v>
      </c>
      <c r="K3717" t="s">
        <v>4815</v>
      </c>
      <c r="L3717" s="2">
        <v>1</v>
      </c>
      <c r="M3717" s="24" t="s">
        <v>5971</v>
      </c>
      <c r="N3717" s="2" t="s">
        <v>23</v>
      </c>
      <c r="O3717" s="18" t="s">
        <v>786</v>
      </c>
      <c r="P3717" s="18" t="s">
        <v>0</v>
      </c>
      <c r="Q3717" s="6" t="s">
        <v>4475</v>
      </c>
      <c r="T3717" s="23">
        <v>46111</v>
      </c>
      <c r="U3717" s="23">
        <v>47936</v>
      </c>
      <c r="X3717" s="20">
        <v>10700</v>
      </c>
      <c r="Z3717" s="6" t="s">
        <v>5978</v>
      </c>
      <c r="AA3717" s="14">
        <f t="shared" si="498"/>
        <v>5.9999999999999995E-4</v>
      </c>
      <c r="AB3717">
        <v>6.1822499999999998</v>
      </c>
      <c r="AC3717">
        <v>6.4295400000000003</v>
      </c>
    </row>
    <row r="3718" spans="1:29" x14ac:dyDescent="0.3">
      <c r="A3718">
        <v>123360</v>
      </c>
      <c r="B3718" s="25" t="s">
        <v>5984</v>
      </c>
      <c r="C3718" t="s">
        <v>20</v>
      </c>
      <c r="D3718" t="s">
        <v>21</v>
      </c>
      <c r="E3718">
        <v>2222222</v>
      </c>
      <c r="F3718" s="8" t="s">
        <v>22</v>
      </c>
      <c r="G3718" s="2">
        <v>98</v>
      </c>
      <c r="H3718" t="s">
        <v>4504</v>
      </c>
      <c r="J3718" s="9"/>
      <c r="K3718" t="s">
        <v>5007</v>
      </c>
      <c r="L3718" s="2">
        <v>1</v>
      </c>
      <c r="M3718" s="24" t="s">
        <v>5971</v>
      </c>
      <c r="N3718" s="2" t="s">
        <v>23</v>
      </c>
      <c r="O3718" s="18" t="s">
        <v>2865</v>
      </c>
      <c r="P3718" s="18" t="s">
        <v>0</v>
      </c>
      <c r="Q3718" s="6" t="s">
        <v>4475</v>
      </c>
      <c r="T3718" s="23">
        <v>44463</v>
      </c>
      <c r="U3718" s="23">
        <v>44553</v>
      </c>
      <c r="X3718" s="20">
        <v>2320</v>
      </c>
      <c r="Z3718" s="6" t="s">
        <v>5978</v>
      </c>
      <c r="AA3718" s="15">
        <f t="shared" ref="AA3718:AA3719" si="499">+(0.42/1000)</f>
        <v>4.1999999999999996E-4</v>
      </c>
      <c r="AB3718">
        <v>0.97439999999999993</v>
      </c>
      <c r="AC3718">
        <v>1.0133760000000001</v>
      </c>
    </row>
    <row r="3719" spans="1:29" x14ac:dyDescent="0.3">
      <c r="A3719">
        <v>126429</v>
      </c>
      <c r="B3719" s="25" t="s">
        <v>5984</v>
      </c>
      <c r="C3719" t="s">
        <v>20</v>
      </c>
      <c r="D3719" t="s">
        <v>21</v>
      </c>
      <c r="E3719">
        <v>2222222</v>
      </c>
      <c r="F3719" s="8" t="s">
        <v>22</v>
      </c>
      <c r="G3719" s="2">
        <v>98</v>
      </c>
      <c r="H3719" t="s">
        <v>4504</v>
      </c>
      <c r="J3719" s="9" t="s">
        <v>5066</v>
      </c>
      <c r="K3719" t="s">
        <v>4861</v>
      </c>
      <c r="L3719" s="2">
        <v>1</v>
      </c>
      <c r="M3719" s="24" t="s">
        <v>5971</v>
      </c>
      <c r="N3719" s="2" t="s">
        <v>23</v>
      </c>
      <c r="O3719" s="18" t="s">
        <v>2866</v>
      </c>
      <c r="P3719" s="18" t="s">
        <v>3781</v>
      </c>
      <c r="Q3719" s="6" t="s">
        <v>4475</v>
      </c>
      <c r="T3719" s="23">
        <v>44627</v>
      </c>
      <c r="U3719" s="23">
        <v>46452</v>
      </c>
      <c r="X3719" s="20">
        <v>10000</v>
      </c>
      <c r="Z3719" s="6" t="s">
        <v>5978</v>
      </c>
      <c r="AA3719" s="15">
        <f t="shared" si="499"/>
        <v>4.1999999999999996E-4</v>
      </c>
      <c r="AB3719">
        <v>0.7750343999999999</v>
      </c>
      <c r="AC3719">
        <v>0.80603577599999987</v>
      </c>
    </row>
    <row r="3720" spans="1:29" x14ac:dyDescent="0.3">
      <c r="A3720">
        <v>146419</v>
      </c>
      <c r="B3720" s="25" t="s">
        <v>5984</v>
      </c>
      <c r="C3720" t="s">
        <v>20</v>
      </c>
      <c r="D3720" t="s">
        <v>21</v>
      </c>
      <c r="E3720">
        <v>2222222</v>
      </c>
      <c r="F3720" s="8" t="s">
        <v>22</v>
      </c>
      <c r="G3720" s="2">
        <v>98</v>
      </c>
      <c r="H3720" t="s">
        <v>4504</v>
      </c>
      <c r="J3720" s="9" t="s">
        <v>5235</v>
      </c>
      <c r="K3720" t="s">
        <v>4924</v>
      </c>
      <c r="L3720" s="2">
        <v>1</v>
      </c>
      <c r="M3720" s="24" t="s">
        <v>5971</v>
      </c>
      <c r="N3720" s="2" t="s">
        <v>23</v>
      </c>
      <c r="O3720" s="18" t="s">
        <v>2867</v>
      </c>
      <c r="P3720" s="18" t="s">
        <v>3781</v>
      </c>
      <c r="Q3720" s="6" t="s">
        <v>4475</v>
      </c>
      <c r="T3720" s="23">
        <v>45819</v>
      </c>
      <c r="U3720" s="23">
        <v>47280</v>
      </c>
      <c r="X3720" s="20">
        <v>5000</v>
      </c>
      <c r="Z3720" s="6" t="s">
        <v>5978</v>
      </c>
      <c r="AA3720" s="14">
        <f t="shared" ref="AA3720:AA3722" si="500">+(0.6/1000)</f>
        <v>5.9999999999999995E-4</v>
      </c>
      <c r="AB3720">
        <v>2.3882219999999998</v>
      </c>
      <c r="AC3720">
        <v>2.4837508800000001</v>
      </c>
    </row>
    <row r="3721" spans="1:29" x14ac:dyDescent="0.3">
      <c r="A3721">
        <v>148593</v>
      </c>
      <c r="B3721" s="25" t="s">
        <v>5984</v>
      </c>
      <c r="C3721" t="s">
        <v>20</v>
      </c>
      <c r="D3721" t="s">
        <v>21</v>
      </c>
      <c r="E3721">
        <v>2222222</v>
      </c>
      <c r="F3721" s="8" t="s">
        <v>22</v>
      </c>
      <c r="G3721" s="2">
        <v>98</v>
      </c>
      <c r="H3721" t="s">
        <v>4504</v>
      </c>
      <c r="J3721" s="9" t="s">
        <v>5826</v>
      </c>
      <c r="K3721" t="s">
        <v>4928</v>
      </c>
      <c r="L3721" s="2">
        <v>1</v>
      </c>
      <c r="M3721" s="24" t="s">
        <v>5971</v>
      </c>
      <c r="N3721" s="2" t="s">
        <v>23</v>
      </c>
      <c r="O3721" s="18" t="s">
        <v>2868</v>
      </c>
      <c r="P3721" s="18" t="s">
        <v>3781</v>
      </c>
      <c r="Q3721" s="6" t="s">
        <v>4475</v>
      </c>
      <c r="T3721" s="23">
        <v>45849</v>
      </c>
      <c r="U3721" s="23">
        <v>47670</v>
      </c>
      <c r="X3721" s="20">
        <v>31750</v>
      </c>
      <c r="Z3721" s="6" t="s">
        <v>5978</v>
      </c>
      <c r="AA3721" s="14">
        <f t="shared" si="500"/>
        <v>5.9999999999999995E-4</v>
      </c>
      <c r="AB3721">
        <v>16.305</v>
      </c>
      <c r="AC3721">
        <v>16.9572</v>
      </c>
    </row>
    <row r="3722" spans="1:29" x14ac:dyDescent="0.3">
      <c r="A3722">
        <v>152251</v>
      </c>
      <c r="B3722" s="25" t="s">
        <v>5984</v>
      </c>
      <c r="C3722" t="s">
        <v>20</v>
      </c>
      <c r="D3722" t="s">
        <v>21</v>
      </c>
      <c r="E3722">
        <v>2222222</v>
      </c>
      <c r="F3722" s="8" t="s">
        <v>22</v>
      </c>
      <c r="G3722" s="2">
        <v>98</v>
      </c>
      <c r="H3722" t="s">
        <v>4505</v>
      </c>
      <c r="J3722" s="9" t="s">
        <v>4960</v>
      </c>
      <c r="K3722" t="s">
        <v>4928</v>
      </c>
      <c r="L3722" s="2">
        <v>1</v>
      </c>
      <c r="M3722" s="24" t="s">
        <v>5971</v>
      </c>
      <c r="N3722" s="2" t="s">
        <v>23</v>
      </c>
      <c r="O3722" s="18" t="s">
        <v>2869</v>
      </c>
      <c r="P3722" s="18" t="s">
        <v>3781</v>
      </c>
      <c r="Q3722" s="6" t="s">
        <v>4475</v>
      </c>
      <c r="T3722" s="23">
        <v>46223</v>
      </c>
      <c r="U3722" s="23">
        <v>46587</v>
      </c>
      <c r="X3722" s="20">
        <v>1250</v>
      </c>
      <c r="Z3722" s="6" t="s">
        <v>5978</v>
      </c>
      <c r="AA3722" s="14">
        <f t="shared" si="500"/>
        <v>5.9999999999999995E-4</v>
      </c>
      <c r="AB3722">
        <v>0.74999999999999989</v>
      </c>
      <c r="AC3722">
        <v>0.77999999999999992</v>
      </c>
    </row>
    <row r="3723" spans="1:29" x14ac:dyDescent="0.3">
      <c r="A3723">
        <v>123627</v>
      </c>
      <c r="B3723" s="25" t="s">
        <v>5984</v>
      </c>
      <c r="C3723" t="s">
        <v>20</v>
      </c>
      <c r="D3723" t="s">
        <v>21</v>
      </c>
      <c r="E3723">
        <v>2222222</v>
      </c>
      <c r="F3723" s="8" t="s">
        <v>22</v>
      </c>
      <c r="G3723" s="2">
        <v>98</v>
      </c>
      <c r="H3723" t="s">
        <v>4506</v>
      </c>
      <c r="J3723" s="9" t="s">
        <v>5120</v>
      </c>
      <c r="K3723" t="s">
        <v>4964</v>
      </c>
      <c r="L3723" s="2">
        <v>1</v>
      </c>
      <c r="M3723" s="24" t="s">
        <v>5971</v>
      </c>
      <c r="N3723" s="2" t="s">
        <v>23</v>
      </c>
      <c r="O3723" s="18" t="s">
        <v>2870</v>
      </c>
      <c r="P3723" s="18" t="s">
        <v>0</v>
      </c>
      <c r="Q3723" s="6" t="s">
        <v>4475</v>
      </c>
      <c r="T3723" s="23">
        <v>44515</v>
      </c>
      <c r="U3723" s="23">
        <v>46341</v>
      </c>
      <c r="X3723" s="20">
        <v>13000</v>
      </c>
      <c r="Z3723" s="6" t="s">
        <v>5978</v>
      </c>
      <c r="AA3723" s="15">
        <f>+(0.42/1000)</f>
        <v>4.1999999999999996E-4</v>
      </c>
      <c r="AB3723">
        <v>0.63373800000000002</v>
      </c>
      <c r="AC3723">
        <v>0.65908752000000004</v>
      </c>
    </row>
    <row r="3724" spans="1:29" x14ac:dyDescent="0.3">
      <c r="A3724">
        <v>134992</v>
      </c>
      <c r="B3724" s="25" t="s">
        <v>5984</v>
      </c>
      <c r="C3724" t="s">
        <v>20</v>
      </c>
      <c r="D3724" t="s">
        <v>21</v>
      </c>
      <c r="E3724">
        <v>2222222</v>
      </c>
      <c r="F3724" s="8" t="s">
        <v>22</v>
      </c>
      <c r="G3724" s="2">
        <v>98</v>
      </c>
      <c r="H3724" t="s">
        <v>4506</v>
      </c>
      <c r="J3724" s="9" t="s">
        <v>5659</v>
      </c>
      <c r="L3724" s="2">
        <v>1</v>
      </c>
      <c r="M3724" s="24" t="s">
        <v>5971</v>
      </c>
      <c r="N3724" s="2" t="s">
        <v>23</v>
      </c>
      <c r="O3724" s="18" t="s">
        <v>2871</v>
      </c>
      <c r="P3724" s="18" t="s">
        <v>3781</v>
      </c>
      <c r="Q3724" s="6" t="s">
        <v>4475</v>
      </c>
      <c r="T3724" s="23">
        <v>45093</v>
      </c>
      <c r="U3724" s="23">
        <v>48746</v>
      </c>
      <c r="X3724" s="20">
        <v>28000</v>
      </c>
      <c r="Z3724" s="6" t="s">
        <v>5978</v>
      </c>
      <c r="AA3724" s="13">
        <f t="shared" ref="AA3724:AA3725" si="501">+(0.56/1000)</f>
        <v>5.6000000000000006E-4</v>
      </c>
      <c r="AB3724">
        <v>13.172504800000002</v>
      </c>
      <c r="AC3724">
        <v>13.699404992000003</v>
      </c>
    </row>
    <row r="3725" spans="1:29" x14ac:dyDescent="0.3">
      <c r="A3725">
        <v>136668</v>
      </c>
      <c r="B3725" s="25" t="s">
        <v>5984</v>
      </c>
      <c r="C3725" t="s">
        <v>20</v>
      </c>
      <c r="D3725" t="s">
        <v>21</v>
      </c>
      <c r="E3725">
        <v>2222222</v>
      </c>
      <c r="F3725" s="8" t="s">
        <v>22</v>
      </c>
      <c r="G3725" s="2">
        <v>98</v>
      </c>
      <c r="H3725" t="s">
        <v>4506</v>
      </c>
      <c r="J3725" s="9" t="s">
        <v>5120</v>
      </c>
      <c r="K3725" t="s">
        <v>4964</v>
      </c>
      <c r="L3725" s="2">
        <v>1</v>
      </c>
      <c r="M3725" s="24" t="s">
        <v>5971</v>
      </c>
      <c r="N3725" s="2" t="s">
        <v>23</v>
      </c>
      <c r="O3725" s="18" t="s">
        <v>2870</v>
      </c>
      <c r="P3725" s="18" t="s">
        <v>0</v>
      </c>
      <c r="Q3725" s="6" t="s">
        <v>4475</v>
      </c>
      <c r="T3725" s="23">
        <v>45183</v>
      </c>
      <c r="U3725" s="23">
        <v>46279</v>
      </c>
      <c r="X3725" s="20">
        <v>5000</v>
      </c>
      <c r="Z3725" s="6" t="s">
        <v>5978</v>
      </c>
      <c r="AA3725" s="13">
        <f t="shared" si="501"/>
        <v>5.6000000000000006E-4</v>
      </c>
      <c r="AB3725">
        <v>0.201964</v>
      </c>
      <c r="AC3725">
        <v>0.21004256000000002</v>
      </c>
    </row>
    <row r="3726" spans="1:29" x14ac:dyDescent="0.3">
      <c r="A3726">
        <v>139314</v>
      </c>
      <c r="B3726" s="25" t="s">
        <v>5984</v>
      </c>
      <c r="C3726" t="s">
        <v>20</v>
      </c>
      <c r="D3726" t="s">
        <v>21</v>
      </c>
      <c r="E3726">
        <v>2222222</v>
      </c>
      <c r="F3726" s="8" t="s">
        <v>22</v>
      </c>
      <c r="G3726" s="2">
        <v>98</v>
      </c>
      <c r="H3726" t="s">
        <v>4506</v>
      </c>
      <c r="J3726" s="9" t="s">
        <v>4948</v>
      </c>
      <c r="K3726" t="s">
        <v>5159</v>
      </c>
      <c r="L3726" s="2">
        <v>1</v>
      </c>
      <c r="M3726" s="24" t="s">
        <v>5971</v>
      </c>
      <c r="N3726" s="2" t="s">
        <v>23</v>
      </c>
      <c r="O3726" s="18" t="s">
        <v>2872</v>
      </c>
      <c r="P3726" s="18" t="s">
        <v>0</v>
      </c>
      <c r="Q3726" s="6" t="s">
        <v>4475</v>
      </c>
      <c r="T3726" s="23">
        <v>45422</v>
      </c>
      <c r="U3726" s="23">
        <v>47247</v>
      </c>
      <c r="X3726" s="20">
        <v>13500</v>
      </c>
      <c r="Z3726" s="6" t="s">
        <v>5978</v>
      </c>
      <c r="AA3726" s="14">
        <f>+(0.6/1000)</f>
        <v>5.9999999999999995E-4</v>
      </c>
      <c r="AB3726">
        <v>5.2718039999999995</v>
      </c>
      <c r="AC3726">
        <v>5.4826761599999996</v>
      </c>
    </row>
    <row r="3727" spans="1:29" x14ac:dyDescent="0.3">
      <c r="A3727">
        <v>139316</v>
      </c>
      <c r="B3727" s="25" t="s">
        <v>5984</v>
      </c>
      <c r="C3727" t="s">
        <v>20</v>
      </c>
      <c r="D3727" t="s">
        <v>21</v>
      </c>
      <c r="E3727">
        <v>2222222</v>
      </c>
      <c r="F3727" s="8" t="s">
        <v>22</v>
      </c>
      <c r="G3727" s="2">
        <v>98</v>
      </c>
      <c r="H3727" t="s">
        <v>4506</v>
      </c>
      <c r="J3727" s="9" t="s">
        <v>5333</v>
      </c>
      <c r="K3727" t="s">
        <v>4942</v>
      </c>
      <c r="L3727" s="2">
        <v>1</v>
      </c>
      <c r="M3727" s="24" t="s">
        <v>5971</v>
      </c>
      <c r="N3727" s="2" t="s">
        <v>23</v>
      </c>
      <c r="O3727" s="18" t="s">
        <v>2873</v>
      </c>
      <c r="P3727" s="18" t="s">
        <v>3781</v>
      </c>
      <c r="Q3727" s="6" t="s">
        <v>4475</v>
      </c>
      <c r="T3727" s="23">
        <v>45323</v>
      </c>
      <c r="U3727" s="23">
        <v>46420</v>
      </c>
      <c r="X3727" s="20">
        <v>5000</v>
      </c>
      <c r="Z3727" s="6" t="s">
        <v>5978</v>
      </c>
      <c r="AA3727" s="13">
        <f t="shared" ref="AA3727:AA3728" si="502">+(0.56/1000)</f>
        <v>5.6000000000000006E-4</v>
      </c>
      <c r="AB3727">
        <v>0.76866719999999999</v>
      </c>
      <c r="AC3727">
        <v>0.79941388800000002</v>
      </c>
    </row>
    <row r="3728" spans="1:29" x14ac:dyDescent="0.3">
      <c r="A3728">
        <v>140322</v>
      </c>
      <c r="B3728" s="25" t="s">
        <v>5984</v>
      </c>
      <c r="C3728" t="s">
        <v>20</v>
      </c>
      <c r="D3728" t="s">
        <v>21</v>
      </c>
      <c r="E3728">
        <v>2222222</v>
      </c>
      <c r="F3728" s="8" t="s">
        <v>22</v>
      </c>
      <c r="G3728" s="2">
        <v>98</v>
      </c>
      <c r="H3728" t="s">
        <v>4506</v>
      </c>
      <c r="J3728" s="9" t="s">
        <v>5013</v>
      </c>
      <c r="K3728" t="s">
        <v>4827</v>
      </c>
      <c r="L3728" s="2">
        <v>1</v>
      </c>
      <c r="M3728" s="24" t="s">
        <v>5971</v>
      </c>
      <c r="N3728" s="2" t="s">
        <v>23</v>
      </c>
      <c r="O3728" s="18" t="s">
        <v>2874</v>
      </c>
      <c r="P3728" s="18" t="s">
        <v>0</v>
      </c>
      <c r="Q3728" s="6" t="s">
        <v>4475</v>
      </c>
      <c r="T3728" s="23">
        <v>45382</v>
      </c>
      <c r="U3728" s="23">
        <v>46476</v>
      </c>
      <c r="X3728" s="20">
        <v>25000</v>
      </c>
      <c r="Z3728" s="6" t="s">
        <v>5978</v>
      </c>
      <c r="AA3728" s="13">
        <f t="shared" si="502"/>
        <v>5.6000000000000006E-4</v>
      </c>
      <c r="AB3728">
        <v>3.6593424000000003</v>
      </c>
      <c r="AC3728">
        <v>3.8057160960000003</v>
      </c>
    </row>
    <row r="3729" spans="1:29" x14ac:dyDescent="0.3">
      <c r="A3729">
        <v>141168</v>
      </c>
      <c r="B3729" s="25" t="s">
        <v>5984</v>
      </c>
      <c r="C3729" t="s">
        <v>20</v>
      </c>
      <c r="D3729" t="s">
        <v>21</v>
      </c>
      <c r="E3729">
        <v>2222222</v>
      </c>
      <c r="F3729" s="8" t="s">
        <v>22</v>
      </c>
      <c r="G3729" s="2">
        <v>98</v>
      </c>
      <c r="H3729" t="s">
        <v>4506</v>
      </c>
      <c r="J3729" s="9" t="s">
        <v>5234</v>
      </c>
      <c r="K3729" t="s">
        <v>4841</v>
      </c>
      <c r="L3729" s="2">
        <v>1</v>
      </c>
      <c r="M3729" s="24" t="s">
        <v>5971</v>
      </c>
      <c r="N3729" s="2" t="s">
        <v>23</v>
      </c>
      <c r="O3729" s="18" t="s">
        <v>2875</v>
      </c>
      <c r="P3729" s="18" t="s">
        <v>0</v>
      </c>
      <c r="Q3729" s="6" t="s">
        <v>4475</v>
      </c>
      <c r="T3729" s="23">
        <v>45464</v>
      </c>
      <c r="U3729" s="23">
        <v>46559</v>
      </c>
      <c r="X3729" s="20">
        <v>46400</v>
      </c>
      <c r="Z3729" s="6" t="s">
        <v>5978</v>
      </c>
      <c r="AA3729" s="14">
        <f t="shared" ref="AA3729:AA3752" si="503">+(0.6/1000)</f>
        <v>5.9999999999999995E-4</v>
      </c>
      <c r="AB3729">
        <v>9.9747479999999999</v>
      </c>
      <c r="AC3729">
        <v>10.37373792</v>
      </c>
    </row>
    <row r="3730" spans="1:29" x14ac:dyDescent="0.3">
      <c r="A3730">
        <v>141339</v>
      </c>
      <c r="B3730" s="25" t="s">
        <v>5984</v>
      </c>
      <c r="C3730" t="s">
        <v>20</v>
      </c>
      <c r="D3730" t="s">
        <v>21</v>
      </c>
      <c r="E3730">
        <v>2222222</v>
      </c>
      <c r="F3730" s="8" t="s">
        <v>22</v>
      </c>
      <c r="G3730" s="2">
        <v>98</v>
      </c>
      <c r="H3730" t="s">
        <v>4506</v>
      </c>
      <c r="J3730" s="9" t="s">
        <v>4815</v>
      </c>
      <c r="K3730" t="s">
        <v>5193</v>
      </c>
      <c r="L3730" s="2">
        <v>1</v>
      </c>
      <c r="M3730" s="24" t="s">
        <v>5971</v>
      </c>
      <c r="N3730" s="2" t="s">
        <v>23</v>
      </c>
      <c r="O3730" s="18" t="s">
        <v>2876</v>
      </c>
      <c r="P3730" s="18" t="s">
        <v>0</v>
      </c>
      <c r="Q3730" s="6" t="s">
        <v>4475</v>
      </c>
      <c r="T3730" s="23">
        <v>45447</v>
      </c>
      <c r="U3730" s="23">
        <v>46547</v>
      </c>
      <c r="X3730" s="20">
        <v>2645</v>
      </c>
      <c r="Z3730" s="6" t="s">
        <v>5978</v>
      </c>
      <c r="AA3730" s="14">
        <f t="shared" si="503"/>
        <v>5.9999999999999995E-4</v>
      </c>
      <c r="AB3730">
        <v>0.57914999999999994</v>
      </c>
      <c r="AC3730">
        <v>0.60231599999999996</v>
      </c>
    </row>
    <row r="3731" spans="1:29" x14ac:dyDescent="0.3">
      <c r="A3731">
        <v>143496</v>
      </c>
      <c r="B3731" s="25" t="s">
        <v>5984</v>
      </c>
      <c r="C3731" t="s">
        <v>20</v>
      </c>
      <c r="D3731" t="s">
        <v>21</v>
      </c>
      <c r="E3731">
        <v>2222222</v>
      </c>
      <c r="F3731" s="8" t="s">
        <v>22</v>
      </c>
      <c r="G3731" s="2">
        <v>98</v>
      </c>
      <c r="H3731" t="s">
        <v>4506</v>
      </c>
      <c r="J3731" s="9" t="s">
        <v>4836</v>
      </c>
      <c r="K3731" t="s">
        <v>5827</v>
      </c>
      <c r="L3731" s="2">
        <v>1</v>
      </c>
      <c r="M3731" s="24" t="s">
        <v>5971</v>
      </c>
      <c r="N3731" s="2" t="s">
        <v>23</v>
      </c>
      <c r="O3731" s="18" t="s">
        <v>2877</v>
      </c>
      <c r="P3731" s="18" t="s">
        <v>3781</v>
      </c>
      <c r="Q3731" s="6" t="s">
        <v>4475</v>
      </c>
      <c r="T3731" s="23">
        <v>45596</v>
      </c>
      <c r="U3731" s="23">
        <v>47513</v>
      </c>
      <c r="X3731" s="20">
        <v>8660</v>
      </c>
      <c r="Z3731" s="6" t="s">
        <v>5978</v>
      </c>
      <c r="AA3731" s="14">
        <f t="shared" si="503"/>
        <v>5.9999999999999995E-4</v>
      </c>
      <c r="AB3731">
        <v>4.0925519999999995</v>
      </c>
      <c r="AC3731">
        <v>4.2562540799999997</v>
      </c>
    </row>
    <row r="3732" spans="1:29" x14ac:dyDescent="0.3">
      <c r="A3732">
        <v>143864</v>
      </c>
      <c r="B3732" s="25" t="s">
        <v>5984</v>
      </c>
      <c r="C3732" t="s">
        <v>20</v>
      </c>
      <c r="D3732" t="s">
        <v>21</v>
      </c>
      <c r="E3732">
        <v>2222222</v>
      </c>
      <c r="F3732" s="8" t="s">
        <v>22</v>
      </c>
      <c r="G3732" s="2">
        <v>98</v>
      </c>
      <c r="H3732" t="s">
        <v>4506</v>
      </c>
      <c r="J3732" s="9" t="s">
        <v>5828</v>
      </c>
      <c r="K3732" t="s">
        <v>5031</v>
      </c>
      <c r="L3732" s="2">
        <v>1</v>
      </c>
      <c r="M3732" s="24" t="s">
        <v>5971</v>
      </c>
      <c r="N3732" s="2" t="s">
        <v>23</v>
      </c>
      <c r="O3732" s="18" t="s">
        <v>2878</v>
      </c>
      <c r="P3732" s="18" t="s">
        <v>3781</v>
      </c>
      <c r="Q3732" s="6" t="s">
        <v>4475</v>
      </c>
      <c r="T3732" s="23">
        <v>45625</v>
      </c>
      <c r="U3732" s="23">
        <v>47451</v>
      </c>
      <c r="X3732" s="20">
        <v>6200</v>
      </c>
      <c r="Z3732" s="6" t="s">
        <v>5978</v>
      </c>
      <c r="AA3732" s="14">
        <f t="shared" si="503"/>
        <v>5.9999999999999995E-4</v>
      </c>
      <c r="AB3732">
        <v>2.7921779999999998</v>
      </c>
      <c r="AC3732">
        <v>2.9038651199999999</v>
      </c>
    </row>
    <row r="3733" spans="1:29" x14ac:dyDescent="0.3">
      <c r="A3733">
        <v>144089</v>
      </c>
      <c r="B3733" s="25" t="s">
        <v>5984</v>
      </c>
      <c r="C3733" t="s">
        <v>20</v>
      </c>
      <c r="D3733" t="s">
        <v>21</v>
      </c>
      <c r="E3733">
        <v>2222222</v>
      </c>
      <c r="F3733" s="8" t="s">
        <v>22</v>
      </c>
      <c r="G3733" s="2">
        <v>98</v>
      </c>
      <c r="H3733" t="s">
        <v>4506</v>
      </c>
      <c r="J3733" s="9" t="s">
        <v>4838</v>
      </c>
      <c r="K3733" t="s">
        <v>4833</v>
      </c>
      <c r="L3733" s="2">
        <v>1</v>
      </c>
      <c r="M3733" s="24" t="s">
        <v>5971</v>
      </c>
      <c r="N3733" s="2" t="s">
        <v>23</v>
      </c>
      <c r="O3733" s="18" t="s">
        <v>2879</v>
      </c>
      <c r="P3733" s="18" t="s">
        <v>0</v>
      </c>
      <c r="Q3733" s="6" t="s">
        <v>4475</v>
      </c>
      <c r="T3733" s="23">
        <v>45636</v>
      </c>
      <c r="U3733" s="23">
        <v>47096</v>
      </c>
      <c r="X3733" s="20">
        <v>2150</v>
      </c>
      <c r="Z3733" s="6" t="s">
        <v>5978</v>
      </c>
      <c r="AA3733" s="14">
        <f t="shared" si="503"/>
        <v>5.9999999999999995E-4</v>
      </c>
      <c r="AB3733">
        <v>0.88582199999999989</v>
      </c>
      <c r="AC3733">
        <v>0.92125487999999989</v>
      </c>
    </row>
    <row r="3734" spans="1:29" x14ac:dyDescent="0.3">
      <c r="A3734">
        <v>144133</v>
      </c>
      <c r="B3734" s="25" t="s">
        <v>5984</v>
      </c>
      <c r="C3734" t="s">
        <v>20</v>
      </c>
      <c r="D3734" t="s">
        <v>21</v>
      </c>
      <c r="E3734">
        <v>2222222</v>
      </c>
      <c r="F3734" s="8" t="s">
        <v>22</v>
      </c>
      <c r="G3734" s="2">
        <v>98</v>
      </c>
      <c r="H3734" t="s">
        <v>4506</v>
      </c>
      <c r="J3734" s="9" t="s">
        <v>4936</v>
      </c>
      <c r="K3734" t="s">
        <v>4857</v>
      </c>
      <c r="L3734" s="2">
        <v>1</v>
      </c>
      <c r="M3734" s="24" t="s">
        <v>5971</v>
      </c>
      <c r="N3734" s="2" t="s">
        <v>23</v>
      </c>
      <c r="O3734" s="18" t="s">
        <v>2880</v>
      </c>
      <c r="P3734" s="18" t="s">
        <v>0</v>
      </c>
      <c r="Q3734" s="6" t="s">
        <v>4475</v>
      </c>
      <c r="T3734" s="23">
        <v>45643</v>
      </c>
      <c r="U3734" s="23">
        <v>49294</v>
      </c>
      <c r="X3734" s="20">
        <v>40000</v>
      </c>
      <c r="Z3734" s="6" t="s">
        <v>5978</v>
      </c>
      <c r="AA3734" s="14">
        <f t="shared" si="503"/>
        <v>5.9999999999999995E-4</v>
      </c>
      <c r="AB3734">
        <v>21.830411999999995</v>
      </c>
      <c r="AC3734">
        <v>22.703628479999995</v>
      </c>
    </row>
    <row r="3735" spans="1:29" x14ac:dyDescent="0.3">
      <c r="A3735">
        <v>144230</v>
      </c>
      <c r="B3735" s="25" t="s">
        <v>5984</v>
      </c>
      <c r="C3735" t="s">
        <v>20</v>
      </c>
      <c r="D3735" t="s">
        <v>21</v>
      </c>
      <c r="E3735">
        <v>2222222</v>
      </c>
      <c r="F3735" s="8" t="s">
        <v>22</v>
      </c>
      <c r="G3735" s="2">
        <v>98</v>
      </c>
      <c r="H3735" t="s">
        <v>4506</v>
      </c>
      <c r="J3735" s="9" t="s">
        <v>5613</v>
      </c>
      <c r="K3735" t="s">
        <v>4880</v>
      </c>
      <c r="L3735" s="2">
        <v>1</v>
      </c>
      <c r="M3735" s="24" t="s">
        <v>5971</v>
      </c>
      <c r="N3735" s="2" t="s">
        <v>23</v>
      </c>
      <c r="O3735" s="18" t="s">
        <v>2182</v>
      </c>
      <c r="P3735" s="18" t="s">
        <v>3781</v>
      </c>
      <c r="Q3735" s="6" t="s">
        <v>4475</v>
      </c>
      <c r="T3735" s="23">
        <v>45650</v>
      </c>
      <c r="U3735" s="23">
        <v>47110</v>
      </c>
      <c r="X3735" s="20">
        <v>9000</v>
      </c>
      <c r="Z3735" s="6" t="s">
        <v>5978</v>
      </c>
      <c r="AA3735" s="14">
        <f t="shared" si="503"/>
        <v>5.9999999999999995E-4</v>
      </c>
      <c r="AB3735">
        <v>3.6133679999999995</v>
      </c>
      <c r="AC3735">
        <v>3.7579027199999997</v>
      </c>
    </row>
    <row r="3736" spans="1:29" x14ac:dyDescent="0.3">
      <c r="A3736">
        <v>145095</v>
      </c>
      <c r="B3736" s="25" t="s">
        <v>5984</v>
      </c>
      <c r="C3736" t="s">
        <v>20</v>
      </c>
      <c r="D3736" t="s">
        <v>21</v>
      </c>
      <c r="E3736">
        <v>2222222</v>
      </c>
      <c r="F3736" s="8" t="s">
        <v>22</v>
      </c>
      <c r="G3736" s="2">
        <v>98</v>
      </c>
      <c r="H3736" t="s">
        <v>4506</v>
      </c>
      <c r="J3736" s="9" t="s">
        <v>5829</v>
      </c>
      <c r="K3736" t="s">
        <v>4926</v>
      </c>
      <c r="L3736" s="2">
        <v>1</v>
      </c>
      <c r="M3736" s="24" t="s">
        <v>5971</v>
      </c>
      <c r="N3736" s="2" t="s">
        <v>23</v>
      </c>
      <c r="O3736" s="18" t="s">
        <v>2881</v>
      </c>
      <c r="P3736" s="18" t="s">
        <v>3781</v>
      </c>
      <c r="Q3736" s="6" t="s">
        <v>4475</v>
      </c>
      <c r="T3736" s="23">
        <v>45712</v>
      </c>
      <c r="U3736" s="23">
        <v>46809</v>
      </c>
      <c r="X3736" s="20">
        <v>5000</v>
      </c>
      <c r="Z3736" s="6" t="s">
        <v>5978</v>
      </c>
      <c r="AA3736" s="14">
        <f t="shared" si="503"/>
        <v>5.9999999999999995E-4</v>
      </c>
      <c r="AB3736">
        <v>1.7845739999999999</v>
      </c>
      <c r="AC3736">
        <v>1.8559569599999999</v>
      </c>
    </row>
    <row r="3737" spans="1:29" x14ac:dyDescent="0.3">
      <c r="A3737">
        <v>145389</v>
      </c>
      <c r="B3737" s="25" t="s">
        <v>5984</v>
      </c>
      <c r="C3737" t="s">
        <v>20</v>
      </c>
      <c r="D3737" t="s">
        <v>21</v>
      </c>
      <c r="E3737">
        <v>2222222</v>
      </c>
      <c r="F3737" s="8" t="s">
        <v>22</v>
      </c>
      <c r="G3737" s="2">
        <v>98</v>
      </c>
      <c r="H3737" t="s">
        <v>4506</v>
      </c>
      <c r="J3737" s="9" t="s">
        <v>5060</v>
      </c>
      <c r="K3737" t="s">
        <v>5451</v>
      </c>
      <c r="L3737" s="2">
        <v>1</v>
      </c>
      <c r="M3737" s="24" t="s">
        <v>5971</v>
      </c>
      <c r="N3737" s="2" t="s">
        <v>23</v>
      </c>
      <c r="O3737" s="18" t="s">
        <v>2882</v>
      </c>
      <c r="P3737" s="18" t="s">
        <v>3781</v>
      </c>
      <c r="Q3737" s="6" t="s">
        <v>4475</v>
      </c>
      <c r="T3737" s="23">
        <v>45734</v>
      </c>
      <c r="U3737" s="23">
        <v>46286</v>
      </c>
      <c r="X3737" s="20">
        <v>1300</v>
      </c>
      <c r="Z3737" s="6" t="s">
        <v>5978</v>
      </c>
      <c r="AA3737" s="14">
        <f t="shared" si="503"/>
        <v>5.9999999999999995E-4</v>
      </c>
      <c r="AB3737">
        <v>9.6858E-2</v>
      </c>
      <c r="AC3737">
        <v>0.10073232</v>
      </c>
    </row>
    <row r="3738" spans="1:29" x14ac:dyDescent="0.3">
      <c r="A3738">
        <v>147123</v>
      </c>
      <c r="B3738" s="25" t="s">
        <v>5984</v>
      </c>
      <c r="C3738" t="s">
        <v>20</v>
      </c>
      <c r="D3738" t="s">
        <v>21</v>
      </c>
      <c r="E3738">
        <v>2222222</v>
      </c>
      <c r="F3738" s="8" t="s">
        <v>22</v>
      </c>
      <c r="G3738" s="2">
        <v>98</v>
      </c>
      <c r="H3738" t="s">
        <v>4506</v>
      </c>
      <c r="J3738" s="9" t="s">
        <v>4884</v>
      </c>
      <c r="K3738" t="s">
        <v>4928</v>
      </c>
      <c r="L3738" s="2">
        <v>1</v>
      </c>
      <c r="M3738" s="24" t="s">
        <v>5971</v>
      </c>
      <c r="N3738" s="2" t="s">
        <v>23</v>
      </c>
      <c r="O3738" s="18" t="s">
        <v>2883</v>
      </c>
      <c r="P3738" s="18" t="s">
        <v>3781</v>
      </c>
      <c r="Q3738" s="6" t="s">
        <v>4475</v>
      </c>
      <c r="T3738" s="23">
        <v>45866</v>
      </c>
      <c r="U3738" s="23">
        <v>46961</v>
      </c>
      <c r="X3738" s="20">
        <v>5000</v>
      </c>
      <c r="Z3738" s="6" t="s">
        <v>5978</v>
      </c>
      <c r="AA3738" s="14">
        <f t="shared" si="503"/>
        <v>5.9999999999999995E-4</v>
      </c>
      <c r="AB3738">
        <v>2.1363839999999996</v>
      </c>
      <c r="AC3738">
        <v>2.2218393599999997</v>
      </c>
    </row>
    <row r="3739" spans="1:29" x14ac:dyDescent="0.3">
      <c r="A3739">
        <v>147344</v>
      </c>
      <c r="B3739" s="25" t="s">
        <v>5984</v>
      </c>
      <c r="C3739" t="s">
        <v>20</v>
      </c>
      <c r="D3739" t="s">
        <v>21</v>
      </c>
      <c r="E3739">
        <v>2222222</v>
      </c>
      <c r="F3739" s="8" t="s">
        <v>22</v>
      </c>
      <c r="G3739" s="2">
        <v>98</v>
      </c>
      <c r="H3739" t="s">
        <v>4506</v>
      </c>
      <c r="J3739" s="9" t="s">
        <v>5013</v>
      </c>
      <c r="K3739" t="s">
        <v>4827</v>
      </c>
      <c r="L3739" s="2">
        <v>1</v>
      </c>
      <c r="M3739" s="24" t="s">
        <v>5971</v>
      </c>
      <c r="N3739" s="2" t="s">
        <v>23</v>
      </c>
      <c r="O3739" s="18" t="s">
        <v>2874</v>
      </c>
      <c r="P3739" s="18" t="s">
        <v>0</v>
      </c>
      <c r="Q3739" s="6" t="s">
        <v>4475</v>
      </c>
      <c r="T3739" s="23">
        <v>45883</v>
      </c>
      <c r="U3739" s="23">
        <v>46611</v>
      </c>
      <c r="X3739" s="20">
        <v>10500</v>
      </c>
      <c r="Z3739" s="6" t="s">
        <v>5978</v>
      </c>
      <c r="AA3739" s="14">
        <f t="shared" si="503"/>
        <v>5.9999999999999995E-4</v>
      </c>
      <c r="AB3739">
        <v>4.1634120000000001</v>
      </c>
      <c r="AC3739">
        <v>4.3299484800000005</v>
      </c>
    </row>
    <row r="3740" spans="1:29" x14ac:dyDescent="0.3">
      <c r="A3740">
        <v>147399</v>
      </c>
      <c r="B3740" s="25" t="s">
        <v>5984</v>
      </c>
      <c r="C3740" t="s">
        <v>20</v>
      </c>
      <c r="D3740" t="s">
        <v>21</v>
      </c>
      <c r="E3740">
        <v>2222222</v>
      </c>
      <c r="F3740" s="8" t="s">
        <v>22</v>
      </c>
      <c r="G3740" s="2">
        <v>98</v>
      </c>
      <c r="H3740" t="s">
        <v>4506</v>
      </c>
      <c r="J3740" s="9" t="s">
        <v>4815</v>
      </c>
      <c r="K3740" t="s">
        <v>5197</v>
      </c>
      <c r="L3740" s="2">
        <v>1</v>
      </c>
      <c r="M3740" s="24" t="s">
        <v>5971</v>
      </c>
      <c r="N3740" s="2" t="s">
        <v>23</v>
      </c>
      <c r="O3740" s="18" t="s">
        <v>2884</v>
      </c>
      <c r="P3740" s="18" t="s">
        <v>0</v>
      </c>
      <c r="Q3740" s="6" t="s">
        <v>4475</v>
      </c>
      <c r="T3740" s="23">
        <v>45887</v>
      </c>
      <c r="U3740" s="23">
        <v>47712</v>
      </c>
      <c r="X3740" s="20">
        <v>5000</v>
      </c>
      <c r="Z3740" s="6" t="s">
        <v>5978</v>
      </c>
      <c r="AA3740" s="14">
        <f t="shared" si="503"/>
        <v>5.9999999999999995E-4</v>
      </c>
      <c r="AB3740">
        <v>2.7467279999999996</v>
      </c>
      <c r="AC3740">
        <v>2.8565971199999995</v>
      </c>
    </row>
    <row r="3741" spans="1:29" x14ac:dyDescent="0.3">
      <c r="A3741">
        <v>147400</v>
      </c>
      <c r="B3741" s="25" t="s">
        <v>5984</v>
      </c>
      <c r="C3741" t="s">
        <v>20</v>
      </c>
      <c r="D3741" t="s">
        <v>21</v>
      </c>
      <c r="E3741">
        <v>2222222</v>
      </c>
      <c r="F3741" s="8" t="s">
        <v>22</v>
      </c>
      <c r="G3741" s="2">
        <v>98</v>
      </c>
      <c r="H3741" t="s">
        <v>4506</v>
      </c>
      <c r="J3741" s="9" t="s">
        <v>4815</v>
      </c>
      <c r="K3741" t="s">
        <v>5197</v>
      </c>
      <c r="L3741" s="2">
        <v>1</v>
      </c>
      <c r="M3741" s="24" t="s">
        <v>5971</v>
      </c>
      <c r="N3741" s="2" t="s">
        <v>23</v>
      </c>
      <c r="O3741" s="18" t="s">
        <v>2884</v>
      </c>
      <c r="P3741" s="18" t="s">
        <v>0</v>
      </c>
      <c r="Q3741" s="6" t="s">
        <v>4475</v>
      </c>
      <c r="T3741" s="23">
        <v>45887</v>
      </c>
      <c r="U3741" s="23">
        <v>46982</v>
      </c>
      <c r="X3741" s="20">
        <v>1320</v>
      </c>
      <c r="Z3741" s="6" t="s">
        <v>5978</v>
      </c>
      <c r="AA3741" s="14">
        <f t="shared" si="503"/>
        <v>5.9999999999999995E-4</v>
      </c>
      <c r="AB3741">
        <v>0.68667599999999995</v>
      </c>
      <c r="AC3741">
        <v>0.71414303999999995</v>
      </c>
    </row>
    <row r="3742" spans="1:29" x14ac:dyDescent="0.3">
      <c r="A3742">
        <v>148053</v>
      </c>
      <c r="B3742" s="25" t="s">
        <v>5984</v>
      </c>
      <c r="C3742" t="s">
        <v>20</v>
      </c>
      <c r="D3742" t="s">
        <v>21</v>
      </c>
      <c r="E3742">
        <v>2222222</v>
      </c>
      <c r="F3742" s="8" t="s">
        <v>22</v>
      </c>
      <c r="G3742" s="2">
        <v>98</v>
      </c>
      <c r="H3742" t="s">
        <v>4506</v>
      </c>
      <c r="J3742" s="9" t="s">
        <v>5160</v>
      </c>
      <c r="K3742" t="s">
        <v>4905</v>
      </c>
      <c r="L3742" s="2">
        <v>1</v>
      </c>
      <c r="M3742" s="24" t="s">
        <v>5971</v>
      </c>
      <c r="N3742" s="2" t="s">
        <v>23</v>
      </c>
      <c r="O3742" s="18" t="s">
        <v>603</v>
      </c>
      <c r="P3742" s="18" t="s">
        <v>0</v>
      </c>
      <c r="Q3742" s="6" t="s">
        <v>4475</v>
      </c>
      <c r="T3742" s="23">
        <v>45931</v>
      </c>
      <c r="U3742" s="23">
        <v>46662</v>
      </c>
      <c r="X3742" s="20">
        <v>1600</v>
      </c>
      <c r="Z3742" s="6" t="s">
        <v>5978</v>
      </c>
      <c r="AA3742" s="14">
        <f t="shared" si="503"/>
        <v>5.9999999999999995E-4</v>
      </c>
      <c r="AB3742">
        <v>0.6371159999999999</v>
      </c>
      <c r="AC3742">
        <v>0.66260063999999996</v>
      </c>
    </row>
    <row r="3743" spans="1:29" x14ac:dyDescent="0.3">
      <c r="A3743">
        <v>148086</v>
      </c>
      <c r="B3743" s="25" t="s">
        <v>5984</v>
      </c>
      <c r="C3743" t="s">
        <v>20</v>
      </c>
      <c r="D3743" t="s">
        <v>21</v>
      </c>
      <c r="E3743">
        <v>2222222</v>
      </c>
      <c r="F3743" s="8" t="s">
        <v>22</v>
      </c>
      <c r="G3743" s="2">
        <v>98</v>
      </c>
      <c r="H3743" t="s">
        <v>4506</v>
      </c>
      <c r="J3743" s="9" t="s">
        <v>5201</v>
      </c>
      <c r="K3743" t="s">
        <v>5024</v>
      </c>
      <c r="L3743" s="2">
        <v>1</v>
      </c>
      <c r="M3743" s="24" t="s">
        <v>5971</v>
      </c>
      <c r="N3743" s="2" t="s">
        <v>23</v>
      </c>
      <c r="O3743" s="18" t="s">
        <v>2885</v>
      </c>
      <c r="P3743" s="18" t="s">
        <v>0</v>
      </c>
      <c r="Q3743" s="6" t="s">
        <v>4475</v>
      </c>
      <c r="T3743" s="23">
        <v>45938</v>
      </c>
      <c r="U3743" s="23">
        <v>47763</v>
      </c>
      <c r="X3743" s="20">
        <v>40000</v>
      </c>
      <c r="Z3743" s="6" t="s">
        <v>5978</v>
      </c>
      <c r="AA3743" s="14">
        <f t="shared" si="503"/>
        <v>5.9999999999999995E-4</v>
      </c>
      <c r="AB3743">
        <v>20.399981999999998</v>
      </c>
      <c r="AC3743">
        <v>21.215981279999998</v>
      </c>
    </row>
    <row r="3744" spans="1:29" x14ac:dyDescent="0.3">
      <c r="A3744">
        <v>148770</v>
      </c>
      <c r="B3744" s="25" t="s">
        <v>5984</v>
      </c>
      <c r="C3744" t="s">
        <v>20</v>
      </c>
      <c r="D3744" t="s">
        <v>21</v>
      </c>
      <c r="E3744">
        <v>2222222</v>
      </c>
      <c r="F3744" s="8" t="s">
        <v>22</v>
      </c>
      <c r="G3744" s="2">
        <v>98</v>
      </c>
      <c r="H3744" t="s">
        <v>4506</v>
      </c>
      <c r="J3744" s="9" t="s">
        <v>5160</v>
      </c>
      <c r="K3744" t="s">
        <v>4905</v>
      </c>
      <c r="L3744" s="2">
        <v>1</v>
      </c>
      <c r="M3744" s="24" t="s">
        <v>5971</v>
      </c>
      <c r="N3744" s="2" t="s">
        <v>23</v>
      </c>
      <c r="O3744" s="18" t="s">
        <v>603</v>
      </c>
      <c r="P3744" s="18" t="s">
        <v>0</v>
      </c>
      <c r="Q3744" s="6" t="s">
        <v>4475</v>
      </c>
      <c r="T3744" s="23">
        <v>45980</v>
      </c>
      <c r="U3744" s="23">
        <v>48201</v>
      </c>
      <c r="X3744" s="20">
        <v>12000</v>
      </c>
      <c r="Z3744" s="6" t="s">
        <v>5978</v>
      </c>
      <c r="AA3744" s="14">
        <f t="shared" si="503"/>
        <v>5.9999999999999995E-4</v>
      </c>
      <c r="AB3744">
        <v>4.2825179999999996</v>
      </c>
      <c r="AC3744">
        <v>4.4538187200000001</v>
      </c>
    </row>
    <row r="3745" spans="1:29" x14ac:dyDescent="0.3">
      <c r="A3745">
        <v>148834</v>
      </c>
      <c r="B3745" s="25" t="s">
        <v>5984</v>
      </c>
      <c r="C3745" t="s">
        <v>20</v>
      </c>
      <c r="D3745" t="s">
        <v>21</v>
      </c>
      <c r="E3745">
        <v>2222222</v>
      </c>
      <c r="F3745" s="8" t="s">
        <v>22</v>
      </c>
      <c r="G3745" s="2">
        <v>98</v>
      </c>
      <c r="H3745" t="s">
        <v>4506</v>
      </c>
      <c r="J3745" s="9" t="s">
        <v>5613</v>
      </c>
      <c r="K3745" t="s">
        <v>4880</v>
      </c>
      <c r="L3745" s="2">
        <v>1</v>
      </c>
      <c r="M3745" s="24" t="s">
        <v>5971</v>
      </c>
      <c r="N3745" s="2" t="s">
        <v>23</v>
      </c>
      <c r="O3745" s="18" t="s">
        <v>2182</v>
      </c>
      <c r="P3745" s="18" t="s">
        <v>3781</v>
      </c>
      <c r="Q3745" s="6" t="s">
        <v>4475</v>
      </c>
      <c r="T3745" s="23">
        <v>45981</v>
      </c>
      <c r="U3745" s="23">
        <v>47077</v>
      </c>
      <c r="X3745" s="20">
        <v>5000</v>
      </c>
      <c r="Z3745" s="6" t="s">
        <v>5978</v>
      </c>
      <c r="AA3745" s="14">
        <f t="shared" si="503"/>
        <v>5.9999999999999995E-4</v>
      </c>
      <c r="AB3745">
        <v>2.4646319999999999</v>
      </c>
      <c r="AC3745">
        <v>2.5632172799999999</v>
      </c>
    </row>
    <row r="3746" spans="1:29" x14ac:dyDescent="0.3">
      <c r="A3746">
        <v>149175</v>
      </c>
      <c r="B3746" s="25" t="s">
        <v>5984</v>
      </c>
      <c r="C3746" t="s">
        <v>20</v>
      </c>
      <c r="D3746" t="s">
        <v>21</v>
      </c>
      <c r="E3746">
        <v>2222222</v>
      </c>
      <c r="F3746" s="8" t="s">
        <v>22</v>
      </c>
      <c r="G3746" s="2">
        <v>98</v>
      </c>
      <c r="H3746" t="s">
        <v>4506</v>
      </c>
      <c r="J3746" s="9" t="s">
        <v>4884</v>
      </c>
      <c r="K3746" t="s">
        <v>4928</v>
      </c>
      <c r="L3746" s="2">
        <v>1</v>
      </c>
      <c r="M3746" s="24" t="s">
        <v>5971</v>
      </c>
      <c r="N3746" s="2" t="s">
        <v>23</v>
      </c>
      <c r="O3746" s="18" t="s">
        <v>2883</v>
      </c>
      <c r="P3746" s="18" t="s">
        <v>3781</v>
      </c>
      <c r="Q3746" s="6" t="s">
        <v>4475</v>
      </c>
      <c r="T3746" s="23">
        <v>46002</v>
      </c>
      <c r="U3746" s="23">
        <v>46731</v>
      </c>
      <c r="X3746" s="20">
        <v>5000</v>
      </c>
      <c r="Z3746" s="6" t="s">
        <v>5978</v>
      </c>
      <c r="AA3746" s="14">
        <f t="shared" si="503"/>
        <v>5.9999999999999995E-4</v>
      </c>
      <c r="AB3746">
        <v>2.2313699999999996</v>
      </c>
      <c r="AC3746">
        <v>2.3206247999999996</v>
      </c>
    </row>
    <row r="3747" spans="1:29" x14ac:dyDescent="0.3">
      <c r="A3747">
        <v>149725</v>
      </c>
      <c r="B3747" s="25" t="s">
        <v>5984</v>
      </c>
      <c r="C3747" t="s">
        <v>20</v>
      </c>
      <c r="D3747" t="s">
        <v>21</v>
      </c>
      <c r="E3747">
        <v>2222222</v>
      </c>
      <c r="F3747" s="8" t="s">
        <v>22</v>
      </c>
      <c r="G3747" s="2">
        <v>98</v>
      </c>
      <c r="H3747" t="s">
        <v>4506</v>
      </c>
      <c r="J3747" s="9" t="s">
        <v>4884</v>
      </c>
      <c r="K3747" t="s">
        <v>4928</v>
      </c>
      <c r="L3747" s="2">
        <v>1</v>
      </c>
      <c r="M3747" s="24" t="s">
        <v>5971</v>
      </c>
      <c r="N3747" s="2" t="s">
        <v>23</v>
      </c>
      <c r="O3747" s="18" t="s">
        <v>2883</v>
      </c>
      <c r="P3747" s="18" t="s">
        <v>3781</v>
      </c>
      <c r="Q3747" s="6" t="s">
        <v>4475</v>
      </c>
      <c r="T3747" s="23">
        <v>46044</v>
      </c>
      <c r="U3747" s="23">
        <v>46503</v>
      </c>
      <c r="X3747" s="20">
        <v>4000</v>
      </c>
      <c r="Z3747" s="6" t="s">
        <v>5978</v>
      </c>
      <c r="AA3747" s="14">
        <f t="shared" si="503"/>
        <v>5.9999999999999995E-4</v>
      </c>
      <c r="AB3747">
        <v>1.4982599999999997</v>
      </c>
      <c r="AC3747">
        <v>1.5581903999999998</v>
      </c>
    </row>
    <row r="3748" spans="1:29" x14ac:dyDescent="0.3">
      <c r="A3748">
        <v>150743</v>
      </c>
      <c r="B3748" s="25" t="s">
        <v>5984</v>
      </c>
      <c r="C3748" t="s">
        <v>20</v>
      </c>
      <c r="D3748" t="s">
        <v>21</v>
      </c>
      <c r="E3748">
        <v>2222222</v>
      </c>
      <c r="F3748" s="8" t="s">
        <v>22</v>
      </c>
      <c r="G3748" s="2">
        <v>98</v>
      </c>
      <c r="H3748" t="s">
        <v>4506</v>
      </c>
      <c r="J3748" s="9" t="s">
        <v>5068</v>
      </c>
      <c r="K3748" t="s">
        <v>4965</v>
      </c>
      <c r="L3748" s="2">
        <v>1</v>
      </c>
      <c r="M3748" s="24" t="s">
        <v>5971</v>
      </c>
      <c r="N3748" s="2" t="s">
        <v>23</v>
      </c>
      <c r="O3748" s="18" t="s">
        <v>1401</v>
      </c>
      <c r="P3748" s="18" t="s">
        <v>0</v>
      </c>
      <c r="Q3748" s="6" t="s">
        <v>4475</v>
      </c>
      <c r="T3748" s="23">
        <v>46120</v>
      </c>
      <c r="U3748" s="23">
        <v>46881</v>
      </c>
      <c r="X3748" s="20">
        <v>14000</v>
      </c>
      <c r="Z3748" s="6" t="s">
        <v>5978</v>
      </c>
      <c r="AA3748" s="14">
        <f t="shared" si="503"/>
        <v>5.9999999999999995E-4</v>
      </c>
      <c r="AB3748">
        <v>7.5166379999999995</v>
      </c>
      <c r="AC3748">
        <v>7.8173035199999994</v>
      </c>
    </row>
    <row r="3749" spans="1:29" x14ac:dyDescent="0.3">
      <c r="A3749">
        <v>151248</v>
      </c>
      <c r="B3749" s="25" t="s">
        <v>5984</v>
      </c>
      <c r="C3749" t="s">
        <v>20</v>
      </c>
      <c r="D3749" t="s">
        <v>21</v>
      </c>
      <c r="E3749">
        <v>2222222</v>
      </c>
      <c r="F3749" s="8" t="s">
        <v>22</v>
      </c>
      <c r="G3749" s="2">
        <v>98</v>
      </c>
      <c r="H3749" t="s">
        <v>4506</v>
      </c>
      <c r="J3749" s="9" t="s">
        <v>5466</v>
      </c>
      <c r="K3749" t="s">
        <v>5024</v>
      </c>
      <c r="L3749" s="2">
        <v>1</v>
      </c>
      <c r="M3749" s="24" t="s">
        <v>5971</v>
      </c>
      <c r="N3749" s="2" t="s">
        <v>23</v>
      </c>
      <c r="O3749" s="18" t="s">
        <v>1304</v>
      </c>
      <c r="P3749" s="18" t="s">
        <v>0</v>
      </c>
      <c r="Q3749" s="6" t="s">
        <v>4475</v>
      </c>
      <c r="T3749" s="23">
        <v>46150</v>
      </c>
      <c r="U3749" s="23">
        <v>46240</v>
      </c>
      <c r="X3749" s="20">
        <v>4000</v>
      </c>
      <c r="Z3749" s="6" t="s">
        <v>5978</v>
      </c>
      <c r="AA3749" s="14">
        <f t="shared" si="503"/>
        <v>5.9999999999999995E-4</v>
      </c>
      <c r="AB3749">
        <v>2.4</v>
      </c>
      <c r="AC3749">
        <v>2.496</v>
      </c>
    </row>
    <row r="3750" spans="1:29" x14ac:dyDescent="0.3">
      <c r="A3750">
        <v>151517</v>
      </c>
      <c r="B3750" s="25" t="s">
        <v>5984</v>
      </c>
      <c r="C3750" t="s">
        <v>20</v>
      </c>
      <c r="D3750" t="s">
        <v>21</v>
      </c>
      <c r="E3750">
        <v>2222222</v>
      </c>
      <c r="F3750" s="8" t="s">
        <v>22</v>
      </c>
      <c r="G3750" s="2">
        <v>98</v>
      </c>
      <c r="H3750" t="s">
        <v>4506</v>
      </c>
      <c r="J3750" s="9" t="s">
        <v>4929</v>
      </c>
      <c r="K3750" t="s">
        <v>4852</v>
      </c>
      <c r="L3750" s="2">
        <v>1</v>
      </c>
      <c r="M3750" s="24" t="s">
        <v>5971</v>
      </c>
      <c r="N3750" s="2" t="s">
        <v>23</v>
      </c>
      <c r="O3750" s="18" t="s">
        <v>517</v>
      </c>
      <c r="P3750" s="18" t="s">
        <v>0</v>
      </c>
      <c r="Q3750" s="6" t="s">
        <v>4475</v>
      </c>
      <c r="T3750" s="23">
        <v>46181</v>
      </c>
      <c r="U3750" s="23">
        <v>49834</v>
      </c>
      <c r="X3750" s="20">
        <v>75700</v>
      </c>
      <c r="Z3750" s="6" t="s">
        <v>5978</v>
      </c>
      <c r="AA3750" s="14">
        <f t="shared" si="503"/>
        <v>5.9999999999999995E-4</v>
      </c>
      <c r="AB3750">
        <v>45.419999999999995</v>
      </c>
      <c r="AC3750">
        <v>47.236799999999995</v>
      </c>
    </row>
    <row r="3751" spans="1:29" x14ac:dyDescent="0.3">
      <c r="A3751">
        <v>151553</v>
      </c>
      <c r="B3751" s="25" t="s">
        <v>5984</v>
      </c>
      <c r="C3751" t="s">
        <v>20</v>
      </c>
      <c r="D3751" t="s">
        <v>21</v>
      </c>
      <c r="E3751">
        <v>2222222</v>
      </c>
      <c r="F3751" s="8" t="s">
        <v>22</v>
      </c>
      <c r="G3751" s="2">
        <v>98</v>
      </c>
      <c r="H3751" t="s">
        <v>4506</v>
      </c>
      <c r="J3751" s="9" t="s">
        <v>4929</v>
      </c>
      <c r="K3751" t="s">
        <v>4852</v>
      </c>
      <c r="L3751" s="2">
        <v>1</v>
      </c>
      <c r="M3751" s="24" t="s">
        <v>5971</v>
      </c>
      <c r="N3751" s="2" t="s">
        <v>23</v>
      </c>
      <c r="O3751" s="18" t="s">
        <v>2886</v>
      </c>
      <c r="P3751" s="18" t="s">
        <v>0</v>
      </c>
      <c r="Q3751" s="6" t="s">
        <v>4475</v>
      </c>
      <c r="T3751" s="23">
        <v>46172</v>
      </c>
      <c r="U3751" s="23">
        <v>47997</v>
      </c>
      <c r="X3751" s="20">
        <v>6000</v>
      </c>
      <c r="Z3751" s="6" t="s">
        <v>5978</v>
      </c>
      <c r="AA3751" s="14">
        <f t="shared" si="503"/>
        <v>5.9999999999999995E-4</v>
      </c>
      <c r="AB3751">
        <v>3.5152439999999996</v>
      </c>
      <c r="AC3751">
        <v>3.6558537599999998</v>
      </c>
    </row>
    <row r="3752" spans="1:29" x14ac:dyDescent="0.3">
      <c r="A3752">
        <v>152246</v>
      </c>
      <c r="B3752" s="25" t="s">
        <v>5984</v>
      </c>
      <c r="C3752" t="s">
        <v>20</v>
      </c>
      <c r="D3752" t="s">
        <v>21</v>
      </c>
      <c r="E3752">
        <v>2222222</v>
      </c>
      <c r="F3752" s="8" t="s">
        <v>22</v>
      </c>
      <c r="G3752" s="2">
        <v>98</v>
      </c>
      <c r="H3752" t="s">
        <v>4506</v>
      </c>
      <c r="J3752" s="9" t="s">
        <v>4898</v>
      </c>
      <c r="K3752" t="s">
        <v>4928</v>
      </c>
      <c r="L3752" s="2">
        <v>1</v>
      </c>
      <c r="M3752" s="24" t="s">
        <v>5971</v>
      </c>
      <c r="N3752" s="2" t="s">
        <v>23</v>
      </c>
      <c r="O3752" s="18" t="s">
        <v>797</v>
      </c>
      <c r="P3752" s="18" t="s">
        <v>3781</v>
      </c>
      <c r="Q3752" s="6" t="s">
        <v>4475</v>
      </c>
      <c r="T3752" s="23">
        <v>46223</v>
      </c>
      <c r="U3752" s="23">
        <v>47318</v>
      </c>
      <c r="X3752" s="20">
        <v>3100</v>
      </c>
      <c r="Z3752" s="6" t="s">
        <v>5978</v>
      </c>
      <c r="AA3752" s="14">
        <f t="shared" si="503"/>
        <v>5.9999999999999995E-4</v>
      </c>
      <c r="AB3752">
        <v>1.8599999999999999</v>
      </c>
      <c r="AC3752">
        <v>1.9343999999999999</v>
      </c>
    </row>
    <row r="3753" spans="1:29" x14ac:dyDescent="0.3">
      <c r="A3753">
        <v>133082</v>
      </c>
      <c r="B3753" s="25" t="s">
        <v>5984</v>
      </c>
      <c r="C3753" t="s">
        <v>20</v>
      </c>
      <c r="D3753" t="s">
        <v>21</v>
      </c>
      <c r="E3753">
        <v>2222222</v>
      </c>
      <c r="F3753" s="8" t="s">
        <v>22</v>
      </c>
      <c r="G3753" s="2">
        <v>98</v>
      </c>
      <c r="H3753" t="s">
        <v>4507</v>
      </c>
      <c r="J3753" s="9" t="s">
        <v>4955</v>
      </c>
      <c r="K3753" t="s">
        <v>5682</v>
      </c>
      <c r="L3753" s="2">
        <v>1</v>
      </c>
      <c r="M3753" s="24" t="s">
        <v>5971</v>
      </c>
      <c r="N3753" s="2" t="s">
        <v>23</v>
      </c>
      <c r="O3753" s="18" t="s">
        <v>2416</v>
      </c>
      <c r="P3753" s="18" t="s">
        <v>3781</v>
      </c>
      <c r="Q3753" s="6" t="s">
        <v>4475</v>
      </c>
      <c r="T3753" s="23">
        <v>44980</v>
      </c>
      <c r="U3753" s="23">
        <v>48816</v>
      </c>
      <c r="X3753" s="20">
        <v>100000</v>
      </c>
      <c r="Z3753" s="6" t="s">
        <v>5978</v>
      </c>
      <c r="AA3753" s="13">
        <f>+(0.56/1000)</f>
        <v>5.6000000000000006E-4</v>
      </c>
      <c r="AB3753">
        <v>45.75343920000001</v>
      </c>
      <c r="AC3753">
        <v>47.583576768000015</v>
      </c>
    </row>
    <row r="3754" spans="1:29" x14ac:dyDescent="0.3">
      <c r="A3754">
        <v>142327</v>
      </c>
      <c r="B3754" s="25" t="s">
        <v>5984</v>
      </c>
      <c r="C3754" t="s">
        <v>20</v>
      </c>
      <c r="D3754" t="s">
        <v>21</v>
      </c>
      <c r="E3754">
        <v>2222222</v>
      </c>
      <c r="F3754" s="8" t="s">
        <v>22</v>
      </c>
      <c r="G3754" s="2">
        <v>98</v>
      </c>
      <c r="H3754" t="s">
        <v>4507</v>
      </c>
      <c r="J3754" s="9" t="s">
        <v>4997</v>
      </c>
      <c r="K3754" t="s">
        <v>4924</v>
      </c>
      <c r="L3754" s="2">
        <v>1</v>
      </c>
      <c r="M3754" s="24" t="s">
        <v>5971</v>
      </c>
      <c r="N3754" s="2" t="s">
        <v>23</v>
      </c>
      <c r="O3754" s="18" t="s">
        <v>1749</v>
      </c>
      <c r="P3754" s="18" t="s">
        <v>3781</v>
      </c>
      <c r="Q3754" s="6" t="s">
        <v>4475</v>
      </c>
      <c r="T3754" s="23">
        <v>45511</v>
      </c>
      <c r="U3754" s="23">
        <v>46609</v>
      </c>
      <c r="X3754" s="20">
        <v>5000</v>
      </c>
      <c r="Z3754" s="6" t="s">
        <v>5978</v>
      </c>
      <c r="AA3754" s="14">
        <f t="shared" ref="AA3754:AA3757" si="504">+(0.6/1000)</f>
        <v>5.9999999999999995E-4</v>
      </c>
      <c r="AB3754">
        <v>1.28328</v>
      </c>
      <c r="AC3754">
        <v>1.3346112000000001</v>
      </c>
    </row>
    <row r="3755" spans="1:29" x14ac:dyDescent="0.3">
      <c r="A3755">
        <v>146440</v>
      </c>
      <c r="B3755" s="25" t="s">
        <v>5984</v>
      </c>
      <c r="C3755" t="s">
        <v>20</v>
      </c>
      <c r="D3755" t="s">
        <v>21</v>
      </c>
      <c r="E3755">
        <v>2222222</v>
      </c>
      <c r="F3755" s="8" t="s">
        <v>22</v>
      </c>
      <c r="G3755" s="2">
        <v>98</v>
      </c>
      <c r="H3755" t="s">
        <v>4507</v>
      </c>
      <c r="J3755" s="9" t="s">
        <v>4936</v>
      </c>
      <c r="K3755" t="s">
        <v>5830</v>
      </c>
      <c r="L3755" s="2">
        <v>1</v>
      </c>
      <c r="M3755" s="24" t="s">
        <v>5971</v>
      </c>
      <c r="N3755" s="2" t="s">
        <v>23</v>
      </c>
      <c r="O3755" s="18" t="s">
        <v>2887</v>
      </c>
      <c r="P3755" s="18" t="s">
        <v>0</v>
      </c>
      <c r="Q3755" s="6" t="s">
        <v>4475</v>
      </c>
      <c r="T3755" s="23">
        <v>45817</v>
      </c>
      <c r="U3755" s="23">
        <v>46918</v>
      </c>
      <c r="X3755" s="20">
        <v>1500</v>
      </c>
      <c r="Z3755" s="6" t="s">
        <v>5978</v>
      </c>
      <c r="AA3755" s="14">
        <f t="shared" si="504"/>
        <v>5.9999999999999995E-4</v>
      </c>
      <c r="AB3755">
        <v>0.62665799999999994</v>
      </c>
      <c r="AC3755">
        <v>0.65172431999999991</v>
      </c>
    </row>
    <row r="3756" spans="1:29" x14ac:dyDescent="0.3">
      <c r="A3756">
        <v>148994</v>
      </c>
      <c r="B3756" s="25" t="s">
        <v>5984</v>
      </c>
      <c r="C3756" t="s">
        <v>20</v>
      </c>
      <c r="D3756" t="s">
        <v>21</v>
      </c>
      <c r="E3756">
        <v>2222222</v>
      </c>
      <c r="F3756" s="8" t="s">
        <v>22</v>
      </c>
      <c r="G3756" s="2">
        <v>98</v>
      </c>
      <c r="H3756" t="s">
        <v>4507</v>
      </c>
      <c r="J3756" s="9" t="s">
        <v>5375</v>
      </c>
      <c r="K3756" t="s">
        <v>5257</v>
      </c>
      <c r="L3756" s="2">
        <v>1</v>
      </c>
      <c r="M3756" s="24" t="s">
        <v>5971</v>
      </c>
      <c r="N3756" s="2" t="s">
        <v>23</v>
      </c>
      <c r="O3756" s="18" t="s">
        <v>2888</v>
      </c>
      <c r="P3756" s="18" t="s">
        <v>0</v>
      </c>
      <c r="Q3756" s="6" t="s">
        <v>4475</v>
      </c>
      <c r="T3756" s="23">
        <v>45991</v>
      </c>
      <c r="U3756" s="23">
        <v>46905</v>
      </c>
      <c r="X3756" s="20">
        <v>2820</v>
      </c>
      <c r="Z3756" s="6" t="s">
        <v>5978</v>
      </c>
      <c r="AA3756" s="14">
        <f t="shared" si="504"/>
        <v>5.9999999999999995E-4</v>
      </c>
      <c r="AB3756">
        <v>1.3985819999999998</v>
      </c>
      <c r="AC3756">
        <v>1.4545252799999999</v>
      </c>
    </row>
    <row r="3757" spans="1:29" x14ac:dyDescent="0.3">
      <c r="A3757">
        <v>150081</v>
      </c>
      <c r="B3757" s="25" t="s">
        <v>5984</v>
      </c>
      <c r="C3757" t="s">
        <v>20</v>
      </c>
      <c r="D3757" t="s">
        <v>21</v>
      </c>
      <c r="E3757">
        <v>2222222</v>
      </c>
      <c r="F3757" s="8" t="s">
        <v>22</v>
      </c>
      <c r="G3757" s="2">
        <v>98</v>
      </c>
      <c r="H3757" t="s">
        <v>4507</v>
      </c>
      <c r="J3757" s="9" t="s">
        <v>4948</v>
      </c>
      <c r="K3757" t="s">
        <v>4875</v>
      </c>
      <c r="L3757" s="2">
        <v>1</v>
      </c>
      <c r="M3757" s="24" t="s">
        <v>5971</v>
      </c>
      <c r="N3757" s="2" t="s">
        <v>23</v>
      </c>
      <c r="O3757" s="18" t="s">
        <v>2889</v>
      </c>
      <c r="P3757" s="18" t="s">
        <v>0</v>
      </c>
      <c r="Q3757" s="6" t="s">
        <v>4475</v>
      </c>
      <c r="T3757" s="23">
        <v>46071</v>
      </c>
      <c r="U3757" s="23">
        <v>46619</v>
      </c>
      <c r="X3757" s="20">
        <v>5000</v>
      </c>
      <c r="Z3757" s="6" t="s">
        <v>5978</v>
      </c>
      <c r="AA3757" s="14">
        <f t="shared" si="504"/>
        <v>5.9999999999999995E-4</v>
      </c>
      <c r="AB3757">
        <v>2.2465499999999996</v>
      </c>
      <c r="AC3757">
        <v>2.3364119999999997</v>
      </c>
    </row>
    <row r="3758" spans="1:29" x14ac:dyDescent="0.3">
      <c r="A3758">
        <v>92112</v>
      </c>
      <c r="B3758" s="25" t="s">
        <v>5984</v>
      </c>
      <c r="C3758" t="s">
        <v>20</v>
      </c>
      <c r="D3758" t="s">
        <v>21</v>
      </c>
      <c r="E3758">
        <v>2222222</v>
      </c>
      <c r="F3758" s="8" t="s">
        <v>22</v>
      </c>
      <c r="G3758" s="2">
        <v>98</v>
      </c>
      <c r="H3758" t="s">
        <v>4508</v>
      </c>
      <c r="J3758" s="9" t="s">
        <v>5069</v>
      </c>
      <c r="K3758" t="s">
        <v>4872</v>
      </c>
      <c r="L3758" s="2">
        <v>1</v>
      </c>
      <c r="M3758" s="24" t="s">
        <v>5971</v>
      </c>
      <c r="N3758" s="2" t="s">
        <v>23</v>
      </c>
      <c r="O3758" s="18" t="s">
        <v>1719</v>
      </c>
      <c r="P3758" s="18" t="s">
        <v>3781</v>
      </c>
      <c r="Q3758" s="6" t="s">
        <v>4475</v>
      </c>
      <c r="T3758" s="23">
        <v>43203</v>
      </c>
      <c r="U3758" s="23">
        <v>43751</v>
      </c>
      <c r="X3758" s="20">
        <v>1500</v>
      </c>
      <c r="Z3758" s="6" t="s">
        <v>5978</v>
      </c>
      <c r="AA3758" s="15">
        <f t="shared" ref="AA3758:AA3759" si="505">+(0.42/1000)</f>
        <v>4.1999999999999996E-4</v>
      </c>
      <c r="AB3758">
        <v>0.62999999999999989</v>
      </c>
      <c r="AC3758">
        <v>0.65519999999999989</v>
      </c>
    </row>
    <row r="3759" spans="1:29" x14ac:dyDescent="0.3">
      <c r="A3759">
        <v>125658</v>
      </c>
      <c r="B3759" s="25" t="s">
        <v>5984</v>
      </c>
      <c r="C3759" t="s">
        <v>20</v>
      </c>
      <c r="D3759" t="s">
        <v>21</v>
      </c>
      <c r="E3759">
        <v>2222222</v>
      </c>
      <c r="F3759" s="8" t="s">
        <v>22</v>
      </c>
      <c r="G3759" s="2">
        <v>98</v>
      </c>
      <c r="H3759" t="s">
        <v>4508</v>
      </c>
      <c r="J3759" s="9" t="s">
        <v>4908</v>
      </c>
      <c r="K3759" t="s">
        <v>5160</v>
      </c>
      <c r="L3759" s="2">
        <v>1</v>
      </c>
      <c r="M3759" s="24" t="s">
        <v>5971</v>
      </c>
      <c r="N3759" s="2" t="s">
        <v>23</v>
      </c>
      <c r="O3759" s="18" t="s">
        <v>2890</v>
      </c>
      <c r="P3759" s="18" t="s">
        <v>0</v>
      </c>
      <c r="Q3759" s="6" t="s">
        <v>4475</v>
      </c>
      <c r="T3759" s="23">
        <v>44579</v>
      </c>
      <c r="U3759" s="23">
        <v>46404</v>
      </c>
      <c r="X3759" s="20">
        <v>15000</v>
      </c>
      <c r="Z3759" s="6" t="s">
        <v>5978</v>
      </c>
      <c r="AA3759" s="15">
        <f t="shared" si="505"/>
        <v>4.1999999999999996E-4</v>
      </c>
      <c r="AB3759">
        <v>4.9009169999999997</v>
      </c>
      <c r="AC3759">
        <v>5.0969536799999995</v>
      </c>
    </row>
    <row r="3760" spans="1:29" x14ac:dyDescent="0.3">
      <c r="A3760">
        <v>138036</v>
      </c>
      <c r="B3760" s="25" t="s">
        <v>5984</v>
      </c>
      <c r="C3760" t="s">
        <v>20</v>
      </c>
      <c r="D3760" t="s">
        <v>21</v>
      </c>
      <c r="E3760">
        <v>2222222</v>
      </c>
      <c r="F3760" s="8" t="s">
        <v>22</v>
      </c>
      <c r="G3760" s="2">
        <v>98</v>
      </c>
      <c r="H3760" t="s">
        <v>4508</v>
      </c>
      <c r="J3760" s="9" t="s">
        <v>4836</v>
      </c>
      <c r="K3760" t="s">
        <v>5831</v>
      </c>
      <c r="L3760" s="2">
        <v>1</v>
      </c>
      <c r="M3760" s="24" t="s">
        <v>5971</v>
      </c>
      <c r="N3760" s="2" t="s">
        <v>23</v>
      </c>
      <c r="O3760" s="18" t="s">
        <v>2891</v>
      </c>
      <c r="P3760" s="18" t="s">
        <v>3781</v>
      </c>
      <c r="Q3760" s="6" t="s">
        <v>4475</v>
      </c>
      <c r="T3760" s="23">
        <v>45258</v>
      </c>
      <c r="U3760" s="23">
        <v>47085</v>
      </c>
      <c r="X3760" s="20">
        <v>12500</v>
      </c>
      <c r="Z3760" s="6" t="s">
        <v>5978</v>
      </c>
      <c r="AA3760" s="13">
        <f t="shared" ref="AA3760:AA3764" si="506">+(0.56/1000)</f>
        <v>5.6000000000000006E-4</v>
      </c>
      <c r="AB3760">
        <v>3.9025056000000005</v>
      </c>
      <c r="AC3760">
        <v>4.0586058240000007</v>
      </c>
    </row>
    <row r="3761" spans="1:29" x14ac:dyDescent="0.3">
      <c r="A3761">
        <v>138871</v>
      </c>
      <c r="B3761" s="25" t="s">
        <v>5984</v>
      </c>
      <c r="C3761" t="s">
        <v>20</v>
      </c>
      <c r="D3761" t="s">
        <v>21</v>
      </c>
      <c r="E3761">
        <v>2222222</v>
      </c>
      <c r="F3761" s="8" t="s">
        <v>22</v>
      </c>
      <c r="G3761" s="2">
        <v>98</v>
      </c>
      <c r="H3761" t="s">
        <v>4508</v>
      </c>
      <c r="J3761" s="9" t="s">
        <v>4970</v>
      </c>
      <c r="K3761" t="s">
        <v>4855</v>
      </c>
      <c r="L3761" s="2">
        <v>1</v>
      </c>
      <c r="M3761" s="24" t="s">
        <v>5971</v>
      </c>
      <c r="N3761" s="2" t="s">
        <v>23</v>
      </c>
      <c r="O3761" s="18" t="s">
        <v>2892</v>
      </c>
      <c r="P3761" s="18" t="s">
        <v>3781</v>
      </c>
      <c r="Q3761" s="6" t="s">
        <v>4475</v>
      </c>
      <c r="T3761" s="23">
        <v>45308</v>
      </c>
      <c r="U3761" s="23">
        <v>46768</v>
      </c>
      <c r="X3761" s="20">
        <v>3500</v>
      </c>
      <c r="Z3761" s="6" t="s">
        <v>5978</v>
      </c>
      <c r="AA3761" s="13">
        <f t="shared" si="506"/>
        <v>5.6000000000000006E-4</v>
      </c>
      <c r="AB3761">
        <v>0.91232400000000013</v>
      </c>
      <c r="AC3761">
        <v>0.94881696000000015</v>
      </c>
    </row>
    <row r="3762" spans="1:29" x14ac:dyDescent="0.3">
      <c r="A3762">
        <v>139129</v>
      </c>
      <c r="B3762" s="25" t="s">
        <v>5984</v>
      </c>
      <c r="C3762" t="s">
        <v>20</v>
      </c>
      <c r="D3762" t="s">
        <v>21</v>
      </c>
      <c r="E3762">
        <v>2222222</v>
      </c>
      <c r="F3762" s="8" t="s">
        <v>22</v>
      </c>
      <c r="G3762" s="2">
        <v>98</v>
      </c>
      <c r="H3762" t="s">
        <v>4508</v>
      </c>
      <c r="J3762" s="9" t="s">
        <v>5451</v>
      </c>
      <c r="K3762" t="s">
        <v>5673</v>
      </c>
      <c r="L3762" s="2">
        <v>1</v>
      </c>
      <c r="M3762" s="24" t="s">
        <v>5971</v>
      </c>
      <c r="N3762" s="2" t="s">
        <v>23</v>
      </c>
      <c r="O3762" s="18" t="s">
        <v>2893</v>
      </c>
      <c r="P3762" s="18" t="s">
        <v>3781</v>
      </c>
      <c r="Q3762" s="6" t="s">
        <v>4475</v>
      </c>
      <c r="T3762" s="23">
        <v>45323</v>
      </c>
      <c r="U3762" s="23">
        <v>47516</v>
      </c>
      <c r="X3762" s="20">
        <v>10000</v>
      </c>
      <c r="Z3762" s="6" t="s">
        <v>5978</v>
      </c>
      <c r="AA3762" s="13">
        <f t="shared" si="506"/>
        <v>5.6000000000000006E-4</v>
      </c>
      <c r="AB3762">
        <v>3.9646936000000008</v>
      </c>
      <c r="AC3762">
        <v>4.1232813440000013</v>
      </c>
    </row>
    <row r="3763" spans="1:29" x14ac:dyDescent="0.3">
      <c r="A3763">
        <v>140050</v>
      </c>
      <c r="B3763" s="25" t="s">
        <v>5984</v>
      </c>
      <c r="C3763" t="s">
        <v>20</v>
      </c>
      <c r="D3763" t="s">
        <v>21</v>
      </c>
      <c r="E3763">
        <v>2222222</v>
      </c>
      <c r="F3763" s="8" t="s">
        <v>22</v>
      </c>
      <c r="G3763" s="2">
        <v>98</v>
      </c>
      <c r="H3763" t="s">
        <v>4508</v>
      </c>
      <c r="J3763" s="9" t="s">
        <v>4929</v>
      </c>
      <c r="K3763" t="s">
        <v>4857</v>
      </c>
      <c r="L3763" s="2">
        <v>1</v>
      </c>
      <c r="M3763" s="24" t="s">
        <v>5971</v>
      </c>
      <c r="N3763" s="2" t="s">
        <v>23</v>
      </c>
      <c r="O3763" s="18" t="s">
        <v>2894</v>
      </c>
      <c r="P3763" s="18" t="s">
        <v>0</v>
      </c>
      <c r="Q3763" s="6" t="s">
        <v>4475</v>
      </c>
      <c r="T3763" s="23">
        <v>45364</v>
      </c>
      <c r="U3763" s="23">
        <v>46916</v>
      </c>
      <c r="X3763" s="20">
        <v>18560</v>
      </c>
      <c r="Z3763" s="6" t="s">
        <v>5978</v>
      </c>
      <c r="AA3763" s="13">
        <f t="shared" si="506"/>
        <v>5.6000000000000006E-4</v>
      </c>
      <c r="AB3763">
        <v>5.9248728000000002</v>
      </c>
      <c r="AC3763">
        <v>6.1618677120000003</v>
      </c>
    </row>
    <row r="3764" spans="1:29" x14ac:dyDescent="0.3">
      <c r="A3764">
        <v>140769</v>
      </c>
      <c r="B3764" s="25" t="s">
        <v>5984</v>
      </c>
      <c r="C3764" t="s">
        <v>20</v>
      </c>
      <c r="D3764" t="s">
        <v>21</v>
      </c>
      <c r="E3764">
        <v>2222222</v>
      </c>
      <c r="F3764" s="8" t="s">
        <v>22</v>
      </c>
      <c r="G3764" s="2">
        <v>98</v>
      </c>
      <c r="H3764" t="s">
        <v>4508</v>
      </c>
      <c r="J3764" s="9" t="s">
        <v>4779</v>
      </c>
      <c r="K3764" t="s">
        <v>4906</v>
      </c>
      <c r="L3764" s="2">
        <v>1</v>
      </c>
      <c r="M3764" s="24" t="s">
        <v>5971</v>
      </c>
      <c r="N3764" s="2" t="s">
        <v>23</v>
      </c>
      <c r="O3764" s="18" t="s">
        <v>2895</v>
      </c>
      <c r="P3764" s="18" t="s">
        <v>0</v>
      </c>
      <c r="Q3764" s="6" t="s">
        <v>4475</v>
      </c>
      <c r="T3764" s="23">
        <v>45411</v>
      </c>
      <c r="U3764" s="23">
        <v>46874</v>
      </c>
      <c r="X3764" s="20">
        <v>10000</v>
      </c>
      <c r="Z3764" s="6" t="s">
        <v>5978</v>
      </c>
      <c r="AA3764" s="13">
        <f t="shared" si="506"/>
        <v>5.6000000000000006E-4</v>
      </c>
      <c r="AB3764">
        <v>2.9859704000000002</v>
      </c>
      <c r="AC3764">
        <v>3.1054092160000004</v>
      </c>
    </row>
    <row r="3765" spans="1:29" x14ac:dyDescent="0.3">
      <c r="A3765">
        <v>140850</v>
      </c>
      <c r="B3765" s="25" t="s">
        <v>5984</v>
      </c>
      <c r="C3765" t="s">
        <v>20</v>
      </c>
      <c r="D3765" t="s">
        <v>21</v>
      </c>
      <c r="E3765">
        <v>2222222</v>
      </c>
      <c r="F3765" s="8" t="s">
        <v>22</v>
      </c>
      <c r="G3765" s="2">
        <v>98</v>
      </c>
      <c r="H3765" t="s">
        <v>4508</v>
      </c>
      <c r="J3765" s="9" t="s">
        <v>4901</v>
      </c>
      <c r="K3765" t="s">
        <v>4913</v>
      </c>
      <c r="L3765" s="2">
        <v>1</v>
      </c>
      <c r="M3765" s="24" t="s">
        <v>5971</v>
      </c>
      <c r="N3765" s="2" t="s">
        <v>23</v>
      </c>
      <c r="O3765" s="18" t="s">
        <v>2896</v>
      </c>
      <c r="P3765" s="18" t="s">
        <v>0</v>
      </c>
      <c r="Q3765" s="6" t="s">
        <v>4475</v>
      </c>
      <c r="T3765" s="23">
        <v>45414</v>
      </c>
      <c r="U3765" s="23">
        <v>46874</v>
      </c>
      <c r="X3765" s="20">
        <v>5000</v>
      </c>
      <c r="Z3765" s="6" t="s">
        <v>5978</v>
      </c>
      <c r="AA3765" s="14">
        <f t="shared" ref="AA3765:AA3785" si="507">+(0.6/1000)</f>
        <v>5.9999999999999995E-4</v>
      </c>
      <c r="AB3765">
        <v>1.6582680000000001</v>
      </c>
      <c r="AC3765">
        <v>1.7245987200000001</v>
      </c>
    </row>
    <row r="3766" spans="1:29" x14ac:dyDescent="0.3">
      <c r="A3766">
        <v>142888</v>
      </c>
      <c r="B3766" s="25" t="s">
        <v>5984</v>
      </c>
      <c r="C3766" t="s">
        <v>20</v>
      </c>
      <c r="D3766" t="s">
        <v>21</v>
      </c>
      <c r="E3766">
        <v>2222222</v>
      </c>
      <c r="F3766" s="8" t="s">
        <v>22</v>
      </c>
      <c r="G3766" s="2">
        <v>98</v>
      </c>
      <c r="H3766" t="s">
        <v>4508</v>
      </c>
      <c r="J3766" s="9" t="s">
        <v>4988</v>
      </c>
      <c r="K3766" t="s">
        <v>5064</v>
      </c>
      <c r="L3766" s="2">
        <v>1</v>
      </c>
      <c r="M3766" s="24" t="s">
        <v>5971</v>
      </c>
      <c r="N3766" s="2" t="s">
        <v>23</v>
      </c>
      <c r="O3766" s="18" t="s">
        <v>2897</v>
      </c>
      <c r="P3766" s="18" t="s">
        <v>0</v>
      </c>
      <c r="Q3766" s="6" t="s">
        <v>4475</v>
      </c>
      <c r="T3766" s="23">
        <v>45552</v>
      </c>
      <c r="U3766" s="23">
        <v>47743</v>
      </c>
      <c r="X3766" s="20">
        <v>15000</v>
      </c>
      <c r="Z3766" s="6" t="s">
        <v>5978</v>
      </c>
      <c r="AA3766" s="14">
        <f t="shared" si="507"/>
        <v>5.9999999999999995E-4</v>
      </c>
      <c r="AB3766">
        <v>6.9516599999999995</v>
      </c>
      <c r="AC3766">
        <v>7.2297263999999997</v>
      </c>
    </row>
    <row r="3767" spans="1:29" x14ac:dyDescent="0.3">
      <c r="A3767">
        <v>143359</v>
      </c>
      <c r="B3767" s="25" t="s">
        <v>5984</v>
      </c>
      <c r="C3767" t="s">
        <v>20</v>
      </c>
      <c r="D3767" t="s">
        <v>21</v>
      </c>
      <c r="E3767">
        <v>2222222</v>
      </c>
      <c r="F3767" s="8" t="s">
        <v>22</v>
      </c>
      <c r="G3767" s="2">
        <v>98</v>
      </c>
      <c r="H3767" t="s">
        <v>4508</v>
      </c>
      <c r="J3767" s="9" t="s">
        <v>5110</v>
      </c>
      <c r="K3767" t="s">
        <v>5546</v>
      </c>
      <c r="L3767" s="2">
        <v>1</v>
      </c>
      <c r="M3767" s="24" t="s">
        <v>5971</v>
      </c>
      <c r="N3767" s="2" t="s">
        <v>23</v>
      </c>
      <c r="O3767" s="18" t="s">
        <v>2898</v>
      </c>
      <c r="P3767" s="18" t="s">
        <v>3781</v>
      </c>
      <c r="Q3767" s="6" t="s">
        <v>4475</v>
      </c>
      <c r="T3767" s="23">
        <v>45638</v>
      </c>
      <c r="U3767" s="23">
        <v>51115</v>
      </c>
      <c r="X3767" s="20">
        <v>28000</v>
      </c>
      <c r="Z3767" s="6" t="s">
        <v>5978</v>
      </c>
      <c r="AA3767" s="14">
        <f t="shared" si="507"/>
        <v>5.9999999999999995E-4</v>
      </c>
      <c r="AB3767">
        <v>16.067753999999997</v>
      </c>
      <c r="AC3767">
        <v>16.710464159999997</v>
      </c>
    </row>
    <row r="3768" spans="1:29" x14ac:dyDescent="0.3">
      <c r="A3768">
        <v>144327</v>
      </c>
      <c r="B3768" s="25" t="s">
        <v>5984</v>
      </c>
      <c r="C3768" t="s">
        <v>20</v>
      </c>
      <c r="D3768" t="s">
        <v>21</v>
      </c>
      <c r="E3768">
        <v>2222222</v>
      </c>
      <c r="F3768" s="8" t="s">
        <v>22</v>
      </c>
      <c r="G3768" s="2">
        <v>98</v>
      </c>
      <c r="H3768" t="s">
        <v>4508</v>
      </c>
      <c r="J3768" s="9" t="s">
        <v>4970</v>
      </c>
      <c r="K3768" t="s">
        <v>4855</v>
      </c>
      <c r="L3768" s="2">
        <v>1</v>
      </c>
      <c r="M3768" s="24" t="s">
        <v>5971</v>
      </c>
      <c r="N3768" s="2" t="s">
        <v>23</v>
      </c>
      <c r="O3768" s="18" t="s">
        <v>2892</v>
      </c>
      <c r="P3768" s="18" t="s">
        <v>3781</v>
      </c>
      <c r="Q3768" s="6" t="s">
        <v>4475</v>
      </c>
      <c r="T3768" s="23">
        <v>45656</v>
      </c>
      <c r="U3768" s="23">
        <v>47481</v>
      </c>
      <c r="X3768" s="20">
        <v>4950</v>
      </c>
      <c r="Z3768" s="6" t="s">
        <v>5978</v>
      </c>
      <c r="AA3768" s="14">
        <f t="shared" si="507"/>
        <v>5.9999999999999995E-4</v>
      </c>
      <c r="AB3768">
        <v>2.2848539999999997</v>
      </c>
      <c r="AC3768">
        <v>2.3762481599999998</v>
      </c>
    </row>
    <row r="3769" spans="1:29" x14ac:dyDescent="0.3">
      <c r="A3769">
        <v>146458</v>
      </c>
      <c r="B3769" s="25" t="s">
        <v>5984</v>
      </c>
      <c r="C3769" t="s">
        <v>20</v>
      </c>
      <c r="D3769" t="s">
        <v>21</v>
      </c>
      <c r="E3769">
        <v>2222222</v>
      </c>
      <c r="F3769" s="8" t="s">
        <v>22</v>
      </c>
      <c r="G3769" s="2">
        <v>98</v>
      </c>
      <c r="H3769" t="s">
        <v>4508</v>
      </c>
      <c r="J3769" s="9" t="s">
        <v>4903</v>
      </c>
      <c r="K3769" t="s">
        <v>5025</v>
      </c>
      <c r="L3769" s="2">
        <v>1</v>
      </c>
      <c r="M3769" s="24" t="s">
        <v>5971</v>
      </c>
      <c r="N3769" s="2" t="s">
        <v>23</v>
      </c>
      <c r="O3769" s="18" t="s">
        <v>2899</v>
      </c>
      <c r="P3769" s="18" t="s">
        <v>3781</v>
      </c>
      <c r="Q3769" s="6" t="s">
        <v>4475</v>
      </c>
      <c r="T3769" s="23">
        <v>45818</v>
      </c>
      <c r="U3769" s="23">
        <v>47279</v>
      </c>
      <c r="X3769" s="20">
        <v>5000</v>
      </c>
      <c r="Z3769" s="6" t="s">
        <v>5978</v>
      </c>
      <c r="AA3769" s="14">
        <f t="shared" si="507"/>
        <v>5.9999999999999995E-4</v>
      </c>
      <c r="AB3769">
        <v>2.3882219999999998</v>
      </c>
      <c r="AC3769">
        <v>2.4837508800000001</v>
      </c>
    </row>
    <row r="3770" spans="1:29" x14ac:dyDescent="0.3">
      <c r="A3770">
        <v>147592</v>
      </c>
      <c r="B3770" s="25" t="s">
        <v>5984</v>
      </c>
      <c r="C3770" t="s">
        <v>20</v>
      </c>
      <c r="D3770" t="s">
        <v>21</v>
      </c>
      <c r="E3770">
        <v>2222222</v>
      </c>
      <c r="F3770" s="8" t="s">
        <v>22</v>
      </c>
      <c r="G3770" s="2">
        <v>98</v>
      </c>
      <c r="H3770" t="s">
        <v>4508</v>
      </c>
      <c r="J3770" s="9" t="s">
        <v>4892</v>
      </c>
      <c r="K3770" t="s">
        <v>5048</v>
      </c>
      <c r="L3770" s="2">
        <v>1</v>
      </c>
      <c r="M3770" s="24" t="s">
        <v>5971</v>
      </c>
      <c r="N3770" s="2" t="s">
        <v>23</v>
      </c>
      <c r="O3770" s="18" t="s">
        <v>2900</v>
      </c>
      <c r="P3770" s="18" t="s">
        <v>3781</v>
      </c>
      <c r="Q3770" s="6" t="s">
        <v>4475</v>
      </c>
      <c r="T3770" s="23">
        <v>45900</v>
      </c>
      <c r="U3770" s="23">
        <v>45992</v>
      </c>
      <c r="X3770" s="20">
        <v>3170</v>
      </c>
      <c r="Z3770" s="6" t="s">
        <v>5978</v>
      </c>
      <c r="AA3770" s="14">
        <f t="shared" si="507"/>
        <v>5.9999999999999995E-4</v>
      </c>
      <c r="AB3770">
        <v>1.9019999999999999</v>
      </c>
      <c r="AC3770">
        <v>1.9780800000000001</v>
      </c>
    </row>
    <row r="3771" spans="1:29" x14ac:dyDescent="0.3">
      <c r="A3771">
        <v>147594</v>
      </c>
      <c r="B3771" s="25" t="s">
        <v>5984</v>
      </c>
      <c r="C3771" t="s">
        <v>20</v>
      </c>
      <c r="D3771" t="s">
        <v>21</v>
      </c>
      <c r="E3771">
        <v>2222222</v>
      </c>
      <c r="F3771" s="8" t="s">
        <v>22</v>
      </c>
      <c r="G3771" s="2">
        <v>98</v>
      </c>
      <c r="H3771" t="s">
        <v>4508</v>
      </c>
      <c r="J3771" s="9" t="s">
        <v>5053</v>
      </c>
      <c r="K3771" t="s">
        <v>4966</v>
      </c>
      <c r="L3771" s="2">
        <v>1</v>
      </c>
      <c r="M3771" s="24" t="s">
        <v>5971</v>
      </c>
      <c r="N3771" s="2" t="s">
        <v>23</v>
      </c>
      <c r="O3771" s="18" t="s">
        <v>2901</v>
      </c>
      <c r="P3771" s="18" t="s">
        <v>0</v>
      </c>
      <c r="Q3771" s="6" t="s">
        <v>4475</v>
      </c>
      <c r="T3771" s="23">
        <v>45900</v>
      </c>
      <c r="U3771" s="23">
        <v>45992</v>
      </c>
      <c r="X3771" s="20">
        <v>3710</v>
      </c>
      <c r="Z3771" s="6" t="s">
        <v>5978</v>
      </c>
      <c r="AA3771" s="14">
        <f t="shared" si="507"/>
        <v>5.9999999999999995E-4</v>
      </c>
      <c r="AB3771">
        <v>2.226</v>
      </c>
      <c r="AC3771">
        <v>2.3150400000000002</v>
      </c>
    </row>
    <row r="3772" spans="1:29" x14ac:dyDescent="0.3">
      <c r="A3772">
        <v>147814</v>
      </c>
      <c r="B3772" s="25" t="s">
        <v>5984</v>
      </c>
      <c r="C3772" t="s">
        <v>20</v>
      </c>
      <c r="D3772" t="s">
        <v>21</v>
      </c>
      <c r="E3772">
        <v>2222222</v>
      </c>
      <c r="F3772" s="8" t="s">
        <v>22</v>
      </c>
      <c r="G3772" s="2">
        <v>98</v>
      </c>
      <c r="H3772" t="s">
        <v>4508</v>
      </c>
      <c r="J3772" s="9" t="s">
        <v>5541</v>
      </c>
      <c r="K3772" t="s">
        <v>5195</v>
      </c>
      <c r="L3772" s="2">
        <v>1</v>
      </c>
      <c r="M3772" s="24" t="s">
        <v>5971</v>
      </c>
      <c r="N3772" s="2" t="s">
        <v>23</v>
      </c>
      <c r="O3772" s="18" t="s">
        <v>2902</v>
      </c>
      <c r="P3772" s="18" t="s">
        <v>3781</v>
      </c>
      <c r="Q3772" s="6" t="s">
        <v>4475</v>
      </c>
      <c r="T3772" s="23">
        <v>45915</v>
      </c>
      <c r="U3772" s="23">
        <v>46827</v>
      </c>
      <c r="X3772" s="20">
        <v>1170</v>
      </c>
      <c r="Z3772" s="6" t="s">
        <v>5978</v>
      </c>
      <c r="AA3772" s="14">
        <f t="shared" si="507"/>
        <v>5.9999999999999995E-4</v>
      </c>
      <c r="AB3772">
        <v>0.50195400000000001</v>
      </c>
      <c r="AC3772">
        <v>0.52203216000000008</v>
      </c>
    </row>
    <row r="3773" spans="1:29" x14ac:dyDescent="0.3">
      <c r="A3773">
        <v>147839</v>
      </c>
      <c r="B3773" s="25" t="s">
        <v>5984</v>
      </c>
      <c r="C3773" t="s">
        <v>20</v>
      </c>
      <c r="D3773" t="s">
        <v>21</v>
      </c>
      <c r="E3773">
        <v>2222222</v>
      </c>
      <c r="F3773" s="8" t="s">
        <v>22</v>
      </c>
      <c r="G3773" s="2">
        <v>98</v>
      </c>
      <c r="H3773" t="s">
        <v>4508</v>
      </c>
      <c r="J3773" s="9" t="s">
        <v>4861</v>
      </c>
      <c r="K3773" t="s">
        <v>4926</v>
      </c>
      <c r="L3773" s="2">
        <v>1</v>
      </c>
      <c r="M3773" s="24" t="s">
        <v>5971</v>
      </c>
      <c r="N3773" s="2" t="s">
        <v>23</v>
      </c>
      <c r="O3773" s="18" t="s">
        <v>2903</v>
      </c>
      <c r="P3773" s="18" t="s">
        <v>3781</v>
      </c>
      <c r="Q3773" s="6" t="s">
        <v>4475</v>
      </c>
      <c r="T3773" s="23">
        <v>45919</v>
      </c>
      <c r="U3773" s="23">
        <v>47380</v>
      </c>
      <c r="X3773" s="20">
        <v>6500</v>
      </c>
      <c r="Z3773" s="6" t="s">
        <v>5978</v>
      </c>
      <c r="AA3773" s="14">
        <f t="shared" si="507"/>
        <v>5.9999999999999995E-4</v>
      </c>
      <c r="AB3773">
        <v>3.2566679999999995</v>
      </c>
      <c r="AC3773">
        <v>3.3869347199999997</v>
      </c>
    </row>
    <row r="3774" spans="1:29" x14ac:dyDescent="0.3">
      <c r="A3774">
        <v>147947</v>
      </c>
      <c r="B3774" s="25" t="s">
        <v>5984</v>
      </c>
      <c r="C3774" t="s">
        <v>20</v>
      </c>
      <c r="D3774" t="s">
        <v>21</v>
      </c>
      <c r="E3774">
        <v>2222222</v>
      </c>
      <c r="F3774" s="8" t="s">
        <v>22</v>
      </c>
      <c r="G3774" s="2">
        <v>98</v>
      </c>
      <c r="H3774" t="s">
        <v>4508</v>
      </c>
      <c r="J3774" s="9" t="s">
        <v>4836</v>
      </c>
      <c r="K3774" t="s">
        <v>4980</v>
      </c>
      <c r="L3774" s="2">
        <v>1</v>
      </c>
      <c r="M3774" s="24" t="s">
        <v>5971</v>
      </c>
      <c r="N3774" s="2" t="s">
        <v>23</v>
      </c>
      <c r="O3774" s="18" t="s">
        <v>2904</v>
      </c>
      <c r="P3774" s="18" t="s">
        <v>3781</v>
      </c>
      <c r="Q3774" s="6" t="s">
        <v>4475</v>
      </c>
      <c r="T3774" s="23">
        <v>45924</v>
      </c>
      <c r="U3774" s="23">
        <v>47750</v>
      </c>
      <c r="X3774" s="20">
        <v>2035</v>
      </c>
      <c r="Z3774" s="6" t="s">
        <v>5978</v>
      </c>
      <c r="AA3774" s="14">
        <f t="shared" si="507"/>
        <v>5.9999999999999995E-4</v>
      </c>
      <c r="AB3774">
        <v>1.1927219999999998</v>
      </c>
      <c r="AC3774">
        <v>1.2404308799999999</v>
      </c>
    </row>
    <row r="3775" spans="1:29" x14ac:dyDescent="0.3">
      <c r="A3775">
        <v>148214</v>
      </c>
      <c r="B3775" s="25" t="s">
        <v>5984</v>
      </c>
      <c r="C3775" t="s">
        <v>20</v>
      </c>
      <c r="D3775" t="s">
        <v>21</v>
      </c>
      <c r="E3775">
        <v>2222222</v>
      </c>
      <c r="F3775" s="8" t="s">
        <v>22</v>
      </c>
      <c r="G3775" s="2">
        <v>98</v>
      </c>
      <c r="H3775" t="s">
        <v>4508</v>
      </c>
      <c r="J3775" s="9" t="s">
        <v>5204</v>
      </c>
      <c r="K3775" t="s">
        <v>4975</v>
      </c>
      <c r="L3775" s="2">
        <v>1</v>
      </c>
      <c r="M3775" s="24" t="s">
        <v>5971</v>
      </c>
      <c r="N3775" s="2" t="s">
        <v>23</v>
      </c>
      <c r="O3775" s="18" t="s">
        <v>2905</v>
      </c>
      <c r="P3775" s="18" t="s">
        <v>0</v>
      </c>
      <c r="Q3775" s="6" t="s">
        <v>4475</v>
      </c>
      <c r="T3775" s="23">
        <v>45945</v>
      </c>
      <c r="U3775" s="23">
        <v>47044</v>
      </c>
      <c r="X3775" s="20">
        <v>4000</v>
      </c>
      <c r="Z3775" s="6" t="s">
        <v>5978</v>
      </c>
      <c r="AA3775" s="14">
        <f t="shared" si="507"/>
        <v>5.9999999999999995E-4</v>
      </c>
      <c r="AB3775">
        <v>1.9081739999999998</v>
      </c>
      <c r="AC3775">
        <v>1.9845009599999999</v>
      </c>
    </row>
    <row r="3776" spans="1:29" x14ac:dyDescent="0.3">
      <c r="A3776">
        <v>148654</v>
      </c>
      <c r="B3776" s="25" t="s">
        <v>5984</v>
      </c>
      <c r="C3776" t="s">
        <v>20</v>
      </c>
      <c r="D3776" t="s">
        <v>21</v>
      </c>
      <c r="E3776">
        <v>2222222</v>
      </c>
      <c r="F3776" s="8" t="s">
        <v>22</v>
      </c>
      <c r="G3776" s="2">
        <v>98</v>
      </c>
      <c r="H3776" t="s">
        <v>4508</v>
      </c>
      <c r="J3776" s="9" t="s">
        <v>5269</v>
      </c>
      <c r="K3776" t="s">
        <v>4846</v>
      </c>
      <c r="L3776" s="2">
        <v>1</v>
      </c>
      <c r="M3776" s="24" t="s">
        <v>5971</v>
      </c>
      <c r="N3776" s="2" t="s">
        <v>23</v>
      </c>
      <c r="O3776" s="18" t="s">
        <v>2906</v>
      </c>
      <c r="P3776" s="18" t="s">
        <v>0</v>
      </c>
      <c r="Q3776" s="6" t="s">
        <v>4475</v>
      </c>
      <c r="T3776" s="23">
        <v>45971</v>
      </c>
      <c r="U3776" s="23">
        <v>47072</v>
      </c>
      <c r="X3776" s="20">
        <v>3000</v>
      </c>
      <c r="Z3776" s="6" t="s">
        <v>5978</v>
      </c>
      <c r="AA3776" s="14">
        <f t="shared" si="507"/>
        <v>5.9999999999999995E-4</v>
      </c>
      <c r="AB3776">
        <v>1.4787959999999998</v>
      </c>
      <c r="AC3776">
        <v>1.5379478399999997</v>
      </c>
    </row>
    <row r="3777" spans="1:29" x14ac:dyDescent="0.3">
      <c r="A3777">
        <v>149619</v>
      </c>
      <c r="B3777" s="25" t="s">
        <v>5984</v>
      </c>
      <c r="C3777" t="s">
        <v>20</v>
      </c>
      <c r="D3777" t="s">
        <v>21</v>
      </c>
      <c r="E3777">
        <v>2222222</v>
      </c>
      <c r="F3777" s="8" t="s">
        <v>22</v>
      </c>
      <c r="G3777" s="2">
        <v>98</v>
      </c>
      <c r="H3777" t="s">
        <v>4508</v>
      </c>
      <c r="J3777" s="9" t="s">
        <v>4891</v>
      </c>
      <c r="K3777" t="s">
        <v>5004</v>
      </c>
      <c r="L3777" s="2">
        <v>1</v>
      </c>
      <c r="M3777" s="24" t="s">
        <v>5971</v>
      </c>
      <c r="N3777" s="2" t="s">
        <v>23</v>
      </c>
      <c r="O3777" s="18" t="s">
        <v>501</v>
      </c>
      <c r="P3777" s="18" t="s">
        <v>3781</v>
      </c>
      <c r="Q3777" s="6" t="s">
        <v>4475</v>
      </c>
      <c r="T3777" s="23">
        <v>46037</v>
      </c>
      <c r="U3777" s="23">
        <v>47498</v>
      </c>
      <c r="X3777" s="20">
        <v>5000</v>
      </c>
      <c r="Z3777" s="6" t="s">
        <v>5978</v>
      </c>
      <c r="AA3777" s="14">
        <f t="shared" si="507"/>
        <v>5.9999999999999995E-4</v>
      </c>
      <c r="AB3777">
        <v>2.7287159999999995</v>
      </c>
      <c r="AC3777">
        <v>2.8378646399999994</v>
      </c>
    </row>
    <row r="3778" spans="1:29" x14ac:dyDescent="0.3">
      <c r="A3778">
        <v>150644</v>
      </c>
      <c r="B3778" s="25" t="s">
        <v>5984</v>
      </c>
      <c r="C3778" t="s">
        <v>20</v>
      </c>
      <c r="D3778" t="s">
        <v>21</v>
      </c>
      <c r="E3778">
        <v>2222222</v>
      </c>
      <c r="F3778" s="8" t="s">
        <v>22</v>
      </c>
      <c r="G3778" s="2">
        <v>98</v>
      </c>
      <c r="H3778" t="s">
        <v>4508</v>
      </c>
      <c r="J3778" s="9" t="s">
        <v>5234</v>
      </c>
      <c r="K3778" t="s">
        <v>4905</v>
      </c>
      <c r="L3778" s="2">
        <v>1</v>
      </c>
      <c r="M3778" s="24" t="s">
        <v>5971</v>
      </c>
      <c r="N3778" s="2" t="s">
        <v>23</v>
      </c>
      <c r="O3778" s="18" t="s">
        <v>2907</v>
      </c>
      <c r="P3778" s="18" t="s">
        <v>0</v>
      </c>
      <c r="Q3778" s="6" t="s">
        <v>4475</v>
      </c>
      <c r="T3778" s="23">
        <v>46107</v>
      </c>
      <c r="U3778" s="23">
        <v>47209</v>
      </c>
      <c r="X3778" s="20">
        <v>5000</v>
      </c>
      <c r="Z3778" s="6" t="s">
        <v>5978</v>
      </c>
      <c r="AA3778" s="14">
        <f t="shared" si="507"/>
        <v>5.9999999999999995E-4</v>
      </c>
      <c r="AB3778">
        <v>2.8070999999999997</v>
      </c>
      <c r="AC3778">
        <v>2.919384</v>
      </c>
    </row>
    <row r="3779" spans="1:29" x14ac:dyDescent="0.3">
      <c r="A3779">
        <v>150661</v>
      </c>
      <c r="B3779" s="25" t="s">
        <v>5984</v>
      </c>
      <c r="C3779" t="s">
        <v>20</v>
      </c>
      <c r="D3779" t="s">
        <v>21</v>
      </c>
      <c r="E3779">
        <v>2222222</v>
      </c>
      <c r="F3779" s="8" t="s">
        <v>22</v>
      </c>
      <c r="G3779" s="2">
        <v>98</v>
      </c>
      <c r="H3779" t="s">
        <v>4508</v>
      </c>
      <c r="J3779" s="9" t="s">
        <v>5457</v>
      </c>
      <c r="K3779" t="s">
        <v>4980</v>
      </c>
      <c r="L3779" s="2">
        <v>1</v>
      </c>
      <c r="M3779" s="24" t="s">
        <v>5971</v>
      </c>
      <c r="N3779" s="2" t="s">
        <v>23</v>
      </c>
      <c r="O3779" s="18" t="s">
        <v>2908</v>
      </c>
      <c r="P3779" s="18" t="s">
        <v>0</v>
      </c>
      <c r="Q3779" s="6" t="s">
        <v>4475</v>
      </c>
      <c r="T3779" s="23">
        <v>46107</v>
      </c>
      <c r="U3779" s="23">
        <v>46290</v>
      </c>
      <c r="X3779" s="20">
        <v>400</v>
      </c>
      <c r="Z3779" s="6" t="s">
        <v>5978</v>
      </c>
      <c r="AA3779" s="14">
        <f t="shared" si="507"/>
        <v>5.9999999999999995E-4</v>
      </c>
      <c r="AB3779">
        <v>8.2217999999999999E-2</v>
      </c>
      <c r="AC3779">
        <v>8.5506720000000008E-2</v>
      </c>
    </row>
    <row r="3780" spans="1:29" x14ac:dyDescent="0.3">
      <c r="A3780">
        <v>151616</v>
      </c>
      <c r="B3780" s="25" t="s">
        <v>5984</v>
      </c>
      <c r="C3780" t="s">
        <v>20</v>
      </c>
      <c r="D3780" t="s">
        <v>21</v>
      </c>
      <c r="E3780">
        <v>2222222</v>
      </c>
      <c r="F3780" s="8" t="s">
        <v>22</v>
      </c>
      <c r="G3780" s="2">
        <v>98</v>
      </c>
      <c r="H3780" t="s">
        <v>4508</v>
      </c>
      <c r="J3780" s="9" t="s">
        <v>4988</v>
      </c>
      <c r="K3780" t="s">
        <v>5064</v>
      </c>
      <c r="L3780" s="2">
        <v>1</v>
      </c>
      <c r="M3780" s="24" t="s">
        <v>5971</v>
      </c>
      <c r="N3780" s="2" t="s">
        <v>23</v>
      </c>
      <c r="O3780" s="18" t="s">
        <v>2897</v>
      </c>
      <c r="P3780" s="18" t="s">
        <v>0</v>
      </c>
      <c r="Q3780" s="6" t="s">
        <v>4475</v>
      </c>
      <c r="T3780" s="23">
        <v>46183</v>
      </c>
      <c r="U3780" s="23">
        <v>49105</v>
      </c>
      <c r="X3780" s="20">
        <v>63000</v>
      </c>
      <c r="Z3780" s="6" t="s">
        <v>5978</v>
      </c>
      <c r="AA3780" s="14">
        <f t="shared" si="507"/>
        <v>5.9999999999999995E-4</v>
      </c>
      <c r="AB3780">
        <v>37.560173999999996</v>
      </c>
      <c r="AC3780">
        <v>39.062580959999998</v>
      </c>
    </row>
    <row r="3781" spans="1:29" x14ac:dyDescent="0.3">
      <c r="A3781">
        <v>151626</v>
      </c>
      <c r="B3781" s="25" t="s">
        <v>5984</v>
      </c>
      <c r="C3781" t="s">
        <v>20</v>
      </c>
      <c r="D3781" t="s">
        <v>21</v>
      </c>
      <c r="E3781">
        <v>2222222</v>
      </c>
      <c r="F3781" s="8" t="s">
        <v>22</v>
      </c>
      <c r="G3781" s="2">
        <v>98</v>
      </c>
      <c r="H3781" t="s">
        <v>4508</v>
      </c>
      <c r="J3781" s="9" t="s">
        <v>4901</v>
      </c>
      <c r="K3781" t="s">
        <v>4913</v>
      </c>
      <c r="L3781" s="2">
        <v>1</v>
      </c>
      <c r="M3781" s="24" t="s">
        <v>5971</v>
      </c>
      <c r="N3781" s="2" t="s">
        <v>23</v>
      </c>
      <c r="O3781" s="18" t="s">
        <v>2896</v>
      </c>
      <c r="P3781" s="18" t="s">
        <v>0</v>
      </c>
      <c r="Q3781" s="6" t="s">
        <v>4475</v>
      </c>
      <c r="T3781" s="23">
        <v>46176</v>
      </c>
      <c r="U3781" s="23">
        <v>46266</v>
      </c>
      <c r="X3781" s="20">
        <v>2985</v>
      </c>
      <c r="Z3781" s="6" t="s">
        <v>5978</v>
      </c>
      <c r="AA3781" s="14">
        <f t="shared" si="507"/>
        <v>5.9999999999999995E-4</v>
      </c>
      <c r="AB3781">
        <v>1.7909999999999999</v>
      </c>
      <c r="AC3781">
        <v>1.8626400000000001</v>
      </c>
    </row>
    <row r="3782" spans="1:29" x14ac:dyDescent="0.3">
      <c r="A3782">
        <v>152288</v>
      </c>
      <c r="B3782" s="25" t="s">
        <v>5984</v>
      </c>
      <c r="C3782" t="s">
        <v>20</v>
      </c>
      <c r="D3782" t="s">
        <v>21</v>
      </c>
      <c r="E3782">
        <v>2222222</v>
      </c>
      <c r="F3782" s="8" t="s">
        <v>22</v>
      </c>
      <c r="G3782" s="2">
        <v>98</v>
      </c>
      <c r="H3782" t="s">
        <v>4508</v>
      </c>
      <c r="J3782" s="9" t="s">
        <v>4836</v>
      </c>
      <c r="K3782" t="s">
        <v>4516</v>
      </c>
      <c r="L3782" s="2">
        <v>1</v>
      </c>
      <c r="M3782" s="24" t="s">
        <v>5971</v>
      </c>
      <c r="N3782" s="2" t="s">
        <v>23</v>
      </c>
      <c r="O3782" s="18" t="s">
        <v>2909</v>
      </c>
      <c r="P3782" s="18" t="s">
        <v>3781</v>
      </c>
      <c r="Q3782" s="6" t="s">
        <v>4475</v>
      </c>
      <c r="T3782" s="23">
        <v>46225</v>
      </c>
      <c r="U3782" s="23">
        <v>46408</v>
      </c>
      <c r="X3782" s="20">
        <v>1600</v>
      </c>
      <c r="Z3782" s="6" t="s">
        <v>5978</v>
      </c>
      <c r="AA3782" s="14">
        <f t="shared" si="507"/>
        <v>5.9999999999999995E-4</v>
      </c>
      <c r="AB3782">
        <v>0.96</v>
      </c>
      <c r="AC3782">
        <v>0.99839999999999995</v>
      </c>
    </row>
    <row r="3783" spans="1:29" x14ac:dyDescent="0.3">
      <c r="A3783">
        <v>142811</v>
      </c>
      <c r="B3783" s="25" t="s">
        <v>5984</v>
      </c>
      <c r="C3783" t="s">
        <v>20</v>
      </c>
      <c r="D3783" t="s">
        <v>21</v>
      </c>
      <c r="E3783">
        <v>2222222</v>
      </c>
      <c r="F3783" s="8" t="s">
        <v>22</v>
      </c>
      <c r="G3783" s="2">
        <v>98</v>
      </c>
      <c r="H3783" t="s">
        <v>4509</v>
      </c>
      <c r="J3783" s="9" t="s">
        <v>5137</v>
      </c>
      <c r="K3783" t="s">
        <v>5832</v>
      </c>
      <c r="L3783" s="2">
        <v>1</v>
      </c>
      <c r="M3783" s="24" t="s">
        <v>5971</v>
      </c>
      <c r="N3783" s="2" t="s">
        <v>23</v>
      </c>
      <c r="O3783" s="18" t="s">
        <v>2910</v>
      </c>
      <c r="P3783" s="18" t="s">
        <v>3781</v>
      </c>
      <c r="Q3783" s="6" t="s">
        <v>4475</v>
      </c>
      <c r="T3783" s="23">
        <v>45546</v>
      </c>
      <c r="U3783" s="23">
        <v>46641</v>
      </c>
      <c r="X3783" s="20">
        <v>2130</v>
      </c>
      <c r="Z3783" s="6" t="s">
        <v>5978</v>
      </c>
      <c r="AA3783" s="14">
        <f t="shared" si="507"/>
        <v>5.9999999999999995E-4</v>
      </c>
      <c r="AB3783">
        <v>0.58471799999999996</v>
      </c>
      <c r="AC3783">
        <v>0.60810671999999999</v>
      </c>
    </row>
    <row r="3784" spans="1:29" x14ac:dyDescent="0.3">
      <c r="A3784">
        <v>147447</v>
      </c>
      <c r="B3784" s="25" t="s">
        <v>5984</v>
      </c>
      <c r="C3784" t="s">
        <v>20</v>
      </c>
      <c r="D3784" t="s">
        <v>21</v>
      </c>
      <c r="E3784">
        <v>2222222</v>
      </c>
      <c r="F3784" s="8" t="s">
        <v>22</v>
      </c>
      <c r="G3784" s="2">
        <v>98</v>
      </c>
      <c r="H3784" t="s">
        <v>4509</v>
      </c>
      <c r="J3784" s="9" t="s">
        <v>4883</v>
      </c>
      <c r="K3784" t="s">
        <v>4972</v>
      </c>
      <c r="L3784" s="2">
        <v>1</v>
      </c>
      <c r="M3784" s="24" t="s">
        <v>5971</v>
      </c>
      <c r="N3784" s="2" t="s">
        <v>23</v>
      </c>
      <c r="O3784" s="18" t="s">
        <v>2911</v>
      </c>
      <c r="P3784" s="18" t="s">
        <v>0</v>
      </c>
      <c r="Q3784" s="6" t="s">
        <v>4475</v>
      </c>
      <c r="T3784" s="23">
        <v>45889</v>
      </c>
      <c r="U3784" s="23">
        <v>46984</v>
      </c>
      <c r="X3784" s="20">
        <v>2840</v>
      </c>
      <c r="Z3784" s="6" t="s">
        <v>5978</v>
      </c>
      <c r="AA3784" s="14">
        <f t="shared" si="507"/>
        <v>5.9999999999999995E-4</v>
      </c>
      <c r="AB3784">
        <v>1.2714179999999999</v>
      </c>
      <c r="AC3784">
        <v>1.32227472</v>
      </c>
    </row>
    <row r="3785" spans="1:29" x14ac:dyDescent="0.3">
      <c r="A3785">
        <v>152289</v>
      </c>
      <c r="B3785" s="25" t="s">
        <v>5984</v>
      </c>
      <c r="C3785" t="s">
        <v>20</v>
      </c>
      <c r="D3785" t="s">
        <v>21</v>
      </c>
      <c r="E3785">
        <v>2222222</v>
      </c>
      <c r="F3785" s="8" t="s">
        <v>22</v>
      </c>
      <c r="G3785" s="2">
        <v>98</v>
      </c>
      <c r="H3785" t="s">
        <v>4509</v>
      </c>
      <c r="J3785" s="9" t="s">
        <v>5590</v>
      </c>
      <c r="K3785" t="s">
        <v>4980</v>
      </c>
      <c r="L3785" s="2">
        <v>1</v>
      </c>
      <c r="M3785" s="24" t="s">
        <v>5971</v>
      </c>
      <c r="N3785" s="2" t="s">
        <v>23</v>
      </c>
      <c r="O3785" s="18" t="s">
        <v>2912</v>
      </c>
      <c r="P3785" s="18" t="s">
        <v>0</v>
      </c>
      <c r="Q3785" s="6" t="s">
        <v>4475</v>
      </c>
      <c r="T3785" s="23">
        <v>46225</v>
      </c>
      <c r="U3785" s="23">
        <v>46315</v>
      </c>
      <c r="X3785" s="20">
        <v>3000</v>
      </c>
      <c r="Z3785" s="6" t="s">
        <v>5978</v>
      </c>
      <c r="AA3785" s="14">
        <f t="shared" si="507"/>
        <v>5.9999999999999995E-4</v>
      </c>
      <c r="AB3785">
        <v>1.7999999999999998</v>
      </c>
      <c r="AC3785">
        <v>1.8719999999999999</v>
      </c>
    </row>
    <row r="3786" spans="1:29" x14ac:dyDescent="0.3">
      <c r="A3786">
        <v>136773</v>
      </c>
      <c r="B3786" s="25" t="s">
        <v>5984</v>
      </c>
      <c r="C3786" t="s">
        <v>20</v>
      </c>
      <c r="D3786" t="s">
        <v>21</v>
      </c>
      <c r="E3786">
        <v>2222222</v>
      </c>
      <c r="F3786" s="8" t="s">
        <v>22</v>
      </c>
      <c r="G3786" s="2">
        <v>98</v>
      </c>
      <c r="H3786" t="s">
        <v>4510</v>
      </c>
      <c r="J3786" s="9" t="s">
        <v>5617</v>
      </c>
      <c r="K3786" t="s">
        <v>4836</v>
      </c>
      <c r="L3786" s="2">
        <v>1</v>
      </c>
      <c r="M3786" s="24" t="s">
        <v>5971</v>
      </c>
      <c r="N3786" s="2" t="s">
        <v>23</v>
      </c>
      <c r="O3786" s="18" t="s">
        <v>2913</v>
      </c>
      <c r="P3786" s="18" t="s">
        <v>3781</v>
      </c>
      <c r="Q3786" s="6" t="s">
        <v>4475</v>
      </c>
      <c r="T3786" s="23">
        <v>45190</v>
      </c>
      <c r="U3786" s="23">
        <v>46651</v>
      </c>
      <c r="X3786" s="20">
        <v>5000</v>
      </c>
      <c r="Z3786" s="6" t="s">
        <v>5978</v>
      </c>
      <c r="AA3786" s="13">
        <f t="shared" ref="AA3786:AA3787" si="508">+(0.56/1000)</f>
        <v>5.6000000000000006E-4</v>
      </c>
      <c r="AB3786">
        <v>1.0476872000000002</v>
      </c>
      <c r="AC3786">
        <v>1.0895946880000003</v>
      </c>
    </row>
    <row r="3787" spans="1:29" x14ac:dyDescent="0.3">
      <c r="A3787">
        <v>137068</v>
      </c>
      <c r="B3787" s="25" t="s">
        <v>5984</v>
      </c>
      <c r="C3787" t="s">
        <v>20</v>
      </c>
      <c r="D3787" t="s">
        <v>21</v>
      </c>
      <c r="E3787">
        <v>2222222</v>
      </c>
      <c r="F3787" s="8" t="s">
        <v>22</v>
      </c>
      <c r="G3787" s="2">
        <v>98</v>
      </c>
      <c r="H3787" t="s">
        <v>4510</v>
      </c>
      <c r="J3787" s="9" t="s">
        <v>4852</v>
      </c>
      <c r="K3787" t="s">
        <v>5089</v>
      </c>
      <c r="L3787" s="2">
        <v>1</v>
      </c>
      <c r="M3787" s="24" t="s">
        <v>5971</v>
      </c>
      <c r="N3787" s="2" t="s">
        <v>23</v>
      </c>
      <c r="O3787" s="18" t="s">
        <v>2914</v>
      </c>
      <c r="P3787" s="18" t="s">
        <v>0</v>
      </c>
      <c r="Q3787" s="6" t="s">
        <v>4475</v>
      </c>
      <c r="T3787" s="23">
        <v>45211</v>
      </c>
      <c r="U3787" s="23">
        <v>46306</v>
      </c>
      <c r="X3787" s="20">
        <v>10000</v>
      </c>
      <c r="Z3787" s="6" t="s">
        <v>5978</v>
      </c>
      <c r="AA3787" s="13">
        <f t="shared" si="508"/>
        <v>5.6000000000000006E-4</v>
      </c>
      <c r="AB3787">
        <v>4.8376496000000007</v>
      </c>
      <c r="AC3787">
        <v>5.0311555840000013</v>
      </c>
    </row>
    <row r="3788" spans="1:29" x14ac:dyDescent="0.3">
      <c r="A3788">
        <v>145406</v>
      </c>
      <c r="B3788" s="25" t="s">
        <v>5984</v>
      </c>
      <c r="C3788" t="s">
        <v>20</v>
      </c>
      <c r="D3788" t="s">
        <v>21</v>
      </c>
      <c r="E3788">
        <v>2222222</v>
      </c>
      <c r="F3788" s="8" t="s">
        <v>22</v>
      </c>
      <c r="G3788" s="2">
        <v>98</v>
      </c>
      <c r="H3788" t="s">
        <v>4510</v>
      </c>
      <c r="J3788" s="9" t="s">
        <v>5833</v>
      </c>
      <c r="K3788" t="s">
        <v>4906</v>
      </c>
      <c r="L3788" s="2">
        <v>1</v>
      </c>
      <c r="M3788" s="24" t="s">
        <v>5971</v>
      </c>
      <c r="N3788" s="2" t="s">
        <v>23</v>
      </c>
      <c r="O3788" s="18" t="s">
        <v>2915</v>
      </c>
      <c r="P3788" s="18" t="s">
        <v>0</v>
      </c>
      <c r="Q3788" s="6" t="s">
        <v>4475</v>
      </c>
      <c r="T3788" s="23">
        <v>45741</v>
      </c>
      <c r="U3788" s="23">
        <v>47201</v>
      </c>
      <c r="X3788" s="20">
        <v>9300</v>
      </c>
      <c r="Z3788" s="6" t="s">
        <v>5978</v>
      </c>
      <c r="AA3788" s="14">
        <f t="shared" ref="AA3788:AA3794" si="509">+(0.6/1000)</f>
        <v>5.9999999999999995E-4</v>
      </c>
      <c r="AB3788">
        <v>4.160412</v>
      </c>
      <c r="AC3788">
        <v>4.3268284800000005</v>
      </c>
    </row>
    <row r="3789" spans="1:29" x14ac:dyDescent="0.3">
      <c r="A3789">
        <v>148500</v>
      </c>
      <c r="B3789" s="25" t="s">
        <v>5984</v>
      </c>
      <c r="C3789" t="s">
        <v>20</v>
      </c>
      <c r="D3789" t="s">
        <v>21</v>
      </c>
      <c r="E3789">
        <v>2222222</v>
      </c>
      <c r="F3789" s="8" t="s">
        <v>22</v>
      </c>
      <c r="G3789" s="2">
        <v>98</v>
      </c>
      <c r="H3789" t="s">
        <v>4510</v>
      </c>
      <c r="J3789" s="9" t="s">
        <v>5204</v>
      </c>
      <c r="K3789" t="s">
        <v>4824</v>
      </c>
      <c r="L3789" s="2">
        <v>1</v>
      </c>
      <c r="M3789" s="24" t="s">
        <v>5971</v>
      </c>
      <c r="N3789" s="2" t="s">
        <v>23</v>
      </c>
      <c r="O3789" s="18" t="s">
        <v>105</v>
      </c>
      <c r="P3789" s="18" t="s">
        <v>0</v>
      </c>
      <c r="Q3789" s="6" t="s">
        <v>4475</v>
      </c>
      <c r="T3789" s="23">
        <v>45832</v>
      </c>
      <c r="U3789" s="23">
        <v>47280</v>
      </c>
      <c r="X3789" s="20">
        <v>10000</v>
      </c>
      <c r="Z3789" s="6" t="s">
        <v>5978</v>
      </c>
      <c r="AA3789" s="14">
        <f t="shared" si="509"/>
        <v>5.9999999999999995E-4</v>
      </c>
      <c r="AB3789">
        <v>4.6926959999999998</v>
      </c>
      <c r="AC3789">
        <v>4.8804038399999996</v>
      </c>
    </row>
    <row r="3790" spans="1:29" x14ac:dyDescent="0.3">
      <c r="A3790">
        <v>151601</v>
      </c>
      <c r="B3790" s="25" t="s">
        <v>5984</v>
      </c>
      <c r="C3790" t="s">
        <v>20</v>
      </c>
      <c r="D3790" t="s">
        <v>21</v>
      </c>
      <c r="E3790">
        <v>2222222</v>
      </c>
      <c r="F3790" s="8" t="s">
        <v>22</v>
      </c>
      <c r="G3790" s="2">
        <v>98</v>
      </c>
      <c r="H3790" t="s">
        <v>4510</v>
      </c>
      <c r="J3790" s="9" t="s">
        <v>4962</v>
      </c>
      <c r="K3790" t="s">
        <v>4834</v>
      </c>
      <c r="L3790" s="2">
        <v>1</v>
      </c>
      <c r="M3790" s="24" t="s">
        <v>5971</v>
      </c>
      <c r="N3790" s="2" t="s">
        <v>23</v>
      </c>
      <c r="O3790" s="18" t="s">
        <v>185</v>
      </c>
      <c r="P3790" s="18" t="s">
        <v>3781</v>
      </c>
      <c r="Q3790" s="6" t="s">
        <v>4475</v>
      </c>
      <c r="T3790" s="23">
        <v>46175</v>
      </c>
      <c r="U3790" s="23">
        <v>46265</v>
      </c>
      <c r="X3790" s="20">
        <v>4990</v>
      </c>
      <c r="Z3790" s="6" t="s">
        <v>5978</v>
      </c>
      <c r="AA3790" s="14">
        <f t="shared" si="509"/>
        <v>5.9999999999999995E-4</v>
      </c>
      <c r="AB3790">
        <v>2.9939999999999998</v>
      </c>
      <c r="AC3790">
        <v>3.1137600000000001</v>
      </c>
    </row>
    <row r="3791" spans="1:29" x14ac:dyDescent="0.3">
      <c r="A3791">
        <v>151643</v>
      </c>
      <c r="B3791" s="25" t="s">
        <v>5984</v>
      </c>
      <c r="C3791" t="s">
        <v>20</v>
      </c>
      <c r="D3791" t="s">
        <v>21</v>
      </c>
      <c r="E3791">
        <v>2222222</v>
      </c>
      <c r="F3791" s="8" t="s">
        <v>22</v>
      </c>
      <c r="G3791" s="2">
        <v>98</v>
      </c>
      <c r="H3791" t="s">
        <v>4510</v>
      </c>
      <c r="J3791" s="9" t="s">
        <v>4951</v>
      </c>
      <c r="K3791" t="s">
        <v>5064</v>
      </c>
      <c r="L3791" s="2">
        <v>1</v>
      </c>
      <c r="M3791" s="24" t="s">
        <v>5971</v>
      </c>
      <c r="N3791" s="2" t="s">
        <v>23</v>
      </c>
      <c r="O3791" s="18" t="s">
        <v>2916</v>
      </c>
      <c r="P3791" s="18" t="s">
        <v>0</v>
      </c>
      <c r="Q3791" s="6" t="s">
        <v>4475</v>
      </c>
      <c r="T3791" s="23">
        <v>46177</v>
      </c>
      <c r="U3791" s="23">
        <v>46725</v>
      </c>
      <c r="X3791" s="20">
        <v>1000</v>
      </c>
      <c r="Z3791" s="6" t="s">
        <v>5978</v>
      </c>
      <c r="AA3791" s="14">
        <f t="shared" si="509"/>
        <v>5.9999999999999995E-4</v>
      </c>
      <c r="AB3791">
        <v>0.56979599999999997</v>
      </c>
      <c r="AC3791">
        <v>0.59258783999999998</v>
      </c>
    </row>
    <row r="3792" spans="1:29" x14ac:dyDescent="0.3">
      <c r="A3792">
        <v>151824</v>
      </c>
      <c r="B3792" s="25" t="s">
        <v>5984</v>
      </c>
      <c r="C3792" t="s">
        <v>20</v>
      </c>
      <c r="D3792" t="s">
        <v>21</v>
      </c>
      <c r="E3792">
        <v>2222222</v>
      </c>
      <c r="F3792" s="8" t="s">
        <v>22</v>
      </c>
      <c r="G3792" s="2">
        <v>98</v>
      </c>
      <c r="H3792" t="s">
        <v>4510</v>
      </c>
      <c r="J3792" s="9" t="s">
        <v>4815</v>
      </c>
      <c r="K3792" t="s">
        <v>4847</v>
      </c>
      <c r="L3792" s="2">
        <v>1</v>
      </c>
      <c r="M3792" s="24" t="s">
        <v>5971</v>
      </c>
      <c r="N3792" s="2" t="s">
        <v>23</v>
      </c>
      <c r="O3792" s="18" t="s">
        <v>2917</v>
      </c>
      <c r="P3792" s="18" t="s">
        <v>0</v>
      </c>
      <c r="Q3792" s="6" t="s">
        <v>4475</v>
      </c>
      <c r="T3792" s="23">
        <v>46190</v>
      </c>
      <c r="U3792" s="23">
        <v>46494</v>
      </c>
      <c r="X3792" s="20">
        <v>460</v>
      </c>
      <c r="Z3792" s="6" t="s">
        <v>5978</v>
      </c>
      <c r="AA3792" s="14">
        <f t="shared" si="509"/>
        <v>5.9999999999999995E-4</v>
      </c>
      <c r="AB3792">
        <v>0.25018200000000002</v>
      </c>
      <c r="AC3792">
        <v>0.26018928000000002</v>
      </c>
    </row>
    <row r="3793" spans="1:29" x14ac:dyDescent="0.3">
      <c r="A3793">
        <v>149333</v>
      </c>
      <c r="B3793" s="25" t="s">
        <v>5984</v>
      </c>
      <c r="C3793" t="s">
        <v>20</v>
      </c>
      <c r="D3793" t="s">
        <v>21</v>
      </c>
      <c r="E3793">
        <v>2222222</v>
      </c>
      <c r="F3793" s="8" t="s">
        <v>22</v>
      </c>
      <c r="G3793" s="2">
        <v>98</v>
      </c>
      <c r="H3793" t="s">
        <v>4511</v>
      </c>
      <c r="J3793" s="9" t="s">
        <v>5467</v>
      </c>
      <c r="K3793" t="s">
        <v>4844</v>
      </c>
      <c r="L3793" s="2">
        <v>1</v>
      </c>
      <c r="M3793" s="24" t="s">
        <v>5971</v>
      </c>
      <c r="N3793" s="2" t="s">
        <v>23</v>
      </c>
      <c r="O3793" s="18" t="s">
        <v>2490</v>
      </c>
      <c r="P3793" s="18" t="s">
        <v>0</v>
      </c>
      <c r="Q3793" s="6" t="s">
        <v>4475</v>
      </c>
      <c r="T3793" s="23">
        <v>46015</v>
      </c>
      <c r="U3793" s="23">
        <v>47110</v>
      </c>
      <c r="X3793" s="20">
        <v>5000</v>
      </c>
      <c r="Z3793" s="6" t="s">
        <v>5978</v>
      </c>
      <c r="AA3793" s="14">
        <f t="shared" si="509"/>
        <v>5.9999999999999995E-4</v>
      </c>
      <c r="AB3793">
        <v>2.5338899999999995</v>
      </c>
      <c r="AC3793">
        <v>2.6352455999999997</v>
      </c>
    </row>
    <row r="3794" spans="1:29" x14ac:dyDescent="0.3">
      <c r="A3794">
        <v>152229</v>
      </c>
      <c r="B3794" s="25" t="s">
        <v>5984</v>
      </c>
      <c r="C3794" t="s">
        <v>20</v>
      </c>
      <c r="D3794" t="s">
        <v>21</v>
      </c>
      <c r="E3794">
        <v>2222222</v>
      </c>
      <c r="F3794" s="8" t="s">
        <v>22</v>
      </c>
      <c r="G3794" s="2">
        <v>98</v>
      </c>
      <c r="H3794" t="s">
        <v>4512</v>
      </c>
      <c r="J3794" s="9" t="s">
        <v>5834</v>
      </c>
      <c r="K3794" t="s">
        <v>4848</v>
      </c>
      <c r="L3794" s="2">
        <v>1</v>
      </c>
      <c r="M3794" s="24" t="s">
        <v>5971</v>
      </c>
      <c r="N3794" s="2" t="s">
        <v>23</v>
      </c>
      <c r="O3794" s="18" t="s">
        <v>2918</v>
      </c>
      <c r="P3794" s="18" t="s">
        <v>0</v>
      </c>
      <c r="Q3794" s="6" t="s">
        <v>4475</v>
      </c>
      <c r="T3794" s="23">
        <v>46225</v>
      </c>
      <c r="U3794" s="23">
        <v>47320</v>
      </c>
      <c r="X3794" s="20">
        <v>14000</v>
      </c>
      <c r="Z3794" s="6" t="s">
        <v>5978</v>
      </c>
      <c r="AA3794" s="14">
        <f t="shared" si="509"/>
        <v>5.9999999999999995E-4</v>
      </c>
      <c r="AB3794">
        <v>8.3999999999999986</v>
      </c>
      <c r="AC3794">
        <v>8.7359999999999989</v>
      </c>
    </row>
    <row r="3795" spans="1:29" x14ac:dyDescent="0.3">
      <c r="A3795">
        <v>130559</v>
      </c>
      <c r="B3795" s="25" t="s">
        <v>5984</v>
      </c>
      <c r="C3795" t="s">
        <v>20</v>
      </c>
      <c r="D3795" t="s">
        <v>21</v>
      </c>
      <c r="E3795">
        <v>2222222</v>
      </c>
      <c r="F3795" s="8" t="s">
        <v>22</v>
      </c>
      <c r="G3795" s="2">
        <v>98</v>
      </c>
      <c r="H3795" t="s">
        <v>4513</v>
      </c>
      <c r="J3795" s="9" t="s">
        <v>4961</v>
      </c>
      <c r="K3795" t="s">
        <v>5271</v>
      </c>
      <c r="L3795" s="2">
        <v>1</v>
      </c>
      <c r="M3795" s="24" t="s">
        <v>5971</v>
      </c>
      <c r="N3795" s="2" t="s">
        <v>23</v>
      </c>
      <c r="O3795" s="18" t="s">
        <v>2919</v>
      </c>
      <c r="P3795" s="18" t="s">
        <v>0</v>
      </c>
      <c r="Q3795" s="6" t="s">
        <v>4475</v>
      </c>
      <c r="T3795" s="23">
        <v>44851</v>
      </c>
      <c r="U3795" s="23">
        <v>46329</v>
      </c>
      <c r="X3795" s="20">
        <v>20000</v>
      </c>
      <c r="Z3795" s="6" t="s">
        <v>5978</v>
      </c>
      <c r="AA3795" s="13">
        <f t="shared" ref="AA3795:AA3798" si="510">+(0.56/1000)</f>
        <v>5.6000000000000006E-4</v>
      </c>
      <c r="AB3795">
        <v>6.7224864000000011</v>
      </c>
      <c r="AC3795">
        <v>6.9913858560000017</v>
      </c>
    </row>
    <row r="3796" spans="1:29" x14ac:dyDescent="0.3">
      <c r="A3796">
        <v>136152</v>
      </c>
      <c r="B3796" s="25" t="s">
        <v>5984</v>
      </c>
      <c r="C3796" t="s">
        <v>20</v>
      </c>
      <c r="D3796" t="s">
        <v>21</v>
      </c>
      <c r="E3796">
        <v>2222222</v>
      </c>
      <c r="F3796" s="8" t="s">
        <v>22</v>
      </c>
      <c r="G3796" s="2">
        <v>98</v>
      </c>
      <c r="H3796" t="s">
        <v>4513</v>
      </c>
      <c r="J3796" s="9" t="s">
        <v>5121</v>
      </c>
      <c r="K3796" t="s">
        <v>4827</v>
      </c>
      <c r="L3796" s="2">
        <v>1</v>
      </c>
      <c r="M3796" s="24" t="s">
        <v>5971</v>
      </c>
      <c r="N3796" s="2" t="s">
        <v>23</v>
      </c>
      <c r="O3796" s="18" t="s">
        <v>2920</v>
      </c>
      <c r="P3796" s="18" t="s">
        <v>0</v>
      </c>
      <c r="Q3796" s="6" t="s">
        <v>4475</v>
      </c>
      <c r="T3796" s="23">
        <v>45156</v>
      </c>
      <c r="U3796" s="23">
        <v>46254</v>
      </c>
      <c r="X3796" s="20">
        <v>2800</v>
      </c>
      <c r="Z3796" s="6" t="s">
        <v>5978</v>
      </c>
      <c r="AA3796" s="13">
        <f t="shared" si="510"/>
        <v>5.6000000000000006E-4</v>
      </c>
      <c r="AB3796">
        <v>5.5893600000000009E-2</v>
      </c>
      <c r="AC3796">
        <v>5.8129344000000013E-2</v>
      </c>
    </row>
    <row r="3797" spans="1:29" x14ac:dyDescent="0.3">
      <c r="A3797">
        <v>136525</v>
      </c>
      <c r="B3797" s="25" t="s">
        <v>5984</v>
      </c>
      <c r="C3797" t="s">
        <v>20</v>
      </c>
      <c r="D3797" t="s">
        <v>21</v>
      </c>
      <c r="E3797">
        <v>2222222</v>
      </c>
      <c r="F3797" s="8" t="s">
        <v>22</v>
      </c>
      <c r="G3797" s="2">
        <v>98</v>
      </c>
      <c r="H3797" t="s">
        <v>4513</v>
      </c>
      <c r="J3797" s="9" t="s">
        <v>5277</v>
      </c>
      <c r="K3797" t="s">
        <v>4972</v>
      </c>
      <c r="L3797" s="2">
        <v>1</v>
      </c>
      <c r="M3797" s="24" t="s">
        <v>5971</v>
      </c>
      <c r="N3797" s="2" t="s">
        <v>23</v>
      </c>
      <c r="O3797" s="18" t="s">
        <v>2921</v>
      </c>
      <c r="P3797" s="18" t="s">
        <v>3781</v>
      </c>
      <c r="Q3797" s="6" t="s">
        <v>4475</v>
      </c>
      <c r="T3797" s="23">
        <v>45176</v>
      </c>
      <c r="U3797" s="23">
        <v>46272</v>
      </c>
      <c r="X3797" s="20">
        <v>4000</v>
      </c>
      <c r="Z3797" s="6" t="s">
        <v>5978</v>
      </c>
      <c r="AA3797" s="13">
        <f t="shared" si="510"/>
        <v>5.6000000000000006E-4</v>
      </c>
      <c r="AB3797">
        <v>0.15957760000000001</v>
      </c>
      <c r="AC3797">
        <v>0.16596070400000001</v>
      </c>
    </row>
    <row r="3798" spans="1:29" x14ac:dyDescent="0.3">
      <c r="A3798">
        <v>138671</v>
      </c>
      <c r="B3798" s="25" t="s">
        <v>5984</v>
      </c>
      <c r="C3798" t="s">
        <v>20</v>
      </c>
      <c r="D3798" t="s">
        <v>21</v>
      </c>
      <c r="E3798">
        <v>2222222</v>
      </c>
      <c r="F3798" s="8" t="s">
        <v>22</v>
      </c>
      <c r="G3798" s="2">
        <v>98</v>
      </c>
      <c r="H3798" t="s">
        <v>4513</v>
      </c>
      <c r="J3798" s="9" t="s">
        <v>5502</v>
      </c>
      <c r="K3798" t="s">
        <v>4832</v>
      </c>
      <c r="L3798" s="2">
        <v>1</v>
      </c>
      <c r="M3798" s="24" t="s">
        <v>5971</v>
      </c>
      <c r="N3798" s="2" t="s">
        <v>23</v>
      </c>
      <c r="O3798" s="18" t="s">
        <v>2922</v>
      </c>
      <c r="P3798" s="18" t="s">
        <v>3781</v>
      </c>
      <c r="Q3798" s="6" t="s">
        <v>4475</v>
      </c>
      <c r="T3798" s="23">
        <v>45290</v>
      </c>
      <c r="U3798" s="23">
        <v>45837</v>
      </c>
      <c r="X3798" s="20">
        <v>630</v>
      </c>
      <c r="Z3798" s="6" t="s">
        <v>5978</v>
      </c>
      <c r="AA3798" s="13">
        <f t="shared" si="510"/>
        <v>5.6000000000000006E-4</v>
      </c>
      <c r="AB3798">
        <v>0.33510400000000001</v>
      </c>
      <c r="AC3798">
        <v>0.34850816000000001</v>
      </c>
    </row>
    <row r="3799" spans="1:29" x14ac:dyDescent="0.3">
      <c r="A3799">
        <v>145388</v>
      </c>
      <c r="B3799" s="25" t="s">
        <v>5984</v>
      </c>
      <c r="C3799" t="s">
        <v>20</v>
      </c>
      <c r="D3799" t="s">
        <v>21</v>
      </c>
      <c r="E3799">
        <v>2222222</v>
      </c>
      <c r="F3799" s="8" t="s">
        <v>22</v>
      </c>
      <c r="G3799" s="2">
        <v>98</v>
      </c>
      <c r="H3799" t="s">
        <v>4513</v>
      </c>
      <c r="J3799" s="9" t="s">
        <v>5835</v>
      </c>
      <c r="K3799" t="s">
        <v>4953</v>
      </c>
      <c r="L3799" s="2">
        <v>1</v>
      </c>
      <c r="M3799" s="24" t="s">
        <v>5971</v>
      </c>
      <c r="N3799" s="2" t="s">
        <v>23</v>
      </c>
      <c r="O3799" s="18" t="s">
        <v>2923</v>
      </c>
      <c r="P3799" s="18" t="s">
        <v>0</v>
      </c>
      <c r="Q3799" s="6" t="s">
        <v>4475</v>
      </c>
      <c r="T3799" s="23">
        <v>45734</v>
      </c>
      <c r="U3799" s="23">
        <v>46463</v>
      </c>
      <c r="X3799" s="20">
        <v>2265</v>
      </c>
      <c r="Z3799" s="6" t="s">
        <v>5978</v>
      </c>
      <c r="AA3799" s="14">
        <f t="shared" ref="AA3799:AA3803" si="511">+(0.6/1000)</f>
        <v>5.9999999999999995E-4</v>
      </c>
      <c r="AB3799">
        <v>0.50537399999999988</v>
      </c>
      <c r="AC3799">
        <v>0.52558895999999988</v>
      </c>
    </row>
    <row r="3800" spans="1:29" x14ac:dyDescent="0.3">
      <c r="A3800">
        <v>146546</v>
      </c>
      <c r="B3800" s="25" t="s">
        <v>5984</v>
      </c>
      <c r="C3800" t="s">
        <v>20</v>
      </c>
      <c r="D3800" t="s">
        <v>21</v>
      </c>
      <c r="E3800">
        <v>2222222</v>
      </c>
      <c r="F3800" s="8" t="s">
        <v>22</v>
      </c>
      <c r="G3800" s="2">
        <v>98</v>
      </c>
      <c r="H3800" t="s">
        <v>4513</v>
      </c>
      <c r="J3800" s="9" t="s">
        <v>4892</v>
      </c>
      <c r="K3800" t="s">
        <v>5808</v>
      </c>
      <c r="L3800" s="2">
        <v>1</v>
      </c>
      <c r="M3800" s="24" t="s">
        <v>5971</v>
      </c>
      <c r="N3800" s="2" t="s">
        <v>23</v>
      </c>
      <c r="O3800" s="18" t="s">
        <v>2924</v>
      </c>
      <c r="P3800" s="18" t="s">
        <v>3781</v>
      </c>
      <c r="Q3800" s="6" t="s">
        <v>4475</v>
      </c>
      <c r="T3800" s="23">
        <v>45825</v>
      </c>
      <c r="U3800" s="23">
        <v>47286</v>
      </c>
      <c r="X3800" s="20">
        <v>4000</v>
      </c>
      <c r="Z3800" s="6" t="s">
        <v>5978</v>
      </c>
      <c r="AA3800" s="14">
        <f t="shared" si="511"/>
        <v>5.9999999999999995E-4</v>
      </c>
      <c r="AB3800">
        <v>1.9106099999999997</v>
      </c>
      <c r="AC3800">
        <v>1.9870343999999998</v>
      </c>
    </row>
    <row r="3801" spans="1:29" x14ac:dyDescent="0.3">
      <c r="A3801">
        <v>150976</v>
      </c>
      <c r="B3801" s="25" t="s">
        <v>5984</v>
      </c>
      <c r="C3801" t="s">
        <v>20</v>
      </c>
      <c r="D3801" t="s">
        <v>21</v>
      </c>
      <c r="E3801">
        <v>2222222</v>
      </c>
      <c r="F3801" s="8" t="s">
        <v>22</v>
      </c>
      <c r="G3801" s="2">
        <v>98</v>
      </c>
      <c r="H3801" t="s">
        <v>4513</v>
      </c>
      <c r="J3801" s="9" t="s">
        <v>4929</v>
      </c>
      <c r="K3801" t="s">
        <v>4852</v>
      </c>
      <c r="L3801" s="2">
        <v>1</v>
      </c>
      <c r="M3801" s="24" t="s">
        <v>5971</v>
      </c>
      <c r="N3801" s="2" t="s">
        <v>23</v>
      </c>
      <c r="O3801" s="18" t="s">
        <v>2925</v>
      </c>
      <c r="P3801" s="18" t="s">
        <v>0</v>
      </c>
      <c r="Q3801" s="6" t="s">
        <v>4475</v>
      </c>
      <c r="T3801" s="23">
        <v>46129</v>
      </c>
      <c r="U3801" s="23">
        <v>47225</v>
      </c>
      <c r="X3801" s="20">
        <v>4950</v>
      </c>
      <c r="Z3801" s="6" t="s">
        <v>5978</v>
      </c>
      <c r="AA3801" s="14">
        <f t="shared" si="511"/>
        <v>5.9999999999999995E-4</v>
      </c>
      <c r="AB3801">
        <v>2.7673679999999994</v>
      </c>
      <c r="AC3801">
        <v>2.8780627199999995</v>
      </c>
    </row>
    <row r="3802" spans="1:29" x14ac:dyDescent="0.3">
      <c r="A3802">
        <v>152183</v>
      </c>
      <c r="B3802" s="25" t="s">
        <v>5984</v>
      </c>
      <c r="C3802" t="s">
        <v>20</v>
      </c>
      <c r="D3802" t="s">
        <v>21</v>
      </c>
      <c r="E3802">
        <v>2222222</v>
      </c>
      <c r="F3802" s="8" t="s">
        <v>22</v>
      </c>
      <c r="G3802" s="2">
        <v>98</v>
      </c>
      <c r="H3802" t="s">
        <v>4513</v>
      </c>
      <c r="J3802" s="9" t="s">
        <v>4891</v>
      </c>
      <c r="K3802" t="s">
        <v>5524</v>
      </c>
      <c r="L3802" s="2">
        <v>1</v>
      </c>
      <c r="M3802" s="24" t="s">
        <v>5971</v>
      </c>
      <c r="N3802" s="2" t="s">
        <v>23</v>
      </c>
      <c r="O3802" s="18" t="s">
        <v>1710</v>
      </c>
      <c r="P3802" s="18" t="s">
        <v>3781</v>
      </c>
      <c r="Q3802" s="6" t="s">
        <v>4475</v>
      </c>
      <c r="T3802" s="23">
        <v>46218</v>
      </c>
      <c r="U3802" s="23">
        <v>46308</v>
      </c>
      <c r="X3802" s="20">
        <v>2000</v>
      </c>
      <c r="Z3802" s="6" t="s">
        <v>5978</v>
      </c>
      <c r="AA3802" s="14">
        <f t="shared" si="511"/>
        <v>5.9999999999999995E-4</v>
      </c>
      <c r="AB3802">
        <v>1.2</v>
      </c>
      <c r="AC3802">
        <v>1.248</v>
      </c>
    </row>
    <row r="3803" spans="1:29" x14ac:dyDescent="0.3">
      <c r="A3803">
        <v>152287</v>
      </c>
      <c r="B3803" s="25" t="s">
        <v>5984</v>
      </c>
      <c r="C3803" t="s">
        <v>20</v>
      </c>
      <c r="D3803" t="s">
        <v>21</v>
      </c>
      <c r="E3803">
        <v>2222222</v>
      </c>
      <c r="F3803" s="8" t="s">
        <v>22</v>
      </c>
      <c r="G3803" s="2">
        <v>98</v>
      </c>
      <c r="H3803" t="s">
        <v>4513</v>
      </c>
      <c r="J3803" s="9" t="s">
        <v>4981</v>
      </c>
      <c r="K3803" t="s">
        <v>5011</v>
      </c>
      <c r="L3803" s="2">
        <v>1</v>
      </c>
      <c r="M3803" s="24" t="s">
        <v>5971</v>
      </c>
      <c r="N3803" s="2" t="s">
        <v>23</v>
      </c>
      <c r="O3803" s="18" t="s">
        <v>2926</v>
      </c>
      <c r="P3803" s="18" t="s">
        <v>3781</v>
      </c>
      <c r="Q3803" s="6" t="s">
        <v>4475</v>
      </c>
      <c r="T3803" s="23">
        <v>46225</v>
      </c>
      <c r="U3803" s="23">
        <v>46256</v>
      </c>
      <c r="X3803" s="20">
        <v>1710</v>
      </c>
      <c r="Z3803" s="6" t="s">
        <v>5978</v>
      </c>
      <c r="AA3803" s="14">
        <f t="shared" si="511"/>
        <v>5.9999999999999995E-4</v>
      </c>
      <c r="AB3803">
        <v>1.0259999999999998</v>
      </c>
      <c r="AC3803">
        <v>1.0670399999999998</v>
      </c>
    </row>
    <row r="3804" spans="1:29" x14ac:dyDescent="0.3">
      <c r="A3804">
        <v>136321</v>
      </c>
      <c r="B3804" s="25" t="s">
        <v>5984</v>
      </c>
      <c r="C3804" t="s">
        <v>20</v>
      </c>
      <c r="D3804" t="s">
        <v>21</v>
      </c>
      <c r="E3804">
        <v>2222222</v>
      </c>
      <c r="F3804" s="8" t="s">
        <v>22</v>
      </c>
      <c r="G3804" s="2">
        <v>98</v>
      </c>
      <c r="H3804" t="s">
        <v>4514</v>
      </c>
      <c r="J3804" s="9" t="s">
        <v>5836</v>
      </c>
      <c r="K3804" t="s">
        <v>5057</v>
      </c>
      <c r="L3804" s="2">
        <v>1</v>
      </c>
      <c r="M3804" s="24" t="s">
        <v>5971</v>
      </c>
      <c r="N3804" s="2" t="s">
        <v>23</v>
      </c>
      <c r="O3804" s="18" t="s">
        <v>2927</v>
      </c>
      <c r="P3804" s="18" t="s">
        <v>3781</v>
      </c>
      <c r="Q3804" s="6" t="s">
        <v>4475</v>
      </c>
      <c r="T3804" s="23">
        <v>45169</v>
      </c>
      <c r="U3804" s="23">
        <v>46997</v>
      </c>
      <c r="X3804" s="20">
        <v>26000</v>
      </c>
      <c r="Z3804" s="6" t="s">
        <v>5978</v>
      </c>
      <c r="AA3804" s="13">
        <f>+(0.56/1000)</f>
        <v>5.6000000000000006E-4</v>
      </c>
      <c r="AB3804">
        <v>13.2245568</v>
      </c>
      <c r="AC3804">
        <v>13.753539072000001</v>
      </c>
    </row>
    <row r="3805" spans="1:29" x14ac:dyDescent="0.3">
      <c r="A3805">
        <v>150985</v>
      </c>
      <c r="B3805" s="25" t="s">
        <v>5984</v>
      </c>
      <c r="C3805" t="s">
        <v>20</v>
      </c>
      <c r="D3805" t="s">
        <v>21</v>
      </c>
      <c r="E3805">
        <v>2222222</v>
      </c>
      <c r="F3805" s="8" t="s">
        <v>22</v>
      </c>
      <c r="G3805" s="2">
        <v>98</v>
      </c>
      <c r="H3805" t="s">
        <v>4514</v>
      </c>
      <c r="J3805" s="9" t="s">
        <v>5316</v>
      </c>
      <c r="K3805" t="s">
        <v>4964</v>
      </c>
      <c r="L3805" s="2">
        <v>1</v>
      </c>
      <c r="M3805" s="24" t="s">
        <v>5971</v>
      </c>
      <c r="N3805" s="2" t="s">
        <v>23</v>
      </c>
      <c r="O3805" s="18" t="s">
        <v>2487</v>
      </c>
      <c r="P3805" s="18" t="s">
        <v>0</v>
      </c>
      <c r="Q3805" s="6" t="s">
        <v>4475</v>
      </c>
      <c r="T3805" s="23">
        <v>46131</v>
      </c>
      <c r="U3805" s="23">
        <v>46679</v>
      </c>
      <c r="X3805" s="20">
        <v>1130</v>
      </c>
      <c r="Z3805" s="6" t="s">
        <v>5978</v>
      </c>
      <c r="AA3805" s="14">
        <f t="shared" ref="AA3805:AA3808" si="512">+(0.6/1000)</f>
        <v>5.9999999999999995E-4</v>
      </c>
      <c r="AB3805">
        <v>0.57465599999999994</v>
      </c>
      <c r="AC3805">
        <v>0.59764223999999999</v>
      </c>
    </row>
    <row r="3806" spans="1:29" x14ac:dyDescent="0.3">
      <c r="A3806">
        <v>150173</v>
      </c>
      <c r="B3806" s="25" t="s">
        <v>5984</v>
      </c>
      <c r="C3806" t="s">
        <v>20</v>
      </c>
      <c r="D3806" t="s">
        <v>21</v>
      </c>
      <c r="E3806">
        <v>2222222</v>
      </c>
      <c r="F3806" s="8" t="s">
        <v>22</v>
      </c>
      <c r="G3806" s="2">
        <v>98</v>
      </c>
      <c r="H3806" t="s">
        <v>4515</v>
      </c>
      <c r="J3806" s="9" t="s">
        <v>4826</v>
      </c>
      <c r="K3806" t="s">
        <v>5837</v>
      </c>
      <c r="L3806" s="2">
        <v>1</v>
      </c>
      <c r="M3806" s="24" t="s">
        <v>5971</v>
      </c>
      <c r="N3806" s="2" t="s">
        <v>23</v>
      </c>
      <c r="O3806" s="18" t="s">
        <v>2928</v>
      </c>
      <c r="P3806" s="18" t="s">
        <v>0</v>
      </c>
      <c r="Q3806" s="6" t="s">
        <v>4475</v>
      </c>
      <c r="T3806" s="23">
        <v>46106</v>
      </c>
      <c r="U3806" s="23">
        <v>47941</v>
      </c>
      <c r="X3806" s="20">
        <v>40000</v>
      </c>
      <c r="Z3806" s="6" t="s">
        <v>5978</v>
      </c>
      <c r="AA3806" s="14">
        <f t="shared" si="512"/>
        <v>5.9999999999999995E-4</v>
      </c>
      <c r="AB3806">
        <v>23.111405999999999</v>
      </c>
      <c r="AC3806">
        <v>24.03586224</v>
      </c>
    </row>
    <row r="3807" spans="1:29" x14ac:dyDescent="0.3">
      <c r="A3807">
        <v>148796</v>
      </c>
      <c r="B3807" s="25" t="s">
        <v>5984</v>
      </c>
      <c r="C3807" t="s">
        <v>20</v>
      </c>
      <c r="D3807" t="s">
        <v>21</v>
      </c>
      <c r="E3807">
        <v>2222222</v>
      </c>
      <c r="F3807" s="8" t="s">
        <v>22</v>
      </c>
      <c r="G3807" s="2">
        <v>98</v>
      </c>
      <c r="H3807" t="s">
        <v>4516</v>
      </c>
      <c r="J3807" s="9" t="s">
        <v>5838</v>
      </c>
      <c r="K3807" t="s">
        <v>5533</v>
      </c>
      <c r="L3807" s="2">
        <v>1</v>
      </c>
      <c r="M3807" s="24" t="s">
        <v>5971</v>
      </c>
      <c r="N3807" s="2" t="s">
        <v>23</v>
      </c>
      <c r="O3807" s="18" t="s">
        <v>2929</v>
      </c>
      <c r="P3807" s="18" t="s">
        <v>0</v>
      </c>
      <c r="Q3807" s="6" t="s">
        <v>4475</v>
      </c>
      <c r="T3807" s="23">
        <v>45980</v>
      </c>
      <c r="U3807" s="23">
        <v>47441</v>
      </c>
      <c r="X3807" s="20">
        <v>2020</v>
      </c>
      <c r="Z3807" s="6" t="s">
        <v>5978</v>
      </c>
      <c r="AA3807" s="14">
        <f t="shared" si="512"/>
        <v>5.9999999999999995E-4</v>
      </c>
      <c r="AB3807">
        <v>1.1342939999999999</v>
      </c>
      <c r="AC3807">
        <v>1.17966576</v>
      </c>
    </row>
    <row r="3808" spans="1:29" x14ac:dyDescent="0.3">
      <c r="A3808">
        <v>150610</v>
      </c>
      <c r="B3808" s="25" t="s">
        <v>5984</v>
      </c>
      <c r="C3808" t="s">
        <v>20</v>
      </c>
      <c r="D3808" t="s">
        <v>21</v>
      </c>
      <c r="E3808">
        <v>2222222</v>
      </c>
      <c r="F3808" s="8" t="s">
        <v>22</v>
      </c>
      <c r="G3808" s="2">
        <v>98</v>
      </c>
      <c r="H3808" t="s">
        <v>4517</v>
      </c>
      <c r="J3808" s="9" t="s">
        <v>5025</v>
      </c>
      <c r="K3808" t="s">
        <v>4980</v>
      </c>
      <c r="L3808" s="2">
        <v>1</v>
      </c>
      <c r="M3808" s="24" t="s">
        <v>5971</v>
      </c>
      <c r="N3808" s="2" t="s">
        <v>23</v>
      </c>
      <c r="O3808" s="18" t="s">
        <v>2855</v>
      </c>
      <c r="P3808" s="18" t="s">
        <v>3781</v>
      </c>
      <c r="Q3808" s="6" t="s">
        <v>4475</v>
      </c>
      <c r="T3808" s="23">
        <v>46104</v>
      </c>
      <c r="U3808" s="23">
        <v>47199</v>
      </c>
      <c r="X3808" s="20">
        <v>4510</v>
      </c>
      <c r="Z3808" s="6" t="s">
        <v>5978</v>
      </c>
      <c r="AA3808" s="14">
        <f t="shared" si="512"/>
        <v>5.9999999999999995E-4</v>
      </c>
      <c r="AB3808">
        <v>2.471778</v>
      </c>
      <c r="AC3808">
        <v>2.5706491200000001</v>
      </c>
    </row>
    <row r="3809" spans="1:29" x14ac:dyDescent="0.3">
      <c r="A3809">
        <v>79145</v>
      </c>
      <c r="B3809" s="25" t="s">
        <v>5984</v>
      </c>
      <c r="C3809" t="s">
        <v>20</v>
      </c>
      <c r="D3809" t="s">
        <v>21</v>
      </c>
      <c r="E3809">
        <v>2222222</v>
      </c>
      <c r="F3809" s="8" t="s">
        <v>22</v>
      </c>
      <c r="G3809" s="2">
        <v>98</v>
      </c>
      <c r="H3809" t="s">
        <v>4518</v>
      </c>
      <c r="J3809" s="9" t="s">
        <v>4815</v>
      </c>
      <c r="K3809" t="s">
        <v>5385</v>
      </c>
      <c r="L3809" s="2">
        <v>1</v>
      </c>
      <c r="M3809" s="24" t="s">
        <v>5971</v>
      </c>
      <c r="N3809" s="2" t="s">
        <v>23</v>
      </c>
      <c r="O3809" s="18" t="s">
        <v>2930</v>
      </c>
      <c r="P3809" s="18" t="s">
        <v>0</v>
      </c>
      <c r="Q3809" s="6" t="s">
        <v>4475</v>
      </c>
      <c r="T3809" s="23">
        <v>42758</v>
      </c>
      <c r="U3809" s="23">
        <v>42789</v>
      </c>
      <c r="X3809" s="20">
        <v>1000</v>
      </c>
      <c r="Z3809" s="6" t="s">
        <v>5978</v>
      </c>
      <c r="AA3809" s="15">
        <f t="shared" ref="AA3809:AA3812" si="513">+(0.42/1000)</f>
        <v>4.1999999999999996E-4</v>
      </c>
      <c r="AB3809">
        <v>0.42</v>
      </c>
      <c r="AC3809">
        <v>0.43680000000000002</v>
      </c>
    </row>
    <row r="3810" spans="1:29" x14ac:dyDescent="0.3">
      <c r="A3810">
        <v>113827</v>
      </c>
      <c r="B3810" s="25" t="s">
        <v>5984</v>
      </c>
      <c r="C3810" t="s">
        <v>20</v>
      </c>
      <c r="D3810" t="s">
        <v>21</v>
      </c>
      <c r="E3810">
        <v>2222222</v>
      </c>
      <c r="F3810" s="8" t="s">
        <v>22</v>
      </c>
      <c r="G3810" s="2">
        <v>98</v>
      </c>
      <c r="H3810" t="s">
        <v>4519</v>
      </c>
      <c r="J3810" s="9" t="s">
        <v>5068</v>
      </c>
      <c r="K3810" t="s">
        <v>4961</v>
      </c>
      <c r="L3810" s="2">
        <v>1</v>
      </c>
      <c r="M3810" s="24" t="s">
        <v>5971</v>
      </c>
      <c r="N3810" s="2" t="s">
        <v>23</v>
      </c>
      <c r="O3810" s="18" t="s">
        <v>2931</v>
      </c>
      <c r="P3810" s="18" t="s">
        <v>0</v>
      </c>
      <c r="Q3810" s="6" t="s">
        <v>4475</v>
      </c>
      <c r="T3810" s="23">
        <v>44032</v>
      </c>
      <c r="U3810" s="23">
        <v>46694</v>
      </c>
      <c r="X3810" s="20">
        <v>10000</v>
      </c>
      <c r="Z3810" s="6" t="s">
        <v>5978</v>
      </c>
      <c r="AA3810" s="15">
        <f t="shared" si="513"/>
        <v>4.1999999999999996E-4</v>
      </c>
      <c r="AB3810">
        <v>1.1981339999999998</v>
      </c>
      <c r="AC3810">
        <v>1.2460593599999998</v>
      </c>
    </row>
    <row r="3811" spans="1:29" x14ac:dyDescent="0.3">
      <c r="A3811">
        <v>123354</v>
      </c>
      <c r="B3811" s="25" t="s">
        <v>5984</v>
      </c>
      <c r="C3811" t="s">
        <v>20</v>
      </c>
      <c r="D3811" t="s">
        <v>21</v>
      </c>
      <c r="E3811">
        <v>2222222</v>
      </c>
      <c r="F3811" s="8" t="s">
        <v>22</v>
      </c>
      <c r="G3811" s="2">
        <v>98</v>
      </c>
      <c r="H3811" t="s">
        <v>4519</v>
      </c>
      <c r="J3811" s="9" t="s">
        <v>5839</v>
      </c>
      <c r="K3811" t="s">
        <v>4851</v>
      </c>
      <c r="L3811" s="2">
        <v>1</v>
      </c>
      <c r="M3811" s="24" t="s">
        <v>5971</v>
      </c>
      <c r="N3811" s="2" t="s">
        <v>23</v>
      </c>
      <c r="O3811" s="18" t="s">
        <v>2578</v>
      </c>
      <c r="P3811" s="18" t="s">
        <v>3781</v>
      </c>
      <c r="Q3811" s="6" t="s">
        <v>4475</v>
      </c>
      <c r="T3811" s="23">
        <v>44463</v>
      </c>
      <c r="U3811" s="23">
        <v>45573</v>
      </c>
      <c r="X3811" s="20">
        <v>3715</v>
      </c>
      <c r="Z3811" s="6" t="s">
        <v>5978</v>
      </c>
      <c r="AA3811" s="15">
        <f t="shared" si="513"/>
        <v>4.1999999999999996E-4</v>
      </c>
      <c r="AB3811">
        <v>1.5602999999999998</v>
      </c>
      <c r="AC3811">
        <v>1.6227119999999999</v>
      </c>
    </row>
    <row r="3812" spans="1:29" x14ac:dyDescent="0.3">
      <c r="A3812">
        <v>128074</v>
      </c>
      <c r="B3812" s="25" t="s">
        <v>5984</v>
      </c>
      <c r="C3812" t="s">
        <v>20</v>
      </c>
      <c r="D3812" t="s">
        <v>21</v>
      </c>
      <c r="E3812">
        <v>2222222</v>
      </c>
      <c r="F3812" s="8" t="s">
        <v>22</v>
      </c>
      <c r="G3812" s="2">
        <v>98</v>
      </c>
      <c r="H3812" t="s">
        <v>4519</v>
      </c>
      <c r="J3812" s="9" t="s">
        <v>5021</v>
      </c>
      <c r="K3812" t="s">
        <v>4926</v>
      </c>
      <c r="L3812" s="2">
        <v>1</v>
      </c>
      <c r="M3812" s="24" t="s">
        <v>5971</v>
      </c>
      <c r="N3812" s="2" t="s">
        <v>23</v>
      </c>
      <c r="O3812" s="18" t="s">
        <v>2932</v>
      </c>
      <c r="P3812" s="18" t="s">
        <v>3781</v>
      </c>
      <c r="Q3812" s="6" t="s">
        <v>4475</v>
      </c>
      <c r="T3812" s="23">
        <v>44722</v>
      </c>
      <c r="U3812" s="23">
        <v>46183</v>
      </c>
      <c r="X3812" s="20">
        <v>10000</v>
      </c>
      <c r="Z3812" s="6" t="s">
        <v>5978</v>
      </c>
      <c r="AA3812" s="15">
        <f t="shared" si="513"/>
        <v>4.1999999999999996E-4</v>
      </c>
      <c r="AB3812">
        <v>2.7436919999999998</v>
      </c>
      <c r="AC3812">
        <v>2.8534396799999997</v>
      </c>
    </row>
    <row r="3813" spans="1:29" x14ac:dyDescent="0.3">
      <c r="A3813">
        <v>133507</v>
      </c>
      <c r="B3813" s="25" t="s">
        <v>5984</v>
      </c>
      <c r="C3813" t="s">
        <v>20</v>
      </c>
      <c r="D3813" t="s">
        <v>21</v>
      </c>
      <c r="E3813">
        <v>2222222</v>
      </c>
      <c r="F3813" s="8" t="s">
        <v>22</v>
      </c>
      <c r="G3813" s="2">
        <v>98</v>
      </c>
      <c r="H3813" t="s">
        <v>4519</v>
      </c>
      <c r="J3813" s="9" t="s">
        <v>4838</v>
      </c>
      <c r="K3813" t="s">
        <v>4826</v>
      </c>
      <c r="L3813" s="2">
        <v>1</v>
      </c>
      <c r="M3813" s="24" t="s">
        <v>5971</v>
      </c>
      <c r="N3813" s="2" t="s">
        <v>23</v>
      </c>
      <c r="O3813" s="18" t="s">
        <v>2933</v>
      </c>
      <c r="P3813" s="18" t="s">
        <v>0</v>
      </c>
      <c r="Q3813" s="6" t="s">
        <v>4475</v>
      </c>
      <c r="T3813" s="23">
        <v>45001</v>
      </c>
      <c r="U3813" s="23">
        <v>46188</v>
      </c>
      <c r="X3813" s="20">
        <v>1500</v>
      </c>
      <c r="Z3813" s="6" t="s">
        <v>5978</v>
      </c>
      <c r="AA3813" s="13">
        <f t="shared" ref="AA3813:AA3814" si="514">+(0.56/1000)</f>
        <v>5.6000000000000006E-4</v>
      </c>
      <c r="AB3813">
        <v>4.5735200000000004E-2</v>
      </c>
      <c r="AC3813">
        <v>4.7564608000000008E-2</v>
      </c>
    </row>
    <row r="3814" spans="1:29" x14ac:dyDescent="0.3">
      <c r="A3814">
        <v>134335</v>
      </c>
      <c r="B3814" s="25" t="s">
        <v>5984</v>
      </c>
      <c r="C3814" t="s">
        <v>20</v>
      </c>
      <c r="D3814" t="s">
        <v>21</v>
      </c>
      <c r="E3814">
        <v>2222222</v>
      </c>
      <c r="F3814" s="8" t="s">
        <v>22</v>
      </c>
      <c r="G3814" s="2">
        <v>98</v>
      </c>
      <c r="H3814" t="s">
        <v>4519</v>
      </c>
      <c r="J3814" s="9" t="s">
        <v>5195</v>
      </c>
      <c r="K3814" t="s">
        <v>4861</v>
      </c>
      <c r="L3814" s="2">
        <v>1</v>
      </c>
      <c r="M3814" s="24" t="s">
        <v>5971</v>
      </c>
      <c r="N3814" s="2" t="s">
        <v>23</v>
      </c>
      <c r="O3814" s="18" t="s">
        <v>2934</v>
      </c>
      <c r="P3814" s="18" t="s">
        <v>3781</v>
      </c>
      <c r="Q3814" s="6" t="s">
        <v>4475</v>
      </c>
      <c r="T3814" s="23">
        <v>45049</v>
      </c>
      <c r="U3814" s="23">
        <v>46509</v>
      </c>
      <c r="X3814" s="20">
        <v>5000</v>
      </c>
      <c r="Z3814" s="6" t="s">
        <v>5978</v>
      </c>
      <c r="AA3814" s="13">
        <f t="shared" si="514"/>
        <v>5.6000000000000006E-4</v>
      </c>
      <c r="AB3814">
        <v>0.77264320000000009</v>
      </c>
      <c r="AC3814">
        <v>0.80354892800000011</v>
      </c>
    </row>
    <row r="3815" spans="1:29" x14ac:dyDescent="0.3">
      <c r="A3815">
        <v>141003</v>
      </c>
      <c r="B3815" s="25" t="s">
        <v>5984</v>
      </c>
      <c r="C3815" t="s">
        <v>20</v>
      </c>
      <c r="D3815" t="s">
        <v>21</v>
      </c>
      <c r="E3815">
        <v>2222222</v>
      </c>
      <c r="F3815" s="8" t="s">
        <v>22</v>
      </c>
      <c r="G3815" s="2">
        <v>98</v>
      </c>
      <c r="H3815" t="s">
        <v>4519</v>
      </c>
      <c r="J3815" s="9" t="s">
        <v>4838</v>
      </c>
      <c r="K3815" t="s">
        <v>5089</v>
      </c>
      <c r="L3815" s="2">
        <v>1</v>
      </c>
      <c r="M3815" s="24" t="s">
        <v>5971</v>
      </c>
      <c r="N3815" s="2" t="s">
        <v>23</v>
      </c>
      <c r="O3815" s="18" t="s">
        <v>2935</v>
      </c>
      <c r="P3815" s="18" t="s">
        <v>0</v>
      </c>
      <c r="Q3815" s="6" t="s">
        <v>4475</v>
      </c>
      <c r="T3815" s="23">
        <v>45425</v>
      </c>
      <c r="U3815" s="23">
        <v>46433</v>
      </c>
      <c r="X3815" s="20">
        <v>4000</v>
      </c>
      <c r="Z3815" s="6" t="s">
        <v>5978</v>
      </c>
      <c r="AA3815" s="14">
        <f t="shared" ref="AA3815:AA3829" si="515">+(0.6/1000)</f>
        <v>5.9999999999999995E-4</v>
      </c>
      <c r="AB3815">
        <v>0.74909999999999999</v>
      </c>
      <c r="AC3815">
        <v>0.77906399999999998</v>
      </c>
    </row>
    <row r="3816" spans="1:29" x14ac:dyDescent="0.3">
      <c r="A3816">
        <v>143730</v>
      </c>
      <c r="B3816" s="25" t="s">
        <v>5984</v>
      </c>
      <c r="C3816" t="s">
        <v>20</v>
      </c>
      <c r="D3816" t="s">
        <v>21</v>
      </c>
      <c r="E3816">
        <v>2222222</v>
      </c>
      <c r="F3816" s="8" t="s">
        <v>22</v>
      </c>
      <c r="G3816" s="2">
        <v>98</v>
      </c>
      <c r="H3816" t="s">
        <v>4519</v>
      </c>
      <c r="J3816" s="9" t="s">
        <v>5142</v>
      </c>
      <c r="K3816" t="s">
        <v>5031</v>
      </c>
      <c r="L3816" s="2">
        <v>1</v>
      </c>
      <c r="M3816" s="24" t="s">
        <v>5971</v>
      </c>
      <c r="N3816" s="2" t="s">
        <v>23</v>
      </c>
      <c r="O3816" s="18" t="s">
        <v>218</v>
      </c>
      <c r="P3816" s="18" t="s">
        <v>3781</v>
      </c>
      <c r="Q3816" s="6" t="s">
        <v>4475</v>
      </c>
      <c r="T3816" s="23">
        <v>45639</v>
      </c>
      <c r="U3816" s="23">
        <v>48194</v>
      </c>
      <c r="X3816" s="20">
        <v>18000</v>
      </c>
      <c r="Z3816" s="6" t="s">
        <v>5978</v>
      </c>
      <c r="AA3816" s="14">
        <f t="shared" si="515"/>
        <v>5.9999999999999995E-4</v>
      </c>
      <c r="AB3816">
        <v>9.2872620000000001</v>
      </c>
      <c r="AC3816">
        <v>9.6587524800000004</v>
      </c>
    </row>
    <row r="3817" spans="1:29" x14ac:dyDescent="0.3">
      <c r="A3817">
        <v>144468</v>
      </c>
      <c r="B3817" s="25" t="s">
        <v>5984</v>
      </c>
      <c r="C3817" t="s">
        <v>20</v>
      </c>
      <c r="D3817" t="s">
        <v>21</v>
      </c>
      <c r="E3817">
        <v>2222222</v>
      </c>
      <c r="F3817" s="8" t="s">
        <v>22</v>
      </c>
      <c r="G3817" s="2">
        <v>98</v>
      </c>
      <c r="H3817" t="s">
        <v>4519</v>
      </c>
      <c r="J3817" s="9" t="s">
        <v>4885</v>
      </c>
      <c r="K3817" t="s">
        <v>4832</v>
      </c>
      <c r="L3817" s="2">
        <v>1</v>
      </c>
      <c r="M3817" s="24" t="s">
        <v>5971</v>
      </c>
      <c r="N3817" s="2" t="s">
        <v>23</v>
      </c>
      <c r="O3817" s="18" t="s">
        <v>2936</v>
      </c>
      <c r="P3817" s="18" t="s">
        <v>3781</v>
      </c>
      <c r="Q3817" s="6" t="s">
        <v>4475</v>
      </c>
      <c r="T3817" s="23">
        <v>45665</v>
      </c>
      <c r="U3817" s="23">
        <v>46394</v>
      </c>
      <c r="X3817" s="20">
        <v>1500</v>
      </c>
      <c r="Z3817" s="6" t="s">
        <v>5978</v>
      </c>
      <c r="AA3817" s="14">
        <f t="shared" si="515"/>
        <v>5.9999999999999995E-4</v>
      </c>
      <c r="AB3817">
        <v>0.25358399999999998</v>
      </c>
      <c r="AC3817">
        <v>0.26372735999999997</v>
      </c>
    </row>
    <row r="3818" spans="1:29" x14ac:dyDescent="0.3">
      <c r="A3818">
        <v>146966</v>
      </c>
      <c r="B3818" s="25" t="s">
        <v>5984</v>
      </c>
      <c r="C3818" t="s">
        <v>20</v>
      </c>
      <c r="D3818" t="s">
        <v>21</v>
      </c>
      <c r="E3818">
        <v>2222222</v>
      </c>
      <c r="F3818" s="8" t="s">
        <v>22</v>
      </c>
      <c r="G3818" s="2">
        <v>98</v>
      </c>
      <c r="H3818" t="s">
        <v>4519</v>
      </c>
      <c r="J3818" s="9" t="s">
        <v>5247</v>
      </c>
      <c r="K3818" t="s">
        <v>5270</v>
      </c>
      <c r="L3818" s="2">
        <v>1</v>
      </c>
      <c r="M3818" s="24" t="s">
        <v>5971</v>
      </c>
      <c r="N3818" s="2" t="s">
        <v>23</v>
      </c>
      <c r="O3818" s="18" t="s">
        <v>2937</v>
      </c>
      <c r="P3818" s="18" t="s">
        <v>0</v>
      </c>
      <c r="Q3818" s="6" t="s">
        <v>4475</v>
      </c>
      <c r="T3818" s="23">
        <v>45855</v>
      </c>
      <c r="U3818" s="23">
        <v>46403</v>
      </c>
      <c r="X3818" s="20">
        <v>4300</v>
      </c>
      <c r="Z3818" s="6" t="s">
        <v>5978</v>
      </c>
      <c r="AA3818" s="14">
        <f t="shared" si="515"/>
        <v>5.9999999999999995E-4</v>
      </c>
      <c r="AB3818">
        <v>0.93816599999999983</v>
      </c>
      <c r="AC3818">
        <v>0.97569263999999989</v>
      </c>
    </row>
    <row r="3819" spans="1:29" x14ac:dyDescent="0.3">
      <c r="A3819">
        <v>147451</v>
      </c>
      <c r="B3819" s="25" t="s">
        <v>5984</v>
      </c>
      <c r="C3819" t="s">
        <v>20</v>
      </c>
      <c r="D3819" t="s">
        <v>21</v>
      </c>
      <c r="E3819">
        <v>2222222</v>
      </c>
      <c r="F3819" s="8" t="s">
        <v>22</v>
      </c>
      <c r="G3819" s="2">
        <v>98</v>
      </c>
      <c r="H3819" t="s">
        <v>4519</v>
      </c>
      <c r="J3819" s="9" t="s">
        <v>4898</v>
      </c>
      <c r="K3819" t="s">
        <v>4884</v>
      </c>
      <c r="L3819" s="2">
        <v>1</v>
      </c>
      <c r="M3819" s="24" t="s">
        <v>5971</v>
      </c>
      <c r="N3819" s="2" t="s">
        <v>23</v>
      </c>
      <c r="O3819" s="18" t="s">
        <v>2900</v>
      </c>
      <c r="P3819" s="18" t="s">
        <v>3781</v>
      </c>
      <c r="Q3819" s="6" t="s">
        <v>4475</v>
      </c>
      <c r="T3819" s="23">
        <v>45889</v>
      </c>
      <c r="U3819" s="23">
        <v>47349</v>
      </c>
      <c r="X3819" s="20">
        <v>5000</v>
      </c>
      <c r="Z3819" s="6" t="s">
        <v>5978</v>
      </c>
      <c r="AA3819" s="14">
        <f t="shared" si="515"/>
        <v>5.9999999999999995E-4</v>
      </c>
      <c r="AB3819">
        <v>2.4882239999999998</v>
      </c>
      <c r="AC3819">
        <v>2.58775296</v>
      </c>
    </row>
    <row r="3820" spans="1:29" x14ac:dyDescent="0.3">
      <c r="A3820">
        <v>147499</v>
      </c>
      <c r="B3820" s="25" t="s">
        <v>5984</v>
      </c>
      <c r="C3820" t="s">
        <v>20</v>
      </c>
      <c r="D3820" t="s">
        <v>21</v>
      </c>
      <c r="E3820">
        <v>2222222</v>
      </c>
      <c r="F3820" s="8" t="s">
        <v>22</v>
      </c>
      <c r="G3820" s="2">
        <v>98</v>
      </c>
      <c r="H3820" t="s">
        <v>4519</v>
      </c>
      <c r="J3820" s="9" t="s">
        <v>5073</v>
      </c>
      <c r="K3820" t="s">
        <v>5840</v>
      </c>
      <c r="L3820" s="2">
        <v>1</v>
      </c>
      <c r="M3820" s="24" t="s">
        <v>5971</v>
      </c>
      <c r="N3820" s="2" t="s">
        <v>23</v>
      </c>
      <c r="O3820" s="18" t="s">
        <v>2938</v>
      </c>
      <c r="P3820" s="18" t="s">
        <v>3781</v>
      </c>
      <c r="Q3820" s="6" t="s">
        <v>4475</v>
      </c>
      <c r="T3820" s="23">
        <v>45894</v>
      </c>
      <c r="U3820" s="23">
        <v>46989</v>
      </c>
      <c r="X3820" s="20">
        <v>5000</v>
      </c>
      <c r="Z3820" s="6" t="s">
        <v>5978</v>
      </c>
      <c r="AA3820" s="14">
        <f t="shared" si="515"/>
        <v>5.9999999999999995E-4</v>
      </c>
      <c r="AB3820">
        <v>2.1944759999999999</v>
      </c>
      <c r="AC3820">
        <v>2.2822550399999999</v>
      </c>
    </row>
    <row r="3821" spans="1:29" x14ac:dyDescent="0.3">
      <c r="A3821">
        <v>148170</v>
      </c>
      <c r="B3821" s="25" t="s">
        <v>5984</v>
      </c>
      <c r="C3821" t="s">
        <v>20</v>
      </c>
      <c r="D3821" t="s">
        <v>21</v>
      </c>
      <c r="E3821">
        <v>2222222</v>
      </c>
      <c r="F3821" s="8" t="s">
        <v>22</v>
      </c>
      <c r="G3821" s="2">
        <v>98</v>
      </c>
      <c r="H3821" t="s">
        <v>4519</v>
      </c>
      <c r="J3821" s="9" t="s">
        <v>5533</v>
      </c>
      <c r="K3821" t="s">
        <v>4901</v>
      </c>
      <c r="L3821" s="2">
        <v>1</v>
      </c>
      <c r="M3821" s="24" t="s">
        <v>5971</v>
      </c>
      <c r="N3821" s="2" t="s">
        <v>23</v>
      </c>
      <c r="O3821" s="18" t="s">
        <v>2939</v>
      </c>
      <c r="P3821" s="18" t="s">
        <v>0</v>
      </c>
      <c r="Q3821" s="6" t="s">
        <v>4475</v>
      </c>
      <c r="T3821" s="23">
        <v>45944</v>
      </c>
      <c r="U3821" s="23">
        <v>46856</v>
      </c>
      <c r="X3821" s="20">
        <v>2000</v>
      </c>
      <c r="Z3821" s="6" t="s">
        <v>5978</v>
      </c>
      <c r="AA3821" s="14">
        <f t="shared" si="515"/>
        <v>5.9999999999999995E-4</v>
      </c>
      <c r="AB3821">
        <v>0.89123999999999992</v>
      </c>
      <c r="AC3821">
        <v>0.92688959999999998</v>
      </c>
    </row>
    <row r="3822" spans="1:29" x14ac:dyDescent="0.3">
      <c r="A3822">
        <v>150401</v>
      </c>
      <c r="B3822" s="25" t="s">
        <v>5984</v>
      </c>
      <c r="C3822" t="s">
        <v>20</v>
      </c>
      <c r="D3822" t="s">
        <v>21</v>
      </c>
      <c r="E3822">
        <v>2222222</v>
      </c>
      <c r="F3822" s="8" t="s">
        <v>22</v>
      </c>
      <c r="G3822" s="2">
        <v>98</v>
      </c>
      <c r="H3822" t="s">
        <v>4519</v>
      </c>
      <c r="J3822" s="9" t="s">
        <v>4892</v>
      </c>
      <c r="K3822" t="s">
        <v>5338</v>
      </c>
      <c r="L3822" s="2">
        <v>1</v>
      </c>
      <c r="M3822" s="24" t="s">
        <v>5971</v>
      </c>
      <c r="N3822" s="2" t="s">
        <v>23</v>
      </c>
      <c r="O3822" s="18" t="s">
        <v>2940</v>
      </c>
      <c r="P3822" s="18" t="s">
        <v>3781</v>
      </c>
      <c r="Q3822" s="6" t="s">
        <v>4475</v>
      </c>
      <c r="T3822" s="23">
        <v>46093</v>
      </c>
      <c r="U3822" s="23">
        <v>47193</v>
      </c>
      <c r="X3822" s="20">
        <v>4000</v>
      </c>
      <c r="Z3822" s="6" t="s">
        <v>5978</v>
      </c>
      <c r="AA3822" s="14">
        <f t="shared" si="515"/>
        <v>5.9999999999999995E-4</v>
      </c>
      <c r="AB3822">
        <v>2.1892619999999998</v>
      </c>
      <c r="AC3822">
        <v>2.2768324799999999</v>
      </c>
    </row>
    <row r="3823" spans="1:29" x14ac:dyDescent="0.3">
      <c r="A3823">
        <v>150522</v>
      </c>
      <c r="B3823" s="25" t="s">
        <v>5984</v>
      </c>
      <c r="C3823" t="s">
        <v>20</v>
      </c>
      <c r="D3823" t="s">
        <v>21</v>
      </c>
      <c r="E3823">
        <v>2222222</v>
      </c>
      <c r="F3823" s="8" t="s">
        <v>22</v>
      </c>
      <c r="G3823" s="2">
        <v>98</v>
      </c>
      <c r="H3823" t="s">
        <v>4519</v>
      </c>
      <c r="J3823" s="9" t="s">
        <v>5841</v>
      </c>
      <c r="K3823" t="s">
        <v>5090</v>
      </c>
      <c r="L3823" s="2">
        <v>1</v>
      </c>
      <c r="M3823" s="24" t="s">
        <v>5971</v>
      </c>
      <c r="N3823" s="2" t="s">
        <v>23</v>
      </c>
      <c r="O3823" s="18" t="s">
        <v>2941</v>
      </c>
      <c r="P3823" s="18" t="s">
        <v>3781</v>
      </c>
      <c r="Q3823" s="6" t="s">
        <v>4475</v>
      </c>
      <c r="T3823" s="23">
        <v>46111</v>
      </c>
      <c r="U3823" s="23">
        <v>49766</v>
      </c>
      <c r="X3823" s="20">
        <v>45000</v>
      </c>
      <c r="Z3823" s="6" t="s">
        <v>5978</v>
      </c>
      <c r="AA3823" s="14">
        <f t="shared" si="515"/>
        <v>5.9999999999999995E-4</v>
      </c>
      <c r="AB3823">
        <v>26.645508</v>
      </c>
      <c r="AC3823">
        <v>27.71132832</v>
      </c>
    </row>
    <row r="3824" spans="1:29" x14ac:dyDescent="0.3">
      <c r="A3824">
        <v>150570</v>
      </c>
      <c r="B3824" s="25" t="s">
        <v>5984</v>
      </c>
      <c r="C3824" t="s">
        <v>20</v>
      </c>
      <c r="D3824" t="s">
        <v>21</v>
      </c>
      <c r="E3824">
        <v>2222222</v>
      </c>
      <c r="F3824" s="8" t="s">
        <v>22</v>
      </c>
      <c r="G3824" s="2">
        <v>98</v>
      </c>
      <c r="H3824" t="s">
        <v>4519</v>
      </c>
      <c r="J3824" s="9" t="s">
        <v>4893</v>
      </c>
      <c r="K3824" t="s">
        <v>4926</v>
      </c>
      <c r="L3824" s="2">
        <v>1</v>
      </c>
      <c r="M3824" s="24" t="s">
        <v>5971</v>
      </c>
      <c r="N3824" s="2" t="s">
        <v>23</v>
      </c>
      <c r="O3824" s="18" t="s">
        <v>2942</v>
      </c>
      <c r="P3824" s="18" t="s">
        <v>3781</v>
      </c>
      <c r="Q3824" s="6" t="s">
        <v>4475</v>
      </c>
      <c r="T3824" s="23">
        <v>46111</v>
      </c>
      <c r="U3824" s="23">
        <v>47574</v>
      </c>
      <c r="X3824" s="20">
        <v>5000</v>
      </c>
      <c r="Z3824" s="6" t="s">
        <v>5978</v>
      </c>
      <c r="AA3824" s="14">
        <f t="shared" si="515"/>
        <v>5.9999999999999995E-4</v>
      </c>
      <c r="AB3824">
        <v>2.8689779999999998</v>
      </c>
      <c r="AC3824">
        <v>2.9837371199999998</v>
      </c>
    </row>
    <row r="3825" spans="1:29" x14ac:dyDescent="0.3">
      <c r="A3825">
        <v>150629</v>
      </c>
      <c r="B3825" s="25" t="s">
        <v>5984</v>
      </c>
      <c r="C3825" t="s">
        <v>20</v>
      </c>
      <c r="D3825" t="s">
        <v>21</v>
      </c>
      <c r="E3825">
        <v>2222222</v>
      </c>
      <c r="F3825" s="8" t="s">
        <v>22</v>
      </c>
      <c r="G3825" s="2">
        <v>98</v>
      </c>
      <c r="H3825" t="s">
        <v>4519</v>
      </c>
      <c r="J3825" s="9" t="s">
        <v>5271</v>
      </c>
      <c r="K3825" t="s">
        <v>5842</v>
      </c>
      <c r="L3825" s="2">
        <v>1</v>
      </c>
      <c r="M3825" s="24" t="s">
        <v>5971</v>
      </c>
      <c r="N3825" s="2" t="s">
        <v>23</v>
      </c>
      <c r="O3825" s="18" t="s">
        <v>2943</v>
      </c>
      <c r="P3825" s="18" t="s">
        <v>0</v>
      </c>
      <c r="Q3825" s="6" t="s">
        <v>4475</v>
      </c>
      <c r="T3825" s="23">
        <v>46105</v>
      </c>
      <c r="U3825" s="23">
        <v>47200</v>
      </c>
      <c r="X3825" s="20">
        <v>5000</v>
      </c>
      <c r="Z3825" s="6" t="s">
        <v>5978</v>
      </c>
      <c r="AA3825" s="14">
        <f t="shared" si="515"/>
        <v>5.9999999999999995E-4</v>
      </c>
      <c r="AB3825">
        <v>2.7250739999999998</v>
      </c>
      <c r="AC3825">
        <v>2.83407696</v>
      </c>
    </row>
    <row r="3826" spans="1:29" x14ac:dyDescent="0.3">
      <c r="A3826">
        <v>151392</v>
      </c>
      <c r="B3826" s="25" t="s">
        <v>5984</v>
      </c>
      <c r="C3826" t="s">
        <v>20</v>
      </c>
      <c r="D3826" t="s">
        <v>21</v>
      </c>
      <c r="E3826">
        <v>2222222</v>
      </c>
      <c r="F3826" s="8" t="s">
        <v>22</v>
      </c>
      <c r="G3826" s="2">
        <v>98</v>
      </c>
      <c r="H3826" t="s">
        <v>4519</v>
      </c>
      <c r="J3826" s="9" t="s">
        <v>4885</v>
      </c>
      <c r="K3826" t="s">
        <v>5451</v>
      </c>
      <c r="L3826" s="2">
        <v>1</v>
      </c>
      <c r="M3826" s="24" t="s">
        <v>5971</v>
      </c>
      <c r="N3826" s="2" t="s">
        <v>23</v>
      </c>
      <c r="O3826" s="18" t="s">
        <v>2944</v>
      </c>
      <c r="P3826" s="18" t="s">
        <v>3781</v>
      </c>
      <c r="Q3826" s="6" t="s">
        <v>4475</v>
      </c>
      <c r="T3826" s="23">
        <v>46161</v>
      </c>
      <c r="U3826" s="23">
        <v>46525</v>
      </c>
      <c r="X3826" s="20">
        <v>500</v>
      </c>
      <c r="Z3826" s="6" t="s">
        <v>5978</v>
      </c>
      <c r="AA3826" s="14">
        <f t="shared" si="515"/>
        <v>5.9999999999999995E-4</v>
      </c>
      <c r="AB3826">
        <v>0.25337999999999999</v>
      </c>
      <c r="AC3826">
        <v>0.2635152</v>
      </c>
    </row>
    <row r="3827" spans="1:29" x14ac:dyDescent="0.3">
      <c r="A3827">
        <v>151458</v>
      </c>
      <c r="B3827" s="25" t="s">
        <v>5984</v>
      </c>
      <c r="C3827" t="s">
        <v>20</v>
      </c>
      <c r="D3827" t="s">
        <v>21</v>
      </c>
      <c r="E3827">
        <v>2222222</v>
      </c>
      <c r="F3827" s="8" t="s">
        <v>22</v>
      </c>
      <c r="G3827" s="2">
        <v>98</v>
      </c>
      <c r="H3827" t="s">
        <v>4519</v>
      </c>
      <c r="J3827" s="9" t="s">
        <v>4838</v>
      </c>
      <c r="K3827" t="s">
        <v>4826</v>
      </c>
      <c r="L3827" s="2">
        <v>1</v>
      </c>
      <c r="M3827" s="24" t="s">
        <v>5971</v>
      </c>
      <c r="N3827" s="2" t="s">
        <v>23</v>
      </c>
      <c r="O3827" s="18" t="s">
        <v>1680</v>
      </c>
      <c r="P3827" s="18" t="s">
        <v>0</v>
      </c>
      <c r="Q3827" s="6" t="s">
        <v>4475</v>
      </c>
      <c r="T3827" s="23">
        <v>46165</v>
      </c>
      <c r="U3827" s="23">
        <v>46529</v>
      </c>
      <c r="X3827" s="20">
        <v>1500</v>
      </c>
      <c r="Z3827" s="6" t="s">
        <v>5978</v>
      </c>
      <c r="AA3827" s="14">
        <f t="shared" si="515"/>
        <v>5.9999999999999995E-4</v>
      </c>
      <c r="AB3827">
        <v>0.76014000000000004</v>
      </c>
      <c r="AC3827">
        <v>0.79054560000000007</v>
      </c>
    </row>
    <row r="3828" spans="1:29" x14ac:dyDescent="0.3">
      <c r="A3828">
        <v>151821</v>
      </c>
      <c r="B3828" s="25" t="s">
        <v>5984</v>
      </c>
      <c r="C3828" t="s">
        <v>20</v>
      </c>
      <c r="D3828" t="s">
        <v>21</v>
      </c>
      <c r="E3828">
        <v>2222222</v>
      </c>
      <c r="F3828" s="8" t="s">
        <v>22</v>
      </c>
      <c r="G3828" s="2">
        <v>98</v>
      </c>
      <c r="H3828" t="s">
        <v>4519</v>
      </c>
      <c r="J3828" s="9" t="s">
        <v>5172</v>
      </c>
      <c r="K3828" t="s">
        <v>4966</v>
      </c>
      <c r="L3828" s="2">
        <v>1</v>
      </c>
      <c r="M3828" s="24" t="s">
        <v>5971</v>
      </c>
      <c r="N3828" s="2" t="s">
        <v>23</v>
      </c>
      <c r="O3828" s="18" t="s">
        <v>2945</v>
      </c>
      <c r="P3828" s="18" t="s">
        <v>0</v>
      </c>
      <c r="Q3828" s="6" t="s">
        <v>4475</v>
      </c>
      <c r="T3828" s="23">
        <v>46190</v>
      </c>
      <c r="U3828" s="23">
        <v>46280</v>
      </c>
      <c r="X3828" s="20">
        <v>2000</v>
      </c>
      <c r="Z3828" s="6" t="s">
        <v>5978</v>
      </c>
      <c r="AA3828" s="14">
        <f t="shared" si="515"/>
        <v>5.9999999999999995E-4</v>
      </c>
      <c r="AB3828">
        <v>1.2</v>
      </c>
      <c r="AC3828">
        <v>1.248</v>
      </c>
    </row>
    <row r="3829" spans="1:29" x14ac:dyDescent="0.3">
      <c r="A3829">
        <v>152167</v>
      </c>
      <c r="B3829" s="25" t="s">
        <v>5984</v>
      </c>
      <c r="C3829" t="s">
        <v>20</v>
      </c>
      <c r="D3829" t="s">
        <v>21</v>
      </c>
      <c r="E3829">
        <v>2222222</v>
      </c>
      <c r="F3829" s="8" t="s">
        <v>22</v>
      </c>
      <c r="G3829" s="2">
        <v>98</v>
      </c>
      <c r="H3829" t="s">
        <v>4519</v>
      </c>
      <c r="J3829" s="9" t="s">
        <v>4891</v>
      </c>
      <c r="K3829" t="s">
        <v>4910</v>
      </c>
      <c r="L3829" s="2">
        <v>1</v>
      </c>
      <c r="M3829" s="24" t="s">
        <v>5971</v>
      </c>
      <c r="N3829" s="2" t="s">
        <v>23</v>
      </c>
      <c r="O3829" s="18" t="s">
        <v>2946</v>
      </c>
      <c r="P3829" s="18" t="s">
        <v>3781</v>
      </c>
      <c r="Q3829" s="6" t="s">
        <v>4475</v>
      </c>
      <c r="T3829" s="23">
        <v>46218</v>
      </c>
      <c r="U3829" s="23">
        <v>47314</v>
      </c>
      <c r="X3829" s="20">
        <v>5000</v>
      </c>
      <c r="Z3829" s="6" t="s">
        <v>5978</v>
      </c>
      <c r="AA3829" s="14">
        <f t="shared" si="515"/>
        <v>5.9999999999999995E-4</v>
      </c>
      <c r="AB3829">
        <v>2.9999999999999996</v>
      </c>
      <c r="AC3829">
        <v>3.1199999999999997</v>
      </c>
    </row>
    <row r="3830" spans="1:29" x14ac:dyDescent="0.3">
      <c r="A3830">
        <v>136518</v>
      </c>
      <c r="B3830" s="25" t="s">
        <v>5984</v>
      </c>
      <c r="C3830" t="s">
        <v>20</v>
      </c>
      <c r="D3830" t="s">
        <v>21</v>
      </c>
      <c r="E3830">
        <v>2222222</v>
      </c>
      <c r="F3830" s="8" t="s">
        <v>22</v>
      </c>
      <c r="G3830" s="2">
        <v>98</v>
      </c>
      <c r="H3830" t="s">
        <v>4520</v>
      </c>
      <c r="J3830" s="9"/>
      <c r="K3830" t="s">
        <v>5035</v>
      </c>
      <c r="L3830" s="2">
        <v>1</v>
      </c>
      <c r="M3830" s="24" t="s">
        <v>5971</v>
      </c>
      <c r="N3830" s="2" t="s">
        <v>23</v>
      </c>
      <c r="O3830" s="18" t="s">
        <v>2947</v>
      </c>
      <c r="P3830" s="18" t="s">
        <v>0</v>
      </c>
      <c r="Q3830" s="6" t="s">
        <v>4475</v>
      </c>
      <c r="T3830" s="23">
        <v>45176</v>
      </c>
      <c r="U3830" s="23">
        <v>46637</v>
      </c>
      <c r="X3830" s="20">
        <v>7000</v>
      </c>
      <c r="Z3830" s="6" t="s">
        <v>5978</v>
      </c>
      <c r="AA3830" s="13">
        <f>+(0.56/1000)</f>
        <v>5.6000000000000006E-4</v>
      </c>
      <c r="AB3830">
        <v>1.4146832</v>
      </c>
      <c r="AC3830">
        <v>1.471270528</v>
      </c>
    </row>
    <row r="3831" spans="1:29" x14ac:dyDescent="0.3">
      <c r="A3831">
        <v>147492</v>
      </c>
      <c r="B3831" s="25" t="s">
        <v>5984</v>
      </c>
      <c r="C3831" t="s">
        <v>20</v>
      </c>
      <c r="D3831" t="s">
        <v>21</v>
      </c>
      <c r="E3831">
        <v>2222222</v>
      </c>
      <c r="F3831" s="8" t="s">
        <v>22</v>
      </c>
      <c r="G3831" s="2">
        <v>98</v>
      </c>
      <c r="H3831" t="s">
        <v>4520</v>
      </c>
      <c r="J3831" s="9" t="s">
        <v>5322</v>
      </c>
      <c r="K3831" t="s">
        <v>4815</v>
      </c>
      <c r="L3831" s="2">
        <v>1</v>
      </c>
      <c r="M3831" s="24" t="s">
        <v>5971</v>
      </c>
      <c r="N3831" s="2" t="s">
        <v>23</v>
      </c>
      <c r="O3831" s="18" t="s">
        <v>2948</v>
      </c>
      <c r="P3831" s="18" t="s">
        <v>0</v>
      </c>
      <c r="Q3831" s="6" t="s">
        <v>4475</v>
      </c>
      <c r="T3831" s="23">
        <v>45892</v>
      </c>
      <c r="U3831" s="23">
        <v>46256</v>
      </c>
      <c r="X3831" s="20">
        <v>520</v>
      </c>
      <c r="Z3831" s="6" t="s">
        <v>5978</v>
      </c>
      <c r="AA3831" s="14">
        <f t="shared" ref="AA3831:AA3832" si="516">+(0.6/1000)</f>
        <v>5.9999999999999995E-4</v>
      </c>
      <c r="AB3831">
        <v>2.7971999999999997E-2</v>
      </c>
      <c r="AC3831">
        <v>2.9090879999999996E-2</v>
      </c>
    </row>
    <row r="3832" spans="1:29" x14ac:dyDescent="0.3">
      <c r="A3832">
        <v>150963</v>
      </c>
      <c r="B3832" s="25" t="s">
        <v>5984</v>
      </c>
      <c r="C3832" t="s">
        <v>20</v>
      </c>
      <c r="D3832" t="s">
        <v>21</v>
      </c>
      <c r="E3832">
        <v>2222222</v>
      </c>
      <c r="F3832" s="8" t="s">
        <v>22</v>
      </c>
      <c r="G3832" s="2">
        <v>98</v>
      </c>
      <c r="H3832" t="s">
        <v>4520</v>
      </c>
      <c r="J3832" s="9" t="s">
        <v>4852</v>
      </c>
      <c r="K3832" t="s">
        <v>5035</v>
      </c>
      <c r="L3832" s="2">
        <v>1</v>
      </c>
      <c r="M3832" s="24" t="s">
        <v>5971</v>
      </c>
      <c r="N3832" s="2" t="s">
        <v>23</v>
      </c>
      <c r="O3832" s="18" t="s">
        <v>2949</v>
      </c>
      <c r="P3832" s="18" t="s">
        <v>0</v>
      </c>
      <c r="Q3832" s="6" t="s">
        <v>4475</v>
      </c>
      <c r="T3832" s="23">
        <v>46221</v>
      </c>
      <c r="U3832" s="23">
        <v>51699</v>
      </c>
      <c r="X3832" s="20">
        <v>52000</v>
      </c>
      <c r="Z3832" s="6" t="s">
        <v>5978</v>
      </c>
      <c r="AA3832" s="14">
        <f t="shared" si="516"/>
        <v>5.9999999999999995E-4</v>
      </c>
      <c r="AB3832">
        <v>31.199999999999996</v>
      </c>
      <c r="AC3832">
        <v>32.447999999999993</v>
      </c>
    </row>
    <row r="3833" spans="1:29" x14ac:dyDescent="0.3">
      <c r="A3833">
        <v>130038</v>
      </c>
      <c r="B3833" s="25" t="s">
        <v>5984</v>
      </c>
      <c r="C3833" t="s">
        <v>20</v>
      </c>
      <c r="D3833" t="s">
        <v>21</v>
      </c>
      <c r="E3833">
        <v>2222222</v>
      </c>
      <c r="F3833" s="8" t="s">
        <v>22</v>
      </c>
      <c r="G3833" s="2">
        <v>98</v>
      </c>
      <c r="H3833" t="s">
        <v>4521</v>
      </c>
      <c r="J3833" s="9" t="s">
        <v>5126</v>
      </c>
      <c r="K3833" t="s">
        <v>5128</v>
      </c>
      <c r="L3833" s="2">
        <v>1</v>
      </c>
      <c r="M3833" s="24" t="s">
        <v>5971</v>
      </c>
      <c r="N3833" s="2" t="s">
        <v>23</v>
      </c>
      <c r="O3833" s="18" t="s">
        <v>2950</v>
      </c>
      <c r="P3833" s="18" t="s">
        <v>0</v>
      </c>
      <c r="Q3833" s="6" t="s">
        <v>4475</v>
      </c>
      <c r="T3833" s="23">
        <v>44812</v>
      </c>
      <c r="U3833" s="23">
        <v>45816</v>
      </c>
      <c r="X3833" s="20">
        <v>5000</v>
      </c>
      <c r="Z3833" s="6" t="s">
        <v>5978</v>
      </c>
      <c r="AA3833" s="13">
        <f t="shared" ref="AA3833:AA3835" si="517">+(0.56/1000)</f>
        <v>5.6000000000000006E-4</v>
      </c>
      <c r="AB3833">
        <v>1.9468120000000002</v>
      </c>
      <c r="AC3833">
        <v>2.0246844800000003</v>
      </c>
    </row>
    <row r="3834" spans="1:29" x14ac:dyDescent="0.3">
      <c r="A3834">
        <v>137315</v>
      </c>
      <c r="B3834" s="25" t="s">
        <v>5984</v>
      </c>
      <c r="C3834" t="s">
        <v>20</v>
      </c>
      <c r="D3834" t="s">
        <v>21</v>
      </c>
      <c r="E3834">
        <v>2222222</v>
      </c>
      <c r="F3834" s="8" t="s">
        <v>22</v>
      </c>
      <c r="G3834" s="2">
        <v>98</v>
      </c>
      <c r="H3834" t="s">
        <v>4521</v>
      </c>
      <c r="J3834" s="9" t="s">
        <v>5164</v>
      </c>
      <c r="K3834" t="s">
        <v>4924</v>
      </c>
      <c r="L3834" s="2">
        <v>1</v>
      </c>
      <c r="M3834" s="24" t="s">
        <v>5971</v>
      </c>
      <c r="N3834" s="2" t="s">
        <v>23</v>
      </c>
      <c r="O3834" s="18" t="s">
        <v>2951</v>
      </c>
      <c r="P3834" s="18" t="s">
        <v>3781</v>
      </c>
      <c r="Q3834" s="6" t="s">
        <v>4475</v>
      </c>
      <c r="T3834" s="23">
        <v>45216</v>
      </c>
      <c r="U3834" s="23">
        <v>46676</v>
      </c>
      <c r="X3834" s="20">
        <v>5000</v>
      </c>
      <c r="Z3834" s="6" t="s">
        <v>5978</v>
      </c>
      <c r="AA3834" s="13">
        <f t="shared" si="517"/>
        <v>5.6000000000000006E-4</v>
      </c>
      <c r="AB3834">
        <v>1.0517752000000002</v>
      </c>
      <c r="AC3834">
        <v>1.0938462080000002</v>
      </c>
    </row>
    <row r="3835" spans="1:29" x14ac:dyDescent="0.3">
      <c r="A3835">
        <v>138284</v>
      </c>
      <c r="B3835" s="25" t="s">
        <v>5984</v>
      </c>
      <c r="C3835" t="s">
        <v>20</v>
      </c>
      <c r="D3835" t="s">
        <v>21</v>
      </c>
      <c r="E3835">
        <v>2222222</v>
      </c>
      <c r="F3835" s="8" t="s">
        <v>22</v>
      </c>
      <c r="G3835" s="2">
        <v>98</v>
      </c>
      <c r="H3835" t="s">
        <v>4521</v>
      </c>
      <c r="J3835" s="9" t="s">
        <v>4917</v>
      </c>
      <c r="K3835" t="s">
        <v>5030</v>
      </c>
      <c r="L3835" s="2">
        <v>1</v>
      </c>
      <c r="M3835" s="24" t="s">
        <v>5971</v>
      </c>
      <c r="N3835" s="2" t="s">
        <v>23</v>
      </c>
      <c r="O3835" s="18" t="s">
        <v>2952</v>
      </c>
      <c r="P3835" s="18" t="s">
        <v>3781</v>
      </c>
      <c r="Q3835" s="6" t="s">
        <v>4475</v>
      </c>
      <c r="T3835" s="23">
        <v>45281</v>
      </c>
      <c r="U3835" s="23">
        <v>47197</v>
      </c>
      <c r="X3835" s="20">
        <v>10500</v>
      </c>
      <c r="Z3835" s="6" t="s">
        <v>5978</v>
      </c>
      <c r="AA3835" s="13">
        <f t="shared" si="517"/>
        <v>5.6000000000000006E-4</v>
      </c>
      <c r="AB3835">
        <v>4.4158184000000009</v>
      </c>
      <c r="AC3835">
        <v>4.5924511360000011</v>
      </c>
    </row>
    <row r="3836" spans="1:29" x14ac:dyDescent="0.3">
      <c r="A3836">
        <v>145082</v>
      </c>
      <c r="B3836" s="25" t="s">
        <v>5984</v>
      </c>
      <c r="C3836" t="s">
        <v>20</v>
      </c>
      <c r="D3836" t="s">
        <v>21</v>
      </c>
      <c r="E3836">
        <v>2222222</v>
      </c>
      <c r="F3836" s="8" t="s">
        <v>22</v>
      </c>
      <c r="G3836" s="2">
        <v>98</v>
      </c>
      <c r="H3836" t="s">
        <v>4521</v>
      </c>
      <c r="J3836" s="9" t="s">
        <v>4836</v>
      </c>
      <c r="K3836" t="s">
        <v>5843</v>
      </c>
      <c r="L3836" s="2">
        <v>1</v>
      </c>
      <c r="M3836" s="24" t="s">
        <v>5971</v>
      </c>
      <c r="N3836" s="2" t="s">
        <v>23</v>
      </c>
      <c r="O3836" s="18" t="s">
        <v>319</v>
      </c>
      <c r="P3836" s="18" t="s">
        <v>3781</v>
      </c>
      <c r="Q3836" s="6" t="s">
        <v>4475</v>
      </c>
      <c r="T3836" s="23">
        <v>45716</v>
      </c>
      <c r="U3836" s="23">
        <v>47543</v>
      </c>
      <c r="X3836" s="20">
        <v>6800</v>
      </c>
      <c r="Z3836" s="6" t="s">
        <v>5978</v>
      </c>
      <c r="AA3836" s="14">
        <f t="shared" ref="AA3836:AA3846" si="518">+(0.6/1000)</f>
        <v>5.9999999999999995E-4</v>
      </c>
      <c r="AB3836">
        <v>3.2550719999999997</v>
      </c>
      <c r="AC3836">
        <v>3.3852748799999999</v>
      </c>
    </row>
    <row r="3837" spans="1:29" x14ac:dyDescent="0.3">
      <c r="A3837">
        <v>147391</v>
      </c>
      <c r="B3837" s="25" t="s">
        <v>5984</v>
      </c>
      <c r="C3837" t="s">
        <v>20</v>
      </c>
      <c r="D3837" t="s">
        <v>21</v>
      </c>
      <c r="E3837">
        <v>2222222</v>
      </c>
      <c r="F3837" s="8" t="s">
        <v>22</v>
      </c>
      <c r="G3837" s="2">
        <v>98</v>
      </c>
      <c r="H3837" t="s">
        <v>4521</v>
      </c>
      <c r="J3837" s="9" t="s">
        <v>5844</v>
      </c>
      <c r="K3837" t="s">
        <v>4863</v>
      </c>
      <c r="L3837" s="2">
        <v>1</v>
      </c>
      <c r="M3837" s="24" t="s">
        <v>5971</v>
      </c>
      <c r="N3837" s="2" t="s">
        <v>23</v>
      </c>
      <c r="O3837" s="18" t="s">
        <v>2953</v>
      </c>
      <c r="P3837" s="18" t="s">
        <v>3781</v>
      </c>
      <c r="Q3837" s="6" t="s">
        <v>4475</v>
      </c>
      <c r="T3837" s="23">
        <v>45890</v>
      </c>
      <c r="U3837" s="23">
        <v>46619</v>
      </c>
      <c r="X3837" s="20">
        <v>17000</v>
      </c>
      <c r="Z3837" s="6" t="s">
        <v>5978</v>
      </c>
      <c r="AA3837" s="14">
        <f t="shared" si="518"/>
        <v>5.9999999999999995E-4</v>
      </c>
      <c r="AB3837">
        <v>5.8749120000000001</v>
      </c>
      <c r="AC3837">
        <v>6.1099084800000005</v>
      </c>
    </row>
    <row r="3838" spans="1:29" x14ac:dyDescent="0.3">
      <c r="A3838">
        <v>144870</v>
      </c>
      <c r="B3838" s="25" t="s">
        <v>5984</v>
      </c>
      <c r="C3838" t="s">
        <v>20</v>
      </c>
      <c r="D3838" t="s">
        <v>21</v>
      </c>
      <c r="E3838">
        <v>2222222</v>
      </c>
      <c r="F3838" s="8" t="s">
        <v>22</v>
      </c>
      <c r="G3838" s="2">
        <v>98</v>
      </c>
      <c r="H3838" t="s">
        <v>4522</v>
      </c>
      <c r="J3838" s="9" t="s">
        <v>4896</v>
      </c>
      <c r="K3838" t="s">
        <v>5025</v>
      </c>
      <c r="L3838" s="2">
        <v>1</v>
      </c>
      <c r="M3838" s="24" t="s">
        <v>5971</v>
      </c>
      <c r="N3838" s="2" t="s">
        <v>23</v>
      </c>
      <c r="O3838" s="18" t="s">
        <v>2954</v>
      </c>
      <c r="P3838" s="18" t="s">
        <v>3781</v>
      </c>
      <c r="Q3838" s="6" t="s">
        <v>4475</v>
      </c>
      <c r="T3838" s="23">
        <v>45693</v>
      </c>
      <c r="U3838" s="23">
        <v>47156</v>
      </c>
      <c r="X3838" s="20">
        <v>5000</v>
      </c>
      <c r="Z3838" s="6" t="s">
        <v>5978</v>
      </c>
      <c r="AA3838" s="14">
        <f t="shared" si="518"/>
        <v>5.9999999999999995E-4</v>
      </c>
      <c r="AB3838">
        <v>2.1752400000000001</v>
      </c>
      <c r="AC3838">
        <v>2.2622496000000001</v>
      </c>
    </row>
    <row r="3839" spans="1:29" x14ac:dyDescent="0.3">
      <c r="A3839">
        <v>148222</v>
      </c>
      <c r="B3839" s="25" t="s">
        <v>5984</v>
      </c>
      <c r="C3839" t="s">
        <v>20</v>
      </c>
      <c r="D3839" t="s">
        <v>21</v>
      </c>
      <c r="E3839">
        <v>2222222</v>
      </c>
      <c r="F3839" s="8" t="s">
        <v>22</v>
      </c>
      <c r="G3839" s="2">
        <v>98</v>
      </c>
      <c r="H3839" t="s">
        <v>4522</v>
      </c>
      <c r="J3839" s="9" t="s">
        <v>5038</v>
      </c>
      <c r="K3839" t="s">
        <v>5845</v>
      </c>
      <c r="L3839" s="2">
        <v>1</v>
      </c>
      <c r="M3839" s="24" t="s">
        <v>5971</v>
      </c>
      <c r="N3839" s="2" t="s">
        <v>23</v>
      </c>
      <c r="O3839" s="18" t="s">
        <v>2955</v>
      </c>
      <c r="P3839" s="18" t="s">
        <v>3781</v>
      </c>
      <c r="Q3839" s="6" t="s">
        <v>4475</v>
      </c>
      <c r="T3839" s="23">
        <v>45953</v>
      </c>
      <c r="U3839" s="23">
        <v>51431</v>
      </c>
      <c r="X3839" s="20">
        <v>25700</v>
      </c>
      <c r="Z3839" s="6" t="s">
        <v>5978</v>
      </c>
      <c r="AA3839" s="14">
        <f t="shared" si="518"/>
        <v>5.9999999999999995E-4</v>
      </c>
      <c r="AB3839">
        <v>15.160985999999999</v>
      </c>
      <c r="AC3839">
        <v>15.76742544</v>
      </c>
    </row>
    <row r="3840" spans="1:29" x14ac:dyDescent="0.3">
      <c r="A3840">
        <v>149143</v>
      </c>
      <c r="B3840" s="25" t="s">
        <v>5984</v>
      </c>
      <c r="C3840" t="s">
        <v>20</v>
      </c>
      <c r="D3840" t="s">
        <v>21</v>
      </c>
      <c r="E3840">
        <v>2222222</v>
      </c>
      <c r="F3840" s="8" t="s">
        <v>22</v>
      </c>
      <c r="G3840" s="2">
        <v>98</v>
      </c>
      <c r="H3840" t="s">
        <v>4522</v>
      </c>
      <c r="J3840" s="9" t="s">
        <v>4896</v>
      </c>
      <c r="K3840" t="s">
        <v>5025</v>
      </c>
      <c r="L3840" s="2">
        <v>1</v>
      </c>
      <c r="M3840" s="24" t="s">
        <v>5971</v>
      </c>
      <c r="N3840" s="2" t="s">
        <v>23</v>
      </c>
      <c r="O3840" s="18" t="s">
        <v>2954</v>
      </c>
      <c r="P3840" s="18" t="s">
        <v>3781</v>
      </c>
      <c r="Q3840" s="6" t="s">
        <v>4475</v>
      </c>
      <c r="T3840" s="23">
        <v>46001</v>
      </c>
      <c r="U3840" s="23">
        <v>46366</v>
      </c>
      <c r="X3840" s="20">
        <v>1000</v>
      </c>
      <c r="Z3840" s="6" t="s">
        <v>5978</v>
      </c>
      <c r="AA3840" s="14">
        <f t="shared" si="518"/>
        <v>5.9999999999999995E-4</v>
      </c>
      <c r="AB3840">
        <v>0.26203199999999999</v>
      </c>
      <c r="AC3840">
        <v>0.27251327999999997</v>
      </c>
    </row>
    <row r="3841" spans="1:29" x14ac:dyDescent="0.3">
      <c r="A3841">
        <v>151597</v>
      </c>
      <c r="B3841" s="25" t="s">
        <v>5984</v>
      </c>
      <c r="C3841" t="s">
        <v>20</v>
      </c>
      <c r="D3841" t="s">
        <v>21</v>
      </c>
      <c r="E3841">
        <v>2222222</v>
      </c>
      <c r="F3841" s="8" t="s">
        <v>22</v>
      </c>
      <c r="G3841" s="2">
        <v>98</v>
      </c>
      <c r="H3841" t="s">
        <v>4522</v>
      </c>
      <c r="J3841" s="9" t="s">
        <v>5038</v>
      </c>
      <c r="K3841" t="s">
        <v>5845</v>
      </c>
      <c r="L3841" s="2">
        <v>1</v>
      </c>
      <c r="M3841" s="24" t="s">
        <v>5971</v>
      </c>
      <c r="N3841" s="2" t="s">
        <v>23</v>
      </c>
      <c r="O3841" s="18" t="s">
        <v>2955</v>
      </c>
      <c r="P3841" s="18" t="s">
        <v>3781</v>
      </c>
      <c r="Q3841" s="6" t="s">
        <v>4475</v>
      </c>
      <c r="T3841" s="23">
        <v>46175</v>
      </c>
      <c r="U3841" s="23">
        <v>46266</v>
      </c>
      <c r="X3841" s="20">
        <v>5000</v>
      </c>
      <c r="Z3841" s="6" t="s">
        <v>5978</v>
      </c>
      <c r="AA3841" s="14">
        <f t="shared" si="518"/>
        <v>5.9999999999999995E-4</v>
      </c>
      <c r="AB3841">
        <v>2.9999999999999996</v>
      </c>
      <c r="AC3841">
        <v>3.1199999999999997</v>
      </c>
    </row>
    <row r="3842" spans="1:29" x14ac:dyDescent="0.3">
      <c r="A3842">
        <v>148495</v>
      </c>
      <c r="B3842" s="25" t="s">
        <v>5984</v>
      </c>
      <c r="C3842" t="s">
        <v>20</v>
      </c>
      <c r="D3842" t="s">
        <v>21</v>
      </c>
      <c r="E3842">
        <v>2222222</v>
      </c>
      <c r="F3842" s="8" t="s">
        <v>22</v>
      </c>
      <c r="G3842" s="2">
        <v>98</v>
      </c>
      <c r="H3842" t="s">
        <v>4523</v>
      </c>
      <c r="J3842" s="9" t="s">
        <v>5316</v>
      </c>
      <c r="K3842" t="s">
        <v>5528</v>
      </c>
      <c r="L3842" s="2">
        <v>1</v>
      </c>
      <c r="M3842" s="24" t="s">
        <v>5971</v>
      </c>
      <c r="N3842" s="2" t="s">
        <v>23</v>
      </c>
      <c r="O3842" s="18" t="s">
        <v>2956</v>
      </c>
      <c r="P3842" s="18" t="s">
        <v>0</v>
      </c>
      <c r="Q3842" s="6" t="s">
        <v>4475</v>
      </c>
      <c r="T3842" s="23">
        <v>45827</v>
      </c>
      <c r="U3842" s="23">
        <v>46915</v>
      </c>
      <c r="X3842" s="20">
        <v>5000</v>
      </c>
      <c r="Z3842" s="6" t="s">
        <v>5978</v>
      </c>
      <c r="AA3842" s="14">
        <f t="shared" si="518"/>
        <v>5.9999999999999995E-4</v>
      </c>
      <c r="AB3842">
        <v>1.0547279999999999</v>
      </c>
      <c r="AC3842">
        <v>1.0969171199999999</v>
      </c>
    </row>
    <row r="3843" spans="1:29" x14ac:dyDescent="0.3">
      <c r="A3843">
        <v>151206</v>
      </c>
      <c r="B3843" s="25" t="s">
        <v>5984</v>
      </c>
      <c r="C3843" t="s">
        <v>20</v>
      </c>
      <c r="D3843" t="s">
        <v>21</v>
      </c>
      <c r="E3843">
        <v>2222222</v>
      </c>
      <c r="F3843" s="8" t="s">
        <v>22</v>
      </c>
      <c r="G3843" s="2">
        <v>98</v>
      </c>
      <c r="H3843" t="s">
        <v>4524</v>
      </c>
      <c r="J3843" s="9" t="s">
        <v>4998</v>
      </c>
      <c r="K3843" t="s">
        <v>4924</v>
      </c>
      <c r="L3843" s="2">
        <v>1</v>
      </c>
      <c r="M3843" s="24" t="s">
        <v>5971</v>
      </c>
      <c r="N3843" s="2" t="s">
        <v>23</v>
      </c>
      <c r="O3843" s="18" t="s">
        <v>2957</v>
      </c>
      <c r="P3843" s="18" t="s">
        <v>3781</v>
      </c>
      <c r="Q3843" s="6" t="s">
        <v>4475</v>
      </c>
      <c r="T3843" s="23">
        <v>46147</v>
      </c>
      <c r="U3843" s="23">
        <v>47607</v>
      </c>
      <c r="X3843" s="20">
        <v>5000</v>
      </c>
      <c r="Z3843" s="6" t="s">
        <v>5978</v>
      </c>
      <c r="AA3843" s="14">
        <f t="shared" si="518"/>
        <v>5.9999999999999995E-4</v>
      </c>
      <c r="AB3843">
        <v>2.9123100000000002</v>
      </c>
      <c r="AC3843">
        <v>3.0288024000000004</v>
      </c>
    </row>
    <row r="3844" spans="1:29" x14ac:dyDescent="0.3">
      <c r="A3844">
        <v>146354</v>
      </c>
      <c r="B3844" s="25" t="s">
        <v>5984</v>
      </c>
      <c r="C3844" t="s">
        <v>20</v>
      </c>
      <c r="D3844" t="s">
        <v>21</v>
      </c>
      <c r="E3844">
        <v>2222222</v>
      </c>
      <c r="F3844" s="8" t="s">
        <v>22</v>
      </c>
      <c r="G3844" s="2">
        <v>98</v>
      </c>
      <c r="H3844" t="s">
        <v>4525</v>
      </c>
      <c r="J3844" s="9" t="s">
        <v>5126</v>
      </c>
      <c r="K3844" t="s">
        <v>4913</v>
      </c>
      <c r="L3844" s="2">
        <v>1</v>
      </c>
      <c r="M3844" s="24" t="s">
        <v>5971</v>
      </c>
      <c r="N3844" s="2" t="s">
        <v>23</v>
      </c>
      <c r="O3844" s="18" t="s">
        <v>2958</v>
      </c>
      <c r="P3844" s="18" t="s">
        <v>0</v>
      </c>
      <c r="Q3844" s="6" t="s">
        <v>4475</v>
      </c>
      <c r="T3844" s="23">
        <v>45811</v>
      </c>
      <c r="U3844" s="23">
        <v>46907</v>
      </c>
      <c r="X3844" s="20">
        <v>5000</v>
      </c>
      <c r="Z3844" s="6" t="s">
        <v>5978</v>
      </c>
      <c r="AA3844" s="14">
        <f t="shared" si="518"/>
        <v>5.9999999999999995E-4</v>
      </c>
      <c r="AB3844">
        <v>2.0987099999999996</v>
      </c>
      <c r="AC3844">
        <v>2.1826583999999998</v>
      </c>
    </row>
    <row r="3845" spans="1:29" x14ac:dyDescent="0.3">
      <c r="A3845">
        <v>150297</v>
      </c>
      <c r="B3845" s="25" t="s">
        <v>5984</v>
      </c>
      <c r="C3845" t="s">
        <v>20</v>
      </c>
      <c r="D3845" t="s">
        <v>21</v>
      </c>
      <c r="E3845">
        <v>2222222</v>
      </c>
      <c r="F3845" s="8" t="s">
        <v>22</v>
      </c>
      <c r="G3845" s="2">
        <v>98</v>
      </c>
      <c r="H3845" t="s">
        <v>4525</v>
      </c>
      <c r="J3845" s="9" t="s">
        <v>4981</v>
      </c>
      <c r="K3845" t="s">
        <v>4880</v>
      </c>
      <c r="L3845" s="2">
        <v>1</v>
      </c>
      <c r="M3845" s="24" t="s">
        <v>5971</v>
      </c>
      <c r="N3845" s="2" t="s">
        <v>23</v>
      </c>
      <c r="O3845" s="18" t="s">
        <v>2959</v>
      </c>
      <c r="P3845" s="18" t="s">
        <v>3781</v>
      </c>
      <c r="Q3845" s="6" t="s">
        <v>4475</v>
      </c>
      <c r="T3845" s="23">
        <v>46093</v>
      </c>
      <c r="U3845" s="23">
        <v>48284</v>
      </c>
      <c r="X3845" s="20">
        <v>13000</v>
      </c>
      <c r="Z3845" s="6" t="s">
        <v>5978</v>
      </c>
      <c r="AA3845" s="14">
        <f t="shared" si="518"/>
        <v>5.9999999999999995E-4</v>
      </c>
      <c r="AB3845">
        <v>7.533491999999999</v>
      </c>
      <c r="AC3845">
        <v>7.8348316799999989</v>
      </c>
    </row>
    <row r="3846" spans="1:29" x14ac:dyDescent="0.3">
      <c r="A3846">
        <v>145053</v>
      </c>
      <c r="B3846" s="25" t="s">
        <v>5984</v>
      </c>
      <c r="C3846" t="s">
        <v>20</v>
      </c>
      <c r="D3846" t="s">
        <v>21</v>
      </c>
      <c r="E3846">
        <v>2222222</v>
      </c>
      <c r="F3846" s="8" t="s">
        <v>22</v>
      </c>
      <c r="G3846" s="2">
        <v>98</v>
      </c>
      <c r="H3846" t="s">
        <v>4526</v>
      </c>
      <c r="J3846" s="9" t="s">
        <v>4852</v>
      </c>
      <c r="K3846" t="s">
        <v>5059</v>
      </c>
      <c r="L3846" s="2">
        <v>1</v>
      </c>
      <c r="M3846" s="24" t="s">
        <v>5971</v>
      </c>
      <c r="N3846" s="2" t="s">
        <v>23</v>
      </c>
      <c r="O3846" s="18" t="s">
        <v>2960</v>
      </c>
      <c r="P3846" s="18" t="s">
        <v>0</v>
      </c>
      <c r="Q3846" s="6" t="s">
        <v>4475</v>
      </c>
      <c r="T3846" s="23">
        <v>45708</v>
      </c>
      <c r="U3846" s="23">
        <v>47171</v>
      </c>
      <c r="X3846" s="20">
        <v>5000</v>
      </c>
      <c r="Z3846" s="6" t="s">
        <v>5978</v>
      </c>
      <c r="AA3846" s="14">
        <f t="shared" si="518"/>
        <v>5.9999999999999995E-4</v>
      </c>
      <c r="AB3846">
        <v>2.1249119999999997</v>
      </c>
      <c r="AC3846">
        <v>2.2099084799999997</v>
      </c>
    </row>
    <row r="3847" spans="1:29" x14ac:dyDescent="0.3">
      <c r="A3847">
        <v>124127</v>
      </c>
      <c r="B3847" s="25" t="s">
        <v>5984</v>
      </c>
      <c r="C3847" t="s">
        <v>20</v>
      </c>
      <c r="D3847" t="s">
        <v>21</v>
      </c>
      <c r="E3847">
        <v>2222222</v>
      </c>
      <c r="F3847" s="8" t="s">
        <v>22</v>
      </c>
      <c r="G3847" s="2">
        <v>98</v>
      </c>
      <c r="H3847" t="s">
        <v>4527</v>
      </c>
      <c r="J3847" s="9" t="s">
        <v>4865</v>
      </c>
      <c r="K3847" t="s">
        <v>5385</v>
      </c>
      <c r="L3847" s="2">
        <v>1</v>
      </c>
      <c r="M3847" s="24" t="s">
        <v>5971</v>
      </c>
      <c r="N3847" s="2" t="s">
        <v>23</v>
      </c>
      <c r="O3847" s="18" t="s">
        <v>2961</v>
      </c>
      <c r="P3847" s="18" t="s">
        <v>0</v>
      </c>
      <c r="Q3847" s="6" t="s">
        <v>4475</v>
      </c>
      <c r="T3847" s="23">
        <v>44517</v>
      </c>
      <c r="U3847" s="23">
        <v>45249</v>
      </c>
      <c r="X3847" s="20">
        <v>1479</v>
      </c>
      <c r="Z3847" s="6" t="s">
        <v>5978</v>
      </c>
      <c r="AA3847" s="15">
        <f>+(0.42/1000)</f>
        <v>4.1999999999999996E-4</v>
      </c>
      <c r="AB3847">
        <v>0.22010519999999995</v>
      </c>
      <c r="AC3847">
        <v>0.22890940799999995</v>
      </c>
    </row>
    <row r="3848" spans="1:29" x14ac:dyDescent="0.3">
      <c r="A3848">
        <v>136516</v>
      </c>
      <c r="B3848" s="25" t="s">
        <v>5984</v>
      </c>
      <c r="C3848" t="s">
        <v>20</v>
      </c>
      <c r="D3848" t="s">
        <v>21</v>
      </c>
      <c r="E3848">
        <v>2222222</v>
      </c>
      <c r="F3848" s="8" t="s">
        <v>22</v>
      </c>
      <c r="G3848" s="2">
        <v>98</v>
      </c>
      <c r="H3848" t="s">
        <v>4528</v>
      </c>
      <c r="J3848" s="9" t="s">
        <v>4836</v>
      </c>
      <c r="K3848" t="s">
        <v>5019</v>
      </c>
      <c r="L3848" s="2">
        <v>1</v>
      </c>
      <c r="M3848" s="24" t="s">
        <v>5971</v>
      </c>
      <c r="N3848" s="2" t="s">
        <v>23</v>
      </c>
      <c r="O3848" s="18" t="s">
        <v>2962</v>
      </c>
      <c r="P3848" s="18" t="s">
        <v>3781</v>
      </c>
      <c r="Q3848" s="6" t="s">
        <v>4475</v>
      </c>
      <c r="T3848" s="23">
        <v>45216</v>
      </c>
      <c r="U3848" s="23">
        <v>48960</v>
      </c>
      <c r="X3848" s="20">
        <v>52000</v>
      </c>
      <c r="Z3848" s="6" t="s">
        <v>5978</v>
      </c>
      <c r="AA3848" s="13">
        <f>+(0.56/1000)</f>
        <v>5.6000000000000006E-4</v>
      </c>
      <c r="AB3848">
        <v>24.452797600000004</v>
      </c>
      <c r="AC3848">
        <v>25.430909504000006</v>
      </c>
    </row>
    <row r="3849" spans="1:29" x14ac:dyDescent="0.3">
      <c r="A3849">
        <v>150526</v>
      </c>
      <c r="B3849" s="25" t="s">
        <v>5984</v>
      </c>
      <c r="C3849" t="s">
        <v>20</v>
      </c>
      <c r="D3849" t="s">
        <v>21</v>
      </c>
      <c r="E3849">
        <v>2222222</v>
      </c>
      <c r="F3849" s="8" t="s">
        <v>22</v>
      </c>
      <c r="G3849" s="2">
        <v>98</v>
      </c>
      <c r="H3849" t="s">
        <v>4529</v>
      </c>
      <c r="J3849" s="9" t="s">
        <v>4892</v>
      </c>
      <c r="K3849" t="s">
        <v>4926</v>
      </c>
      <c r="L3849" s="2">
        <v>1</v>
      </c>
      <c r="M3849" s="24" t="s">
        <v>5971</v>
      </c>
      <c r="N3849" s="2" t="s">
        <v>23</v>
      </c>
      <c r="O3849" s="18" t="s">
        <v>1877</v>
      </c>
      <c r="P3849" s="18" t="s">
        <v>3781</v>
      </c>
      <c r="Q3849" s="6" t="s">
        <v>4475</v>
      </c>
      <c r="T3849" s="23">
        <v>46099</v>
      </c>
      <c r="U3849" s="23">
        <v>46435</v>
      </c>
      <c r="X3849" s="20">
        <v>1000</v>
      </c>
      <c r="Z3849" s="6" t="s">
        <v>5978</v>
      </c>
      <c r="AA3849" s="14">
        <f>+(0.6/1000)</f>
        <v>5.9999999999999995E-4</v>
      </c>
      <c r="AB3849">
        <v>0.39244799999999996</v>
      </c>
      <c r="AC3849">
        <v>0.40814592</v>
      </c>
    </row>
    <row r="3850" spans="1:29" x14ac:dyDescent="0.3">
      <c r="A3850">
        <v>125759</v>
      </c>
      <c r="B3850" s="25" t="s">
        <v>5984</v>
      </c>
      <c r="C3850" t="s">
        <v>20</v>
      </c>
      <c r="D3850" t="s">
        <v>21</v>
      </c>
      <c r="E3850">
        <v>2222222</v>
      </c>
      <c r="F3850" s="8" t="s">
        <v>22</v>
      </c>
      <c r="G3850" s="2">
        <v>98</v>
      </c>
      <c r="H3850" t="s">
        <v>4530</v>
      </c>
      <c r="J3850" s="9" t="s">
        <v>4901</v>
      </c>
      <c r="K3850" t="s">
        <v>5224</v>
      </c>
      <c r="L3850" s="2">
        <v>1</v>
      </c>
      <c r="M3850" s="24" t="s">
        <v>5971</v>
      </c>
      <c r="N3850" s="2" t="s">
        <v>23</v>
      </c>
      <c r="O3850" s="18" t="s">
        <v>2963</v>
      </c>
      <c r="P3850" s="18" t="s">
        <v>0</v>
      </c>
      <c r="Q3850" s="6" t="s">
        <v>4475</v>
      </c>
      <c r="T3850" s="23">
        <v>44585</v>
      </c>
      <c r="U3850" s="23">
        <v>45693</v>
      </c>
      <c r="X3850" s="20">
        <v>1230</v>
      </c>
      <c r="Z3850" s="6" t="s">
        <v>5978</v>
      </c>
      <c r="AA3850" s="15">
        <f>+(0.42/1000)</f>
        <v>4.1999999999999996E-4</v>
      </c>
      <c r="AB3850">
        <v>0.50560859999999996</v>
      </c>
      <c r="AC3850">
        <v>0.52583294400000002</v>
      </c>
    </row>
    <row r="3851" spans="1:29" x14ac:dyDescent="0.3">
      <c r="A3851">
        <v>135987</v>
      </c>
      <c r="B3851" s="25" t="s">
        <v>5984</v>
      </c>
      <c r="C3851" t="s">
        <v>20</v>
      </c>
      <c r="D3851" t="s">
        <v>21</v>
      </c>
      <c r="E3851">
        <v>2222222</v>
      </c>
      <c r="F3851" s="8" t="s">
        <v>22</v>
      </c>
      <c r="G3851" s="2">
        <v>98</v>
      </c>
      <c r="H3851" t="s">
        <v>4530</v>
      </c>
      <c r="J3851" s="9" t="s">
        <v>5020</v>
      </c>
      <c r="K3851" t="s">
        <v>4825</v>
      </c>
      <c r="L3851" s="2">
        <v>1</v>
      </c>
      <c r="M3851" s="24" t="s">
        <v>5971</v>
      </c>
      <c r="N3851" s="2" t="s">
        <v>23</v>
      </c>
      <c r="O3851" s="18" t="s">
        <v>2964</v>
      </c>
      <c r="P3851" s="18" t="s">
        <v>0</v>
      </c>
      <c r="Q3851" s="6" t="s">
        <v>4475</v>
      </c>
      <c r="T3851" s="23">
        <v>45146</v>
      </c>
      <c r="U3851" s="23">
        <v>46241</v>
      </c>
      <c r="X3851" s="20">
        <v>600</v>
      </c>
      <c r="Z3851" s="6" t="s">
        <v>5978</v>
      </c>
      <c r="AA3851" s="13">
        <f t="shared" ref="AA3851:AA3856" si="519">+(0.56/1000)</f>
        <v>5.6000000000000006E-4</v>
      </c>
      <c r="AB3851">
        <v>1.1905600000000002E-2</v>
      </c>
      <c r="AC3851">
        <v>1.2381824000000003E-2</v>
      </c>
    </row>
    <row r="3852" spans="1:29" x14ac:dyDescent="0.3">
      <c r="A3852">
        <v>136085</v>
      </c>
      <c r="B3852" s="25" t="s">
        <v>5984</v>
      </c>
      <c r="C3852" t="s">
        <v>20</v>
      </c>
      <c r="D3852" t="s">
        <v>21</v>
      </c>
      <c r="E3852">
        <v>2222222</v>
      </c>
      <c r="F3852" s="8" t="s">
        <v>22</v>
      </c>
      <c r="G3852" s="2">
        <v>98</v>
      </c>
      <c r="H3852" t="s">
        <v>4530</v>
      </c>
      <c r="J3852" s="9" t="s">
        <v>4891</v>
      </c>
      <c r="K3852" t="s">
        <v>5598</v>
      </c>
      <c r="L3852" s="2">
        <v>1</v>
      </c>
      <c r="M3852" s="24" t="s">
        <v>5971</v>
      </c>
      <c r="N3852" s="2" t="s">
        <v>23</v>
      </c>
      <c r="O3852" s="18" t="s">
        <v>2965</v>
      </c>
      <c r="P3852" s="18" t="s">
        <v>3781</v>
      </c>
      <c r="Q3852" s="6" t="s">
        <v>4475</v>
      </c>
      <c r="T3852" s="23">
        <v>45153</v>
      </c>
      <c r="U3852" s="23">
        <v>46621</v>
      </c>
      <c r="X3852" s="20">
        <v>5000</v>
      </c>
      <c r="Z3852" s="6" t="s">
        <v>5978</v>
      </c>
      <c r="AA3852" s="13">
        <f t="shared" si="519"/>
        <v>5.6000000000000006E-4</v>
      </c>
      <c r="AB3852">
        <v>0.97932800000000009</v>
      </c>
      <c r="AC3852">
        <v>1.01850112</v>
      </c>
    </row>
    <row r="3853" spans="1:29" x14ac:dyDescent="0.3">
      <c r="A3853">
        <v>137781</v>
      </c>
      <c r="B3853" s="25" t="s">
        <v>5984</v>
      </c>
      <c r="C3853" t="s">
        <v>20</v>
      </c>
      <c r="D3853" t="s">
        <v>21</v>
      </c>
      <c r="E3853">
        <v>2222222</v>
      </c>
      <c r="F3853" s="8" t="s">
        <v>22</v>
      </c>
      <c r="G3853" s="2">
        <v>98</v>
      </c>
      <c r="H3853" t="s">
        <v>4530</v>
      </c>
      <c r="J3853" s="9" t="s">
        <v>4896</v>
      </c>
      <c r="K3853" t="s">
        <v>4926</v>
      </c>
      <c r="L3853" s="2">
        <v>1</v>
      </c>
      <c r="M3853" s="24" t="s">
        <v>5971</v>
      </c>
      <c r="N3853" s="2" t="s">
        <v>23</v>
      </c>
      <c r="O3853" s="18" t="s">
        <v>2966</v>
      </c>
      <c r="P3853" s="18" t="s">
        <v>3781</v>
      </c>
      <c r="Q3853" s="6" t="s">
        <v>4475</v>
      </c>
      <c r="T3853" s="23">
        <v>45240</v>
      </c>
      <c r="U3853" s="23">
        <v>47067</v>
      </c>
      <c r="X3853" s="20">
        <v>4950</v>
      </c>
      <c r="Z3853" s="6" t="s">
        <v>5978</v>
      </c>
      <c r="AA3853" s="13">
        <f t="shared" si="519"/>
        <v>5.6000000000000006E-4</v>
      </c>
      <c r="AB3853">
        <v>2.7720000000000002</v>
      </c>
      <c r="AC3853">
        <v>2.8828800000000006</v>
      </c>
    </row>
    <row r="3854" spans="1:29" x14ac:dyDescent="0.3">
      <c r="A3854">
        <v>138080</v>
      </c>
      <c r="B3854" s="25" t="s">
        <v>5984</v>
      </c>
      <c r="C3854" t="s">
        <v>20</v>
      </c>
      <c r="D3854" t="s">
        <v>21</v>
      </c>
      <c r="E3854">
        <v>2222222</v>
      </c>
      <c r="F3854" s="8" t="s">
        <v>22</v>
      </c>
      <c r="G3854" s="2">
        <v>98</v>
      </c>
      <c r="H3854" t="s">
        <v>4530</v>
      </c>
      <c r="J3854" s="9" t="s">
        <v>4929</v>
      </c>
      <c r="K3854" t="s">
        <v>5351</v>
      </c>
      <c r="L3854" s="2">
        <v>1</v>
      </c>
      <c r="M3854" s="24" t="s">
        <v>5971</v>
      </c>
      <c r="N3854" s="2" t="s">
        <v>23</v>
      </c>
      <c r="O3854" s="18" t="s">
        <v>2967</v>
      </c>
      <c r="P3854" s="18" t="s">
        <v>0</v>
      </c>
      <c r="Q3854" s="6" t="s">
        <v>4475</v>
      </c>
      <c r="T3854" s="23">
        <v>45259</v>
      </c>
      <c r="U3854" s="23">
        <v>45990</v>
      </c>
      <c r="X3854" s="20">
        <v>1610</v>
      </c>
      <c r="Z3854" s="6" t="s">
        <v>5978</v>
      </c>
      <c r="AA3854" s="13">
        <f t="shared" si="519"/>
        <v>5.6000000000000006E-4</v>
      </c>
      <c r="AB3854">
        <v>0.59396400000000016</v>
      </c>
      <c r="AC3854">
        <v>0.61772256000000014</v>
      </c>
    </row>
    <row r="3855" spans="1:29" x14ac:dyDescent="0.3">
      <c r="A3855">
        <v>138279</v>
      </c>
      <c r="B3855" s="25" t="s">
        <v>5984</v>
      </c>
      <c r="C3855" t="s">
        <v>20</v>
      </c>
      <c r="D3855" t="s">
        <v>21</v>
      </c>
      <c r="E3855">
        <v>2222222</v>
      </c>
      <c r="F3855" s="8" t="s">
        <v>22</v>
      </c>
      <c r="G3855" s="2">
        <v>98</v>
      </c>
      <c r="H3855" t="s">
        <v>4530</v>
      </c>
      <c r="J3855" s="9" t="s">
        <v>4911</v>
      </c>
      <c r="K3855" t="s">
        <v>4977</v>
      </c>
      <c r="L3855" s="2">
        <v>1</v>
      </c>
      <c r="M3855" s="24" t="s">
        <v>5971</v>
      </c>
      <c r="N3855" s="2" t="s">
        <v>23</v>
      </c>
      <c r="O3855" s="18" t="s">
        <v>2968</v>
      </c>
      <c r="P3855" s="18" t="s">
        <v>3781</v>
      </c>
      <c r="Q3855" s="6" t="s">
        <v>4475</v>
      </c>
      <c r="T3855" s="23">
        <v>45267</v>
      </c>
      <c r="U3855" s="23">
        <v>46362</v>
      </c>
      <c r="X3855" s="20">
        <v>4200</v>
      </c>
      <c r="Z3855" s="6" t="s">
        <v>5978</v>
      </c>
      <c r="AA3855" s="13">
        <f t="shared" si="519"/>
        <v>5.6000000000000006E-4</v>
      </c>
      <c r="AB3855">
        <v>0.41171760000000007</v>
      </c>
      <c r="AC3855">
        <v>0.42818630400000007</v>
      </c>
    </row>
    <row r="3856" spans="1:29" x14ac:dyDescent="0.3">
      <c r="A3856">
        <v>139539</v>
      </c>
      <c r="B3856" s="25" t="s">
        <v>5984</v>
      </c>
      <c r="C3856" t="s">
        <v>20</v>
      </c>
      <c r="D3856" t="s">
        <v>21</v>
      </c>
      <c r="E3856">
        <v>2222222</v>
      </c>
      <c r="F3856" s="8" t="s">
        <v>22</v>
      </c>
      <c r="G3856" s="2">
        <v>98</v>
      </c>
      <c r="H3856" t="s">
        <v>4530</v>
      </c>
      <c r="J3856" s="9" t="s">
        <v>5657</v>
      </c>
      <c r="K3856" t="s">
        <v>4926</v>
      </c>
      <c r="L3856" s="2">
        <v>1</v>
      </c>
      <c r="M3856" s="24" t="s">
        <v>5971</v>
      </c>
      <c r="N3856" s="2" t="s">
        <v>23</v>
      </c>
      <c r="O3856" s="18" t="s">
        <v>2969</v>
      </c>
      <c r="P3856" s="18" t="s">
        <v>3781</v>
      </c>
      <c r="Q3856" s="6" t="s">
        <v>4475</v>
      </c>
      <c r="T3856" s="23">
        <v>45337</v>
      </c>
      <c r="U3856" s="23">
        <v>46434</v>
      </c>
      <c r="X3856" s="20">
        <v>3150</v>
      </c>
      <c r="Z3856" s="6" t="s">
        <v>5978</v>
      </c>
      <c r="AA3856" s="13">
        <f t="shared" si="519"/>
        <v>5.6000000000000006E-4</v>
      </c>
      <c r="AB3856">
        <v>1.3629672000000002</v>
      </c>
      <c r="AC3856">
        <v>1.4174858880000003</v>
      </c>
    </row>
    <row r="3857" spans="1:29" x14ac:dyDescent="0.3">
      <c r="A3857">
        <v>144873</v>
      </c>
      <c r="B3857" s="25" t="s">
        <v>5984</v>
      </c>
      <c r="C3857" t="s">
        <v>20</v>
      </c>
      <c r="D3857" t="s">
        <v>21</v>
      </c>
      <c r="E3857">
        <v>2222222</v>
      </c>
      <c r="F3857" s="8" t="s">
        <v>22</v>
      </c>
      <c r="G3857" s="2">
        <v>98</v>
      </c>
      <c r="H3857" t="s">
        <v>4530</v>
      </c>
      <c r="J3857" s="9" t="s">
        <v>4929</v>
      </c>
      <c r="L3857" s="2">
        <v>1</v>
      </c>
      <c r="M3857" s="24" t="s">
        <v>5971</v>
      </c>
      <c r="N3857" s="2" t="s">
        <v>23</v>
      </c>
      <c r="O3857" s="18" t="s">
        <v>661</v>
      </c>
      <c r="P3857" s="18" t="s">
        <v>0</v>
      </c>
      <c r="Q3857" s="6" t="s">
        <v>4475</v>
      </c>
      <c r="T3857" s="23">
        <v>45694</v>
      </c>
      <c r="U3857" s="23">
        <v>47157</v>
      </c>
      <c r="X3857" s="20">
        <v>4500</v>
      </c>
      <c r="Z3857" s="6" t="s">
        <v>5978</v>
      </c>
      <c r="AA3857" s="14">
        <f t="shared" ref="AA3857:AA3885" si="520">+(0.6/1000)</f>
        <v>5.9999999999999995E-4</v>
      </c>
      <c r="AB3857">
        <v>1.9576859999999998</v>
      </c>
      <c r="AC3857">
        <v>2.0359934399999999</v>
      </c>
    </row>
    <row r="3858" spans="1:29" x14ac:dyDescent="0.3">
      <c r="A3858">
        <v>145217</v>
      </c>
      <c r="B3858" s="25" t="s">
        <v>5984</v>
      </c>
      <c r="C3858" t="s">
        <v>20</v>
      </c>
      <c r="D3858" t="s">
        <v>21</v>
      </c>
      <c r="E3858">
        <v>2222222</v>
      </c>
      <c r="F3858" s="8" t="s">
        <v>22</v>
      </c>
      <c r="G3858" s="2">
        <v>98</v>
      </c>
      <c r="H3858" t="s">
        <v>4530</v>
      </c>
      <c r="J3858" s="9" t="s">
        <v>4911</v>
      </c>
      <c r="K3858" t="s">
        <v>4832</v>
      </c>
      <c r="L3858" s="2">
        <v>1</v>
      </c>
      <c r="M3858" s="24" t="s">
        <v>5971</v>
      </c>
      <c r="N3858" s="2" t="s">
        <v>23</v>
      </c>
      <c r="O3858" s="18" t="s">
        <v>2970</v>
      </c>
      <c r="P3858" s="18" t="s">
        <v>3781</v>
      </c>
      <c r="Q3858" s="6" t="s">
        <v>4475</v>
      </c>
      <c r="T3858" s="23">
        <v>45723</v>
      </c>
      <c r="U3858" s="23">
        <v>47183</v>
      </c>
      <c r="X3858" s="20">
        <v>5000</v>
      </c>
      <c r="Z3858" s="6" t="s">
        <v>5978</v>
      </c>
      <c r="AA3858" s="14">
        <f t="shared" si="520"/>
        <v>5.9999999999999995E-4</v>
      </c>
      <c r="AB3858">
        <v>2.2287719999999998</v>
      </c>
      <c r="AC3858">
        <v>2.3179228799999998</v>
      </c>
    </row>
    <row r="3859" spans="1:29" x14ac:dyDescent="0.3">
      <c r="A3859">
        <v>145358</v>
      </c>
      <c r="B3859" s="25" t="s">
        <v>5984</v>
      </c>
      <c r="C3859" t="s">
        <v>20</v>
      </c>
      <c r="D3859" t="s">
        <v>21</v>
      </c>
      <c r="E3859">
        <v>2222222</v>
      </c>
      <c r="F3859" s="8" t="s">
        <v>22</v>
      </c>
      <c r="G3859" s="2">
        <v>98</v>
      </c>
      <c r="H3859" t="s">
        <v>4530</v>
      </c>
      <c r="J3859" s="9" t="s">
        <v>5450</v>
      </c>
      <c r="K3859" t="s">
        <v>4913</v>
      </c>
      <c r="L3859" s="2">
        <v>1</v>
      </c>
      <c r="M3859" s="24" t="s">
        <v>5971</v>
      </c>
      <c r="N3859" s="2" t="s">
        <v>23</v>
      </c>
      <c r="O3859" s="18" t="s">
        <v>2971</v>
      </c>
      <c r="P3859" s="18" t="s">
        <v>0</v>
      </c>
      <c r="Q3859" s="6" t="s">
        <v>4475</v>
      </c>
      <c r="T3859" s="23">
        <v>45733</v>
      </c>
      <c r="U3859" s="23">
        <v>46828</v>
      </c>
      <c r="X3859" s="20">
        <v>5000</v>
      </c>
      <c r="Z3859" s="6" t="s">
        <v>5978</v>
      </c>
      <c r="AA3859" s="14">
        <f t="shared" si="520"/>
        <v>5.9999999999999995E-4</v>
      </c>
      <c r="AB3859">
        <v>1.8639599999999998</v>
      </c>
      <c r="AC3859">
        <v>1.9385184</v>
      </c>
    </row>
    <row r="3860" spans="1:29" x14ac:dyDescent="0.3">
      <c r="A3860">
        <v>145601</v>
      </c>
      <c r="B3860" s="25" t="s">
        <v>5984</v>
      </c>
      <c r="C3860" t="s">
        <v>20</v>
      </c>
      <c r="D3860" t="s">
        <v>21</v>
      </c>
      <c r="E3860">
        <v>2222222</v>
      </c>
      <c r="F3860" s="8" t="s">
        <v>22</v>
      </c>
      <c r="G3860" s="2">
        <v>98</v>
      </c>
      <c r="H3860" t="s">
        <v>4530</v>
      </c>
      <c r="J3860" s="9" t="s">
        <v>4911</v>
      </c>
      <c r="K3860" t="s">
        <v>4977</v>
      </c>
      <c r="L3860" s="2">
        <v>1</v>
      </c>
      <c r="M3860" s="24" t="s">
        <v>5971</v>
      </c>
      <c r="N3860" s="2" t="s">
        <v>23</v>
      </c>
      <c r="O3860" s="18" t="s">
        <v>2968</v>
      </c>
      <c r="P3860" s="18" t="s">
        <v>3781</v>
      </c>
      <c r="Q3860" s="6" t="s">
        <v>4475</v>
      </c>
      <c r="T3860" s="23">
        <v>45757</v>
      </c>
      <c r="U3860" s="23">
        <v>48770</v>
      </c>
      <c r="X3860" s="20">
        <v>50000</v>
      </c>
      <c r="Z3860" s="6" t="s">
        <v>5978</v>
      </c>
      <c r="AA3860" s="13">
        <f t="shared" ref="AA3860" si="521">0.6/1000</f>
        <v>5.9999999999999995E-4</v>
      </c>
      <c r="AB3860">
        <v>27.734477999999996</v>
      </c>
      <c r="AC3860">
        <v>28.843857119999996</v>
      </c>
    </row>
    <row r="3861" spans="1:29" x14ac:dyDescent="0.3">
      <c r="A3861">
        <v>146112</v>
      </c>
      <c r="B3861" s="25" t="s">
        <v>5984</v>
      </c>
      <c r="C3861" t="s">
        <v>20</v>
      </c>
      <c r="D3861" t="s">
        <v>21</v>
      </c>
      <c r="E3861">
        <v>2222222</v>
      </c>
      <c r="F3861" s="8" t="s">
        <v>22</v>
      </c>
      <c r="G3861" s="2">
        <v>98</v>
      </c>
      <c r="H3861" t="s">
        <v>4530</v>
      </c>
      <c r="J3861" s="9" t="s">
        <v>5711</v>
      </c>
      <c r="K3861" t="s">
        <v>4861</v>
      </c>
      <c r="L3861" s="2">
        <v>1</v>
      </c>
      <c r="M3861" s="24" t="s">
        <v>5971</v>
      </c>
      <c r="N3861" s="2" t="s">
        <v>23</v>
      </c>
      <c r="O3861" s="18" t="s">
        <v>2972</v>
      </c>
      <c r="P3861" s="18" t="s">
        <v>3781</v>
      </c>
      <c r="Q3861" s="6" t="s">
        <v>4475</v>
      </c>
      <c r="T3861" s="23">
        <v>45807</v>
      </c>
      <c r="U3861" s="23">
        <v>49466</v>
      </c>
      <c r="X3861" s="20">
        <v>20000</v>
      </c>
      <c r="Z3861" s="6" t="s">
        <v>5978</v>
      </c>
      <c r="AA3861" s="13">
        <f t="shared" si="520"/>
        <v>5.9999999999999995E-4</v>
      </c>
      <c r="AB3861">
        <v>11.42742</v>
      </c>
      <c r="AC3861">
        <v>11.8845168</v>
      </c>
    </row>
    <row r="3862" spans="1:29" x14ac:dyDescent="0.3">
      <c r="A3862">
        <v>148211</v>
      </c>
      <c r="B3862" s="25" t="s">
        <v>5984</v>
      </c>
      <c r="C3862" t="s">
        <v>20</v>
      </c>
      <c r="D3862" t="s">
        <v>21</v>
      </c>
      <c r="E3862">
        <v>2222222</v>
      </c>
      <c r="F3862" s="8" t="s">
        <v>22</v>
      </c>
      <c r="G3862" s="2">
        <v>98</v>
      </c>
      <c r="H3862" t="s">
        <v>4530</v>
      </c>
      <c r="J3862" s="9" t="s">
        <v>5140</v>
      </c>
      <c r="K3862" t="s">
        <v>5118</v>
      </c>
      <c r="L3862" s="2">
        <v>1</v>
      </c>
      <c r="M3862" s="24" t="s">
        <v>5971</v>
      </c>
      <c r="N3862" s="2" t="s">
        <v>23</v>
      </c>
      <c r="O3862" s="18" t="s">
        <v>2973</v>
      </c>
      <c r="P3862" s="18" t="s">
        <v>3781</v>
      </c>
      <c r="Q3862" s="6" t="s">
        <v>4475</v>
      </c>
      <c r="T3862" s="23">
        <v>45945</v>
      </c>
      <c r="U3862" s="23">
        <v>47040</v>
      </c>
      <c r="X3862" s="20">
        <v>4000</v>
      </c>
      <c r="Z3862" s="6" t="s">
        <v>5978</v>
      </c>
      <c r="AA3862" s="13">
        <f t="shared" si="520"/>
        <v>5.9999999999999995E-4</v>
      </c>
      <c r="AB3862">
        <v>1.9081739999999998</v>
      </c>
      <c r="AC3862">
        <v>1.9845009599999999</v>
      </c>
    </row>
    <row r="3863" spans="1:29" x14ac:dyDescent="0.3">
      <c r="A3863">
        <v>148220</v>
      </c>
      <c r="B3863" s="25" t="s">
        <v>5984</v>
      </c>
      <c r="C3863" t="s">
        <v>20</v>
      </c>
      <c r="D3863" t="s">
        <v>21</v>
      </c>
      <c r="E3863">
        <v>2222222</v>
      </c>
      <c r="F3863" s="8" t="s">
        <v>22</v>
      </c>
      <c r="G3863" s="2">
        <v>98</v>
      </c>
      <c r="H3863" t="s">
        <v>4530</v>
      </c>
      <c r="J3863" s="9" t="s">
        <v>5467</v>
      </c>
      <c r="K3863" t="s">
        <v>5174</v>
      </c>
      <c r="L3863" s="2">
        <v>1</v>
      </c>
      <c r="M3863" s="24" t="s">
        <v>5971</v>
      </c>
      <c r="N3863" s="2" t="s">
        <v>23</v>
      </c>
      <c r="O3863" s="18" t="s">
        <v>2974</v>
      </c>
      <c r="P3863" s="18" t="s">
        <v>0</v>
      </c>
      <c r="Q3863" s="6" t="s">
        <v>4475</v>
      </c>
      <c r="T3863" s="23">
        <v>45949</v>
      </c>
      <c r="U3863" s="23">
        <v>46252</v>
      </c>
      <c r="X3863" s="20">
        <v>1500</v>
      </c>
      <c r="Z3863" s="6" t="s">
        <v>5978</v>
      </c>
      <c r="AA3863" s="13">
        <f t="shared" si="520"/>
        <v>5.9999999999999995E-4</v>
      </c>
      <c r="AB3863">
        <v>9.536399999999999E-2</v>
      </c>
      <c r="AC3863">
        <v>9.9178559999999999E-2</v>
      </c>
    </row>
    <row r="3864" spans="1:29" x14ac:dyDescent="0.3">
      <c r="A3864">
        <v>148646</v>
      </c>
      <c r="B3864" s="25" t="s">
        <v>5984</v>
      </c>
      <c r="C3864" t="s">
        <v>20</v>
      </c>
      <c r="D3864" t="s">
        <v>21</v>
      </c>
      <c r="E3864">
        <v>2222222</v>
      </c>
      <c r="F3864" s="8" t="s">
        <v>22</v>
      </c>
      <c r="G3864" s="2">
        <v>98</v>
      </c>
      <c r="H3864" t="s">
        <v>4530</v>
      </c>
      <c r="J3864" s="9" t="s">
        <v>5045</v>
      </c>
      <c r="K3864" t="s">
        <v>5310</v>
      </c>
      <c r="L3864" s="2">
        <v>1</v>
      </c>
      <c r="M3864" s="24" t="s">
        <v>5971</v>
      </c>
      <c r="N3864" s="2" t="s">
        <v>23</v>
      </c>
      <c r="O3864" s="18" t="s">
        <v>2697</v>
      </c>
      <c r="P3864" s="18" t="s">
        <v>3781</v>
      </c>
      <c r="Q3864" s="6" t="s">
        <v>4475</v>
      </c>
      <c r="T3864" s="23">
        <v>45970</v>
      </c>
      <c r="U3864" s="23">
        <v>46700</v>
      </c>
      <c r="X3864" s="20">
        <v>2000</v>
      </c>
      <c r="Z3864" s="6" t="s">
        <v>5978</v>
      </c>
      <c r="AA3864" s="13">
        <f t="shared" si="520"/>
        <v>5.9999999999999995E-4</v>
      </c>
      <c r="AB3864">
        <v>0.84397800000000001</v>
      </c>
      <c r="AC3864">
        <v>0.87773712000000004</v>
      </c>
    </row>
    <row r="3865" spans="1:29" x14ac:dyDescent="0.3">
      <c r="A3865">
        <v>148967</v>
      </c>
      <c r="B3865" s="25" t="s">
        <v>5984</v>
      </c>
      <c r="C3865" t="s">
        <v>20</v>
      </c>
      <c r="D3865" t="s">
        <v>21</v>
      </c>
      <c r="E3865">
        <v>2222222</v>
      </c>
      <c r="F3865" s="8" t="s">
        <v>22</v>
      </c>
      <c r="G3865" s="2">
        <v>98</v>
      </c>
      <c r="H3865" t="s">
        <v>4530</v>
      </c>
      <c r="J3865" s="9" t="s">
        <v>5055</v>
      </c>
      <c r="K3865" t="s">
        <v>4863</v>
      </c>
      <c r="L3865" s="2">
        <v>1</v>
      </c>
      <c r="M3865" s="24" t="s">
        <v>5971</v>
      </c>
      <c r="N3865" s="2" t="s">
        <v>23</v>
      </c>
      <c r="O3865" s="18" t="s">
        <v>2975</v>
      </c>
      <c r="P3865" s="18" t="s">
        <v>3781</v>
      </c>
      <c r="Q3865" s="6" t="s">
        <v>4475</v>
      </c>
      <c r="T3865" s="23">
        <v>45989</v>
      </c>
      <c r="U3865" s="23">
        <v>47085</v>
      </c>
      <c r="X3865" s="20">
        <v>3350</v>
      </c>
      <c r="Z3865" s="6" t="s">
        <v>5978</v>
      </c>
      <c r="AA3865" s="13">
        <f t="shared" si="520"/>
        <v>5.9999999999999995E-4</v>
      </c>
      <c r="AB3865">
        <v>1.6467359999999998</v>
      </c>
      <c r="AC3865">
        <v>1.7126054399999997</v>
      </c>
    </row>
    <row r="3866" spans="1:29" x14ac:dyDescent="0.3">
      <c r="A3866">
        <v>149093</v>
      </c>
      <c r="B3866" s="25" t="s">
        <v>5984</v>
      </c>
      <c r="C3866" t="s">
        <v>20</v>
      </c>
      <c r="D3866" t="s">
        <v>21</v>
      </c>
      <c r="E3866">
        <v>2222222</v>
      </c>
      <c r="F3866" s="8" t="s">
        <v>22</v>
      </c>
      <c r="G3866" s="2">
        <v>98</v>
      </c>
      <c r="H3866" t="s">
        <v>4530</v>
      </c>
      <c r="J3866" s="9" t="s">
        <v>4871</v>
      </c>
      <c r="K3866" t="s">
        <v>5174</v>
      </c>
      <c r="L3866" s="2">
        <v>1</v>
      </c>
      <c r="M3866" s="24" t="s">
        <v>5971</v>
      </c>
      <c r="N3866" s="2" t="s">
        <v>23</v>
      </c>
      <c r="O3866" s="18" t="s">
        <v>2976</v>
      </c>
      <c r="P3866" s="18" t="s">
        <v>0</v>
      </c>
      <c r="Q3866" s="6" t="s">
        <v>4475</v>
      </c>
      <c r="T3866" s="23">
        <v>45996</v>
      </c>
      <c r="U3866" s="23">
        <v>47091</v>
      </c>
      <c r="X3866" s="20">
        <v>4000</v>
      </c>
      <c r="Z3866" s="6" t="s">
        <v>5978</v>
      </c>
      <c r="AA3866" s="13">
        <f t="shared" si="520"/>
        <v>5.9999999999999995E-4</v>
      </c>
      <c r="AB3866">
        <v>2.0222879999999996</v>
      </c>
      <c r="AC3866">
        <v>2.1031795199999999</v>
      </c>
    </row>
    <row r="3867" spans="1:29" x14ac:dyDescent="0.3">
      <c r="A3867">
        <v>149357</v>
      </c>
      <c r="B3867" s="25" t="s">
        <v>5984</v>
      </c>
      <c r="C3867" t="s">
        <v>20</v>
      </c>
      <c r="D3867" t="s">
        <v>21</v>
      </c>
      <c r="E3867">
        <v>2222222</v>
      </c>
      <c r="F3867" s="8" t="s">
        <v>22</v>
      </c>
      <c r="G3867" s="2">
        <v>98</v>
      </c>
      <c r="H3867" t="s">
        <v>4530</v>
      </c>
      <c r="J3867" s="9" t="s">
        <v>4981</v>
      </c>
      <c r="K3867" t="s">
        <v>4979</v>
      </c>
      <c r="L3867" s="2">
        <v>1</v>
      </c>
      <c r="M3867" s="24" t="s">
        <v>5971</v>
      </c>
      <c r="N3867" s="2" t="s">
        <v>23</v>
      </c>
      <c r="O3867" s="18" t="s">
        <v>2977</v>
      </c>
      <c r="P3867" s="18" t="s">
        <v>3781</v>
      </c>
      <c r="Q3867" s="6" t="s">
        <v>4475</v>
      </c>
      <c r="T3867" s="23">
        <v>46017</v>
      </c>
      <c r="U3867" s="23">
        <v>47842</v>
      </c>
      <c r="X3867" s="20">
        <v>10000</v>
      </c>
      <c r="Z3867" s="6" t="s">
        <v>5978</v>
      </c>
      <c r="AA3867" s="13">
        <f t="shared" si="520"/>
        <v>5.9999999999999995E-4</v>
      </c>
      <c r="AB3867">
        <v>5.4931859999999988</v>
      </c>
      <c r="AC3867">
        <v>5.7129134399999986</v>
      </c>
    </row>
    <row r="3868" spans="1:29" x14ac:dyDescent="0.3">
      <c r="A3868">
        <v>149402</v>
      </c>
      <c r="B3868" s="25" t="s">
        <v>5984</v>
      </c>
      <c r="C3868" t="s">
        <v>20</v>
      </c>
      <c r="D3868" t="s">
        <v>21</v>
      </c>
      <c r="E3868">
        <v>2222222</v>
      </c>
      <c r="F3868" s="8" t="s">
        <v>22</v>
      </c>
      <c r="G3868" s="2">
        <v>98</v>
      </c>
      <c r="H3868" t="s">
        <v>4530</v>
      </c>
      <c r="J3868" s="9" t="s">
        <v>5245</v>
      </c>
      <c r="K3868" t="s">
        <v>5635</v>
      </c>
      <c r="L3868" s="2">
        <v>1</v>
      </c>
      <c r="M3868" s="24" t="s">
        <v>5971</v>
      </c>
      <c r="N3868" s="2" t="s">
        <v>23</v>
      </c>
      <c r="O3868" s="18" t="s">
        <v>2978</v>
      </c>
      <c r="P3868" s="18" t="s">
        <v>3781</v>
      </c>
      <c r="Q3868" s="6" t="s">
        <v>4475</v>
      </c>
      <c r="T3868" s="23">
        <v>46021</v>
      </c>
      <c r="U3868" s="23">
        <v>47116</v>
      </c>
      <c r="X3868" s="20">
        <v>5000</v>
      </c>
      <c r="Z3868" s="6" t="s">
        <v>5978</v>
      </c>
      <c r="AA3868" s="13">
        <f t="shared" si="520"/>
        <v>5.9999999999999995E-4</v>
      </c>
      <c r="AB3868">
        <v>2.533836</v>
      </c>
      <c r="AC3868">
        <v>2.63518944</v>
      </c>
    </row>
    <row r="3869" spans="1:29" x14ac:dyDescent="0.3">
      <c r="A3869">
        <v>149618</v>
      </c>
      <c r="B3869" s="25" t="s">
        <v>5984</v>
      </c>
      <c r="C3869" t="s">
        <v>20</v>
      </c>
      <c r="D3869" t="s">
        <v>21</v>
      </c>
      <c r="E3869">
        <v>2222222</v>
      </c>
      <c r="F3869" s="8" t="s">
        <v>22</v>
      </c>
      <c r="G3869" s="2">
        <v>98</v>
      </c>
      <c r="H3869" t="s">
        <v>4530</v>
      </c>
      <c r="J3869" s="9" t="s">
        <v>4967</v>
      </c>
      <c r="K3869" t="s">
        <v>5770</v>
      </c>
      <c r="L3869" s="2">
        <v>1</v>
      </c>
      <c r="M3869" s="24" t="s">
        <v>5971</v>
      </c>
      <c r="N3869" s="2" t="s">
        <v>23</v>
      </c>
      <c r="O3869" s="18" t="s">
        <v>2979</v>
      </c>
      <c r="P3869" s="18" t="s">
        <v>3781</v>
      </c>
      <c r="Q3869" s="6" t="s">
        <v>4475</v>
      </c>
      <c r="T3869" s="23">
        <v>46036</v>
      </c>
      <c r="U3869" s="23">
        <v>46947</v>
      </c>
      <c r="X3869" s="20">
        <v>4520</v>
      </c>
      <c r="Z3869" s="6" t="s">
        <v>5978</v>
      </c>
      <c r="AA3869" s="13">
        <f t="shared" si="520"/>
        <v>5.9999999999999995E-4</v>
      </c>
      <c r="AB3869">
        <v>2.2596119999999997</v>
      </c>
      <c r="AC3869">
        <v>2.3499964799999997</v>
      </c>
    </row>
    <row r="3870" spans="1:29" x14ac:dyDescent="0.3">
      <c r="A3870">
        <v>149692</v>
      </c>
      <c r="B3870" s="25" t="s">
        <v>5984</v>
      </c>
      <c r="C3870" t="s">
        <v>20</v>
      </c>
      <c r="D3870" t="s">
        <v>21</v>
      </c>
      <c r="E3870">
        <v>2222222</v>
      </c>
      <c r="F3870" s="8" t="s">
        <v>22</v>
      </c>
      <c r="G3870" s="2">
        <v>98</v>
      </c>
      <c r="H3870" t="s">
        <v>4530</v>
      </c>
      <c r="J3870" s="9" t="s">
        <v>4917</v>
      </c>
      <c r="K3870" t="s">
        <v>4918</v>
      </c>
      <c r="L3870" s="2">
        <v>1</v>
      </c>
      <c r="M3870" s="24" t="s">
        <v>5971</v>
      </c>
      <c r="N3870" s="2" t="s">
        <v>23</v>
      </c>
      <c r="O3870" s="18" t="s">
        <v>2980</v>
      </c>
      <c r="P3870" s="18" t="s">
        <v>3781</v>
      </c>
      <c r="Q3870" s="6" t="s">
        <v>4475</v>
      </c>
      <c r="T3870" s="23">
        <v>46042</v>
      </c>
      <c r="U3870" s="23">
        <v>47138</v>
      </c>
      <c r="X3870" s="20">
        <v>5000</v>
      </c>
      <c r="Z3870" s="6" t="s">
        <v>5978</v>
      </c>
      <c r="AA3870" s="13">
        <f t="shared" si="520"/>
        <v>5.9999999999999995E-4</v>
      </c>
      <c r="AB3870">
        <v>2.6021100000000001</v>
      </c>
      <c r="AC3870">
        <v>2.7061944000000002</v>
      </c>
    </row>
    <row r="3871" spans="1:29" x14ac:dyDescent="0.3">
      <c r="A3871">
        <v>149732</v>
      </c>
      <c r="B3871" s="25" t="s">
        <v>5984</v>
      </c>
      <c r="C3871" t="s">
        <v>20</v>
      </c>
      <c r="D3871" t="s">
        <v>21</v>
      </c>
      <c r="E3871">
        <v>2222222</v>
      </c>
      <c r="F3871" s="8" t="s">
        <v>22</v>
      </c>
      <c r="G3871" s="2">
        <v>98</v>
      </c>
      <c r="H3871" t="s">
        <v>4530</v>
      </c>
      <c r="J3871" s="9" t="s">
        <v>5711</v>
      </c>
      <c r="K3871" t="s">
        <v>4861</v>
      </c>
      <c r="L3871" s="2">
        <v>1</v>
      </c>
      <c r="M3871" s="24" t="s">
        <v>5971</v>
      </c>
      <c r="N3871" s="2" t="s">
        <v>23</v>
      </c>
      <c r="O3871" s="18" t="s">
        <v>2972</v>
      </c>
      <c r="P3871" s="18" t="s">
        <v>3781</v>
      </c>
      <c r="Q3871" s="6" t="s">
        <v>4475</v>
      </c>
      <c r="T3871" s="23">
        <v>46044</v>
      </c>
      <c r="U3871" s="23">
        <v>47504</v>
      </c>
      <c r="X3871" s="20">
        <v>4860</v>
      </c>
      <c r="Z3871" s="6" t="s">
        <v>5978</v>
      </c>
      <c r="AA3871" s="13">
        <f t="shared" si="520"/>
        <v>5.9999999999999995E-4</v>
      </c>
      <c r="AB3871">
        <v>2.6523059999999998</v>
      </c>
      <c r="AC3871">
        <v>2.75839824</v>
      </c>
    </row>
    <row r="3872" spans="1:29" x14ac:dyDescent="0.3">
      <c r="A3872">
        <v>150194</v>
      </c>
      <c r="B3872" s="25" t="s">
        <v>5984</v>
      </c>
      <c r="C3872" t="s">
        <v>20</v>
      </c>
      <c r="D3872" t="s">
        <v>21</v>
      </c>
      <c r="E3872">
        <v>2222222</v>
      </c>
      <c r="F3872" s="8" t="s">
        <v>22</v>
      </c>
      <c r="G3872" s="2">
        <v>98</v>
      </c>
      <c r="H3872" t="s">
        <v>4530</v>
      </c>
      <c r="J3872" s="9" t="s">
        <v>5195</v>
      </c>
      <c r="K3872" t="s">
        <v>5025</v>
      </c>
      <c r="L3872" s="2">
        <v>1</v>
      </c>
      <c r="M3872" s="24" t="s">
        <v>5971</v>
      </c>
      <c r="N3872" s="2" t="s">
        <v>23</v>
      </c>
      <c r="O3872" s="18" t="s">
        <v>2970</v>
      </c>
      <c r="P3872" s="18" t="s">
        <v>3781</v>
      </c>
      <c r="Q3872" s="6" t="s">
        <v>4475</v>
      </c>
      <c r="T3872" s="23">
        <v>46078</v>
      </c>
      <c r="U3872" s="23">
        <v>47001</v>
      </c>
      <c r="X3872" s="20">
        <v>5000</v>
      </c>
      <c r="Z3872" s="6" t="s">
        <v>5978</v>
      </c>
      <c r="AA3872" s="13">
        <f t="shared" si="520"/>
        <v>5.9999999999999995E-4</v>
      </c>
      <c r="AB3872">
        <v>2.6729939999999996</v>
      </c>
      <c r="AC3872">
        <v>2.7799137599999999</v>
      </c>
    </row>
    <row r="3873" spans="1:29" x14ac:dyDescent="0.3">
      <c r="A3873">
        <v>150463</v>
      </c>
      <c r="B3873" s="25" t="s">
        <v>5984</v>
      </c>
      <c r="C3873" t="s">
        <v>20</v>
      </c>
      <c r="D3873" t="s">
        <v>21</v>
      </c>
      <c r="E3873">
        <v>2222222</v>
      </c>
      <c r="F3873" s="8" t="s">
        <v>22</v>
      </c>
      <c r="G3873" s="2">
        <v>98</v>
      </c>
      <c r="H3873" t="s">
        <v>4530</v>
      </c>
      <c r="J3873" s="9" t="s">
        <v>5093</v>
      </c>
      <c r="K3873" t="s">
        <v>4837</v>
      </c>
      <c r="L3873" s="2">
        <v>1</v>
      </c>
      <c r="M3873" s="24" t="s">
        <v>5971</v>
      </c>
      <c r="N3873" s="2" t="s">
        <v>23</v>
      </c>
      <c r="O3873" s="18" t="s">
        <v>1496</v>
      </c>
      <c r="P3873" s="18" t="s">
        <v>3781</v>
      </c>
      <c r="Q3873" s="6" t="s">
        <v>4475</v>
      </c>
      <c r="T3873" s="23">
        <v>46096</v>
      </c>
      <c r="U3873" s="23">
        <v>47376</v>
      </c>
      <c r="X3873" s="20">
        <v>5000</v>
      </c>
      <c r="Z3873" s="6" t="s">
        <v>5978</v>
      </c>
      <c r="AA3873" s="13">
        <f t="shared" si="520"/>
        <v>5.9999999999999995E-4</v>
      </c>
      <c r="AB3873">
        <v>2.7880199999999995</v>
      </c>
      <c r="AC3873">
        <v>2.8995407999999996</v>
      </c>
    </row>
    <row r="3874" spans="1:29" x14ac:dyDescent="0.3">
      <c r="A3874">
        <v>151052</v>
      </c>
      <c r="B3874" s="25" t="s">
        <v>5984</v>
      </c>
      <c r="C3874" t="s">
        <v>20</v>
      </c>
      <c r="D3874" t="s">
        <v>21</v>
      </c>
      <c r="E3874">
        <v>2222222</v>
      </c>
      <c r="F3874" s="8" t="s">
        <v>22</v>
      </c>
      <c r="G3874" s="2">
        <v>98</v>
      </c>
      <c r="H3874" t="s">
        <v>4530</v>
      </c>
      <c r="J3874" s="9" t="s">
        <v>5846</v>
      </c>
      <c r="K3874" t="s">
        <v>4859</v>
      </c>
      <c r="L3874" s="2">
        <v>1</v>
      </c>
      <c r="M3874" s="24" t="s">
        <v>5971</v>
      </c>
      <c r="N3874" s="2" t="s">
        <v>23</v>
      </c>
      <c r="O3874" s="18" t="s">
        <v>2981</v>
      </c>
      <c r="P3874" s="18" t="s">
        <v>3781</v>
      </c>
      <c r="Q3874" s="6" t="s">
        <v>4475</v>
      </c>
      <c r="T3874" s="23">
        <v>46134</v>
      </c>
      <c r="U3874" s="23">
        <v>46224</v>
      </c>
      <c r="X3874" s="20">
        <v>4970</v>
      </c>
      <c r="Z3874" s="6" t="s">
        <v>5978</v>
      </c>
      <c r="AA3874" s="13">
        <f t="shared" si="520"/>
        <v>5.9999999999999995E-4</v>
      </c>
      <c r="AB3874">
        <v>2.9819999999999998</v>
      </c>
      <c r="AC3874">
        <v>3.10128</v>
      </c>
    </row>
    <row r="3875" spans="1:29" x14ac:dyDescent="0.3">
      <c r="A3875">
        <v>151086</v>
      </c>
      <c r="B3875" s="25" t="s">
        <v>5984</v>
      </c>
      <c r="C3875" t="s">
        <v>20</v>
      </c>
      <c r="D3875" t="s">
        <v>21</v>
      </c>
      <c r="E3875">
        <v>2222222</v>
      </c>
      <c r="F3875" s="8" t="s">
        <v>22</v>
      </c>
      <c r="G3875" s="2">
        <v>98</v>
      </c>
      <c r="H3875" t="s">
        <v>4530</v>
      </c>
      <c r="J3875" s="9" t="s">
        <v>5140</v>
      </c>
      <c r="K3875" t="s">
        <v>5118</v>
      </c>
      <c r="L3875" s="2">
        <v>1</v>
      </c>
      <c r="M3875" s="24" t="s">
        <v>5971</v>
      </c>
      <c r="N3875" s="2" t="s">
        <v>23</v>
      </c>
      <c r="O3875" s="18" t="s">
        <v>2973</v>
      </c>
      <c r="P3875" s="18" t="s">
        <v>3781</v>
      </c>
      <c r="Q3875" s="6" t="s">
        <v>4475</v>
      </c>
      <c r="T3875" s="23">
        <v>46136</v>
      </c>
      <c r="U3875" s="23">
        <v>47597</v>
      </c>
      <c r="X3875" s="20">
        <v>5000</v>
      </c>
      <c r="Z3875" s="6" t="s">
        <v>5978</v>
      </c>
      <c r="AA3875" s="13">
        <f t="shared" si="520"/>
        <v>5.9999999999999995E-4</v>
      </c>
      <c r="AB3875">
        <v>2.8689779999999998</v>
      </c>
      <c r="AC3875">
        <v>2.9837371199999998</v>
      </c>
    </row>
    <row r="3876" spans="1:29" x14ac:dyDescent="0.3">
      <c r="A3876">
        <v>151268</v>
      </c>
      <c r="B3876" s="25" t="s">
        <v>5984</v>
      </c>
      <c r="C3876" t="s">
        <v>20</v>
      </c>
      <c r="D3876" t="s">
        <v>21</v>
      </c>
      <c r="E3876">
        <v>2222222</v>
      </c>
      <c r="F3876" s="8" t="s">
        <v>22</v>
      </c>
      <c r="G3876" s="2">
        <v>98</v>
      </c>
      <c r="H3876" t="s">
        <v>4530</v>
      </c>
      <c r="J3876" s="10" t="s">
        <v>4911</v>
      </c>
      <c r="K3876" t="s">
        <v>4977</v>
      </c>
      <c r="L3876" s="2">
        <v>1</v>
      </c>
      <c r="M3876" s="24" t="s">
        <v>5971</v>
      </c>
      <c r="N3876" s="2" t="s">
        <v>23</v>
      </c>
      <c r="O3876" s="18" t="s">
        <v>2968</v>
      </c>
      <c r="P3876" s="18" t="s">
        <v>3781</v>
      </c>
      <c r="Q3876" s="6" t="s">
        <v>4475</v>
      </c>
      <c r="T3876" s="23">
        <v>46161</v>
      </c>
      <c r="U3876" s="23">
        <v>46251</v>
      </c>
      <c r="X3876" s="20">
        <v>70000</v>
      </c>
      <c r="Z3876" s="6" t="s">
        <v>5978</v>
      </c>
      <c r="AA3876" s="13">
        <f>0.63/1000</f>
        <v>6.3000000000000003E-4</v>
      </c>
      <c r="AB3876">
        <v>44.1</v>
      </c>
      <c r="AC3876">
        <v>45.864000000000004</v>
      </c>
    </row>
    <row r="3877" spans="1:29" x14ac:dyDescent="0.3">
      <c r="A3877">
        <v>151276</v>
      </c>
      <c r="B3877" s="25" t="s">
        <v>5984</v>
      </c>
      <c r="C3877" t="s">
        <v>20</v>
      </c>
      <c r="D3877" t="s">
        <v>21</v>
      </c>
      <c r="E3877">
        <v>2222222</v>
      </c>
      <c r="F3877" s="8" t="s">
        <v>22</v>
      </c>
      <c r="G3877" s="2">
        <v>98</v>
      </c>
      <c r="H3877" t="s">
        <v>4530</v>
      </c>
      <c r="J3877" s="9" t="s">
        <v>4871</v>
      </c>
      <c r="K3877" t="s">
        <v>5174</v>
      </c>
      <c r="L3877" s="2">
        <v>1</v>
      </c>
      <c r="M3877" s="24" t="s">
        <v>5971</v>
      </c>
      <c r="N3877" s="2" t="s">
        <v>23</v>
      </c>
      <c r="O3877" s="18" t="s">
        <v>2976</v>
      </c>
      <c r="P3877" s="18" t="s">
        <v>0</v>
      </c>
      <c r="Q3877" s="6" t="s">
        <v>4475</v>
      </c>
      <c r="T3877" s="23">
        <v>46153</v>
      </c>
      <c r="U3877" s="23">
        <v>47613</v>
      </c>
      <c r="X3877" s="20">
        <v>5000</v>
      </c>
      <c r="Z3877" s="6" t="s">
        <v>5978</v>
      </c>
      <c r="AA3877" s="14">
        <f t="shared" si="520"/>
        <v>5.9999999999999995E-4</v>
      </c>
      <c r="AB3877">
        <v>2.9123100000000002</v>
      </c>
      <c r="AC3877">
        <v>3.0288024000000004</v>
      </c>
    </row>
    <row r="3878" spans="1:29" x14ac:dyDescent="0.3">
      <c r="A3878">
        <v>151297</v>
      </c>
      <c r="B3878" s="25" t="s">
        <v>5984</v>
      </c>
      <c r="C3878" t="s">
        <v>20</v>
      </c>
      <c r="D3878" t="s">
        <v>21</v>
      </c>
      <c r="E3878">
        <v>2222222</v>
      </c>
      <c r="F3878" s="8" t="s">
        <v>22</v>
      </c>
      <c r="G3878" s="2">
        <v>98</v>
      </c>
      <c r="H3878" t="s">
        <v>4530</v>
      </c>
      <c r="J3878" s="9" t="s">
        <v>4967</v>
      </c>
      <c r="K3878" t="s">
        <v>5770</v>
      </c>
      <c r="L3878" s="2">
        <v>1</v>
      </c>
      <c r="M3878" s="24" t="s">
        <v>5971</v>
      </c>
      <c r="N3878" s="2" t="s">
        <v>23</v>
      </c>
      <c r="O3878" s="18" t="s">
        <v>2979</v>
      </c>
      <c r="P3878" s="18" t="s">
        <v>3781</v>
      </c>
      <c r="Q3878" s="6" t="s">
        <v>4475</v>
      </c>
      <c r="T3878" s="23">
        <v>46154</v>
      </c>
      <c r="U3878" s="23">
        <v>47249</v>
      </c>
      <c r="X3878" s="20">
        <v>3100</v>
      </c>
      <c r="Z3878" s="6" t="s">
        <v>5978</v>
      </c>
      <c r="AA3878" s="14">
        <f t="shared" si="520"/>
        <v>5.9999999999999995E-4</v>
      </c>
      <c r="AB3878">
        <v>1.7790659999999998</v>
      </c>
      <c r="AC3878">
        <v>1.8502286399999999</v>
      </c>
    </row>
    <row r="3879" spans="1:29" x14ac:dyDescent="0.3">
      <c r="A3879">
        <v>151503</v>
      </c>
      <c r="B3879" s="25" t="s">
        <v>5984</v>
      </c>
      <c r="C3879" t="s">
        <v>20</v>
      </c>
      <c r="D3879" t="s">
        <v>21</v>
      </c>
      <c r="E3879">
        <v>2222222</v>
      </c>
      <c r="F3879" s="8" t="s">
        <v>22</v>
      </c>
      <c r="G3879" s="2">
        <v>98</v>
      </c>
      <c r="H3879" t="s">
        <v>4530</v>
      </c>
      <c r="J3879" s="9" t="s">
        <v>4854</v>
      </c>
      <c r="K3879" t="s">
        <v>4836</v>
      </c>
      <c r="L3879" s="2">
        <v>1</v>
      </c>
      <c r="M3879" s="24" t="s">
        <v>5971</v>
      </c>
      <c r="N3879" s="2" t="s">
        <v>23</v>
      </c>
      <c r="O3879" s="18" t="s">
        <v>2982</v>
      </c>
      <c r="P3879" s="18" t="s">
        <v>3781</v>
      </c>
      <c r="Q3879" s="6" t="s">
        <v>4475</v>
      </c>
      <c r="T3879" s="23">
        <v>46169</v>
      </c>
      <c r="U3879" s="23">
        <v>46352</v>
      </c>
      <c r="X3879" s="20">
        <v>3500</v>
      </c>
      <c r="Z3879" s="6" t="s">
        <v>5978</v>
      </c>
      <c r="AA3879" s="14">
        <f t="shared" si="520"/>
        <v>5.9999999999999995E-4</v>
      </c>
      <c r="AB3879">
        <v>1.4190959999999997</v>
      </c>
      <c r="AC3879">
        <v>1.4758598399999998</v>
      </c>
    </row>
    <row r="3880" spans="1:29" x14ac:dyDescent="0.3">
      <c r="A3880">
        <v>151646</v>
      </c>
      <c r="B3880" s="25" t="s">
        <v>5984</v>
      </c>
      <c r="C3880" t="s">
        <v>20</v>
      </c>
      <c r="D3880" t="s">
        <v>21</v>
      </c>
      <c r="E3880">
        <v>2222222</v>
      </c>
      <c r="F3880" s="8" t="s">
        <v>22</v>
      </c>
      <c r="G3880" s="2">
        <v>98</v>
      </c>
      <c r="H3880" t="s">
        <v>4530</v>
      </c>
      <c r="J3880" s="9" t="s">
        <v>5195</v>
      </c>
      <c r="K3880" t="s">
        <v>5025</v>
      </c>
      <c r="L3880" s="2">
        <v>1</v>
      </c>
      <c r="M3880" s="24" t="s">
        <v>5971</v>
      </c>
      <c r="N3880" s="2" t="s">
        <v>23</v>
      </c>
      <c r="O3880" s="18" t="s">
        <v>2970</v>
      </c>
      <c r="P3880" s="18" t="s">
        <v>3781</v>
      </c>
      <c r="Q3880" s="6" t="s">
        <v>4475</v>
      </c>
      <c r="T3880" s="23">
        <v>46177</v>
      </c>
      <c r="U3880" s="23">
        <v>46267</v>
      </c>
      <c r="X3880" s="20">
        <v>2120</v>
      </c>
      <c r="Z3880" s="6" t="s">
        <v>5978</v>
      </c>
      <c r="AA3880" s="14">
        <f t="shared" si="520"/>
        <v>5.9999999999999995E-4</v>
      </c>
      <c r="AB3880">
        <v>1.2719999999999998</v>
      </c>
      <c r="AC3880">
        <v>1.3228799999999998</v>
      </c>
    </row>
    <row r="3881" spans="1:29" x14ac:dyDescent="0.3">
      <c r="A3881">
        <v>151669</v>
      </c>
      <c r="B3881" s="25" t="s">
        <v>5984</v>
      </c>
      <c r="C3881" t="s">
        <v>20</v>
      </c>
      <c r="D3881" t="s">
        <v>21</v>
      </c>
      <c r="E3881">
        <v>2222222</v>
      </c>
      <c r="F3881" s="8" t="s">
        <v>22</v>
      </c>
      <c r="G3881" s="2">
        <v>98</v>
      </c>
      <c r="H3881" t="s">
        <v>4530</v>
      </c>
      <c r="J3881" s="9" t="s">
        <v>5847</v>
      </c>
      <c r="K3881" t="s">
        <v>5165</v>
      </c>
      <c r="L3881" s="2">
        <v>1</v>
      </c>
      <c r="M3881" s="24" t="s">
        <v>5971</v>
      </c>
      <c r="N3881" s="2" t="s">
        <v>23</v>
      </c>
      <c r="O3881" s="18" t="s">
        <v>2983</v>
      </c>
      <c r="P3881" s="18" t="s">
        <v>3781</v>
      </c>
      <c r="Q3881" s="6" t="s">
        <v>4475</v>
      </c>
      <c r="T3881" s="23">
        <v>46178</v>
      </c>
      <c r="U3881" s="23">
        <v>46268</v>
      </c>
      <c r="X3881" s="20">
        <v>5000</v>
      </c>
      <c r="Z3881" s="6" t="s">
        <v>5978</v>
      </c>
      <c r="AA3881" s="14">
        <f t="shared" si="520"/>
        <v>5.9999999999999995E-4</v>
      </c>
      <c r="AB3881">
        <v>2.9999999999999996</v>
      </c>
      <c r="AC3881">
        <v>3.1199999999999997</v>
      </c>
    </row>
    <row r="3882" spans="1:29" x14ac:dyDescent="0.3">
      <c r="A3882">
        <v>151881</v>
      </c>
      <c r="B3882" s="25" t="s">
        <v>5984</v>
      </c>
      <c r="C3882" t="s">
        <v>20</v>
      </c>
      <c r="D3882" t="s">
        <v>21</v>
      </c>
      <c r="E3882">
        <v>2222222</v>
      </c>
      <c r="F3882" s="8" t="s">
        <v>22</v>
      </c>
      <c r="G3882" s="2">
        <v>98</v>
      </c>
      <c r="H3882" t="s">
        <v>4530</v>
      </c>
      <c r="J3882" s="9" t="s">
        <v>4917</v>
      </c>
      <c r="K3882" t="s">
        <v>4918</v>
      </c>
      <c r="L3882" s="2">
        <v>1</v>
      </c>
      <c r="M3882" s="24" t="s">
        <v>5971</v>
      </c>
      <c r="N3882" s="2" t="s">
        <v>23</v>
      </c>
      <c r="O3882" s="18" t="s">
        <v>2980</v>
      </c>
      <c r="P3882" s="18" t="s">
        <v>3781</v>
      </c>
      <c r="Q3882" s="6" t="s">
        <v>4475</v>
      </c>
      <c r="T3882" s="23">
        <v>46195</v>
      </c>
      <c r="U3882" s="23">
        <v>47300</v>
      </c>
      <c r="X3882" s="20">
        <v>4000</v>
      </c>
      <c r="Z3882" s="6" t="s">
        <v>5978</v>
      </c>
      <c r="AA3882" s="14">
        <f t="shared" si="520"/>
        <v>5.9999999999999995E-4</v>
      </c>
      <c r="AB3882">
        <v>2.4</v>
      </c>
      <c r="AC3882">
        <v>2.496</v>
      </c>
    </row>
    <row r="3883" spans="1:29" x14ac:dyDescent="0.3">
      <c r="A3883">
        <v>152099</v>
      </c>
      <c r="B3883" s="25" t="s">
        <v>5984</v>
      </c>
      <c r="C3883" t="s">
        <v>20</v>
      </c>
      <c r="D3883" t="s">
        <v>21</v>
      </c>
      <c r="E3883">
        <v>2222222</v>
      </c>
      <c r="F3883" s="8" t="s">
        <v>22</v>
      </c>
      <c r="G3883" s="2">
        <v>98</v>
      </c>
      <c r="H3883" t="s">
        <v>4530</v>
      </c>
      <c r="J3883" s="9" t="s">
        <v>5280</v>
      </c>
      <c r="K3883" t="s">
        <v>4761</v>
      </c>
      <c r="L3883" s="2">
        <v>1</v>
      </c>
      <c r="M3883" s="24" t="s">
        <v>5971</v>
      </c>
      <c r="N3883" s="2" t="s">
        <v>23</v>
      </c>
      <c r="O3883" s="18" t="s">
        <v>2984</v>
      </c>
      <c r="P3883" s="18" t="s">
        <v>3781</v>
      </c>
      <c r="Q3883" s="6" t="s">
        <v>4475</v>
      </c>
      <c r="T3883" s="23">
        <v>46211</v>
      </c>
      <c r="U3883" s="23">
        <v>47491</v>
      </c>
      <c r="X3883" s="20">
        <v>5000</v>
      </c>
      <c r="Z3883" s="6" t="s">
        <v>5978</v>
      </c>
      <c r="AA3883" s="14">
        <f t="shared" si="520"/>
        <v>5.9999999999999995E-4</v>
      </c>
      <c r="AB3883">
        <v>2.9999999999999996</v>
      </c>
      <c r="AC3883">
        <v>3.1199999999999997</v>
      </c>
    </row>
    <row r="3884" spans="1:29" x14ac:dyDescent="0.3">
      <c r="A3884">
        <v>152145</v>
      </c>
      <c r="B3884" s="25" t="s">
        <v>5984</v>
      </c>
      <c r="C3884" t="s">
        <v>20</v>
      </c>
      <c r="D3884" t="s">
        <v>21</v>
      </c>
      <c r="E3884">
        <v>2222222</v>
      </c>
      <c r="F3884" s="8" t="s">
        <v>22</v>
      </c>
      <c r="G3884" s="2">
        <v>98</v>
      </c>
      <c r="H3884" t="s">
        <v>4530</v>
      </c>
      <c r="J3884" s="9" t="s">
        <v>4929</v>
      </c>
      <c r="K3884" t="s">
        <v>4852</v>
      </c>
      <c r="L3884" s="2">
        <v>1</v>
      </c>
      <c r="M3884" s="24" t="s">
        <v>5971</v>
      </c>
      <c r="N3884" s="2" t="s">
        <v>23</v>
      </c>
      <c r="O3884" s="18" t="s">
        <v>2985</v>
      </c>
      <c r="P3884" s="18" t="s">
        <v>0</v>
      </c>
      <c r="Q3884" s="6" t="s">
        <v>4475</v>
      </c>
      <c r="T3884" s="23">
        <v>46216</v>
      </c>
      <c r="U3884" s="23">
        <v>46306</v>
      </c>
      <c r="X3884" s="20">
        <v>2500</v>
      </c>
      <c r="Z3884" s="6" t="s">
        <v>5978</v>
      </c>
      <c r="AA3884" s="14">
        <f t="shared" si="520"/>
        <v>5.9999999999999995E-4</v>
      </c>
      <c r="AB3884">
        <v>1.4999999999999998</v>
      </c>
      <c r="AC3884">
        <v>1.5599999999999998</v>
      </c>
    </row>
    <row r="3885" spans="1:29" x14ac:dyDescent="0.3">
      <c r="A3885">
        <v>152296</v>
      </c>
      <c r="B3885" s="25" t="s">
        <v>5984</v>
      </c>
      <c r="C3885" t="s">
        <v>20</v>
      </c>
      <c r="D3885" t="s">
        <v>21</v>
      </c>
      <c r="E3885">
        <v>2222222</v>
      </c>
      <c r="F3885" s="8" t="s">
        <v>22</v>
      </c>
      <c r="G3885" s="2">
        <v>98</v>
      </c>
      <c r="H3885" t="s">
        <v>4530</v>
      </c>
      <c r="J3885" s="9" t="s">
        <v>4911</v>
      </c>
      <c r="K3885" t="s">
        <v>4832</v>
      </c>
      <c r="L3885" s="2">
        <v>1</v>
      </c>
      <c r="M3885" s="24" t="s">
        <v>5971</v>
      </c>
      <c r="N3885" s="2" t="s">
        <v>23</v>
      </c>
      <c r="O3885" s="18" t="s">
        <v>2970</v>
      </c>
      <c r="P3885" s="18" t="s">
        <v>3781</v>
      </c>
      <c r="Q3885" s="6" t="s">
        <v>4475</v>
      </c>
      <c r="T3885" s="23">
        <v>46226</v>
      </c>
      <c r="U3885" s="23">
        <v>46316</v>
      </c>
      <c r="X3885" s="20">
        <v>4000</v>
      </c>
      <c r="Z3885" s="6" t="s">
        <v>5978</v>
      </c>
      <c r="AA3885" s="14">
        <f t="shared" si="520"/>
        <v>5.9999999999999995E-4</v>
      </c>
      <c r="AB3885">
        <v>2.4</v>
      </c>
      <c r="AC3885">
        <v>2.496</v>
      </c>
    </row>
    <row r="3886" spans="1:29" x14ac:dyDescent="0.3">
      <c r="A3886">
        <v>133411</v>
      </c>
      <c r="B3886" s="25" t="s">
        <v>5984</v>
      </c>
      <c r="C3886" t="s">
        <v>20</v>
      </c>
      <c r="D3886" t="s">
        <v>21</v>
      </c>
      <c r="E3886">
        <v>2222222</v>
      </c>
      <c r="F3886" s="8" t="s">
        <v>22</v>
      </c>
      <c r="G3886" s="2">
        <v>98</v>
      </c>
      <c r="H3886" t="s">
        <v>4531</v>
      </c>
      <c r="J3886" s="9" t="s">
        <v>4815</v>
      </c>
      <c r="K3886" t="s">
        <v>4852</v>
      </c>
      <c r="L3886" s="2">
        <v>1</v>
      </c>
      <c r="M3886" s="24" t="s">
        <v>5971</v>
      </c>
      <c r="N3886" s="2" t="s">
        <v>23</v>
      </c>
      <c r="O3886" s="18" t="s">
        <v>2986</v>
      </c>
      <c r="P3886" s="18" t="s">
        <v>0</v>
      </c>
      <c r="Q3886" s="6" t="s">
        <v>4475</v>
      </c>
      <c r="T3886" s="23">
        <v>45001</v>
      </c>
      <c r="U3886" s="23">
        <v>46827</v>
      </c>
      <c r="X3886" s="20">
        <v>7000</v>
      </c>
      <c r="Z3886" s="6" t="s">
        <v>5978</v>
      </c>
      <c r="AA3886" s="13">
        <f t="shared" ref="AA3886:AA3887" si="522">+(0.56/1000)</f>
        <v>5.6000000000000006E-4</v>
      </c>
      <c r="AB3886">
        <v>1.6706312000000001</v>
      </c>
      <c r="AC3886">
        <v>1.7374564480000001</v>
      </c>
    </row>
    <row r="3887" spans="1:29" x14ac:dyDescent="0.3">
      <c r="A3887">
        <v>140601</v>
      </c>
      <c r="B3887" s="25" t="s">
        <v>5984</v>
      </c>
      <c r="C3887" t="s">
        <v>20</v>
      </c>
      <c r="D3887" t="s">
        <v>21</v>
      </c>
      <c r="E3887">
        <v>2222222</v>
      </c>
      <c r="F3887" s="8" t="s">
        <v>22</v>
      </c>
      <c r="G3887" s="2">
        <v>98</v>
      </c>
      <c r="H3887" t="s">
        <v>4531</v>
      </c>
      <c r="J3887" s="9" t="s">
        <v>4836</v>
      </c>
      <c r="K3887" t="s">
        <v>5110</v>
      </c>
      <c r="L3887" s="2">
        <v>1</v>
      </c>
      <c r="M3887" s="24" t="s">
        <v>5971</v>
      </c>
      <c r="N3887" s="2" t="s">
        <v>23</v>
      </c>
      <c r="O3887" s="18" t="s">
        <v>2987</v>
      </c>
      <c r="P3887" s="18" t="s">
        <v>3781</v>
      </c>
      <c r="Q3887" s="6" t="s">
        <v>4475</v>
      </c>
      <c r="T3887" s="23">
        <v>45404</v>
      </c>
      <c r="U3887" s="23">
        <v>47595</v>
      </c>
      <c r="X3887" s="20">
        <v>10000</v>
      </c>
      <c r="Z3887" s="6" t="s">
        <v>5978</v>
      </c>
      <c r="AA3887" s="13">
        <f t="shared" si="522"/>
        <v>5.6000000000000006E-4</v>
      </c>
      <c r="AB3887">
        <v>4.0985448</v>
      </c>
      <c r="AC3887">
        <v>4.2624865920000001</v>
      </c>
    </row>
    <row r="3888" spans="1:29" x14ac:dyDescent="0.3">
      <c r="A3888">
        <v>143842</v>
      </c>
      <c r="B3888" s="25" t="s">
        <v>5984</v>
      </c>
      <c r="C3888" t="s">
        <v>20</v>
      </c>
      <c r="D3888" t="s">
        <v>21</v>
      </c>
      <c r="E3888">
        <v>2222222</v>
      </c>
      <c r="F3888" s="8" t="s">
        <v>22</v>
      </c>
      <c r="G3888" s="2">
        <v>98</v>
      </c>
      <c r="H3888" t="s">
        <v>4531</v>
      </c>
      <c r="J3888" s="9" t="s">
        <v>4955</v>
      </c>
      <c r="K3888" t="s">
        <v>5311</v>
      </c>
      <c r="L3888" s="2">
        <v>1</v>
      </c>
      <c r="M3888" s="24" t="s">
        <v>5971</v>
      </c>
      <c r="N3888" s="2" t="s">
        <v>23</v>
      </c>
      <c r="O3888" s="18" t="s">
        <v>2988</v>
      </c>
      <c r="P3888" s="18" t="s">
        <v>3781</v>
      </c>
      <c r="Q3888" s="6" t="s">
        <v>4475</v>
      </c>
      <c r="T3888" s="23">
        <v>45624</v>
      </c>
      <c r="U3888" s="23">
        <v>47450</v>
      </c>
      <c r="X3888" s="20">
        <v>13000</v>
      </c>
      <c r="Z3888" s="6" t="s">
        <v>5978</v>
      </c>
      <c r="AA3888" s="14">
        <f t="shared" ref="AA3888:AA3894" si="523">+(0.6/1000)</f>
        <v>5.9999999999999995E-4</v>
      </c>
      <c r="AB3888">
        <v>5.8917959999999994</v>
      </c>
      <c r="AC3888">
        <v>6.1274678399999996</v>
      </c>
    </row>
    <row r="3889" spans="1:29" x14ac:dyDescent="0.3">
      <c r="A3889">
        <v>148915</v>
      </c>
      <c r="B3889" s="25" t="s">
        <v>5984</v>
      </c>
      <c r="C3889" t="s">
        <v>20</v>
      </c>
      <c r="D3889" t="s">
        <v>21</v>
      </c>
      <c r="E3889">
        <v>2222222</v>
      </c>
      <c r="F3889" s="8" t="s">
        <v>22</v>
      </c>
      <c r="G3889" s="2">
        <v>98</v>
      </c>
      <c r="H3889" t="s">
        <v>4531</v>
      </c>
      <c r="J3889" s="9" t="s">
        <v>4877</v>
      </c>
      <c r="K3889" t="s">
        <v>4853</v>
      </c>
      <c r="L3889" s="2">
        <v>1</v>
      </c>
      <c r="M3889" s="24" t="s">
        <v>5971</v>
      </c>
      <c r="N3889" s="2" t="s">
        <v>23</v>
      </c>
      <c r="O3889" s="18" t="s">
        <v>2989</v>
      </c>
      <c r="P3889" s="18" t="s">
        <v>0</v>
      </c>
      <c r="Q3889" s="6" t="s">
        <v>4475</v>
      </c>
      <c r="T3889" s="23">
        <v>45988</v>
      </c>
      <c r="U3889" s="23">
        <v>47449</v>
      </c>
      <c r="X3889" s="20">
        <v>5000</v>
      </c>
      <c r="Z3889" s="6" t="s">
        <v>5978</v>
      </c>
      <c r="AA3889" s="14">
        <f t="shared" si="523"/>
        <v>5.9999999999999995E-4</v>
      </c>
      <c r="AB3889">
        <v>2.6360219999999996</v>
      </c>
      <c r="AC3889">
        <v>2.7414628799999998</v>
      </c>
    </row>
    <row r="3890" spans="1:29" x14ac:dyDescent="0.3">
      <c r="A3890">
        <v>149266</v>
      </c>
      <c r="B3890" s="25" t="s">
        <v>5984</v>
      </c>
      <c r="C3890" t="s">
        <v>20</v>
      </c>
      <c r="D3890" t="s">
        <v>21</v>
      </c>
      <c r="E3890">
        <v>2222222</v>
      </c>
      <c r="F3890" s="8" t="s">
        <v>22</v>
      </c>
      <c r="G3890" s="2">
        <v>98</v>
      </c>
      <c r="H3890" t="s">
        <v>4531</v>
      </c>
      <c r="J3890" s="9" t="s">
        <v>5544</v>
      </c>
      <c r="K3890" t="s">
        <v>4924</v>
      </c>
      <c r="L3890" s="2">
        <v>1</v>
      </c>
      <c r="M3890" s="24" t="s">
        <v>5971</v>
      </c>
      <c r="N3890" s="2" t="s">
        <v>23</v>
      </c>
      <c r="O3890" s="18" t="s">
        <v>605</v>
      </c>
      <c r="P3890" s="18" t="s">
        <v>3781</v>
      </c>
      <c r="Q3890" s="6" t="s">
        <v>4475</v>
      </c>
      <c r="T3890" s="23">
        <v>46008</v>
      </c>
      <c r="U3890" s="23">
        <v>46372</v>
      </c>
      <c r="X3890" s="20">
        <v>250</v>
      </c>
      <c r="Z3890" s="6" t="s">
        <v>5978</v>
      </c>
      <c r="AA3890" s="14">
        <f t="shared" si="523"/>
        <v>5.9999999999999995E-4</v>
      </c>
      <c r="AB3890">
        <v>6.5687999999999996E-2</v>
      </c>
      <c r="AC3890">
        <v>6.8315520000000005E-2</v>
      </c>
    </row>
    <row r="3891" spans="1:29" x14ac:dyDescent="0.3">
      <c r="A3891">
        <v>149874</v>
      </c>
      <c r="B3891" s="25" t="s">
        <v>5984</v>
      </c>
      <c r="C3891" t="s">
        <v>20</v>
      </c>
      <c r="D3891" t="s">
        <v>21</v>
      </c>
      <c r="E3891">
        <v>2222222</v>
      </c>
      <c r="F3891" s="8" t="s">
        <v>22</v>
      </c>
      <c r="G3891" s="2">
        <v>98</v>
      </c>
      <c r="H3891" t="s">
        <v>4531</v>
      </c>
      <c r="J3891" s="9" t="s">
        <v>4967</v>
      </c>
      <c r="K3891" t="s">
        <v>4832</v>
      </c>
      <c r="L3891" s="2">
        <v>1</v>
      </c>
      <c r="M3891" s="24" t="s">
        <v>5971</v>
      </c>
      <c r="N3891" s="2" t="s">
        <v>23</v>
      </c>
      <c r="O3891" s="18" t="s">
        <v>2990</v>
      </c>
      <c r="P3891" s="18" t="s">
        <v>3781</v>
      </c>
      <c r="Q3891" s="6" t="s">
        <v>4475</v>
      </c>
      <c r="T3891" s="23">
        <v>46055</v>
      </c>
      <c r="U3891" s="23">
        <v>46422</v>
      </c>
      <c r="X3891" s="20">
        <v>4000</v>
      </c>
      <c r="Z3891" s="6" t="s">
        <v>5978</v>
      </c>
      <c r="AA3891" s="14">
        <f t="shared" si="523"/>
        <v>5.9999999999999995E-4</v>
      </c>
      <c r="AB3891">
        <v>1.4495639999999999</v>
      </c>
      <c r="AC3891">
        <v>1.50754656</v>
      </c>
    </row>
    <row r="3892" spans="1:29" x14ac:dyDescent="0.3">
      <c r="A3892">
        <v>150015</v>
      </c>
      <c r="B3892" s="25" t="s">
        <v>5984</v>
      </c>
      <c r="C3892" t="s">
        <v>20</v>
      </c>
      <c r="D3892" t="s">
        <v>21</v>
      </c>
      <c r="E3892">
        <v>2222222</v>
      </c>
      <c r="F3892" s="8" t="s">
        <v>22</v>
      </c>
      <c r="G3892" s="2">
        <v>98</v>
      </c>
      <c r="H3892" t="s">
        <v>4531</v>
      </c>
      <c r="J3892" s="9" t="s">
        <v>4967</v>
      </c>
      <c r="K3892" t="s">
        <v>4832</v>
      </c>
      <c r="L3892" s="2">
        <v>1</v>
      </c>
      <c r="M3892" s="24" t="s">
        <v>5971</v>
      </c>
      <c r="N3892" s="2" t="s">
        <v>23</v>
      </c>
      <c r="O3892" s="18" t="s">
        <v>2990</v>
      </c>
      <c r="P3892" s="18" t="s">
        <v>3781</v>
      </c>
      <c r="Q3892" s="6" t="s">
        <v>4475</v>
      </c>
      <c r="T3892" s="23">
        <v>46081</v>
      </c>
      <c r="U3892" s="23">
        <v>47181</v>
      </c>
      <c r="X3892" s="20">
        <v>20000</v>
      </c>
      <c r="Z3892" s="6" t="s">
        <v>5978</v>
      </c>
      <c r="AA3892" s="14">
        <f t="shared" si="523"/>
        <v>5.9999999999999995E-4</v>
      </c>
      <c r="AB3892">
        <v>9.737406</v>
      </c>
      <c r="AC3892">
        <v>10.12690224</v>
      </c>
    </row>
    <row r="3893" spans="1:29" x14ac:dyDescent="0.3">
      <c r="A3893">
        <v>151578</v>
      </c>
      <c r="B3893" s="25" t="s">
        <v>5984</v>
      </c>
      <c r="C3893" t="s">
        <v>20</v>
      </c>
      <c r="D3893" t="s">
        <v>21</v>
      </c>
      <c r="E3893">
        <v>2222222</v>
      </c>
      <c r="F3893" s="8" t="s">
        <v>22</v>
      </c>
      <c r="G3893" s="2">
        <v>98</v>
      </c>
      <c r="H3893" t="s">
        <v>4531</v>
      </c>
      <c r="J3893" s="9" t="s">
        <v>4937</v>
      </c>
      <c r="K3893" t="s">
        <v>5125</v>
      </c>
      <c r="L3893" s="2">
        <v>1</v>
      </c>
      <c r="M3893" s="24" t="s">
        <v>5971</v>
      </c>
      <c r="N3893" s="2" t="s">
        <v>23</v>
      </c>
      <c r="O3893" s="18" t="s">
        <v>2991</v>
      </c>
      <c r="P3893" s="18" t="s">
        <v>0</v>
      </c>
      <c r="Q3893" s="6" t="s">
        <v>4475</v>
      </c>
      <c r="T3893" s="23">
        <v>46174</v>
      </c>
      <c r="U3893" s="23">
        <v>46264</v>
      </c>
      <c r="X3893" s="20">
        <v>990</v>
      </c>
      <c r="Z3893" s="6" t="s">
        <v>5978</v>
      </c>
      <c r="AA3893" s="14">
        <f t="shared" si="523"/>
        <v>5.9999999999999995E-4</v>
      </c>
      <c r="AB3893">
        <v>0.59399999999999997</v>
      </c>
      <c r="AC3893">
        <v>0.61775999999999998</v>
      </c>
    </row>
    <row r="3894" spans="1:29" x14ac:dyDescent="0.3">
      <c r="A3894">
        <v>152152</v>
      </c>
      <c r="B3894" s="25" t="s">
        <v>5984</v>
      </c>
      <c r="C3894" t="s">
        <v>20</v>
      </c>
      <c r="D3894" t="s">
        <v>21</v>
      </c>
      <c r="E3894">
        <v>2222222</v>
      </c>
      <c r="F3894" s="8" t="s">
        <v>22</v>
      </c>
      <c r="G3894" s="2">
        <v>98</v>
      </c>
      <c r="H3894" t="s">
        <v>4531</v>
      </c>
      <c r="J3894" s="9" t="s">
        <v>4937</v>
      </c>
      <c r="K3894" t="s">
        <v>5125</v>
      </c>
      <c r="L3894" s="2">
        <v>1</v>
      </c>
      <c r="M3894" s="24" t="s">
        <v>5971</v>
      </c>
      <c r="N3894" s="2" t="s">
        <v>23</v>
      </c>
      <c r="O3894" s="18" t="s">
        <v>2991</v>
      </c>
      <c r="P3894" s="18" t="s">
        <v>0</v>
      </c>
      <c r="Q3894" s="6" t="s">
        <v>4475</v>
      </c>
      <c r="T3894" s="23">
        <v>46216</v>
      </c>
      <c r="U3894" s="23">
        <v>46306</v>
      </c>
      <c r="X3894" s="20">
        <v>5000</v>
      </c>
      <c r="Z3894" s="6" t="s">
        <v>5978</v>
      </c>
      <c r="AA3894" s="14">
        <f t="shared" si="523"/>
        <v>5.9999999999999995E-4</v>
      </c>
      <c r="AB3894">
        <v>2.9999999999999996</v>
      </c>
      <c r="AC3894">
        <v>3.1199999999999997</v>
      </c>
    </row>
    <row r="3895" spans="1:29" x14ac:dyDescent="0.3">
      <c r="A3895">
        <v>1387</v>
      </c>
      <c r="B3895" s="25" t="s">
        <v>5984</v>
      </c>
      <c r="C3895" t="s">
        <v>20</v>
      </c>
      <c r="D3895" t="s">
        <v>21</v>
      </c>
      <c r="E3895">
        <v>2222222</v>
      </c>
      <c r="F3895" s="8" t="s">
        <v>22</v>
      </c>
      <c r="G3895" s="2">
        <v>98</v>
      </c>
      <c r="H3895" t="s">
        <v>4532</v>
      </c>
      <c r="J3895" s="9" t="s">
        <v>4916</v>
      </c>
      <c r="K3895" t="s">
        <v>5246</v>
      </c>
      <c r="L3895" s="2">
        <v>1</v>
      </c>
      <c r="M3895" s="24" t="s">
        <v>5971</v>
      </c>
      <c r="N3895" s="2" t="s">
        <v>23</v>
      </c>
      <c r="O3895" s="18" t="s">
        <v>2992</v>
      </c>
      <c r="P3895" s="18" t="s">
        <v>3781</v>
      </c>
      <c r="Q3895" s="6" t="s">
        <v>4475</v>
      </c>
      <c r="T3895" s="23">
        <v>39567</v>
      </c>
      <c r="U3895" s="23">
        <v>40662</v>
      </c>
      <c r="X3895" s="20">
        <v>4000</v>
      </c>
      <c r="Z3895" s="6" t="s">
        <v>5978</v>
      </c>
      <c r="AA3895" s="16">
        <f t="shared" ref="AA3895:AA3896" si="524">+(0.36/1000)</f>
        <v>3.5999999999999997E-4</v>
      </c>
      <c r="AB3895">
        <v>0.84236759999999988</v>
      </c>
      <c r="AC3895">
        <v>0.87606230399999996</v>
      </c>
    </row>
    <row r="3896" spans="1:29" x14ac:dyDescent="0.3">
      <c r="A3896">
        <v>11442</v>
      </c>
      <c r="B3896" s="25" t="s">
        <v>5984</v>
      </c>
      <c r="C3896" t="s">
        <v>20</v>
      </c>
      <c r="D3896" t="s">
        <v>21</v>
      </c>
      <c r="E3896">
        <v>2222222</v>
      </c>
      <c r="F3896" s="8" t="s">
        <v>22</v>
      </c>
      <c r="G3896" s="2">
        <v>98</v>
      </c>
      <c r="H3896" t="s">
        <v>4532</v>
      </c>
      <c r="J3896" s="9" t="s">
        <v>4916</v>
      </c>
      <c r="K3896" t="s">
        <v>5246</v>
      </c>
      <c r="L3896" s="2">
        <v>1</v>
      </c>
      <c r="M3896" s="24" t="s">
        <v>5971</v>
      </c>
      <c r="N3896" s="2" t="s">
        <v>23</v>
      </c>
      <c r="O3896" s="18" t="s">
        <v>2992</v>
      </c>
      <c r="P3896" s="18" t="s">
        <v>3781</v>
      </c>
      <c r="Q3896" s="6" t="s">
        <v>4475</v>
      </c>
      <c r="T3896" s="23">
        <v>40097</v>
      </c>
      <c r="U3896" s="23">
        <v>40189</v>
      </c>
      <c r="X3896" s="20">
        <v>290</v>
      </c>
      <c r="Z3896" s="6" t="s">
        <v>5978</v>
      </c>
      <c r="AA3896" s="16">
        <f t="shared" si="524"/>
        <v>3.5999999999999997E-4</v>
      </c>
      <c r="AB3896">
        <v>0.10439999999999999</v>
      </c>
      <c r="AC3896">
        <v>0.10857599999999999</v>
      </c>
    </row>
    <row r="3897" spans="1:29" x14ac:dyDescent="0.3">
      <c r="A3897">
        <v>121749</v>
      </c>
      <c r="B3897" s="25" t="s">
        <v>5984</v>
      </c>
      <c r="C3897" t="s">
        <v>20</v>
      </c>
      <c r="D3897" t="s">
        <v>21</v>
      </c>
      <c r="E3897">
        <v>2222222</v>
      </c>
      <c r="F3897" s="8" t="s">
        <v>22</v>
      </c>
      <c r="G3897" s="2">
        <v>98</v>
      </c>
      <c r="H3897" t="s">
        <v>4532</v>
      </c>
      <c r="J3897" s="9" t="s">
        <v>4876</v>
      </c>
      <c r="K3897" t="s">
        <v>4875</v>
      </c>
      <c r="L3897" s="2">
        <v>1</v>
      </c>
      <c r="M3897" s="24" t="s">
        <v>5971</v>
      </c>
      <c r="N3897" s="2" t="s">
        <v>23</v>
      </c>
      <c r="O3897" s="18" t="s">
        <v>2993</v>
      </c>
      <c r="P3897" s="18" t="s">
        <v>0</v>
      </c>
      <c r="Q3897" s="6" t="s">
        <v>4475</v>
      </c>
      <c r="T3897" s="23">
        <v>44385</v>
      </c>
      <c r="U3897" s="23">
        <v>44475</v>
      </c>
      <c r="X3897" s="20">
        <v>3780</v>
      </c>
      <c r="Z3897" s="6" t="s">
        <v>5978</v>
      </c>
      <c r="AA3897" s="15">
        <f t="shared" ref="AA3897:AA3900" si="525">+(0.42/1000)</f>
        <v>4.1999999999999996E-4</v>
      </c>
      <c r="AB3897">
        <v>1.5875999999999999</v>
      </c>
      <c r="AC3897">
        <v>1.6511039999999999</v>
      </c>
    </row>
    <row r="3898" spans="1:29" x14ac:dyDescent="0.3">
      <c r="A3898">
        <v>123453</v>
      </c>
      <c r="B3898" s="25" t="s">
        <v>5984</v>
      </c>
      <c r="C3898" t="s">
        <v>20</v>
      </c>
      <c r="D3898" t="s">
        <v>21</v>
      </c>
      <c r="E3898">
        <v>2222222</v>
      </c>
      <c r="F3898" s="8" t="s">
        <v>22</v>
      </c>
      <c r="G3898" s="2">
        <v>98</v>
      </c>
      <c r="H3898" t="s">
        <v>4532</v>
      </c>
      <c r="J3898" s="9" t="s">
        <v>4911</v>
      </c>
      <c r="K3898" t="s">
        <v>4836</v>
      </c>
      <c r="L3898" s="2">
        <v>1</v>
      </c>
      <c r="M3898" s="24" t="s">
        <v>5971</v>
      </c>
      <c r="N3898" s="2" t="s">
        <v>23</v>
      </c>
      <c r="O3898" s="18" t="s">
        <v>2994</v>
      </c>
      <c r="P3898" s="18" t="s">
        <v>3781</v>
      </c>
      <c r="Q3898" s="6" t="s">
        <v>4475</v>
      </c>
      <c r="T3898" s="23">
        <v>44468</v>
      </c>
      <c r="U3898" s="23">
        <v>46673</v>
      </c>
      <c r="X3898" s="20">
        <v>19525</v>
      </c>
      <c r="Z3898" s="6" t="s">
        <v>5978</v>
      </c>
      <c r="AA3898" s="15">
        <f t="shared" si="525"/>
        <v>4.1999999999999996E-4</v>
      </c>
      <c r="AB3898">
        <v>2.5052747999999996</v>
      </c>
      <c r="AC3898">
        <v>2.6054857919999996</v>
      </c>
    </row>
    <row r="3899" spans="1:29" x14ac:dyDescent="0.3">
      <c r="A3899">
        <v>125194</v>
      </c>
      <c r="B3899" s="25" t="s">
        <v>5984</v>
      </c>
      <c r="C3899" t="s">
        <v>20</v>
      </c>
      <c r="D3899" t="s">
        <v>21</v>
      </c>
      <c r="E3899">
        <v>2222222</v>
      </c>
      <c r="F3899" s="8" t="s">
        <v>22</v>
      </c>
      <c r="G3899" s="2">
        <v>98</v>
      </c>
      <c r="H3899" t="s">
        <v>4532</v>
      </c>
      <c r="J3899" s="9" t="s">
        <v>4934</v>
      </c>
      <c r="K3899" t="s">
        <v>4905</v>
      </c>
      <c r="L3899" s="2">
        <v>1</v>
      </c>
      <c r="M3899" s="24" t="s">
        <v>5971</v>
      </c>
      <c r="N3899" s="2" t="s">
        <v>23</v>
      </c>
      <c r="O3899" s="18" t="s">
        <v>346</v>
      </c>
      <c r="P3899" s="18" t="s">
        <v>0</v>
      </c>
      <c r="Q3899" s="6" t="s">
        <v>4475</v>
      </c>
      <c r="T3899" s="23">
        <v>44552</v>
      </c>
      <c r="U3899" s="23">
        <v>47198</v>
      </c>
      <c r="X3899" s="20">
        <v>16550</v>
      </c>
      <c r="Z3899" s="6" t="s">
        <v>5978</v>
      </c>
      <c r="AA3899" s="15">
        <f t="shared" si="525"/>
        <v>4.1999999999999996E-4</v>
      </c>
      <c r="AB3899">
        <v>3.5852081999999994</v>
      </c>
      <c r="AC3899">
        <v>3.7286165279999994</v>
      </c>
    </row>
    <row r="3900" spans="1:29" x14ac:dyDescent="0.3">
      <c r="A3900">
        <v>126976</v>
      </c>
      <c r="B3900" s="25" t="s">
        <v>5984</v>
      </c>
      <c r="C3900" t="s">
        <v>20</v>
      </c>
      <c r="D3900" t="s">
        <v>21</v>
      </c>
      <c r="E3900">
        <v>2222222</v>
      </c>
      <c r="F3900" s="8" t="s">
        <v>22</v>
      </c>
      <c r="G3900" s="2">
        <v>98</v>
      </c>
      <c r="H3900" t="s">
        <v>4532</v>
      </c>
      <c r="J3900" s="9" t="s">
        <v>4936</v>
      </c>
      <c r="K3900" t="s">
        <v>4966</v>
      </c>
      <c r="L3900" s="2">
        <v>1</v>
      </c>
      <c r="M3900" s="24" t="s">
        <v>5971</v>
      </c>
      <c r="N3900" s="2" t="s">
        <v>23</v>
      </c>
      <c r="O3900" s="18" t="s">
        <v>2995</v>
      </c>
      <c r="P3900" s="18" t="s">
        <v>0</v>
      </c>
      <c r="Q3900" s="6" t="s">
        <v>4475</v>
      </c>
      <c r="T3900" s="23">
        <v>44645</v>
      </c>
      <c r="U3900" s="23">
        <v>45748</v>
      </c>
      <c r="X3900" s="20">
        <v>1135</v>
      </c>
      <c r="Z3900" s="6" t="s">
        <v>5978</v>
      </c>
      <c r="AA3900" s="15">
        <f t="shared" si="525"/>
        <v>4.1999999999999996E-4</v>
      </c>
      <c r="AB3900">
        <v>0.45649380000000001</v>
      </c>
      <c r="AC3900">
        <v>0.47475355200000002</v>
      </c>
    </row>
    <row r="3901" spans="1:29" x14ac:dyDescent="0.3">
      <c r="A3901">
        <v>131633</v>
      </c>
      <c r="B3901" s="25" t="s">
        <v>5984</v>
      </c>
      <c r="C3901" t="s">
        <v>20</v>
      </c>
      <c r="D3901" t="s">
        <v>21</v>
      </c>
      <c r="E3901">
        <v>2222222</v>
      </c>
      <c r="F3901" s="8" t="s">
        <v>22</v>
      </c>
      <c r="G3901" s="2">
        <v>98</v>
      </c>
      <c r="H3901" t="s">
        <v>4532</v>
      </c>
      <c r="J3901" s="9" t="s">
        <v>5061</v>
      </c>
      <c r="K3901" t="s">
        <v>5085</v>
      </c>
      <c r="L3901" s="2">
        <v>1</v>
      </c>
      <c r="M3901" s="24" t="s">
        <v>5971</v>
      </c>
      <c r="N3901" s="2" t="s">
        <v>23</v>
      </c>
      <c r="O3901" s="18" t="s">
        <v>2996</v>
      </c>
      <c r="P3901" s="18" t="s">
        <v>0</v>
      </c>
      <c r="Q3901" s="6" t="s">
        <v>4475</v>
      </c>
      <c r="T3901" s="23">
        <v>44900</v>
      </c>
      <c r="U3901" s="23">
        <v>46360</v>
      </c>
      <c r="X3901" s="20">
        <v>5000</v>
      </c>
      <c r="Z3901" s="6" t="s">
        <v>5978</v>
      </c>
      <c r="AA3901" s="13">
        <f t="shared" ref="AA3901:AA3904" si="526">+(0.56/1000)</f>
        <v>5.6000000000000006E-4</v>
      </c>
      <c r="AB3901">
        <v>0.20616400000000001</v>
      </c>
      <c r="AC3901">
        <v>0.21441056000000003</v>
      </c>
    </row>
    <row r="3902" spans="1:29" x14ac:dyDescent="0.3">
      <c r="A3902">
        <v>136418</v>
      </c>
      <c r="B3902" s="25" t="s">
        <v>5984</v>
      </c>
      <c r="C3902" t="s">
        <v>20</v>
      </c>
      <c r="D3902" t="s">
        <v>21</v>
      </c>
      <c r="E3902">
        <v>2222222</v>
      </c>
      <c r="F3902" s="8" t="s">
        <v>22</v>
      </c>
      <c r="G3902" s="2">
        <v>98</v>
      </c>
      <c r="H3902" t="s">
        <v>4532</v>
      </c>
      <c r="J3902" s="9" t="s">
        <v>4815</v>
      </c>
      <c r="K3902" t="s">
        <v>4852</v>
      </c>
      <c r="L3902" s="2">
        <v>1</v>
      </c>
      <c r="M3902" s="24" t="s">
        <v>5971</v>
      </c>
      <c r="N3902" s="2" t="s">
        <v>23</v>
      </c>
      <c r="O3902" s="18" t="s">
        <v>2997</v>
      </c>
      <c r="P3902" s="18" t="s">
        <v>0</v>
      </c>
      <c r="Q3902" s="6" t="s">
        <v>4475</v>
      </c>
      <c r="T3902" s="23">
        <v>45177</v>
      </c>
      <c r="U3902" s="23">
        <v>47460</v>
      </c>
      <c r="X3902" s="20">
        <v>9700</v>
      </c>
      <c r="Z3902" s="6" t="s">
        <v>5978</v>
      </c>
      <c r="AA3902" s="13">
        <f t="shared" si="526"/>
        <v>5.6000000000000006E-4</v>
      </c>
      <c r="AB3902">
        <v>3.7119096000000003</v>
      </c>
      <c r="AC3902">
        <v>3.8603859840000005</v>
      </c>
    </row>
    <row r="3903" spans="1:29" x14ac:dyDescent="0.3">
      <c r="A3903">
        <v>138173</v>
      </c>
      <c r="B3903" s="25" t="s">
        <v>5984</v>
      </c>
      <c r="C3903" t="s">
        <v>20</v>
      </c>
      <c r="D3903" t="s">
        <v>21</v>
      </c>
      <c r="E3903">
        <v>2222222</v>
      </c>
      <c r="F3903" s="8" t="s">
        <v>22</v>
      </c>
      <c r="G3903" s="2">
        <v>98</v>
      </c>
      <c r="H3903" t="s">
        <v>4532</v>
      </c>
      <c r="J3903" s="9" t="s">
        <v>5045</v>
      </c>
      <c r="K3903" t="s">
        <v>4516</v>
      </c>
      <c r="L3903" s="2">
        <v>1</v>
      </c>
      <c r="M3903" s="24" t="s">
        <v>5971</v>
      </c>
      <c r="N3903" s="2" t="s">
        <v>23</v>
      </c>
      <c r="O3903" s="18" t="s">
        <v>2998</v>
      </c>
      <c r="P3903" s="18" t="s">
        <v>3781</v>
      </c>
      <c r="Q3903" s="6" t="s">
        <v>4475</v>
      </c>
      <c r="T3903" s="23">
        <v>45273</v>
      </c>
      <c r="U3903" s="23">
        <v>47554</v>
      </c>
      <c r="X3903" s="20">
        <v>11900</v>
      </c>
      <c r="Z3903" s="6" t="s">
        <v>5978</v>
      </c>
      <c r="AA3903" s="13">
        <f t="shared" si="526"/>
        <v>5.6000000000000006E-4</v>
      </c>
      <c r="AB3903">
        <v>4.8737416000000007</v>
      </c>
      <c r="AC3903">
        <v>5.0686912640000008</v>
      </c>
    </row>
    <row r="3904" spans="1:29" x14ac:dyDescent="0.3">
      <c r="A3904">
        <v>139118</v>
      </c>
      <c r="B3904" s="25" t="s">
        <v>5984</v>
      </c>
      <c r="C3904" t="s">
        <v>20</v>
      </c>
      <c r="D3904" t="s">
        <v>21</v>
      </c>
      <c r="E3904">
        <v>2222222</v>
      </c>
      <c r="F3904" s="8" t="s">
        <v>22</v>
      </c>
      <c r="G3904" s="2">
        <v>98</v>
      </c>
      <c r="H3904" t="s">
        <v>4532</v>
      </c>
      <c r="J3904" s="9" t="s">
        <v>5067</v>
      </c>
      <c r="K3904" t="s">
        <v>5048</v>
      </c>
      <c r="L3904" s="2">
        <v>1</v>
      </c>
      <c r="M3904" s="24" t="s">
        <v>5971</v>
      </c>
      <c r="N3904" s="2" t="s">
        <v>23</v>
      </c>
      <c r="O3904" s="18" t="s">
        <v>2999</v>
      </c>
      <c r="P3904" s="18" t="s">
        <v>3781</v>
      </c>
      <c r="Q3904" s="6" t="s">
        <v>4475</v>
      </c>
      <c r="T3904" s="23">
        <v>45315</v>
      </c>
      <c r="U3904" s="23">
        <v>46775</v>
      </c>
      <c r="X3904" s="20">
        <v>4530</v>
      </c>
      <c r="Z3904" s="6" t="s">
        <v>5978</v>
      </c>
      <c r="AA3904" s="13">
        <f t="shared" si="526"/>
        <v>5.6000000000000006E-4</v>
      </c>
      <c r="AB3904">
        <v>1.1807992000000003</v>
      </c>
      <c r="AC3904">
        <v>1.2280311680000002</v>
      </c>
    </row>
    <row r="3905" spans="1:29" x14ac:dyDescent="0.3">
      <c r="A3905">
        <v>141012</v>
      </c>
      <c r="B3905" s="25" t="s">
        <v>5984</v>
      </c>
      <c r="C3905" t="s">
        <v>20</v>
      </c>
      <c r="D3905" t="s">
        <v>21</v>
      </c>
      <c r="E3905">
        <v>2222222</v>
      </c>
      <c r="F3905" s="8" t="s">
        <v>22</v>
      </c>
      <c r="G3905" s="2">
        <v>98</v>
      </c>
      <c r="H3905" t="s">
        <v>4532</v>
      </c>
      <c r="J3905" s="9" t="s">
        <v>5057</v>
      </c>
      <c r="K3905" t="s">
        <v>5091</v>
      </c>
      <c r="L3905" s="2">
        <v>1</v>
      </c>
      <c r="M3905" s="24" t="s">
        <v>5971</v>
      </c>
      <c r="N3905" s="2" t="s">
        <v>23</v>
      </c>
      <c r="O3905" s="18" t="s">
        <v>1362</v>
      </c>
      <c r="P3905" s="18" t="s">
        <v>3781</v>
      </c>
      <c r="Q3905" s="6" t="s">
        <v>4475</v>
      </c>
      <c r="T3905" s="23">
        <v>45504</v>
      </c>
      <c r="U3905" s="23">
        <v>49155</v>
      </c>
      <c r="X3905" s="20">
        <v>50000</v>
      </c>
      <c r="Z3905" s="6" t="s">
        <v>5978</v>
      </c>
      <c r="AA3905" s="14">
        <f t="shared" ref="AA3905:AA3968" si="527">+(0.6/1000)</f>
        <v>5.9999999999999995E-4</v>
      </c>
      <c r="AB3905">
        <v>26.251505999999999</v>
      </c>
      <c r="AC3905">
        <v>27.30156624</v>
      </c>
    </row>
    <row r="3906" spans="1:29" x14ac:dyDescent="0.3">
      <c r="A3906">
        <v>142484</v>
      </c>
      <c r="B3906" s="25" t="s">
        <v>5984</v>
      </c>
      <c r="C3906" t="s">
        <v>20</v>
      </c>
      <c r="D3906" t="s">
        <v>21</v>
      </c>
      <c r="E3906">
        <v>2222222</v>
      </c>
      <c r="F3906" s="8" t="s">
        <v>22</v>
      </c>
      <c r="G3906" s="2">
        <v>98</v>
      </c>
      <c r="H3906" t="s">
        <v>4532</v>
      </c>
      <c r="J3906" s="9" t="s">
        <v>4852</v>
      </c>
      <c r="K3906" t="s">
        <v>5457</v>
      </c>
      <c r="L3906" s="2">
        <v>1</v>
      </c>
      <c r="M3906" s="24" t="s">
        <v>5971</v>
      </c>
      <c r="N3906" s="2" t="s">
        <v>23</v>
      </c>
      <c r="O3906" s="18" t="s">
        <v>3000</v>
      </c>
      <c r="P3906" s="18" t="s">
        <v>0</v>
      </c>
      <c r="Q3906" s="6" t="s">
        <v>4475</v>
      </c>
      <c r="T3906" s="23">
        <v>45524</v>
      </c>
      <c r="U3906" s="23">
        <v>46984</v>
      </c>
      <c r="X3906" s="20">
        <v>5000</v>
      </c>
      <c r="Z3906" s="6" t="s">
        <v>5978</v>
      </c>
      <c r="AA3906" s="14">
        <f t="shared" si="527"/>
        <v>5.9999999999999995E-4</v>
      </c>
      <c r="AB3906">
        <v>1.8410879999999998</v>
      </c>
      <c r="AC3906">
        <v>1.9147315199999999</v>
      </c>
    </row>
    <row r="3907" spans="1:29" x14ac:dyDescent="0.3">
      <c r="A3907">
        <v>143038</v>
      </c>
      <c r="B3907" s="25" t="s">
        <v>5984</v>
      </c>
      <c r="C3907" t="s">
        <v>20</v>
      </c>
      <c r="D3907" t="s">
        <v>21</v>
      </c>
      <c r="E3907">
        <v>2222222</v>
      </c>
      <c r="F3907" s="8" t="s">
        <v>22</v>
      </c>
      <c r="G3907" s="2">
        <v>98</v>
      </c>
      <c r="H3907" t="s">
        <v>4532</v>
      </c>
      <c r="J3907" s="9" t="s">
        <v>5068</v>
      </c>
      <c r="K3907" t="s">
        <v>5135</v>
      </c>
      <c r="L3907" s="2">
        <v>1</v>
      </c>
      <c r="M3907" s="24" t="s">
        <v>5971</v>
      </c>
      <c r="N3907" s="2" t="s">
        <v>23</v>
      </c>
      <c r="O3907" s="18" t="s">
        <v>3001</v>
      </c>
      <c r="P3907" s="18" t="s">
        <v>0</v>
      </c>
      <c r="Q3907" s="6" t="s">
        <v>4475</v>
      </c>
      <c r="T3907" s="23">
        <v>45572</v>
      </c>
      <c r="U3907" s="23">
        <v>47032</v>
      </c>
      <c r="X3907" s="20">
        <v>5000</v>
      </c>
      <c r="Z3907" s="6" t="s">
        <v>5978</v>
      </c>
      <c r="AA3907" s="14">
        <f t="shared" si="527"/>
        <v>5.9999999999999995E-4</v>
      </c>
      <c r="AB3907">
        <v>1.9589219999999998</v>
      </c>
      <c r="AC3907">
        <v>2.0372788799999997</v>
      </c>
    </row>
    <row r="3908" spans="1:29" x14ac:dyDescent="0.3">
      <c r="A3908">
        <v>143753</v>
      </c>
      <c r="B3908" s="25" t="s">
        <v>5984</v>
      </c>
      <c r="C3908" t="s">
        <v>20</v>
      </c>
      <c r="D3908" t="s">
        <v>21</v>
      </c>
      <c r="E3908">
        <v>2222222</v>
      </c>
      <c r="F3908" s="8" t="s">
        <v>22</v>
      </c>
      <c r="G3908" s="2">
        <v>98</v>
      </c>
      <c r="H3908" t="s">
        <v>4532</v>
      </c>
      <c r="J3908" s="9" t="s">
        <v>4852</v>
      </c>
      <c r="K3908" t="s">
        <v>5288</v>
      </c>
      <c r="L3908" s="2">
        <v>1</v>
      </c>
      <c r="M3908" s="24" t="s">
        <v>5971</v>
      </c>
      <c r="N3908" s="2" t="s">
        <v>23</v>
      </c>
      <c r="O3908" s="18" t="s">
        <v>3002</v>
      </c>
      <c r="P3908" s="18" t="s">
        <v>0</v>
      </c>
      <c r="Q3908" s="6" t="s">
        <v>4475</v>
      </c>
      <c r="T3908" s="23">
        <v>45626</v>
      </c>
      <c r="U3908" s="23">
        <v>48274</v>
      </c>
      <c r="X3908" s="20">
        <v>22000</v>
      </c>
      <c r="Z3908" s="6" t="s">
        <v>5978</v>
      </c>
      <c r="AA3908" s="14">
        <f t="shared" si="527"/>
        <v>5.9999999999999995E-4</v>
      </c>
      <c r="AB3908">
        <v>11.797488</v>
      </c>
      <c r="AC3908">
        <v>12.26938752</v>
      </c>
    </row>
    <row r="3909" spans="1:29" x14ac:dyDescent="0.3">
      <c r="A3909">
        <v>144172</v>
      </c>
      <c r="B3909" s="25" t="s">
        <v>5984</v>
      </c>
      <c r="C3909" t="s">
        <v>20</v>
      </c>
      <c r="D3909" t="s">
        <v>21</v>
      </c>
      <c r="E3909">
        <v>2222222</v>
      </c>
      <c r="F3909" s="8" t="s">
        <v>22</v>
      </c>
      <c r="G3909" s="2">
        <v>98</v>
      </c>
      <c r="H3909" t="s">
        <v>4532</v>
      </c>
      <c r="J3909" s="9" t="s">
        <v>5050</v>
      </c>
      <c r="K3909" t="s">
        <v>5245</v>
      </c>
      <c r="L3909" s="2">
        <v>1</v>
      </c>
      <c r="M3909" s="24" t="s">
        <v>5971</v>
      </c>
      <c r="N3909" s="2" t="s">
        <v>23</v>
      </c>
      <c r="O3909" s="18" t="s">
        <v>3003</v>
      </c>
      <c r="P3909" s="18" t="s">
        <v>3781</v>
      </c>
      <c r="Q3909" s="6" t="s">
        <v>4475</v>
      </c>
      <c r="T3909" s="23">
        <v>45643</v>
      </c>
      <c r="U3909" s="23">
        <v>46372</v>
      </c>
      <c r="X3909" s="20">
        <v>1000</v>
      </c>
      <c r="Z3909" s="6" t="s">
        <v>5978</v>
      </c>
      <c r="AA3909" s="14">
        <f t="shared" si="527"/>
        <v>5.9999999999999995E-4</v>
      </c>
      <c r="AB3909">
        <v>0.14192399999999999</v>
      </c>
      <c r="AC3909">
        <v>0.14760096</v>
      </c>
    </row>
    <row r="3910" spans="1:29" x14ac:dyDescent="0.3">
      <c r="A3910">
        <v>144590</v>
      </c>
      <c r="B3910" s="25" t="s">
        <v>5984</v>
      </c>
      <c r="C3910" t="s">
        <v>20</v>
      </c>
      <c r="D3910" t="s">
        <v>21</v>
      </c>
      <c r="E3910">
        <v>2222222</v>
      </c>
      <c r="F3910" s="8" t="s">
        <v>22</v>
      </c>
      <c r="G3910" s="2">
        <v>98</v>
      </c>
      <c r="H3910" t="s">
        <v>4532</v>
      </c>
      <c r="J3910" s="9" t="s">
        <v>5848</v>
      </c>
      <c r="K3910" t="s">
        <v>5389</v>
      </c>
      <c r="L3910" s="2">
        <v>1</v>
      </c>
      <c r="M3910" s="24" t="s">
        <v>5971</v>
      </c>
      <c r="N3910" s="2" t="s">
        <v>23</v>
      </c>
      <c r="O3910" s="18" t="s">
        <v>3004</v>
      </c>
      <c r="P3910" s="18" t="s">
        <v>3781</v>
      </c>
      <c r="Q3910" s="6" t="s">
        <v>4475</v>
      </c>
      <c r="T3910" s="23">
        <v>45686</v>
      </c>
      <c r="U3910" s="23">
        <v>50072</v>
      </c>
      <c r="X3910" s="20">
        <v>60000</v>
      </c>
      <c r="Z3910" s="6" t="s">
        <v>5978</v>
      </c>
      <c r="AA3910" s="14">
        <f t="shared" si="527"/>
        <v>5.9999999999999995E-4</v>
      </c>
      <c r="AB3910">
        <v>33.098273999999996</v>
      </c>
      <c r="AC3910">
        <v>34.422204959999995</v>
      </c>
    </row>
    <row r="3911" spans="1:29" x14ac:dyDescent="0.3">
      <c r="A3911">
        <v>145360</v>
      </c>
      <c r="B3911" s="25" t="s">
        <v>5984</v>
      </c>
      <c r="C3911" t="s">
        <v>20</v>
      </c>
      <c r="D3911" t="s">
        <v>21</v>
      </c>
      <c r="E3911">
        <v>2222222</v>
      </c>
      <c r="F3911" s="8" t="s">
        <v>22</v>
      </c>
      <c r="G3911" s="2">
        <v>98</v>
      </c>
      <c r="H3911" t="s">
        <v>4532</v>
      </c>
      <c r="J3911" s="9" t="s">
        <v>4890</v>
      </c>
      <c r="K3911" t="s">
        <v>5088</v>
      </c>
      <c r="L3911" s="2">
        <v>1</v>
      </c>
      <c r="M3911" s="24" t="s">
        <v>5971</v>
      </c>
      <c r="N3911" s="2" t="s">
        <v>23</v>
      </c>
      <c r="O3911" s="18" t="s">
        <v>3005</v>
      </c>
      <c r="P3911" s="18" t="s">
        <v>3781</v>
      </c>
      <c r="Q3911" s="6" t="s">
        <v>4475</v>
      </c>
      <c r="T3911" s="23">
        <v>45737</v>
      </c>
      <c r="U3911" s="23">
        <v>46832</v>
      </c>
      <c r="X3911" s="20">
        <v>4000</v>
      </c>
      <c r="Z3911" s="6" t="s">
        <v>5978</v>
      </c>
      <c r="AA3911" s="14">
        <f t="shared" si="527"/>
        <v>5.9999999999999995E-4</v>
      </c>
      <c r="AB3911">
        <v>1.4248439999999998</v>
      </c>
      <c r="AC3911">
        <v>1.4818377599999999</v>
      </c>
    </row>
    <row r="3912" spans="1:29" x14ac:dyDescent="0.3">
      <c r="A3912">
        <v>145488</v>
      </c>
      <c r="B3912" s="25" t="s">
        <v>5984</v>
      </c>
      <c r="C3912" t="s">
        <v>20</v>
      </c>
      <c r="D3912" t="s">
        <v>21</v>
      </c>
      <c r="E3912">
        <v>2222222</v>
      </c>
      <c r="F3912" s="8" t="s">
        <v>22</v>
      </c>
      <c r="G3912" s="2">
        <v>98</v>
      </c>
      <c r="H3912" t="s">
        <v>4532</v>
      </c>
      <c r="J3912" s="9" t="s">
        <v>4917</v>
      </c>
      <c r="K3912" t="s">
        <v>4924</v>
      </c>
      <c r="L3912" s="2">
        <v>1</v>
      </c>
      <c r="M3912" s="24" t="s">
        <v>5971</v>
      </c>
      <c r="N3912" s="2" t="s">
        <v>23</v>
      </c>
      <c r="O3912" s="18" t="s">
        <v>3006</v>
      </c>
      <c r="P3912" s="18" t="s">
        <v>3781</v>
      </c>
      <c r="Q3912" s="6" t="s">
        <v>4475</v>
      </c>
      <c r="T3912" s="23">
        <v>45744</v>
      </c>
      <c r="U3912" s="23">
        <v>46473</v>
      </c>
      <c r="X3912" s="20">
        <v>1500</v>
      </c>
      <c r="Z3912" s="6" t="s">
        <v>5978</v>
      </c>
      <c r="AA3912" s="14">
        <f t="shared" si="527"/>
        <v>5.9999999999999995E-4</v>
      </c>
      <c r="AB3912">
        <v>0.33469199999999999</v>
      </c>
      <c r="AC3912">
        <v>0.34807968</v>
      </c>
    </row>
    <row r="3913" spans="1:29" x14ac:dyDescent="0.3">
      <c r="A3913">
        <v>145879</v>
      </c>
      <c r="B3913" s="25" t="s">
        <v>5984</v>
      </c>
      <c r="C3913" t="s">
        <v>20</v>
      </c>
      <c r="D3913" t="s">
        <v>21</v>
      </c>
      <c r="E3913">
        <v>2222222</v>
      </c>
      <c r="F3913" s="8" t="s">
        <v>22</v>
      </c>
      <c r="G3913" s="2">
        <v>98</v>
      </c>
      <c r="H3913" t="s">
        <v>4532</v>
      </c>
      <c r="J3913" s="9" t="s">
        <v>4830</v>
      </c>
      <c r="K3913" t="s">
        <v>5245</v>
      </c>
      <c r="L3913" s="2">
        <v>1</v>
      </c>
      <c r="M3913" s="24" t="s">
        <v>5971</v>
      </c>
      <c r="N3913" s="2" t="s">
        <v>23</v>
      </c>
      <c r="O3913" s="18" t="s">
        <v>3007</v>
      </c>
      <c r="P3913" s="18" t="s">
        <v>3781</v>
      </c>
      <c r="Q3913" s="6" t="s">
        <v>4475</v>
      </c>
      <c r="T3913" s="23">
        <v>45771</v>
      </c>
      <c r="U3913" s="23">
        <v>46258</v>
      </c>
      <c r="X3913" s="20">
        <v>1500</v>
      </c>
      <c r="Z3913" s="6" t="s">
        <v>5978</v>
      </c>
      <c r="AA3913" s="14">
        <f t="shared" si="527"/>
        <v>5.9999999999999995E-4</v>
      </c>
      <c r="AB3913">
        <v>6.2640000000000001E-2</v>
      </c>
      <c r="AC3913">
        <v>6.5145599999999998E-2</v>
      </c>
    </row>
    <row r="3914" spans="1:29" x14ac:dyDescent="0.3">
      <c r="A3914">
        <v>146429</v>
      </c>
      <c r="B3914" s="25" t="s">
        <v>5984</v>
      </c>
      <c r="C3914" t="s">
        <v>20</v>
      </c>
      <c r="D3914" t="s">
        <v>21</v>
      </c>
      <c r="E3914">
        <v>2222222</v>
      </c>
      <c r="F3914" s="8" t="s">
        <v>22</v>
      </c>
      <c r="G3914" s="2">
        <v>98</v>
      </c>
      <c r="H3914" t="s">
        <v>4532</v>
      </c>
      <c r="J3914" s="9" t="s">
        <v>5048</v>
      </c>
      <c r="K3914" t="s">
        <v>4980</v>
      </c>
      <c r="L3914" s="2">
        <v>1</v>
      </c>
      <c r="M3914" s="24" t="s">
        <v>5971</v>
      </c>
      <c r="N3914" s="2" t="s">
        <v>23</v>
      </c>
      <c r="O3914" s="18" t="s">
        <v>3008</v>
      </c>
      <c r="P3914" s="18" t="s">
        <v>3781</v>
      </c>
      <c r="Q3914" s="6" t="s">
        <v>4475</v>
      </c>
      <c r="T3914" s="23">
        <v>45817</v>
      </c>
      <c r="U3914" s="23">
        <v>46547</v>
      </c>
      <c r="X3914" s="20">
        <v>5000</v>
      </c>
      <c r="Z3914" s="6" t="s">
        <v>5978</v>
      </c>
      <c r="AA3914" s="14">
        <f t="shared" si="527"/>
        <v>5.9999999999999995E-4</v>
      </c>
      <c r="AB3914">
        <v>1.5101819999999997</v>
      </c>
      <c r="AC3914">
        <v>1.5705892799999996</v>
      </c>
    </row>
    <row r="3915" spans="1:29" x14ac:dyDescent="0.3">
      <c r="A3915">
        <v>146676</v>
      </c>
      <c r="B3915" s="25" t="s">
        <v>5984</v>
      </c>
      <c r="C3915" t="s">
        <v>20</v>
      </c>
      <c r="D3915" t="s">
        <v>21</v>
      </c>
      <c r="E3915">
        <v>2222222</v>
      </c>
      <c r="F3915" s="8" t="s">
        <v>22</v>
      </c>
      <c r="G3915" s="2">
        <v>98</v>
      </c>
      <c r="H3915" t="s">
        <v>4532</v>
      </c>
      <c r="J3915" s="9" t="s">
        <v>5849</v>
      </c>
      <c r="K3915" t="s">
        <v>4878</v>
      </c>
      <c r="L3915" s="2">
        <v>1</v>
      </c>
      <c r="M3915" s="24" t="s">
        <v>5971</v>
      </c>
      <c r="N3915" s="2" t="s">
        <v>23</v>
      </c>
      <c r="O3915" s="18" t="s">
        <v>3009</v>
      </c>
      <c r="P3915" s="18" t="s">
        <v>0</v>
      </c>
      <c r="Q3915" s="6" t="s">
        <v>4475</v>
      </c>
      <c r="T3915" s="23">
        <v>45919</v>
      </c>
      <c r="U3915" s="23">
        <v>49576</v>
      </c>
      <c r="X3915" s="20">
        <v>40000</v>
      </c>
      <c r="Z3915" s="6" t="s">
        <v>5978</v>
      </c>
      <c r="AA3915" s="14">
        <f t="shared" si="527"/>
        <v>5.9999999999999995E-4</v>
      </c>
      <c r="AB3915">
        <v>23.076257999999999</v>
      </c>
      <c r="AC3915">
        <v>23.999308320000001</v>
      </c>
    </row>
    <row r="3916" spans="1:29" x14ac:dyDescent="0.3">
      <c r="A3916">
        <v>146731</v>
      </c>
      <c r="B3916" s="25" t="s">
        <v>5984</v>
      </c>
      <c r="C3916" t="s">
        <v>20</v>
      </c>
      <c r="D3916" t="s">
        <v>21</v>
      </c>
      <c r="E3916">
        <v>2222222</v>
      </c>
      <c r="F3916" s="8" t="s">
        <v>22</v>
      </c>
      <c r="G3916" s="2">
        <v>98</v>
      </c>
      <c r="H3916" t="s">
        <v>4532</v>
      </c>
      <c r="J3916" s="9" t="s">
        <v>5042</v>
      </c>
      <c r="K3916" t="s">
        <v>5019</v>
      </c>
      <c r="L3916" s="2">
        <v>1</v>
      </c>
      <c r="M3916" s="24" t="s">
        <v>5971</v>
      </c>
      <c r="N3916" s="2" t="s">
        <v>23</v>
      </c>
      <c r="O3916" s="18" t="s">
        <v>2176</v>
      </c>
      <c r="P3916" s="18" t="s">
        <v>3781</v>
      </c>
      <c r="Q3916" s="6" t="s">
        <v>4475</v>
      </c>
      <c r="T3916" s="23">
        <v>45839</v>
      </c>
      <c r="U3916" s="23">
        <v>46935</v>
      </c>
      <c r="X3916" s="20">
        <v>5000</v>
      </c>
      <c r="Z3916" s="6" t="s">
        <v>5978</v>
      </c>
      <c r="AA3916" s="14">
        <f t="shared" si="527"/>
        <v>5.9999999999999995E-4</v>
      </c>
      <c r="AB3916">
        <v>2.1734519999999997</v>
      </c>
      <c r="AC3916">
        <v>2.2603900799999996</v>
      </c>
    </row>
    <row r="3917" spans="1:29" x14ac:dyDescent="0.3">
      <c r="A3917">
        <v>146809</v>
      </c>
      <c r="B3917" s="25" t="s">
        <v>5984</v>
      </c>
      <c r="C3917" t="s">
        <v>20</v>
      </c>
      <c r="D3917" t="s">
        <v>21</v>
      </c>
      <c r="E3917">
        <v>2222222</v>
      </c>
      <c r="F3917" s="8" t="s">
        <v>22</v>
      </c>
      <c r="G3917" s="2">
        <v>98</v>
      </c>
      <c r="H3917" t="s">
        <v>4532</v>
      </c>
      <c r="J3917" s="9" t="s">
        <v>4929</v>
      </c>
      <c r="K3917" t="s">
        <v>4949</v>
      </c>
      <c r="L3917" s="2">
        <v>1</v>
      </c>
      <c r="M3917" s="24" t="s">
        <v>5971</v>
      </c>
      <c r="N3917" s="2" t="s">
        <v>23</v>
      </c>
      <c r="O3917" s="18" t="s">
        <v>3010</v>
      </c>
      <c r="P3917" s="18" t="s">
        <v>0</v>
      </c>
      <c r="Q3917" s="6" t="s">
        <v>4475</v>
      </c>
      <c r="T3917" s="23">
        <v>45849</v>
      </c>
      <c r="U3917" s="23">
        <v>47674</v>
      </c>
      <c r="X3917" s="20">
        <v>16500</v>
      </c>
      <c r="Z3917" s="6" t="s">
        <v>5978</v>
      </c>
      <c r="AA3917" s="14">
        <f t="shared" si="527"/>
        <v>5.9999999999999995E-4</v>
      </c>
      <c r="AB3917">
        <v>8.4979259999999979</v>
      </c>
      <c r="AC3917">
        <v>8.8378430399999974</v>
      </c>
    </row>
    <row r="3918" spans="1:29" x14ac:dyDescent="0.3">
      <c r="A3918">
        <v>147926</v>
      </c>
      <c r="B3918" s="25" t="s">
        <v>5984</v>
      </c>
      <c r="C3918" t="s">
        <v>20</v>
      </c>
      <c r="D3918" t="s">
        <v>21</v>
      </c>
      <c r="E3918">
        <v>2222222</v>
      </c>
      <c r="F3918" s="8" t="s">
        <v>22</v>
      </c>
      <c r="G3918" s="2">
        <v>98</v>
      </c>
      <c r="H3918" t="s">
        <v>4532</v>
      </c>
      <c r="J3918" s="9" t="s">
        <v>5214</v>
      </c>
      <c r="K3918" t="s">
        <v>5024</v>
      </c>
      <c r="L3918" s="2">
        <v>1</v>
      </c>
      <c r="M3918" s="24" t="s">
        <v>5971</v>
      </c>
      <c r="N3918" s="2" t="s">
        <v>23</v>
      </c>
      <c r="O3918" s="18" t="s">
        <v>3011</v>
      </c>
      <c r="P3918" s="18" t="s">
        <v>0</v>
      </c>
      <c r="Q3918" s="6" t="s">
        <v>4475</v>
      </c>
      <c r="T3918" s="23">
        <v>45923</v>
      </c>
      <c r="U3918" s="23">
        <v>46469</v>
      </c>
      <c r="X3918" s="20">
        <v>2200</v>
      </c>
      <c r="Z3918" s="6" t="s">
        <v>5978</v>
      </c>
      <c r="AA3918" s="14">
        <f t="shared" si="527"/>
        <v>5.9999999999999995E-4</v>
      </c>
      <c r="AB3918">
        <v>0.62812199999999985</v>
      </c>
      <c r="AC3918">
        <v>0.65324687999999986</v>
      </c>
    </row>
    <row r="3919" spans="1:29" x14ac:dyDescent="0.3">
      <c r="A3919">
        <v>147943</v>
      </c>
      <c r="B3919" s="25" t="s">
        <v>5984</v>
      </c>
      <c r="C3919" t="s">
        <v>20</v>
      </c>
      <c r="D3919" t="s">
        <v>21</v>
      </c>
      <c r="E3919">
        <v>2222222</v>
      </c>
      <c r="F3919" s="8" t="s">
        <v>22</v>
      </c>
      <c r="G3919" s="2">
        <v>98</v>
      </c>
      <c r="H3919" t="s">
        <v>4532</v>
      </c>
      <c r="J3919" s="9" t="s">
        <v>4993</v>
      </c>
      <c r="K3919" t="s">
        <v>5123</v>
      </c>
      <c r="L3919" s="2">
        <v>1</v>
      </c>
      <c r="M3919" s="24" t="s">
        <v>5971</v>
      </c>
      <c r="N3919" s="2" t="s">
        <v>23</v>
      </c>
      <c r="O3919" s="18" t="s">
        <v>3012</v>
      </c>
      <c r="P3919" s="18" t="s">
        <v>3781</v>
      </c>
      <c r="Q3919" s="6" t="s">
        <v>4475</v>
      </c>
      <c r="T3919" s="23">
        <v>45930</v>
      </c>
      <c r="U3919" s="23">
        <v>47026</v>
      </c>
      <c r="X3919" s="20">
        <v>15000</v>
      </c>
      <c r="Z3919" s="6" t="s">
        <v>5978</v>
      </c>
      <c r="AA3919" s="14">
        <f t="shared" si="527"/>
        <v>5.9999999999999995E-4</v>
      </c>
      <c r="AB3919">
        <v>6.81501</v>
      </c>
      <c r="AC3919">
        <v>7.0876104</v>
      </c>
    </row>
    <row r="3920" spans="1:29" x14ac:dyDescent="0.3">
      <c r="A3920">
        <v>148268</v>
      </c>
      <c r="B3920" s="25" t="s">
        <v>5984</v>
      </c>
      <c r="C3920" t="s">
        <v>20</v>
      </c>
      <c r="D3920" t="s">
        <v>21</v>
      </c>
      <c r="E3920">
        <v>2222222</v>
      </c>
      <c r="F3920" s="8" t="s">
        <v>22</v>
      </c>
      <c r="G3920" s="2">
        <v>98</v>
      </c>
      <c r="H3920" t="s">
        <v>4532</v>
      </c>
      <c r="J3920" s="9" t="s">
        <v>5055</v>
      </c>
      <c r="K3920" t="s">
        <v>4991</v>
      </c>
      <c r="L3920" s="2">
        <v>1</v>
      </c>
      <c r="M3920" s="24" t="s">
        <v>5971</v>
      </c>
      <c r="N3920" s="2" t="s">
        <v>23</v>
      </c>
      <c r="O3920" s="18" t="s">
        <v>3013</v>
      </c>
      <c r="P3920" s="18" t="s">
        <v>3781</v>
      </c>
      <c r="Q3920" s="6" t="s">
        <v>4475</v>
      </c>
      <c r="T3920" s="23">
        <v>45950</v>
      </c>
      <c r="U3920" s="23">
        <v>47410</v>
      </c>
      <c r="X3920" s="20">
        <v>5000</v>
      </c>
      <c r="Z3920" s="6" t="s">
        <v>5978</v>
      </c>
      <c r="AA3920" s="14">
        <f t="shared" si="527"/>
        <v>5.9999999999999995E-4</v>
      </c>
      <c r="AB3920">
        <v>2.5869419999999996</v>
      </c>
      <c r="AC3920">
        <v>2.6904196799999998</v>
      </c>
    </row>
    <row r="3921" spans="1:29" x14ac:dyDescent="0.3">
      <c r="A3921">
        <v>148271</v>
      </c>
      <c r="B3921" s="25" t="s">
        <v>5984</v>
      </c>
      <c r="C3921" t="s">
        <v>20</v>
      </c>
      <c r="D3921" t="s">
        <v>21</v>
      </c>
      <c r="E3921">
        <v>2222222</v>
      </c>
      <c r="F3921" s="8" t="s">
        <v>22</v>
      </c>
      <c r="G3921" s="2">
        <v>98</v>
      </c>
      <c r="H3921" t="s">
        <v>4532</v>
      </c>
      <c r="J3921" s="9" t="s">
        <v>5141</v>
      </c>
      <c r="K3921" t="s">
        <v>4947</v>
      </c>
      <c r="L3921" s="2">
        <v>1</v>
      </c>
      <c r="M3921" s="24" t="s">
        <v>5971</v>
      </c>
      <c r="N3921" s="2" t="s">
        <v>23</v>
      </c>
      <c r="O3921" s="18" t="s">
        <v>3014</v>
      </c>
      <c r="P3921" s="18" t="s">
        <v>3781</v>
      </c>
      <c r="Q3921" s="6" t="s">
        <v>4475</v>
      </c>
      <c r="T3921" s="23">
        <v>45950</v>
      </c>
      <c r="U3921" s="23">
        <v>47410</v>
      </c>
      <c r="X3921" s="20">
        <v>4790</v>
      </c>
      <c r="Z3921" s="6" t="s">
        <v>5978</v>
      </c>
      <c r="AA3921" s="14">
        <f t="shared" si="527"/>
        <v>5.9999999999999995E-4</v>
      </c>
      <c r="AB3921">
        <v>2.4783239999999997</v>
      </c>
      <c r="AC3921">
        <v>2.5774569599999997</v>
      </c>
    </row>
    <row r="3922" spans="1:29" x14ac:dyDescent="0.3">
      <c r="A3922">
        <v>148569</v>
      </c>
      <c r="B3922" s="25" t="s">
        <v>5984</v>
      </c>
      <c r="C3922" t="s">
        <v>20</v>
      </c>
      <c r="D3922" t="s">
        <v>21</v>
      </c>
      <c r="E3922">
        <v>2222222</v>
      </c>
      <c r="F3922" s="8" t="s">
        <v>22</v>
      </c>
      <c r="G3922" s="2">
        <v>98</v>
      </c>
      <c r="H3922" t="s">
        <v>4532</v>
      </c>
      <c r="J3922" s="9" t="s">
        <v>5267</v>
      </c>
      <c r="K3922" t="s">
        <v>4863</v>
      </c>
      <c r="L3922" s="2">
        <v>1</v>
      </c>
      <c r="M3922" s="24" t="s">
        <v>5971</v>
      </c>
      <c r="N3922" s="2" t="s">
        <v>23</v>
      </c>
      <c r="O3922" s="18" t="s">
        <v>3015</v>
      </c>
      <c r="P3922" s="18" t="s">
        <v>3781</v>
      </c>
      <c r="Q3922" s="6" t="s">
        <v>4475</v>
      </c>
      <c r="T3922" s="23">
        <v>45729</v>
      </c>
      <c r="U3922" s="23">
        <v>47547</v>
      </c>
      <c r="X3922" s="20">
        <v>6000</v>
      </c>
      <c r="Z3922" s="6" t="s">
        <v>5978</v>
      </c>
      <c r="AA3922" s="14">
        <f t="shared" si="527"/>
        <v>5.9999999999999995E-4</v>
      </c>
      <c r="AB3922">
        <v>2.8874159999999995</v>
      </c>
      <c r="AC3922">
        <v>3.0029126399999995</v>
      </c>
    </row>
    <row r="3923" spans="1:29" x14ac:dyDescent="0.3">
      <c r="A3923">
        <v>148640</v>
      </c>
      <c r="B3923" s="25" t="s">
        <v>5984</v>
      </c>
      <c r="C3923" t="s">
        <v>20</v>
      </c>
      <c r="D3923" t="s">
        <v>21</v>
      </c>
      <c r="E3923">
        <v>2222222</v>
      </c>
      <c r="F3923" s="8" t="s">
        <v>22</v>
      </c>
      <c r="G3923" s="2">
        <v>98</v>
      </c>
      <c r="H3923" t="s">
        <v>4532</v>
      </c>
      <c r="J3923" s="9" t="s">
        <v>5850</v>
      </c>
      <c r="K3923" t="s">
        <v>5018</v>
      </c>
      <c r="L3923" s="2">
        <v>1</v>
      </c>
      <c r="M3923" s="24" t="s">
        <v>5971</v>
      </c>
      <c r="N3923" s="2" t="s">
        <v>23</v>
      </c>
      <c r="O3923" s="18" t="s">
        <v>416</v>
      </c>
      <c r="P3923" s="18" t="s">
        <v>0</v>
      </c>
      <c r="Q3923" s="6" t="s">
        <v>4475</v>
      </c>
      <c r="T3923" s="23">
        <v>45968</v>
      </c>
      <c r="U3923" s="23">
        <v>46880</v>
      </c>
      <c r="X3923" s="20">
        <v>1585</v>
      </c>
      <c r="Z3923" s="6" t="s">
        <v>5978</v>
      </c>
      <c r="AA3923" s="14">
        <f t="shared" si="527"/>
        <v>5.9999999999999995E-4</v>
      </c>
      <c r="AB3923">
        <v>0.73520399999999986</v>
      </c>
      <c r="AC3923">
        <v>0.76461215999999987</v>
      </c>
    </row>
    <row r="3924" spans="1:29" x14ac:dyDescent="0.3">
      <c r="A3924">
        <v>148820</v>
      </c>
      <c r="B3924" s="25" t="s">
        <v>5984</v>
      </c>
      <c r="C3924" t="s">
        <v>20</v>
      </c>
      <c r="D3924" t="s">
        <v>21</v>
      </c>
      <c r="E3924">
        <v>2222222</v>
      </c>
      <c r="F3924" s="8" t="s">
        <v>22</v>
      </c>
      <c r="G3924" s="2">
        <v>98</v>
      </c>
      <c r="H3924" t="s">
        <v>4532</v>
      </c>
      <c r="J3924" s="9" t="s">
        <v>5048</v>
      </c>
      <c r="K3924" t="s">
        <v>4980</v>
      </c>
      <c r="L3924" s="2">
        <v>1</v>
      </c>
      <c r="M3924" s="24" t="s">
        <v>5971</v>
      </c>
      <c r="N3924" s="2" t="s">
        <v>23</v>
      </c>
      <c r="O3924" s="18" t="s">
        <v>3008</v>
      </c>
      <c r="P3924" s="18" t="s">
        <v>3781</v>
      </c>
      <c r="Q3924" s="6" t="s">
        <v>4475</v>
      </c>
      <c r="T3924" s="23">
        <v>45981</v>
      </c>
      <c r="U3924" s="23">
        <v>46711</v>
      </c>
      <c r="X3924" s="20">
        <v>2000</v>
      </c>
      <c r="Z3924" s="6" t="s">
        <v>5978</v>
      </c>
      <c r="AA3924" s="14">
        <f t="shared" si="527"/>
        <v>5.9999999999999995E-4</v>
      </c>
      <c r="AB3924">
        <v>0.84397800000000001</v>
      </c>
      <c r="AC3924">
        <v>0.87773712000000004</v>
      </c>
    </row>
    <row r="3925" spans="1:29" x14ac:dyDescent="0.3">
      <c r="A3925">
        <v>149100</v>
      </c>
      <c r="B3925" s="25" t="s">
        <v>5984</v>
      </c>
      <c r="C3925" t="s">
        <v>20</v>
      </c>
      <c r="D3925" t="s">
        <v>21</v>
      </c>
      <c r="E3925">
        <v>2222222</v>
      </c>
      <c r="F3925" s="8" t="s">
        <v>22</v>
      </c>
      <c r="G3925" s="2">
        <v>98</v>
      </c>
      <c r="H3925" t="s">
        <v>4532</v>
      </c>
      <c r="J3925" s="9" t="s">
        <v>4945</v>
      </c>
      <c r="K3925" t="s">
        <v>5241</v>
      </c>
      <c r="L3925" s="2">
        <v>1</v>
      </c>
      <c r="M3925" s="24" t="s">
        <v>5971</v>
      </c>
      <c r="N3925" s="2" t="s">
        <v>23</v>
      </c>
      <c r="O3925" s="18" t="s">
        <v>3016</v>
      </c>
      <c r="P3925" s="18" t="s">
        <v>0</v>
      </c>
      <c r="Q3925" s="6" t="s">
        <v>4475</v>
      </c>
      <c r="T3925" s="23">
        <v>46000</v>
      </c>
      <c r="U3925" s="23">
        <v>46334</v>
      </c>
      <c r="X3925" s="20">
        <v>2000</v>
      </c>
      <c r="Z3925" s="6" t="s">
        <v>5978</v>
      </c>
      <c r="AA3925" s="14">
        <f t="shared" si="527"/>
        <v>5.9999999999999995E-4</v>
      </c>
      <c r="AB3925">
        <v>0.45732599999999995</v>
      </c>
      <c r="AC3925">
        <v>0.47561903999999999</v>
      </c>
    </row>
    <row r="3926" spans="1:29" x14ac:dyDescent="0.3">
      <c r="A3926">
        <v>149256</v>
      </c>
      <c r="B3926" s="25" t="s">
        <v>5984</v>
      </c>
      <c r="C3926" t="s">
        <v>20</v>
      </c>
      <c r="D3926" t="s">
        <v>21</v>
      </c>
      <c r="E3926">
        <v>2222222</v>
      </c>
      <c r="F3926" s="8" t="s">
        <v>22</v>
      </c>
      <c r="G3926" s="2">
        <v>98</v>
      </c>
      <c r="H3926" t="s">
        <v>4532</v>
      </c>
      <c r="J3926" s="9" t="s">
        <v>4911</v>
      </c>
      <c r="K3926" t="s">
        <v>5208</v>
      </c>
      <c r="L3926" s="2">
        <v>1</v>
      </c>
      <c r="M3926" s="24" t="s">
        <v>5971</v>
      </c>
      <c r="N3926" s="2" t="s">
        <v>23</v>
      </c>
      <c r="O3926" s="18" t="s">
        <v>3017</v>
      </c>
      <c r="P3926" s="18" t="s">
        <v>3781</v>
      </c>
      <c r="Q3926" s="6" t="s">
        <v>4475</v>
      </c>
      <c r="T3926" s="23">
        <v>46008</v>
      </c>
      <c r="U3926" s="23">
        <v>47468</v>
      </c>
      <c r="X3926" s="20">
        <v>4350</v>
      </c>
      <c r="Z3926" s="6" t="s">
        <v>5978</v>
      </c>
      <c r="AA3926" s="14">
        <f t="shared" si="527"/>
        <v>5.9999999999999995E-4</v>
      </c>
      <c r="AB3926">
        <v>2.3339759999999998</v>
      </c>
      <c r="AC3926">
        <v>2.42733504</v>
      </c>
    </row>
    <row r="3927" spans="1:29" x14ac:dyDescent="0.3">
      <c r="A3927">
        <v>149288</v>
      </c>
      <c r="B3927" s="25" t="s">
        <v>5984</v>
      </c>
      <c r="C3927" t="s">
        <v>20</v>
      </c>
      <c r="D3927" t="s">
        <v>21</v>
      </c>
      <c r="E3927">
        <v>2222222</v>
      </c>
      <c r="F3927" s="8" t="s">
        <v>22</v>
      </c>
      <c r="G3927" s="2">
        <v>98</v>
      </c>
      <c r="H3927" t="s">
        <v>4532</v>
      </c>
      <c r="J3927" s="9" t="s">
        <v>5055</v>
      </c>
      <c r="K3927" t="s">
        <v>5851</v>
      </c>
      <c r="L3927" s="2">
        <v>1</v>
      </c>
      <c r="M3927" s="24" t="s">
        <v>5971</v>
      </c>
      <c r="N3927" s="2" t="s">
        <v>23</v>
      </c>
      <c r="O3927" s="18" t="s">
        <v>1434</v>
      </c>
      <c r="P3927" s="18" t="s">
        <v>3781</v>
      </c>
      <c r="Q3927" s="6" t="s">
        <v>4475</v>
      </c>
      <c r="T3927" s="23">
        <v>46010</v>
      </c>
      <c r="U3927" s="23">
        <v>47105</v>
      </c>
      <c r="X3927" s="20">
        <v>4000</v>
      </c>
      <c r="Z3927" s="6" t="s">
        <v>5978</v>
      </c>
      <c r="AA3927" s="14">
        <f t="shared" si="527"/>
        <v>5.9999999999999995E-4</v>
      </c>
      <c r="AB3927">
        <v>2.0222879999999996</v>
      </c>
      <c r="AC3927">
        <v>2.1031795199999999</v>
      </c>
    </row>
    <row r="3928" spans="1:29" x14ac:dyDescent="0.3">
      <c r="A3928">
        <v>149887</v>
      </c>
      <c r="B3928" s="25" t="s">
        <v>5984</v>
      </c>
      <c r="C3928" t="s">
        <v>20</v>
      </c>
      <c r="D3928" t="s">
        <v>21</v>
      </c>
      <c r="E3928">
        <v>2222222</v>
      </c>
      <c r="F3928" s="8" t="s">
        <v>22</v>
      </c>
      <c r="G3928" s="2">
        <v>98</v>
      </c>
      <c r="H3928" t="s">
        <v>4532</v>
      </c>
      <c r="J3928" s="9" t="s">
        <v>4967</v>
      </c>
      <c r="K3928" t="s">
        <v>5004</v>
      </c>
      <c r="L3928" s="2">
        <v>1</v>
      </c>
      <c r="M3928" s="24" t="s">
        <v>5971</v>
      </c>
      <c r="N3928" s="2" t="s">
        <v>23</v>
      </c>
      <c r="O3928" s="18" t="s">
        <v>3018</v>
      </c>
      <c r="P3928" s="18" t="s">
        <v>3781</v>
      </c>
      <c r="Q3928" s="6" t="s">
        <v>4475</v>
      </c>
      <c r="T3928" s="23">
        <v>46056</v>
      </c>
      <c r="U3928" s="23">
        <v>46423</v>
      </c>
      <c r="X3928" s="20">
        <v>1000</v>
      </c>
      <c r="Z3928" s="6" t="s">
        <v>5978</v>
      </c>
      <c r="AA3928" s="14">
        <f t="shared" si="527"/>
        <v>5.9999999999999995E-4</v>
      </c>
      <c r="AB3928">
        <v>0.36238199999999998</v>
      </c>
      <c r="AC3928">
        <v>0.37687727999999998</v>
      </c>
    </row>
    <row r="3929" spans="1:29" x14ac:dyDescent="0.3">
      <c r="A3929">
        <v>149905</v>
      </c>
      <c r="B3929" s="25" t="s">
        <v>5984</v>
      </c>
      <c r="C3929" t="s">
        <v>20</v>
      </c>
      <c r="D3929" t="s">
        <v>21</v>
      </c>
      <c r="E3929">
        <v>2222222</v>
      </c>
      <c r="F3929" s="8" t="s">
        <v>22</v>
      </c>
      <c r="G3929" s="2">
        <v>98</v>
      </c>
      <c r="H3929" t="s">
        <v>4532</v>
      </c>
      <c r="J3929" s="9" t="s">
        <v>5852</v>
      </c>
      <c r="K3929" t="s">
        <v>5225</v>
      </c>
      <c r="L3929" s="2">
        <v>1</v>
      </c>
      <c r="M3929" s="24" t="s">
        <v>5971</v>
      </c>
      <c r="N3929" s="2" t="s">
        <v>23</v>
      </c>
      <c r="O3929" s="18" t="s">
        <v>3019</v>
      </c>
      <c r="P3929" s="18" t="s">
        <v>3781</v>
      </c>
      <c r="Q3929" s="6" t="s">
        <v>4475</v>
      </c>
      <c r="T3929" s="23">
        <v>46057</v>
      </c>
      <c r="U3929" s="23">
        <v>46362</v>
      </c>
      <c r="X3929" s="20">
        <v>900</v>
      </c>
      <c r="Z3929" s="6" t="s">
        <v>5978</v>
      </c>
      <c r="AA3929" s="14">
        <f t="shared" si="527"/>
        <v>5.9999999999999995E-4</v>
      </c>
      <c r="AB3929">
        <v>0.27961199999999997</v>
      </c>
      <c r="AC3929">
        <v>0.29079647999999997</v>
      </c>
    </row>
    <row r="3930" spans="1:29" x14ac:dyDescent="0.3">
      <c r="A3930">
        <v>149933</v>
      </c>
      <c r="B3930" s="25" t="s">
        <v>5984</v>
      </c>
      <c r="C3930" t="s">
        <v>20</v>
      </c>
      <c r="D3930" t="s">
        <v>21</v>
      </c>
      <c r="E3930">
        <v>2222222</v>
      </c>
      <c r="F3930" s="8" t="s">
        <v>22</v>
      </c>
      <c r="G3930" s="2">
        <v>98</v>
      </c>
      <c r="H3930" t="s">
        <v>4532</v>
      </c>
      <c r="J3930" s="9" t="s">
        <v>5110</v>
      </c>
      <c r="K3930" t="s">
        <v>5853</v>
      </c>
      <c r="L3930" s="2">
        <v>1</v>
      </c>
      <c r="M3930" s="24" t="s">
        <v>5971</v>
      </c>
      <c r="N3930" s="2" t="s">
        <v>23</v>
      </c>
      <c r="O3930" s="18" t="s">
        <v>3020</v>
      </c>
      <c r="P3930" s="18" t="s">
        <v>3781</v>
      </c>
      <c r="Q3930" s="6" t="s">
        <v>4475</v>
      </c>
      <c r="T3930" s="23">
        <v>46059</v>
      </c>
      <c r="U3930" s="23">
        <v>47527</v>
      </c>
      <c r="X3930" s="20">
        <v>2550</v>
      </c>
      <c r="Z3930" s="6" t="s">
        <v>5978</v>
      </c>
      <c r="AA3930" s="14">
        <f t="shared" si="527"/>
        <v>5.9999999999999995E-4</v>
      </c>
      <c r="AB3930">
        <v>1.4171819999999997</v>
      </c>
      <c r="AC3930">
        <v>1.4738692799999997</v>
      </c>
    </row>
    <row r="3931" spans="1:29" x14ac:dyDescent="0.3">
      <c r="A3931">
        <v>150210</v>
      </c>
      <c r="B3931" s="25" t="s">
        <v>5984</v>
      </c>
      <c r="C3931" t="s">
        <v>20</v>
      </c>
      <c r="D3931" t="s">
        <v>21</v>
      </c>
      <c r="E3931">
        <v>2222222</v>
      </c>
      <c r="F3931" s="8" t="s">
        <v>22</v>
      </c>
      <c r="G3931" s="2">
        <v>98</v>
      </c>
      <c r="H3931" t="s">
        <v>4532</v>
      </c>
      <c r="J3931" s="9" t="s">
        <v>5832</v>
      </c>
      <c r="K3931" t="s">
        <v>5854</v>
      </c>
      <c r="L3931" s="2">
        <v>1</v>
      </c>
      <c r="M3931" s="24" t="s">
        <v>5971</v>
      </c>
      <c r="N3931" s="2" t="s">
        <v>23</v>
      </c>
      <c r="O3931" s="18" t="s">
        <v>562</v>
      </c>
      <c r="P3931" s="18" t="s">
        <v>3781</v>
      </c>
      <c r="Q3931" s="6" t="s">
        <v>4475</v>
      </c>
      <c r="T3931" s="23">
        <v>46079</v>
      </c>
      <c r="U3931" s="23">
        <v>46993</v>
      </c>
      <c r="X3931" s="20">
        <v>1625</v>
      </c>
      <c r="Z3931" s="6" t="s">
        <v>5978</v>
      </c>
      <c r="AA3931" s="14">
        <f t="shared" si="527"/>
        <v>5.9999999999999995E-4</v>
      </c>
      <c r="AB3931">
        <v>0.86920199999999992</v>
      </c>
      <c r="AC3931">
        <v>0.9039700799999999</v>
      </c>
    </row>
    <row r="3932" spans="1:29" x14ac:dyDescent="0.3">
      <c r="A3932">
        <v>150503</v>
      </c>
      <c r="B3932" s="25" t="s">
        <v>5984</v>
      </c>
      <c r="C3932" t="s">
        <v>20</v>
      </c>
      <c r="D3932" t="s">
        <v>21</v>
      </c>
      <c r="E3932">
        <v>2222222</v>
      </c>
      <c r="F3932" s="8" t="s">
        <v>22</v>
      </c>
      <c r="G3932" s="2">
        <v>98</v>
      </c>
      <c r="H3932" t="s">
        <v>4532</v>
      </c>
      <c r="J3932" s="9" t="s">
        <v>4911</v>
      </c>
      <c r="K3932" t="s">
        <v>5145</v>
      </c>
      <c r="L3932" s="2">
        <v>1</v>
      </c>
      <c r="M3932" s="24" t="s">
        <v>5971</v>
      </c>
      <c r="N3932" s="2" t="s">
        <v>23</v>
      </c>
      <c r="O3932" s="18" t="s">
        <v>3021</v>
      </c>
      <c r="P3932" s="18" t="s">
        <v>3781</v>
      </c>
      <c r="Q3932" s="6" t="s">
        <v>4475</v>
      </c>
      <c r="T3932" s="23">
        <v>46098</v>
      </c>
      <c r="U3932" s="23">
        <v>46281</v>
      </c>
      <c r="X3932" s="20">
        <v>5000</v>
      </c>
      <c r="Z3932" s="6" t="s">
        <v>5978</v>
      </c>
      <c r="AA3932" s="14">
        <f t="shared" si="527"/>
        <v>5.9999999999999995E-4</v>
      </c>
      <c r="AB3932">
        <v>1.0294140000000001</v>
      </c>
      <c r="AC3932">
        <v>1.0705905600000001</v>
      </c>
    </row>
    <row r="3933" spans="1:29" x14ac:dyDescent="0.3">
      <c r="A3933">
        <v>150509</v>
      </c>
      <c r="B3933" s="25" t="s">
        <v>5984</v>
      </c>
      <c r="C3933" t="s">
        <v>20</v>
      </c>
      <c r="D3933" t="s">
        <v>21</v>
      </c>
      <c r="E3933">
        <v>2222222</v>
      </c>
      <c r="F3933" s="8" t="s">
        <v>22</v>
      </c>
      <c r="G3933" s="2">
        <v>98</v>
      </c>
      <c r="H3933" t="s">
        <v>4532</v>
      </c>
      <c r="J3933" s="9" t="s">
        <v>4836</v>
      </c>
      <c r="K3933" t="s">
        <v>5855</v>
      </c>
      <c r="L3933" s="2">
        <v>1</v>
      </c>
      <c r="M3933" s="24" t="s">
        <v>5971</v>
      </c>
      <c r="N3933" s="2" t="s">
        <v>23</v>
      </c>
      <c r="O3933" s="18" t="s">
        <v>1603</v>
      </c>
      <c r="P3933" s="18" t="s">
        <v>3781</v>
      </c>
      <c r="Q3933" s="6" t="s">
        <v>4475</v>
      </c>
      <c r="T3933" s="23">
        <v>46098</v>
      </c>
      <c r="U3933" s="23">
        <v>46828</v>
      </c>
      <c r="X3933" s="20">
        <v>4000</v>
      </c>
      <c r="Z3933" s="6" t="s">
        <v>5978</v>
      </c>
      <c r="AA3933" s="14">
        <f t="shared" si="527"/>
        <v>5.9999999999999995E-4</v>
      </c>
      <c r="AB3933">
        <v>2.054052</v>
      </c>
      <c r="AC3933">
        <v>2.1362140800000002</v>
      </c>
    </row>
    <row r="3934" spans="1:29" x14ac:dyDescent="0.3">
      <c r="A3934">
        <v>150761</v>
      </c>
      <c r="B3934" s="25" t="s">
        <v>5984</v>
      </c>
      <c r="C3934" t="s">
        <v>20</v>
      </c>
      <c r="D3934" t="s">
        <v>21</v>
      </c>
      <c r="E3934">
        <v>2222222</v>
      </c>
      <c r="F3934" s="8" t="s">
        <v>22</v>
      </c>
      <c r="G3934" s="2">
        <v>98</v>
      </c>
      <c r="H3934" t="s">
        <v>4532</v>
      </c>
      <c r="J3934" s="9" t="s">
        <v>4182</v>
      </c>
      <c r="K3934" t="s">
        <v>5108</v>
      </c>
      <c r="L3934" s="2">
        <v>1</v>
      </c>
      <c r="M3934" s="24" t="s">
        <v>5971</v>
      </c>
      <c r="N3934" s="2" t="s">
        <v>23</v>
      </c>
      <c r="O3934" s="18" t="s">
        <v>2997</v>
      </c>
      <c r="P3934" s="18" t="s">
        <v>0</v>
      </c>
      <c r="Q3934" s="6" t="s">
        <v>4475</v>
      </c>
      <c r="T3934" s="23">
        <v>46134</v>
      </c>
      <c r="U3934" s="23">
        <v>46834</v>
      </c>
      <c r="X3934" s="20">
        <v>63000</v>
      </c>
      <c r="Z3934" s="6" t="s">
        <v>5978</v>
      </c>
      <c r="AA3934" s="14">
        <f t="shared" si="527"/>
        <v>5.9999999999999995E-4</v>
      </c>
      <c r="AB3934">
        <v>33.349415999999998</v>
      </c>
      <c r="AC3934">
        <v>34.683392640000001</v>
      </c>
    </row>
    <row r="3935" spans="1:29" x14ac:dyDescent="0.3">
      <c r="A3935">
        <v>151008</v>
      </c>
      <c r="B3935" s="25" t="s">
        <v>5984</v>
      </c>
      <c r="C3935" t="s">
        <v>20</v>
      </c>
      <c r="D3935" t="s">
        <v>21</v>
      </c>
      <c r="E3935">
        <v>2222222</v>
      </c>
      <c r="F3935" s="8" t="s">
        <v>22</v>
      </c>
      <c r="G3935" s="2">
        <v>98</v>
      </c>
      <c r="H3935" t="s">
        <v>4532</v>
      </c>
      <c r="J3935" s="9" t="s">
        <v>4852</v>
      </c>
      <c r="K3935" t="s">
        <v>4901</v>
      </c>
      <c r="L3935" s="2">
        <v>1</v>
      </c>
      <c r="M3935" s="24" t="s">
        <v>5971</v>
      </c>
      <c r="N3935" s="2" t="s">
        <v>23</v>
      </c>
      <c r="O3935" s="18" t="s">
        <v>3020</v>
      </c>
      <c r="P3935" s="18" t="s">
        <v>0</v>
      </c>
      <c r="Q3935" s="6" t="s">
        <v>4475</v>
      </c>
      <c r="T3935" s="23">
        <v>46136</v>
      </c>
      <c r="U3935" s="23">
        <v>48693</v>
      </c>
      <c r="X3935" s="20">
        <v>25000</v>
      </c>
      <c r="Z3935" s="6" t="s">
        <v>5978</v>
      </c>
      <c r="AA3935" s="14">
        <f t="shared" si="527"/>
        <v>5.9999999999999995E-4</v>
      </c>
      <c r="AB3935">
        <v>14.691245999999998</v>
      </c>
      <c r="AC3935">
        <v>15.278895839999999</v>
      </c>
    </row>
    <row r="3936" spans="1:29" x14ac:dyDescent="0.3">
      <c r="A3936">
        <v>151153</v>
      </c>
      <c r="B3936" s="25" t="s">
        <v>5984</v>
      </c>
      <c r="C3936" t="s">
        <v>20</v>
      </c>
      <c r="D3936" t="s">
        <v>21</v>
      </c>
      <c r="E3936">
        <v>2222222</v>
      </c>
      <c r="F3936" s="8" t="s">
        <v>22</v>
      </c>
      <c r="G3936" s="2">
        <v>98</v>
      </c>
      <c r="H3936" t="s">
        <v>4532</v>
      </c>
      <c r="J3936" s="9" t="s">
        <v>4960</v>
      </c>
      <c r="K3936" t="s">
        <v>5659</v>
      </c>
      <c r="L3936" s="2">
        <v>1</v>
      </c>
      <c r="M3936" s="24" t="s">
        <v>5971</v>
      </c>
      <c r="N3936" s="2" t="s">
        <v>23</v>
      </c>
      <c r="O3936" s="18" t="s">
        <v>3022</v>
      </c>
      <c r="P3936" s="18" t="s">
        <v>3781</v>
      </c>
      <c r="Q3936" s="6" t="s">
        <v>4475</v>
      </c>
      <c r="T3936" s="23">
        <v>46141</v>
      </c>
      <c r="U3936" s="23">
        <v>47237</v>
      </c>
      <c r="X3936" s="20">
        <v>1400</v>
      </c>
      <c r="Z3936" s="6" t="s">
        <v>5978</v>
      </c>
      <c r="AA3936" s="14">
        <f t="shared" si="527"/>
        <v>5.9999999999999995E-4</v>
      </c>
      <c r="AB3936">
        <v>0.78517199999999987</v>
      </c>
      <c r="AC3936">
        <v>0.8165788799999999</v>
      </c>
    </row>
    <row r="3937" spans="1:29" x14ac:dyDescent="0.3">
      <c r="A3937">
        <v>151155</v>
      </c>
      <c r="B3937" s="25" t="s">
        <v>5984</v>
      </c>
      <c r="C3937" t="s">
        <v>20</v>
      </c>
      <c r="D3937" t="s">
        <v>21</v>
      </c>
      <c r="E3937">
        <v>2222222</v>
      </c>
      <c r="F3937" s="8" t="s">
        <v>22</v>
      </c>
      <c r="G3937" s="2">
        <v>98</v>
      </c>
      <c r="H3937" t="s">
        <v>4532</v>
      </c>
      <c r="J3937" s="9" t="s">
        <v>4852</v>
      </c>
      <c r="K3937" t="s">
        <v>4827</v>
      </c>
      <c r="L3937" s="2">
        <v>1</v>
      </c>
      <c r="M3937" s="24" t="s">
        <v>5971</v>
      </c>
      <c r="N3937" s="2" t="s">
        <v>23</v>
      </c>
      <c r="O3937" s="18" t="s">
        <v>2247</v>
      </c>
      <c r="P3937" s="18" t="s">
        <v>0</v>
      </c>
      <c r="Q3937" s="6" t="s">
        <v>4475</v>
      </c>
      <c r="T3937" s="23">
        <v>46141</v>
      </c>
      <c r="U3937" s="23">
        <v>47602</v>
      </c>
      <c r="X3937" s="20">
        <v>5000</v>
      </c>
      <c r="Z3937" s="6" t="s">
        <v>5978</v>
      </c>
      <c r="AA3937" s="14">
        <f t="shared" si="527"/>
        <v>5.9999999999999995E-4</v>
      </c>
      <c r="AB3937">
        <v>2.9137919999999995</v>
      </c>
      <c r="AC3937">
        <v>3.0303436799999997</v>
      </c>
    </row>
    <row r="3938" spans="1:29" x14ac:dyDescent="0.3">
      <c r="A3938">
        <v>151194</v>
      </c>
      <c r="B3938" s="25" t="s">
        <v>5984</v>
      </c>
      <c r="C3938" t="s">
        <v>20</v>
      </c>
      <c r="D3938" t="s">
        <v>21</v>
      </c>
      <c r="E3938">
        <v>2222222</v>
      </c>
      <c r="F3938" s="8" t="s">
        <v>22</v>
      </c>
      <c r="G3938" s="2">
        <v>98</v>
      </c>
      <c r="H3938" t="s">
        <v>4532</v>
      </c>
      <c r="J3938" s="9" t="s">
        <v>4846</v>
      </c>
      <c r="K3938" t="s">
        <v>5224</v>
      </c>
      <c r="L3938" s="2">
        <v>1</v>
      </c>
      <c r="M3938" s="24" t="s">
        <v>5971</v>
      </c>
      <c r="N3938" s="2" t="s">
        <v>23</v>
      </c>
      <c r="O3938" s="18" t="s">
        <v>3023</v>
      </c>
      <c r="P3938" s="18" t="s">
        <v>0</v>
      </c>
      <c r="Q3938" s="6" t="s">
        <v>4475</v>
      </c>
      <c r="T3938" s="23">
        <v>46155</v>
      </c>
      <c r="U3938" s="23">
        <v>48711</v>
      </c>
      <c r="X3938" s="20">
        <v>17000</v>
      </c>
      <c r="Z3938" s="6" t="s">
        <v>5978</v>
      </c>
      <c r="AA3938" s="14">
        <f t="shared" si="527"/>
        <v>5.9999999999999995E-4</v>
      </c>
      <c r="AB3938">
        <v>10.063325999999998</v>
      </c>
      <c r="AC3938">
        <v>10.465859039999998</v>
      </c>
    </row>
    <row r="3939" spans="1:29" x14ac:dyDescent="0.3">
      <c r="A3939">
        <v>151234</v>
      </c>
      <c r="B3939" s="25" t="s">
        <v>5984</v>
      </c>
      <c r="C3939" t="s">
        <v>20</v>
      </c>
      <c r="D3939" t="s">
        <v>21</v>
      </c>
      <c r="E3939">
        <v>2222222</v>
      </c>
      <c r="F3939" s="8" t="s">
        <v>22</v>
      </c>
      <c r="G3939" s="2">
        <v>98</v>
      </c>
      <c r="H3939" t="s">
        <v>4532</v>
      </c>
      <c r="J3939" s="9" t="s">
        <v>4911</v>
      </c>
      <c r="K3939" t="s">
        <v>4928</v>
      </c>
      <c r="L3939" s="2">
        <v>1</v>
      </c>
      <c r="M3939" s="24" t="s">
        <v>5971</v>
      </c>
      <c r="N3939" s="2" t="s">
        <v>23</v>
      </c>
      <c r="O3939" s="18" t="s">
        <v>3024</v>
      </c>
      <c r="P3939" s="18" t="s">
        <v>3781</v>
      </c>
      <c r="Q3939" s="6" t="s">
        <v>4475</v>
      </c>
      <c r="T3939" s="23">
        <v>46149</v>
      </c>
      <c r="U3939" s="23">
        <v>47244</v>
      </c>
      <c r="X3939" s="20">
        <v>2500</v>
      </c>
      <c r="Z3939" s="6" t="s">
        <v>5978</v>
      </c>
      <c r="AA3939" s="14">
        <f t="shared" si="527"/>
        <v>5.9999999999999995E-4</v>
      </c>
      <c r="AB3939">
        <v>1.4347259999999999</v>
      </c>
      <c r="AC3939">
        <v>1.4921150400000001</v>
      </c>
    </row>
    <row r="3940" spans="1:29" x14ac:dyDescent="0.3">
      <c r="A3940">
        <v>151253</v>
      </c>
      <c r="B3940" s="25" t="s">
        <v>5984</v>
      </c>
      <c r="C3940" t="s">
        <v>20</v>
      </c>
      <c r="D3940" t="s">
        <v>21</v>
      </c>
      <c r="E3940">
        <v>2222222</v>
      </c>
      <c r="F3940" s="8" t="s">
        <v>22</v>
      </c>
      <c r="G3940" s="2">
        <v>98</v>
      </c>
      <c r="H3940" t="s">
        <v>4532</v>
      </c>
      <c r="J3940" s="9" t="s">
        <v>5050</v>
      </c>
      <c r="K3940" t="s">
        <v>5245</v>
      </c>
      <c r="L3940" s="2">
        <v>1</v>
      </c>
      <c r="M3940" s="24" t="s">
        <v>5971</v>
      </c>
      <c r="N3940" s="2" t="s">
        <v>23</v>
      </c>
      <c r="O3940" s="18" t="s">
        <v>3003</v>
      </c>
      <c r="P3940" s="18" t="s">
        <v>3781</v>
      </c>
      <c r="Q3940" s="6" t="s">
        <v>4475</v>
      </c>
      <c r="T3940" s="23">
        <v>46150</v>
      </c>
      <c r="U3940" s="23">
        <v>46514</v>
      </c>
      <c r="X3940" s="20">
        <v>3100</v>
      </c>
      <c r="Z3940" s="6" t="s">
        <v>5978</v>
      </c>
      <c r="AA3940" s="14">
        <f t="shared" si="527"/>
        <v>5.9999999999999995E-4</v>
      </c>
      <c r="AB3940">
        <v>1.5721619999999998</v>
      </c>
      <c r="AC3940">
        <v>1.6350484799999998</v>
      </c>
    </row>
    <row r="3941" spans="1:29" x14ac:dyDescent="0.3">
      <c r="A3941">
        <v>151272</v>
      </c>
      <c r="B3941" s="25" t="s">
        <v>5984</v>
      </c>
      <c r="C3941" t="s">
        <v>20</v>
      </c>
      <c r="D3941" t="s">
        <v>21</v>
      </c>
      <c r="E3941">
        <v>2222222</v>
      </c>
      <c r="F3941" s="8" t="s">
        <v>22</v>
      </c>
      <c r="G3941" s="2">
        <v>98</v>
      </c>
      <c r="H3941" t="s">
        <v>4532</v>
      </c>
      <c r="J3941" s="9" t="s">
        <v>4936</v>
      </c>
      <c r="K3941" t="s">
        <v>5197</v>
      </c>
      <c r="L3941" s="2">
        <v>1</v>
      </c>
      <c r="M3941" s="24" t="s">
        <v>5971</v>
      </c>
      <c r="N3941" s="2" t="s">
        <v>23</v>
      </c>
      <c r="O3941" s="18" t="s">
        <v>341</v>
      </c>
      <c r="P3941" s="18" t="s">
        <v>0</v>
      </c>
      <c r="Q3941" s="6" t="s">
        <v>4475</v>
      </c>
      <c r="T3941" s="23">
        <v>46153</v>
      </c>
      <c r="U3941" s="23">
        <v>46518</v>
      </c>
      <c r="X3941" s="20">
        <v>4000</v>
      </c>
      <c r="Z3941" s="6" t="s">
        <v>5978</v>
      </c>
      <c r="AA3941" s="14">
        <f t="shared" si="527"/>
        <v>5.9999999999999995E-4</v>
      </c>
      <c r="AB3941">
        <v>2.0270519999999999</v>
      </c>
      <c r="AC3941">
        <v>2.1081340800000001</v>
      </c>
    </row>
    <row r="3942" spans="1:29" x14ac:dyDescent="0.3">
      <c r="A3942">
        <v>151285</v>
      </c>
      <c r="B3942" s="25" t="s">
        <v>5984</v>
      </c>
      <c r="C3942" t="s">
        <v>20</v>
      </c>
      <c r="D3942" t="s">
        <v>21</v>
      </c>
      <c r="E3942">
        <v>2222222</v>
      </c>
      <c r="F3942" s="8" t="s">
        <v>22</v>
      </c>
      <c r="G3942" s="2">
        <v>98</v>
      </c>
      <c r="H3942" t="s">
        <v>4532</v>
      </c>
      <c r="J3942" s="9" t="s">
        <v>4838</v>
      </c>
      <c r="K3942" t="s">
        <v>4847</v>
      </c>
      <c r="L3942" s="2">
        <v>1</v>
      </c>
      <c r="M3942" s="24" t="s">
        <v>5971</v>
      </c>
      <c r="N3942" s="2" t="s">
        <v>23</v>
      </c>
      <c r="O3942" s="18" t="s">
        <v>3025</v>
      </c>
      <c r="P3942" s="18" t="s">
        <v>0</v>
      </c>
      <c r="Q3942" s="6" t="s">
        <v>4475</v>
      </c>
      <c r="T3942" s="23">
        <v>46157</v>
      </c>
      <c r="U3942" s="23">
        <v>47982</v>
      </c>
      <c r="X3942" s="20">
        <v>18600</v>
      </c>
      <c r="Z3942" s="6" t="s">
        <v>5978</v>
      </c>
      <c r="AA3942" s="14">
        <f t="shared" si="527"/>
        <v>5.9999999999999995E-4</v>
      </c>
      <c r="AB3942">
        <v>10.883453999999999</v>
      </c>
      <c r="AC3942">
        <v>11.318792159999999</v>
      </c>
    </row>
    <row r="3943" spans="1:29" x14ac:dyDescent="0.3">
      <c r="A3943">
        <v>151339</v>
      </c>
      <c r="B3943" s="25" t="s">
        <v>5984</v>
      </c>
      <c r="C3943" t="s">
        <v>20</v>
      </c>
      <c r="D3943" t="s">
        <v>21</v>
      </c>
      <c r="E3943">
        <v>2222222</v>
      </c>
      <c r="F3943" s="8" t="s">
        <v>22</v>
      </c>
      <c r="G3943" s="2">
        <v>98</v>
      </c>
      <c r="H3943" t="s">
        <v>4532</v>
      </c>
      <c r="J3943" s="9" t="s">
        <v>5049</v>
      </c>
      <c r="K3943" t="s">
        <v>5174</v>
      </c>
      <c r="L3943" s="2">
        <v>1</v>
      </c>
      <c r="M3943" s="24" t="s">
        <v>5971</v>
      </c>
      <c r="N3943" s="2" t="s">
        <v>23</v>
      </c>
      <c r="O3943" s="18" t="s">
        <v>3026</v>
      </c>
      <c r="P3943" s="18" t="s">
        <v>0</v>
      </c>
      <c r="Q3943" s="6" t="s">
        <v>4475</v>
      </c>
      <c r="T3943" s="23">
        <v>46157</v>
      </c>
      <c r="U3943" s="23">
        <v>46522</v>
      </c>
      <c r="X3943" s="20">
        <v>1000</v>
      </c>
      <c r="Z3943" s="6" t="s">
        <v>5978</v>
      </c>
      <c r="AA3943" s="14">
        <f t="shared" si="527"/>
        <v>5.9999999999999995E-4</v>
      </c>
      <c r="AB3943">
        <v>0.50675999999999999</v>
      </c>
      <c r="AC3943">
        <v>0.52703040000000001</v>
      </c>
    </row>
    <row r="3944" spans="1:29" x14ac:dyDescent="0.3">
      <c r="A3944">
        <v>151342</v>
      </c>
      <c r="B3944" s="25" t="s">
        <v>5984</v>
      </c>
      <c r="C3944" t="s">
        <v>20</v>
      </c>
      <c r="D3944" t="s">
        <v>21</v>
      </c>
      <c r="E3944">
        <v>2222222</v>
      </c>
      <c r="F3944" s="8" t="s">
        <v>22</v>
      </c>
      <c r="G3944" s="2">
        <v>98</v>
      </c>
      <c r="H3944" t="s">
        <v>4532</v>
      </c>
      <c r="J3944" s="9" t="s">
        <v>4182</v>
      </c>
      <c r="K3944" t="s">
        <v>5085</v>
      </c>
      <c r="L3944" s="2">
        <v>1</v>
      </c>
      <c r="M3944" s="24" t="s">
        <v>5971</v>
      </c>
      <c r="N3944" s="2" t="s">
        <v>23</v>
      </c>
      <c r="O3944" s="18" t="s">
        <v>3027</v>
      </c>
      <c r="P3944" s="18" t="s">
        <v>0</v>
      </c>
      <c r="Q3944" s="6" t="s">
        <v>4475</v>
      </c>
      <c r="T3944" s="23">
        <v>46157</v>
      </c>
      <c r="U3944" s="23">
        <v>47617</v>
      </c>
      <c r="X3944" s="20">
        <v>5000</v>
      </c>
      <c r="Z3944" s="6" t="s">
        <v>5978</v>
      </c>
      <c r="AA3944" s="14">
        <f t="shared" si="527"/>
        <v>5.9999999999999995E-4</v>
      </c>
      <c r="AB3944">
        <v>2.9123100000000002</v>
      </c>
      <c r="AC3944">
        <v>3.0288024000000004</v>
      </c>
    </row>
    <row r="3945" spans="1:29" x14ac:dyDescent="0.3">
      <c r="A3945">
        <v>151396</v>
      </c>
      <c r="B3945" s="25" t="s">
        <v>5984</v>
      </c>
      <c r="C3945" t="s">
        <v>20</v>
      </c>
      <c r="D3945" t="s">
        <v>21</v>
      </c>
      <c r="E3945">
        <v>2222222</v>
      </c>
      <c r="F3945" s="8" t="s">
        <v>22</v>
      </c>
      <c r="G3945" s="2">
        <v>98</v>
      </c>
      <c r="H3945" t="s">
        <v>4532</v>
      </c>
      <c r="J3945" s="9" t="s">
        <v>4911</v>
      </c>
      <c r="K3945" t="s">
        <v>5145</v>
      </c>
      <c r="L3945" s="2">
        <v>1</v>
      </c>
      <c r="M3945" s="24" t="s">
        <v>5971</v>
      </c>
      <c r="N3945" s="2" t="s">
        <v>23</v>
      </c>
      <c r="O3945" s="18" t="s">
        <v>3028</v>
      </c>
      <c r="P3945" s="18" t="s">
        <v>3781</v>
      </c>
      <c r="Q3945" s="6" t="s">
        <v>4475</v>
      </c>
      <c r="T3945" s="23">
        <v>46161</v>
      </c>
      <c r="U3945" s="23">
        <v>46251</v>
      </c>
      <c r="X3945" s="20">
        <v>1000</v>
      </c>
      <c r="Z3945" s="6" t="s">
        <v>5978</v>
      </c>
      <c r="AA3945" s="14">
        <f t="shared" si="527"/>
        <v>5.9999999999999995E-4</v>
      </c>
      <c r="AB3945">
        <v>0.6</v>
      </c>
      <c r="AC3945">
        <v>0.624</v>
      </c>
    </row>
    <row r="3946" spans="1:29" x14ac:dyDescent="0.3">
      <c r="A3946">
        <v>151410</v>
      </c>
      <c r="B3946" s="25" t="s">
        <v>5984</v>
      </c>
      <c r="C3946" t="s">
        <v>20</v>
      </c>
      <c r="D3946" t="s">
        <v>21</v>
      </c>
      <c r="E3946">
        <v>2222222</v>
      </c>
      <c r="F3946" s="8" t="s">
        <v>22</v>
      </c>
      <c r="G3946" s="2">
        <v>98</v>
      </c>
      <c r="H3946" t="s">
        <v>4532</v>
      </c>
      <c r="J3946" s="9" t="s">
        <v>5143</v>
      </c>
      <c r="K3946" t="s">
        <v>4918</v>
      </c>
      <c r="L3946" s="2">
        <v>1</v>
      </c>
      <c r="M3946" s="24" t="s">
        <v>5971</v>
      </c>
      <c r="N3946" s="2" t="s">
        <v>23</v>
      </c>
      <c r="O3946" s="18" t="s">
        <v>3029</v>
      </c>
      <c r="P3946" s="18" t="s">
        <v>3781</v>
      </c>
      <c r="Q3946" s="6" t="s">
        <v>4475</v>
      </c>
      <c r="T3946" s="23">
        <v>46161</v>
      </c>
      <c r="U3946" s="23">
        <v>46251</v>
      </c>
      <c r="X3946" s="20">
        <v>3980</v>
      </c>
      <c r="Z3946" s="6" t="s">
        <v>5978</v>
      </c>
      <c r="AA3946" s="14">
        <f t="shared" si="527"/>
        <v>5.9999999999999995E-4</v>
      </c>
      <c r="AB3946">
        <v>2.3879999999999999</v>
      </c>
      <c r="AC3946">
        <v>2.4835199999999999</v>
      </c>
    </row>
    <row r="3947" spans="1:29" x14ac:dyDescent="0.3">
      <c r="A3947">
        <v>151467</v>
      </c>
      <c r="B3947" s="25" t="s">
        <v>5984</v>
      </c>
      <c r="C3947" t="s">
        <v>20</v>
      </c>
      <c r="D3947" t="s">
        <v>21</v>
      </c>
      <c r="E3947">
        <v>2222222</v>
      </c>
      <c r="F3947" s="8" t="s">
        <v>22</v>
      </c>
      <c r="G3947" s="2">
        <v>98</v>
      </c>
      <c r="H3947" t="s">
        <v>4532</v>
      </c>
      <c r="J3947" s="9" t="s">
        <v>5055</v>
      </c>
      <c r="K3947" t="s">
        <v>5851</v>
      </c>
      <c r="L3947" s="2">
        <v>1</v>
      </c>
      <c r="M3947" s="24" t="s">
        <v>5971</v>
      </c>
      <c r="N3947" s="2" t="s">
        <v>23</v>
      </c>
      <c r="O3947" s="18" t="s">
        <v>1434</v>
      </c>
      <c r="P3947" s="18" t="s">
        <v>3781</v>
      </c>
      <c r="Q3947" s="6" t="s">
        <v>4475</v>
      </c>
      <c r="T3947" s="23">
        <v>46174</v>
      </c>
      <c r="U3947" s="23">
        <v>46600</v>
      </c>
      <c r="X3947" s="20">
        <v>13600</v>
      </c>
      <c r="Z3947" s="6" t="s">
        <v>5978</v>
      </c>
      <c r="AA3947" s="14">
        <f t="shared" si="527"/>
        <v>5.9999999999999995E-4</v>
      </c>
      <c r="AB3947">
        <v>7.6251299999999986</v>
      </c>
      <c r="AC3947">
        <v>7.9301351999999987</v>
      </c>
    </row>
    <row r="3948" spans="1:29" x14ac:dyDescent="0.3">
      <c r="A3948">
        <v>151520</v>
      </c>
      <c r="B3948" s="25" t="s">
        <v>5984</v>
      </c>
      <c r="C3948" t="s">
        <v>20</v>
      </c>
      <c r="D3948" t="s">
        <v>21</v>
      </c>
      <c r="E3948">
        <v>2222222</v>
      </c>
      <c r="F3948" s="8" t="s">
        <v>22</v>
      </c>
      <c r="G3948" s="2">
        <v>98</v>
      </c>
      <c r="H3948" t="s">
        <v>4532</v>
      </c>
      <c r="J3948" s="9" t="s">
        <v>5569</v>
      </c>
      <c r="K3948" t="s">
        <v>5281</v>
      </c>
      <c r="L3948" s="2">
        <v>1</v>
      </c>
      <c r="M3948" s="24" t="s">
        <v>5971</v>
      </c>
      <c r="N3948" s="2" t="s">
        <v>23</v>
      </c>
      <c r="O3948" s="18" t="s">
        <v>3030</v>
      </c>
      <c r="P3948" s="18" t="s">
        <v>0</v>
      </c>
      <c r="Q3948" s="6" t="s">
        <v>4475</v>
      </c>
      <c r="T3948" s="23">
        <v>46171</v>
      </c>
      <c r="U3948" s="23">
        <v>46719</v>
      </c>
      <c r="X3948" s="20">
        <v>3000</v>
      </c>
      <c r="Z3948" s="6" t="s">
        <v>5978</v>
      </c>
      <c r="AA3948" s="14">
        <f t="shared" si="527"/>
        <v>5.9999999999999995E-4</v>
      </c>
      <c r="AB3948">
        <v>1.6213499999999998</v>
      </c>
      <c r="AC3948">
        <v>1.6862039999999998</v>
      </c>
    </row>
    <row r="3949" spans="1:29" x14ac:dyDescent="0.3">
      <c r="A3949">
        <v>151541</v>
      </c>
      <c r="B3949" s="25" t="s">
        <v>5984</v>
      </c>
      <c r="C3949" t="s">
        <v>20</v>
      </c>
      <c r="D3949" t="s">
        <v>21</v>
      </c>
      <c r="E3949">
        <v>2222222</v>
      </c>
      <c r="F3949" s="8" t="s">
        <v>22</v>
      </c>
      <c r="G3949" s="2">
        <v>98</v>
      </c>
      <c r="H3949" t="s">
        <v>4532</v>
      </c>
      <c r="J3949" s="9" t="s">
        <v>5386</v>
      </c>
      <c r="K3949" t="s">
        <v>5035</v>
      </c>
      <c r="L3949" s="2">
        <v>1</v>
      </c>
      <c r="M3949" s="24" t="s">
        <v>5971</v>
      </c>
      <c r="N3949" s="2" t="s">
        <v>23</v>
      </c>
      <c r="O3949" s="18" t="s">
        <v>3031</v>
      </c>
      <c r="P3949" s="18" t="s">
        <v>0</v>
      </c>
      <c r="Q3949" s="6" t="s">
        <v>4475</v>
      </c>
      <c r="T3949" s="23">
        <v>46178</v>
      </c>
      <c r="U3949" s="23">
        <v>46726</v>
      </c>
      <c r="X3949" s="20">
        <v>1500</v>
      </c>
      <c r="Z3949" s="6" t="s">
        <v>5978</v>
      </c>
      <c r="AA3949" s="14">
        <f t="shared" si="527"/>
        <v>5.9999999999999995E-4</v>
      </c>
      <c r="AB3949">
        <v>0.85565399999999991</v>
      </c>
      <c r="AC3949">
        <v>0.88988015999999992</v>
      </c>
    </row>
    <row r="3950" spans="1:29" x14ac:dyDescent="0.3">
      <c r="A3950">
        <v>151614</v>
      </c>
      <c r="B3950" s="25" t="s">
        <v>5984</v>
      </c>
      <c r="C3950" t="s">
        <v>20</v>
      </c>
      <c r="D3950" t="s">
        <v>21</v>
      </c>
      <c r="E3950">
        <v>2222222</v>
      </c>
      <c r="F3950" s="8" t="s">
        <v>22</v>
      </c>
      <c r="G3950" s="2">
        <v>98</v>
      </c>
      <c r="H3950" t="s">
        <v>4532</v>
      </c>
      <c r="J3950" s="9" t="s">
        <v>4929</v>
      </c>
      <c r="K3950" t="s">
        <v>4946</v>
      </c>
      <c r="L3950" s="2">
        <v>1</v>
      </c>
      <c r="M3950" s="24" t="s">
        <v>5971</v>
      </c>
      <c r="N3950" s="2" t="s">
        <v>23</v>
      </c>
      <c r="O3950" s="18" t="s">
        <v>3032</v>
      </c>
      <c r="P3950" s="18" t="s">
        <v>0</v>
      </c>
      <c r="Q3950" s="6" t="s">
        <v>4475</v>
      </c>
      <c r="T3950" s="23">
        <v>46185</v>
      </c>
      <c r="U3950" s="23">
        <v>49107</v>
      </c>
      <c r="X3950" s="20">
        <v>20000</v>
      </c>
      <c r="Z3950" s="6" t="s">
        <v>5978</v>
      </c>
      <c r="AA3950" s="14">
        <f t="shared" si="527"/>
        <v>5.9999999999999995E-4</v>
      </c>
      <c r="AB3950">
        <v>11.923865999999999</v>
      </c>
      <c r="AC3950">
        <v>12.400820639999999</v>
      </c>
    </row>
    <row r="3951" spans="1:29" x14ac:dyDescent="0.3">
      <c r="A3951">
        <v>151615</v>
      </c>
      <c r="B3951" s="25" t="s">
        <v>5984</v>
      </c>
      <c r="C3951" t="s">
        <v>20</v>
      </c>
      <c r="D3951" t="s">
        <v>21</v>
      </c>
      <c r="E3951">
        <v>2222222</v>
      </c>
      <c r="F3951" s="8" t="s">
        <v>22</v>
      </c>
      <c r="G3951" s="2">
        <v>98</v>
      </c>
      <c r="H3951" t="s">
        <v>4532</v>
      </c>
      <c r="J3951" s="9" t="s">
        <v>4852</v>
      </c>
      <c r="K3951" t="s">
        <v>4983</v>
      </c>
      <c r="L3951" s="2">
        <v>1</v>
      </c>
      <c r="M3951" s="24" t="s">
        <v>5971</v>
      </c>
      <c r="N3951" s="2" t="s">
        <v>23</v>
      </c>
      <c r="O3951" s="18" t="s">
        <v>3033</v>
      </c>
      <c r="P3951" s="18" t="s">
        <v>0</v>
      </c>
      <c r="Q3951" s="6" t="s">
        <v>4475</v>
      </c>
      <c r="T3951" s="23">
        <v>46176</v>
      </c>
      <c r="U3951" s="23">
        <v>46266</v>
      </c>
      <c r="X3951" s="20">
        <v>1200</v>
      </c>
      <c r="Z3951" s="6" t="s">
        <v>5978</v>
      </c>
      <c r="AA3951" s="14">
        <f t="shared" si="527"/>
        <v>5.9999999999999995E-4</v>
      </c>
      <c r="AB3951">
        <v>0.72</v>
      </c>
      <c r="AC3951">
        <v>0.74880000000000002</v>
      </c>
    </row>
    <row r="3952" spans="1:29" x14ac:dyDescent="0.3">
      <c r="A3952">
        <v>151622</v>
      </c>
      <c r="B3952" s="25" t="s">
        <v>5984</v>
      </c>
      <c r="C3952" t="s">
        <v>20</v>
      </c>
      <c r="D3952" t="s">
        <v>21</v>
      </c>
      <c r="E3952">
        <v>2222222</v>
      </c>
      <c r="F3952" s="8" t="s">
        <v>22</v>
      </c>
      <c r="G3952" s="2">
        <v>98</v>
      </c>
      <c r="H3952" t="s">
        <v>4532</v>
      </c>
      <c r="J3952" s="9" t="s">
        <v>4913</v>
      </c>
      <c r="K3952" t="s">
        <v>4825</v>
      </c>
      <c r="L3952" s="2">
        <v>1</v>
      </c>
      <c r="M3952" s="24" t="s">
        <v>5971</v>
      </c>
      <c r="N3952" s="2" t="s">
        <v>23</v>
      </c>
      <c r="O3952" s="18" t="s">
        <v>645</v>
      </c>
      <c r="P3952" s="18" t="s">
        <v>0</v>
      </c>
      <c r="Q3952" s="6" t="s">
        <v>4475</v>
      </c>
      <c r="T3952" s="23">
        <v>46177</v>
      </c>
      <c r="U3952" s="23">
        <v>46267</v>
      </c>
      <c r="X3952" s="20">
        <v>2000</v>
      </c>
      <c r="Z3952" s="6" t="s">
        <v>5978</v>
      </c>
      <c r="AA3952" s="14">
        <f t="shared" si="527"/>
        <v>5.9999999999999995E-4</v>
      </c>
      <c r="AB3952">
        <v>1.2</v>
      </c>
      <c r="AC3952">
        <v>1.248</v>
      </c>
    </row>
    <row r="3953" spans="1:29" x14ac:dyDescent="0.3">
      <c r="A3953">
        <v>151682</v>
      </c>
      <c r="B3953" s="25" t="s">
        <v>5984</v>
      </c>
      <c r="C3953" t="s">
        <v>20</v>
      </c>
      <c r="D3953" t="s">
        <v>21</v>
      </c>
      <c r="E3953">
        <v>2222222</v>
      </c>
      <c r="F3953" s="8" t="s">
        <v>22</v>
      </c>
      <c r="G3953" s="2">
        <v>98</v>
      </c>
      <c r="H3953" t="s">
        <v>4532</v>
      </c>
      <c r="J3953" s="9" t="s">
        <v>5256</v>
      </c>
      <c r="K3953" t="s">
        <v>5856</v>
      </c>
      <c r="L3953" s="2">
        <v>1</v>
      </c>
      <c r="M3953" s="24" t="s">
        <v>5971</v>
      </c>
      <c r="N3953" s="2" t="s">
        <v>23</v>
      </c>
      <c r="O3953" s="18" t="s">
        <v>3034</v>
      </c>
      <c r="P3953" s="18" t="s">
        <v>0</v>
      </c>
      <c r="Q3953" s="6" t="s">
        <v>4475</v>
      </c>
      <c r="T3953" s="23">
        <v>46181</v>
      </c>
      <c r="U3953" s="23">
        <v>46242</v>
      </c>
      <c r="X3953" s="20">
        <v>500</v>
      </c>
      <c r="Z3953" s="6" t="s">
        <v>5978</v>
      </c>
      <c r="AA3953" s="14">
        <f t="shared" si="527"/>
        <v>5.9999999999999995E-4</v>
      </c>
      <c r="AB3953">
        <v>0.151008</v>
      </c>
      <c r="AC3953">
        <v>0.15704832000000002</v>
      </c>
    </row>
    <row r="3954" spans="1:29" x14ac:dyDescent="0.3">
      <c r="A3954">
        <v>151728</v>
      </c>
      <c r="B3954" s="25" t="s">
        <v>5984</v>
      </c>
      <c r="C3954" t="s">
        <v>20</v>
      </c>
      <c r="D3954" t="s">
        <v>21</v>
      </c>
      <c r="E3954">
        <v>2222222</v>
      </c>
      <c r="F3954" s="8" t="s">
        <v>22</v>
      </c>
      <c r="G3954" s="2">
        <v>98</v>
      </c>
      <c r="H3954" t="s">
        <v>4532</v>
      </c>
      <c r="J3954" s="9" t="s">
        <v>4911</v>
      </c>
      <c r="K3954" t="s">
        <v>5208</v>
      </c>
      <c r="L3954" s="2">
        <v>1</v>
      </c>
      <c r="M3954" s="24" t="s">
        <v>5971</v>
      </c>
      <c r="N3954" s="2" t="s">
        <v>23</v>
      </c>
      <c r="O3954" s="18" t="s">
        <v>3017</v>
      </c>
      <c r="P3954" s="18" t="s">
        <v>3781</v>
      </c>
      <c r="Q3954" s="6" t="s">
        <v>4475</v>
      </c>
      <c r="T3954" s="23">
        <v>46183</v>
      </c>
      <c r="U3954" s="23">
        <v>46273</v>
      </c>
      <c r="X3954" s="20">
        <v>400</v>
      </c>
      <c r="Z3954" s="6" t="s">
        <v>5978</v>
      </c>
      <c r="AA3954" s="14">
        <f t="shared" si="527"/>
        <v>5.9999999999999995E-4</v>
      </c>
      <c r="AB3954">
        <v>0.24</v>
      </c>
      <c r="AC3954">
        <v>0.24959999999999999</v>
      </c>
    </row>
    <row r="3955" spans="1:29" x14ac:dyDescent="0.3">
      <c r="A3955">
        <v>151847</v>
      </c>
      <c r="B3955" s="25" t="s">
        <v>5984</v>
      </c>
      <c r="C3955" t="s">
        <v>20</v>
      </c>
      <c r="D3955" t="s">
        <v>21</v>
      </c>
      <c r="E3955">
        <v>2222222</v>
      </c>
      <c r="F3955" s="8" t="s">
        <v>22</v>
      </c>
      <c r="G3955" s="2">
        <v>98</v>
      </c>
      <c r="H3955" t="s">
        <v>4532</v>
      </c>
      <c r="J3955" s="9" t="s">
        <v>5160</v>
      </c>
      <c r="K3955" t="s">
        <v>4857</v>
      </c>
      <c r="L3955" s="2">
        <v>1</v>
      </c>
      <c r="M3955" s="24" t="s">
        <v>5971</v>
      </c>
      <c r="N3955" s="2" t="s">
        <v>23</v>
      </c>
      <c r="O3955" s="18" t="s">
        <v>3035</v>
      </c>
      <c r="P3955" s="18" t="s">
        <v>0</v>
      </c>
      <c r="Q3955" s="6" t="s">
        <v>4475</v>
      </c>
      <c r="T3955" s="23">
        <v>46191</v>
      </c>
      <c r="U3955" s="23">
        <v>46922</v>
      </c>
      <c r="X3955" s="20">
        <v>2000</v>
      </c>
      <c r="Z3955" s="6" t="s">
        <v>5978</v>
      </c>
      <c r="AA3955" s="14">
        <f t="shared" si="527"/>
        <v>5.9999999999999995E-4</v>
      </c>
      <c r="AB3955">
        <v>1.157532</v>
      </c>
      <c r="AC3955">
        <v>1.20383328</v>
      </c>
    </row>
    <row r="3956" spans="1:29" x14ac:dyDescent="0.3">
      <c r="A3956">
        <v>151886</v>
      </c>
      <c r="B3956" s="25" t="s">
        <v>5984</v>
      </c>
      <c r="C3956" t="s">
        <v>20</v>
      </c>
      <c r="D3956" t="s">
        <v>21</v>
      </c>
      <c r="E3956">
        <v>2222222</v>
      </c>
      <c r="F3956" s="8" t="s">
        <v>22</v>
      </c>
      <c r="G3956" s="2">
        <v>98</v>
      </c>
      <c r="H3956" t="s">
        <v>4532</v>
      </c>
      <c r="J3956" s="9" t="s">
        <v>4911</v>
      </c>
      <c r="K3956" t="s">
        <v>5443</v>
      </c>
      <c r="L3956" s="2">
        <v>1</v>
      </c>
      <c r="M3956" s="24" t="s">
        <v>5971</v>
      </c>
      <c r="N3956" s="2" t="s">
        <v>23</v>
      </c>
      <c r="O3956" s="18" t="s">
        <v>3036</v>
      </c>
      <c r="P3956" s="18" t="s">
        <v>3781</v>
      </c>
      <c r="Q3956" s="6" t="s">
        <v>4475</v>
      </c>
      <c r="T3956" s="23">
        <v>46195</v>
      </c>
      <c r="U3956" s="23">
        <v>46285</v>
      </c>
      <c r="X3956" s="20">
        <v>800</v>
      </c>
      <c r="Z3956" s="6" t="s">
        <v>5978</v>
      </c>
      <c r="AA3956" s="14">
        <f t="shared" si="527"/>
        <v>5.9999999999999995E-4</v>
      </c>
      <c r="AB3956">
        <v>0.48</v>
      </c>
      <c r="AC3956">
        <v>0.49919999999999998</v>
      </c>
    </row>
    <row r="3957" spans="1:29" x14ac:dyDescent="0.3">
      <c r="A3957">
        <v>152058</v>
      </c>
      <c r="B3957" s="25" t="s">
        <v>5984</v>
      </c>
      <c r="C3957" t="s">
        <v>20</v>
      </c>
      <c r="D3957" t="s">
        <v>21</v>
      </c>
      <c r="E3957">
        <v>2222222</v>
      </c>
      <c r="F3957" s="8" t="s">
        <v>22</v>
      </c>
      <c r="G3957" s="2">
        <v>98</v>
      </c>
      <c r="H3957" t="s">
        <v>4532</v>
      </c>
      <c r="J3957" s="9" t="s">
        <v>4981</v>
      </c>
      <c r="K3957" t="s">
        <v>5011</v>
      </c>
      <c r="L3957" s="2">
        <v>1</v>
      </c>
      <c r="M3957" s="24" t="s">
        <v>5971</v>
      </c>
      <c r="N3957" s="2" t="s">
        <v>23</v>
      </c>
      <c r="O3957" s="18" t="s">
        <v>3037</v>
      </c>
      <c r="P3957" s="18" t="s">
        <v>3781</v>
      </c>
      <c r="Q3957" s="6" t="s">
        <v>4475</v>
      </c>
      <c r="T3957" s="23">
        <v>46209</v>
      </c>
      <c r="U3957" s="23">
        <v>46762</v>
      </c>
      <c r="X3957" s="20">
        <v>710</v>
      </c>
      <c r="Z3957" s="6" t="s">
        <v>5978</v>
      </c>
      <c r="AA3957" s="14">
        <f t="shared" si="527"/>
        <v>5.9999999999999995E-4</v>
      </c>
      <c r="AB3957">
        <v>0.42599999999999999</v>
      </c>
      <c r="AC3957">
        <v>0.44303999999999999</v>
      </c>
    </row>
    <row r="3958" spans="1:29" x14ac:dyDescent="0.3">
      <c r="A3958">
        <v>152062</v>
      </c>
      <c r="B3958" s="25" t="s">
        <v>5984</v>
      </c>
      <c r="C3958" t="s">
        <v>20</v>
      </c>
      <c r="D3958" t="s">
        <v>21</v>
      </c>
      <c r="E3958">
        <v>2222222</v>
      </c>
      <c r="F3958" s="8" t="s">
        <v>22</v>
      </c>
      <c r="G3958" s="2">
        <v>98</v>
      </c>
      <c r="H3958" t="s">
        <v>4532</v>
      </c>
      <c r="J3958" s="9" t="s">
        <v>5110</v>
      </c>
      <c r="K3958" t="s">
        <v>5853</v>
      </c>
      <c r="L3958" s="2">
        <v>1</v>
      </c>
      <c r="M3958" s="24" t="s">
        <v>5971</v>
      </c>
      <c r="N3958" s="2" t="s">
        <v>23</v>
      </c>
      <c r="O3958" s="18" t="s">
        <v>3020</v>
      </c>
      <c r="P3958" s="18" t="s">
        <v>3781</v>
      </c>
      <c r="Q3958" s="6" t="s">
        <v>4475</v>
      </c>
      <c r="T3958" s="23">
        <v>46209</v>
      </c>
      <c r="U3958" s="23">
        <v>46299</v>
      </c>
      <c r="X3958" s="20">
        <v>4000</v>
      </c>
      <c r="Z3958" s="6" t="s">
        <v>5978</v>
      </c>
      <c r="AA3958" s="14">
        <f t="shared" si="527"/>
        <v>5.9999999999999995E-4</v>
      </c>
      <c r="AB3958">
        <v>2.4</v>
      </c>
      <c r="AC3958">
        <v>2.496</v>
      </c>
    </row>
    <row r="3959" spans="1:29" x14ac:dyDescent="0.3">
      <c r="A3959">
        <v>152070</v>
      </c>
      <c r="B3959" s="25" t="s">
        <v>5984</v>
      </c>
      <c r="C3959" t="s">
        <v>20</v>
      </c>
      <c r="D3959" t="s">
        <v>21</v>
      </c>
      <c r="E3959">
        <v>2222222</v>
      </c>
      <c r="F3959" s="8" t="s">
        <v>22</v>
      </c>
      <c r="G3959" s="2">
        <v>98</v>
      </c>
      <c r="H3959" t="s">
        <v>4532</v>
      </c>
      <c r="J3959" s="9" t="s">
        <v>5068</v>
      </c>
      <c r="K3959" t="s">
        <v>5135</v>
      </c>
      <c r="L3959" s="2">
        <v>1</v>
      </c>
      <c r="M3959" s="24" t="s">
        <v>5971</v>
      </c>
      <c r="N3959" s="2" t="s">
        <v>23</v>
      </c>
      <c r="O3959" s="18" t="s">
        <v>3001</v>
      </c>
      <c r="P3959" s="18" t="s">
        <v>0</v>
      </c>
      <c r="Q3959" s="6" t="s">
        <v>4475</v>
      </c>
      <c r="T3959" s="23">
        <v>46209</v>
      </c>
      <c r="U3959" s="23">
        <v>46299</v>
      </c>
      <c r="X3959" s="20">
        <v>1500</v>
      </c>
      <c r="Z3959" s="6" t="s">
        <v>5978</v>
      </c>
      <c r="AA3959" s="14">
        <f t="shared" si="527"/>
        <v>5.9999999999999995E-4</v>
      </c>
      <c r="AB3959">
        <v>0.89999999999999991</v>
      </c>
      <c r="AC3959">
        <v>0.93599999999999994</v>
      </c>
    </row>
    <row r="3960" spans="1:29" x14ac:dyDescent="0.3">
      <c r="A3960">
        <v>152106</v>
      </c>
      <c r="B3960" s="25" t="s">
        <v>5984</v>
      </c>
      <c r="C3960" t="s">
        <v>20</v>
      </c>
      <c r="D3960" t="s">
        <v>21</v>
      </c>
      <c r="E3960">
        <v>2222222</v>
      </c>
      <c r="F3960" s="8" t="s">
        <v>22</v>
      </c>
      <c r="G3960" s="2">
        <v>98</v>
      </c>
      <c r="H3960" t="s">
        <v>4532</v>
      </c>
      <c r="J3960" s="9" t="s">
        <v>4830</v>
      </c>
      <c r="K3960" t="s">
        <v>4845</v>
      </c>
      <c r="L3960" s="2">
        <v>1</v>
      </c>
      <c r="M3960" s="24" t="s">
        <v>5971</v>
      </c>
      <c r="N3960" s="2" t="s">
        <v>23</v>
      </c>
      <c r="O3960" s="18" t="s">
        <v>3038</v>
      </c>
      <c r="P3960" s="18" t="s">
        <v>3781</v>
      </c>
      <c r="Q3960" s="6" t="s">
        <v>4475</v>
      </c>
      <c r="T3960" s="23">
        <v>46211</v>
      </c>
      <c r="U3960" s="23">
        <v>46271</v>
      </c>
      <c r="X3960" s="20">
        <v>10000</v>
      </c>
      <c r="Z3960" s="6" t="s">
        <v>5978</v>
      </c>
      <c r="AA3960" s="14">
        <f t="shared" si="527"/>
        <v>5.9999999999999995E-4</v>
      </c>
      <c r="AB3960">
        <v>5.9999999999999991</v>
      </c>
      <c r="AC3960">
        <v>6.2399999999999993</v>
      </c>
    </row>
    <row r="3961" spans="1:29" x14ac:dyDescent="0.3">
      <c r="A3961">
        <v>152107</v>
      </c>
      <c r="B3961" s="25" t="s">
        <v>5984</v>
      </c>
      <c r="C3961" t="s">
        <v>20</v>
      </c>
      <c r="D3961" t="s">
        <v>21</v>
      </c>
      <c r="E3961">
        <v>2222222</v>
      </c>
      <c r="F3961" s="8" t="s">
        <v>22</v>
      </c>
      <c r="G3961" s="2">
        <v>98</v>
      </c>
      <c r="H3961" t="s">
        <v>4532</v>
      </c>
      <c r="J3961" s="9" t="s">
        <v>4993</v>
      </c>
      <c r="K3961" t="s">
        <v>5123</v>
      </c>
      <c r="L3961" s="2">
        <v>1</v>
      </c>
      <c r="M3961" s="24" t="s">
        <v>5971</v>
      </c>
      <c r="N3961" s="2" t="s">
        <v>23</v>
      </c>
      <c r="O3961" s="18" t="s">
        <v>3012</v>
      </c>
      <c r="P3961" s="18" t="s">
        <v>3781</v>
      </c>
      <c r="Q3961" s="6" t="s">
        <v>4475</v>
      </c>
      <c r="T3961" s="23">
        <v>46211</v>
      </c>
      <c r="U3961" s="23">
        <v>46576</v>
      </c>
      <c r="X3961" s="20">
        <v>5000</v>
      </c>
      <c r="Z3961" s="6" t="s">
        <v>5978</v>
      </c>
      <c r="AA3961" s="14">
        <f t="shared" si="527"/>
        <v>5.9999999999999995E-4</v>
      </c>
      <c r="AB3961">
        <v>2.9999999999999996</v>
      </c>
      <c r="AC3961">
        <v>3.1199999999999997</v>
      </c>
    </row>
    <row r="3962" spans="1:29" x14ac:dyDescent="0.3">
      <c r="A3962">
        <v>152130</v>
      </c>
      <c r="B3962" s="25" t="s">
        <v>5984</v>
      </c>
      <c r="C3962" t="s">
        <v>20</v>
      </c>
      <c r="D3962" t="s">
        <v>21</v>
      </c>
      <c r="E3962">
        <v>2222222</v>
      </c>
      <c r="F3962" s="8" t="s">
        <v>22</v>
      </c>
      <c r="G3962" s="2">
        <v>98</v>
      </c>
      <c r="H3962" t="s">
        <v>4532</v>
      </c>
      <c r="J3962" s="9" t="s">
        <v>5204</v>
      </c>
      <c r="K3962" t="s">
        <v>4852</v>
      </c>
      <c r="L3962" s="2">
        <v>1</v>
      </c>
      <c r="M3962" s="24" t="s">
        <v>5971</v>
      </c>
      <c r="N3962" s="2" t="s">
        <v>23</v>
      </c>
      <c r="O3962" s="18" t="s">
        <v>3039</v>
      </c>
      <c r="P3962" s="18" t="s">
        <v>0</v>
      </c>
      <c r="Q3962" s="6" t="s">
        <v>4475</v>
      </c>
      <c r="T3962" s="23">
        <v>46213</v>
      </c>
      <c r="U3962" s="23">
        <v>46396</v>
      </c>
      <c r="X3962" s="20">
        <v>300</v>
      </c>
      <c r="Z3962" s="6" t="s">
        <v>5978</v>
      </c>
      <c r="AA3962" s="14">
        <f t="shared" si="527"/>
        <v>5.9999999999999995E-4</v>
      </c>
      <c r="AB3962">
        <v>0.18</v>
      </c>
      <c r="AC3962">
        <v>0.18720000000000001</v>
      </c>
    </row>
    <row r="3963" spans="1:29" x14ac:dyDescent="0.3">
      <c r="A3963">
        <v>152148</v>
      </c>
      <c r="B3963" s="25" t="s">
        <v>5984</v>
      </c>
      <c r="C3963" t="s">
        <v>20</v>
      </c>
      <c r="D3963" t="s">
        <v>21</v>
      </c>
      <c r="E3963">
        <v>2222222</v>
      </c>
      <c r="F3963" s="8" t="s">
        <v>22</v>
      </c>
      <c r="G3963" s="2">
        <v>98</v>
      </c>
      <c r="H3963" t="s">
        <v>4532</v>
      </c>
      <c r="J3963" s="9" t="s">
        <v>5843</v>
      </c>
      <c r="K3963" t="s">
        <v>5025</v>
      </c>
      <c r="L3963" s="2">
        <v>1</v>
      </c>
      <c r="M3963" s="24" t="s">
        <v>5971</v>
      </c>
      <c r="N3963" s="2" t="s">
        <v>23</v>
      </c>
      <c r="O3963" s="18" t="s">
        <v>3040</v>
      </c>
      <c r="P3963" s="18" t="s">
        <v>3781</v>
      </c>
      <c r="Q3963" s="6" t="s">
        <v>4475</v>
      </c>
      <c r="T3963" s="23">
        <v>46216</v>
      </c>
      <c r="U3963" s="23">
        <v>46947</v>
      </c>
      <c r="X3963" s="20">
        <v>2000</v>
      </c>
      <c r="Z3963" s="6" t="s">
        <v>5978</v>
      </c>
      <c r="AA3963" s="14">
        <f t="shared" si="527"/>
        <v>5.9999999999999995E-4</v>
      </c>
      <c r="AB3963">
        <v>1.2</v>
      </c>
      <c r="AC3963">
        <v>1.248</v>
      </c>
    </row>
    <row r="3964" spans="1:29" x14ac:dyDescent="0.3">
      <c r="A3964">
        <v>152166</v>
      </c>
      <c r="B3964" s="25" t="s">
        <v>5984</v>
      </c>
      <c r="C3964" t="s">
        <v>20</v>
      </c>
      <c r="D3964" t="s">
        <v>21</v>
      </c>
      <c r="E3964">
        <v>2222222</v>
      </c>
      <c r="F3964" s="8" t="s">
        <v>22</v>
      </c>
      <c r="G3964" s="2">
        <v>98</v>
      </c>
      <c r="H3964" t="s">
        <v>4532</v>
      </c>
      <c r="J3964" s="9" t="s">
        <v>4839</v>
      </c>
      <c r="K3964" t="s">
        <v>5035</v>
      </c>
      <c r="L3964" s="2">
        <v>1</v>
      </c>
      <c r="M3964" s="24" t="s">
        <v>5971</v>
      </c>
      <c r="N3964" s="2" t="s">
        <v>23</v>
      </c>
      <c r="O3964" s="18" t="s">
        <v>3041</v>
      </c>
      <c r="P3964" s="18" t="s">
        <v>0</v>
      </c>
      <c r="Q3964" s="6" t="s">
        <v>4475</v>
      </c>
      <c r="T3964" s="23">
        <v>46217</v>
      </c>
      <c r="U3964" s="23">
        <v>46459</v>
      </c>
      <c r="X3964" s="20">
        <v>200</v>
      </c>
      <c r="Z3964" s="6" t="s">
        <v>5978</v>
      </c>
      <c r="AA3964" s="14">
        <f t="shared" si="527"/>
        <v>5.9999999999999995E-4</v>
      </c>
      <c r="AB3964">
        <v>0.12</v>
      </c>
      <c r="AC3964">
        <v>0.12479999999999999</v>
      </c>
    </row>
    <row r="3965" spans="1:29" x14ac:dyDescent="0.3">
      <c r="A3965">
        <v>152184</v>
      </c>
      <c r="B3965" s="25" t="s">
        <v>5984</v>
      </c>
      <c r="C3965" t="s">
        <v>20</v>
      </c>
      <c r="D3965" t="s">
        <v>21</v>
      </c>
      <c r="E3965">
        <v>2222222</v>
      </c>
      <c r="F3965" s="8" t="s">
        <v>22</v>
      </c>
      <c r="G3965" s="2">
        <v>98</v>
      </c>
      <c r="H3965" t="s">
        <v>4532</v>
      </c>
      <c r="J3965" s="9" t="s">
        <v>5013</v>
      </c>
      <c r="K3965" t="s">
        <v>4968</v>
      </c>
      <c r="L3965" s="2">
        <v>1</v>
      </c>
      <c r="M3965" s="24" t="s">
        <v>5971</v>
      </c>
      <c r="N3965" s="2" t="s">
        <v>23</v>
      </c>
      <c r="O3965" s="18" t="s">
        <v>3042</v>
      </c>
      <c r="P3965" s="18" t="s">
        <v>0</v>
      </c>
      <c r="Q3965" s="6" t="s">
        <v>4475</v>
      </c>
      <c r="T3965" s="23">
        <v>46218</v>
      </c>
      <c r="U3965" s="23">
        <v>47132</v>
      </c>
      <c r="X3965" s="20">
        <v>4000</v>
      </c>
      <c r="Z3965" s="6" t="s">
        <v>5978</v>
      </c>
      <c r="AA3965" s="14">
        <f t="shared" si="527"/>
        <v>5.9999999999999995E-4</v>
      </c>
      <c r="AB3965">
        <v>2.4</v>
      </c>
      <c r="AC3965">
        <v>2.496</v>
      </c>
    </row>
    <row r="3966" spans="1:29" x14ac:dyDescent="0.3">
      <c r="A3966">
        <v>152215</v>
      </c>
      <c r="B3966" s="25" t="s">
        <v>5984</v>
      </c>
      <c r="C3966" t="s">
        <v>20</v>
      </c>
      <c r="D3966" t="s">
        <v>21</v>
      </c>
      <c r="E3966">
        <v>2222222</v>
      </c>
      <c r="F3966" s="8" t="s">
        <v>22</v>
      </c>
      <c r="G3966" s="2">
        <v>98</v>
      </c>
      <c r="H3966" t="s">
        <v>4532</v>
      </c>
      <c r="J3966" s="9" t="s">
        <v>5011</v>
      </c>
      <c r="K3966" t="s">
        <v>5133</v>
      </c>
      <c r="L3966" s="2">
        <v>1</v>
      </c>
      <c r="M3966" s="24" t="s">
        <v>5971</v>
      </c>
      <c r="N3966" s="2" t="s">
        <v>23</v>
      </c>
      <c r="O3966" s="18" t="s">
        <v>3043</v>
      </c>
      <c r="P3966" s="18" t="s">
        <v>3781</v>
      </c>
      <c r="Q3966" s="6" t="s">
        <v>4475</v>
      </c>
      <c r="T3966" s="23">
        <v>46220</v>
      </c>
      <c r="U3966" s="23">
        <v>46310</v>
      </c>
      <c r="X3966" s="20">
        <v>2990</v>
      </c>
      <c r="Z3966" s="6" t="s">
        <v>5978</v>
      </c>
      <c r="AA3966" s="14">
        <f t="shared" si="527"/>
        <v>5.9999999999999995E-4</v>
      </c>
      <c r="AB3966">
        <v>1.7939999999999998</v>
      </c>
      <c r="AC3966">
        <v>1.8657599999999999</v>
      </c>
    </row>
    <row r="3967" spans="1:29" x14ac:dyDescent="0.3">
      <c r="A3967">
        <v>152306</v>
      </c>
      <c r="B3967" s="25" t="s">
        <v>5984</v>
      </c>
      <c r="C3967" t="s">
        <v>20</v>
      </c>
      <c r="D3967" t="s">
        <v>21</v>
      </c>
      <c r="E3967">
        <v>2222222</v>
      </c>
      <c r="F3967" s="8" t="s">
        <v>22</v>
      </c>
      <c r="G3967" s="2">
        <v>98</v>
      </c>
      <c r="H3967" t="s">
        <v>4532</v>
      </c>
      <c r="J3967" s="9" t="s">
        <v>5684</v>
      </c>
      <c r="K3967" t="s">
        <v>5111</v>
      </c>
      <c r="L3967" s="2">
        <v>1</v>
      </c>
      <c r="M3967" s="24" t="s">
        <v>5971</v>
      </c>
      <c r="N3967" s="2" t="s">
        <v>23</v>
      </c>
      <c r="O3967" s="18" t="s">
        <v>3044</v>
      </c>
      <c r="P3967" s="18" t="s">
        <v>0</v>
      </c>
      <c r="Q3967" s="6" t="s">
        <v>4475</v>
      </c>
      <c r="T3967" s="23">
        <v>46227</v>
      </c>
      <c r="U3967" s="23">
        <v>46957</v>
      </c>
      <c r="X3967" s="20">
        <v>3100</v>
      </c>
      <c r="Z3967" s="6" t="s">
        <v>5978</v>
      </c>
      <c r="AA3967" s="14">
        <f t="shared" si="527"/>
        <v>5.9999999999999995E-4</v>
      </c>
      <c r="AB3967">
        <v>1.8599999999999999</v>
      </c>
      <c r="AC3967">
        <v>1.9343999999999999</v>
      </c>
    </row>
    <row r="3968" spans="1:29" x14ac:dyDescent="0.3">
      <c r="A3968">
        <v>142521</v>
      </c>
      <c r="B3968" s="25" t="s">
        <v>5984</v>
      </c>
      <c r="C3968" t="s">
        <v>20</v>
      </c>
      <c r="D3968" t="s">
        <v>21</v>
      </c>
      <c r="E3968">
        <v>2222222</v>
      </c>
      <c r="F3968" s="8" t="s">
        <v>22</v>
      </c>
      <c r="G3968" s="2">
        <v>98</v>
      </c>
      <c r="H3968" t="s">
        <v>4533</v>
      </c>
      <c r="J3968" s="9" t="s">
        <v>4901</v>
      </c>
      <c r="K3968" t="s">
        <v>4512</v>
      </c>
      <c r="L3968" s="2">
        <v>1</v>
      </c>
      <c r="M3968" s="24" t="s">
        <v>5971</v>
      </c>
      <c r="N3968" s="2" t="s">
        <v>23</v>
      </c>
      <c r="O3968" s="18" t="s">
        <v>3045</v>
      </c>
      <c r="P3968" s="18" t="s">
        <v>0</v>
      </c>
      <c r="Q3968" s="6" t="s">
        <v>4475</v>
      </c>
      <c r="T3968" s="23">
        <v>45525</v>
      </c>
      <c r="U3968" s="23">
        <v>46619</v>
      </c>
      <c r="X3968" s="20">
        <v>5000</v>
      </c>
      <c r="Z3968" s="6" t="s">
        <v>5978</v>
      </c>
      <c r="AA3968" s="14">
        <f t="shared" si="527"/>
        <v>5.9999999999999995E-4</v>
      </c>
      <c r="AB3968">
        <v>1.28328</v>
      </c>
      <c r="AC3968">
        <v>1.3346112000000001</v>
      </c>
    </row>
    <row r="3969" spans="1:29" x14ac:dyDescent="0.3">
      <c r="A3969">
        <v>145847</v>
      </c>
      <c r="B3969" s="25" t="s">
        <v>5984</v>
      </c>
      <c r="C3969" t="s">
        <v>20</v>
      </c>
      <c r="D3969" t="s">
        <v>21</v>
      </c>
      <c r="E3969">
        <v>2222222</v>
      </c>
      <c r="F3969" s="8" t="s">
        <v>22</v>
      </c>
      <c r="G3969" s="2">
        <v>98</v>
      </c>
      <c r="H3969" t="s">
        <v>4533</v>
      </c>
      <c r="J3969" s="9" t="s">
        <v>4953</v>
      </c>
      <c r="K3969" t="s">
        <v>4949</v>
      </c>
      <c r="L3969" s="2">
        <v>1</v>
      </c>
      <c r="M3969" s="24" t="s">
        <v>5971</v>
      </c>
      <c r="N3969" s="2" t="s">
        <v>23</v>
      </c>
      <c r="O3969" s="18" t="s">
        <v>500</v>
      </c>
      <c r="P3969" s="18" t="s">
        <v>0</v>
      </c>
      <c r="Q3969" s="6" t="s">
        <v>4475</v>
      </c>
      <c r="T3969" s="23">
        <v>45821</v>
      </c>
      <c r="U3969" s="23">
        <v>48012</v>
      </c>
      <c r="X3969" s="20">
        <v>60000</v>
      </c>
      <c r="Z3969" s="6" t="s">
        <v>5978</v>
      </c>
      <c r="AA3969" s="14">
        <f t="shared" ref="AA3969:AA3973" si="528">+(0.6/1000)</f>
        <v>5.9999999999999995E-4</v>
      </c>
      <c r="AB3969">
        <v>31.657817999999995</v>
      </c>
      <c r="AC3969">
        <v>32.924130719999994</v>
      </c>
    </row>
    <row r="3970" spans="1:29" x14ac:dyDescent="0.3">
      <c r="A3970">
        <v>148254</v>
      </c>
      <c r="B3970" s="25" t="s">
        <v>5984</v>
      </c>
      <c r="C3970" t="s">
        <v>20</v>
      </c>
      <c r="D3970" t="s">
        <v>21</v>
      </c>
      <c r="E3970">
        <v>2222222</v>
      </c>
      <c r="F3970" s="8" t="s">
        <v>22</v>
      </c>
      <c r="G3970" s="2">
        <v>98</v>
      </c>
      <c r="H3970" t="s">
        <v>4533</v>
      </c>
      <c r="J3970" s="9" t="s">
        <v>4901</v>
      </c>
      <c r="K3970" t="s">
        <v>4512</v>
      </c>
      <c r="L3970" s="2">
        <v>1</v>
      </c>
      <c r="M3970" s="24" t="s">
        <v>5971</v>
      </c>
      <c r="N3970" s="2" t="s">
        <v>23</v>
      </c>
      <c r="O3970" s="18" t="s">
        <v>3045</v>
      </c>
      <c r="P3970" s="18" t="s">
        <v>0</v>
      </c>
      <c r="Q3970" s="6" t="s">
        <v>4475</v>
      </c>
      <c r="T3970" s="23">
        <v>45954</v>
      </c>
      <c r="U3970" s="23">
        <v>47779</v>
      </c>
      <c r="X3970" s="20">
        <v>40000</v>
      </c>
      <c r="Z3970" s="6" t="s">
        <v>5978</v>
      </c>
      <c r="AA3970" s="14">
        <f t="shared" si="528"/>
        <v>5.9999999999999995E-4</v>
      </c>
      <c r="AB3970">
        <v>21.243593999999998</v>
      </c>
      <c r="AC3970">
        <v>22.093337759999997</v>
      </c>
    </row>
    <row r="3971" spans="1:29" x14ac:dyDescent="0.3">
      <c r="A3971">
        <v>151079</v>
      </c>
      <c r="B3971" s="25" t="s">
        <v>5984</v>
      </c>
      <c r="C3971" t="s">
        <v>20</v>
      </c>
      <c r="D3971" t="s">
        <v>21</v>
      </c>
      <c r="E3971">
        <v>2222222</v>
      </c>
      <c r="F3971" s="8" t="s">
        <v>22</v>
      </c>
      <c r="G3971" s="2">
        <v>98</v>
      </c>
      <c r="H3971" t="s">
        <v>4533</v>
      </c>
      <c r="J3971" s="9" t="s">
        <v>4875</v>
      </c>
      <c r="K3971" t="s">
        <v>4815</v>
      </c>
      <c r="L3971" s="2">
        <v>1</v>
      </c>
      <c r="M3971" s="24" t="s">
        <v>5971</v>
      </c>
      <c r="N3971" s="2" t="s">
        <v>23</v>
      </c>
      <c r="O3971" s="18" t="s">
        <v>3046</v>
      </c>
      <c r="P3971" s="18" t="s">
        <v>0</v>
      </c>
      <c r="Q3971" s="6" t="s">
        <v>4475</v>
      </c>
      <c r="T3971" s="23">
        <v>46136</v>
      </c>
      <c r="U3971" s="23">
        <v>47232</v>
      </c>
      <c r="X3971" s="20">
        <v>5000</v>
      </c>
      <c r="Z3971" s="6" t="s">
        <v>5978</v>
      </c>
      <c r="AA3971" s="14">
        <f t="shared" si="528"/>
        <v>5.9999999999999995E-4</v>
      </c>
      <c r="AB3971">
        <v>2.8070999999999997</v>
      </c>
      <c r="AC3971">
        <v>2.919384</v>
      </c>
    </row>
    <row r="3972" spans="1:29" x14ac:dyDescent="0.3">
      <c r="A3972">
        <v>151134</v>
      </c>
      <c r="B3972" s="25" t="s">
        <v>5984</v>
      </c>
      <c r="C3972" t="s">
        <v>20</v>
      </c>
      <c r="D3972" t="s">
        <v>21</v>
      </c>
      <c r="E3972">
        <v>2222222</v>
      </c>
      <c r="F3972" s="8" t="s">
        <v>22</v>
      </c>
      <c r="G3972" s="2">
        <v>98</v>
      </c>
      <c r="H3972" t="s">
        <v>4533</v>
      </c>
      <c r="J3972" s="9" t="s">
        <v>4953</v>
      </c>
      <c r="K3972" t="s">
        <v>4949</v>
      </c>
      <c r="L3972" s="2">
        <v>1</v>
      </c>
      <c r="M3972" s="24" t="s">
        <v>5971</v>
      </c>
      <c r="N3972" s="2" t="s">
        <v>23</v>
      </c>
      <c r="O3972" s="18" t="s">
        <v>500</v>
      </c>
      <c r="P3972" s="18" t="s">
        <v>0</v>
      </c>
      <c r="Q3972" s="6" t="s">
        <v>4475</v>
      </c>
      <c r="T3972" s="23">
        <v>46148</v>
      </c>
      <c r="U3972" s="23">
        <v>47973</v>
      </c>
      <c r="X3972" s="20">
        <v>10000</v>
      </c>
      <c r="Z3972" s="6" t="s">
        <v>5978</v>
      </c>
      <c r="AA3972" s="14">
        <f t="shared" si="528"/>
        <v>5.9999999999999995E-4</v>
      </c>
      <c r="AB3972">
        <v>5.8658759999999992</v>
      </c>
      <c r="AC3972">
        <v>6.1005110399999998</v>
      </c>
    </row>
    <row r="3973" spans="1:29" x14ac:dyDescent="0.3">
      <c r="A3973">
        <v>152014</v>
      </c>
      <c r="B3973" s="25" t="s">
        <v>5984</v>
      </c>
      <c r="C3973" t="s">
        <v>20</v>
      </c>
      <c r="D3973" t="s">
        <v>21</v>
      </c>
      <c r="E3973">
        <v>2222222</v>
      </c>
      <c r="F3973" s="8" t="s">
        <v>22</v>
      </c>
      <c r="G3973" s="2">
        <v>98</v>
      </c>
      <c r="H3973" t="s">
        <v>4533</v>
      </c>
      <c r="J3973" s="9" t="s">
        <v>4953</v>
      </c>
      <c r="K3973" t="s">
        <v>4949</v>
      </c>
      <c r="L3973" s="2">
        <v>1</v>
      </c>
      <c r="M3973" s="24" t="s">
        <v>5971</v>
      </c>
      <c r="N3973" s="2" t="s">
        <v>23</v>
      </c>
      <c r="O3973" s="18" t="s">
        <v>500</v>
      </c>
      <c r="P3973" s="18" t="s">
        <v>0</v>
      </c>
      <c r="Q3973" s="6" t="s">
        <v>4475</v>
      </c>
      <c r="T3973" s="23">
        <v>46206</v>
      </c>
      <c r="U3973" s="23">
        <v>48397</v>
      </c>
      <c r="X3973" s="20">
        <v>32000</v>
      </c>
      <c r="Z3973" s="6" t="s">
        <v>5978</v>
      </c>
      <c r="AA3973" s="14">
        <f t="shared" si="528"/>
        <v>5.9999999999999995E-4</v>
      </c>
      <c r="AB3973">
        <v>19.2</v>
      </c>
      <c r="AC3973">
        <v>19.968</v>
      </c>
    </row>
    <row r="3974" spans="1:29" x14ac:dyDescent="0.3">
      <c r="A3974">
        <v>122187</v>
      </c>
      <c r="B3974" s="25" t="s">
        <v>5984</v>
      </c>
      <c r="C3974" t="s">
        <v>20</v>
      </c>
      <c r="D3974" t="s">
        <v>21</v>
      </c>
      <c r="E3974">
        <v>2222222</v>
      </c>
      <c r="F3974" s="8" t="s">
        <v>22</v>
      </c>
      <c r="G3974" s="2">
        <v>98</v>
      </c>
      <c r="H3974" t="s">
        <v>4534</v>
      </c>
      <c r="J3974" s="9" t="s">
        <v>4903</v>
      </c>
      <c r="K3974" t="s">
        <v>4872</v>
      </c>
      <c r="L3974" s="2">
        <v>1</v>
      </c>
      <c r="M3974" s="24" t="s">
        <v>5971</v>
      </c>
      <c r="N3974" s="2" t="s">
        <v>23</v>
      </c>
      <c r="O3974" s="18" t="s">
        <v>3047</v>
      </c>
      <c r="P3974" s="18" t="s">
        <v>3781</v>
      </c>
      <c r="Q3974" s="6" t="s">
        <v>4475</v>
      </c>
      <c r="T3974" s="23">
        <v>44406</v>
      </c>
      <c r="U3974" s="23">
        <v>46967</v>
      </c>
      <c r="X3974" s="20">
        <v>9215</v>
      </c>
      <c r="Z3974" s="6" t="s">
        <v>5978</v>
      </c>
      <c r="AA3974" s="15">
        <f>+(0.42/1000)</f>
        <v>4.1999999999999996E-4</v>
      </c>
      <c r="AB3974">
        <v>1.8124302000000001</v>
      </c>
      <c r="AC3974">
        <v>1.8849274080000002</v>
      </c>
    </row>
    <row r="3975" spans="1:29" x14ac:dyDescent="0.3">
      <c r="A3975">
        <v>152312</v>
      </c>
      <c r="B3975" s="25" t="s">
        <v>5984</v>
      </c>
      <c r="C3975" t="s">
        <v>20</v>
      </c>
      <c r="D3975" t="s">
        <v>21</v>
      </c>
      <c r="E3975">
        <v>2222222</v>
      </c>
      <c r="F3975" s="8" t="s">
        <v>22</v>
      </c>
      <c r="G3975" s="2">
        <v>98</v>
      </c>
      <c r="H3975" t="s">
        <v>4535</v>
      </c>
      <c r="J3975" s="9" t="s">
        <v>4909</v>
      </c>
      <c r="K3975" t="s">
        <v>5372</v>
      </c>
      <c r="L3975" s="2">
        <v>1</v>
      </c>
      <c r="M3975" s="24" t="s">
        <v>5971</v>
      </c>
      <c r="N3975" s="2" t="s">
        <v>23</v>
      </c>
      <c r="O3975" s="18" t="s">
        <v>3048</v>
      </c>
      <c r="P3975" s="18" t="s">
        <v>3781</v>
      </c>
      <c r="Q3975" s="6" t="s">
        <v>4475</v>
      </c>
      <c r="T3975" s="23">
        <v>46227</v>
      </c>
      <c r="U3975" s="23">
        <v>46317</v>
      </c>
      <c r="X3975" s="20">
        <v>5000</v>
      </c>
      <c r="Z3975" s="6" t="s">
        <v>5978</v>
      </c>
      <c r="AA3975" s="14">
        <f>+(0.6/1000)</f>
        <v>5.9999999999999995E-4</v>
      </c>
      <c r="AB3975">
        <v>2.9999999999999996</v>
      </c>
      <c r="AC3975">
        <v>3.1199999999999997</v>
      </c>
    </row>
    <row r="3976" spans="1:29" x14ac:dyDescent="0.3">
      <c r="A3976">
        <v>113075</v>
      </c>
      <c r="B3976" s="25" t="s">
        <v>5984</v>
      </c>
      <c r="C3976" t="s">
        <v>20</v>
      </c>
      <c r="D3976" t="s">
        <v>21</v>
      </c>
      <c r="E3976">
        <v>2222222</v>
      </c>
      <c r="F3976" s="8" t="s">
        <v>22</v>
      </c>
      <c r="G3976" s="2">
        <v>98</v>
      </c>
      <c r="H3976" t="s">
        <v>4536</v>
      </c>
      <c r="J3976" s="9" t="s">
        <v>5750</v>
      </c>
      <c r="K3976" t="s">
        <v>5041</v>
      </c>
      <c r="L3976" s="2">
        <v>1</v>
      </c>
      <c r="M3976" s="24" t="s">
        <v>5971</v>
      </c>
      <c r="N3976" s="2" t="s">
        <v>23</v>
      </c>
      <c r="O3976" s="18" t="s">
        <v>2630</v>
      </c>
      <c r="P3976" s="18" t="s">
        <v>0</v>
      </c>
      <c r="Q3976" s="6" t="s">
        <v>4475</v>
      </c>
      <c r="T3976" s="23">
        <v>43997</v>
      </c>
      <c r="U3976" s="23">
        <v>46280</v>
      </c>
      <c r="X3976" s="20">
        <v>13186</v>
      </c>
      <c r="Z3976" s="6" t="s">
        <v>5978</v>
      </c>
      <c r="AA3976" s="15">
        <f t="shared" ref="AA3976:AA3978" si="529">+(0.42/1000)</f>
        <v>4.1999999999999996E-4</v>
      </c>
      <c r="AB3976">
        <v>0.24058859999999999</v>
      </c>
      <c r="AC3976">
        <v>0.25021214399999997</v>
      </c>
    </row>
    <row r="3977" spans="1:29" x14ac:dyDescent="0.3">
      <c r="A3977">
        <v>113331</v>
      </c>
      <c r="B3977" s="25" t="s">
        <v>5984</v>
      </c>
      <c r="C3977" t="s">
        <v>20</v>
      </c>
      <c r="D3977" t="s">
        <v>21</v>
      </c>
      <c r="E3977">
        <v>2222222</v>
      </c>
      <c r="F3977" s="8" t="s">
        <v>22</v>
      </c>
      <c r="G3977" s="2">
        <v>98</v>
      </c>
      <c r="H3977" t="s">
        <v>4536</v>
      </c>
      <c r="J3977" s="9" t="s">
        <v>4900</v>
      </c>
      <c r="K3977" t="s">
        <v>5857</v>
      </c>
      <c r="L3977" s="2">
        <v>1</v>
      </c>
      <c r="M3977" s="24" t="s">
        <v>5971</v>
      </c>
      <c r="N3977" s="2" t="s">
        <v>23</v>
      </c>
      <c r="O3977" s="18" t="s">
        <v>3049</v>
      </c>
      <c r="P3977" s="18" t="s">
        <v>0</v>
      </c>
      <c r="Q3977" s="6" t="s">
        <v>4475</v>
      </c>
      <c r="T3977" s="23">
        <v>44006</v>
      </c>
      <c r="U3977" s="23">
        <v>46562</v>
      </c>
      <c r="X3977" s="20">
        <v>32645</v>
      </c>
      <c r="Z3977" s="6" t="s">
        <v>5978</v>
      </c>
      <c r="AA3977" s="15">
        <f t="shared" si="529"/>
        <v>4.1999999999999996E-4</v>
      </c>
      <c r="AB3977">
        <v>8.2532268000000002</v>
      </c>
      <c r="AC3977">
        <v>8.5833558720000003</v>
      </c>
    </row>
    <row r="3978" spans="1:29" x14ac:dyDescent="0.3">
      <c r="A3978">
        <v>123225</v>
      </c>
      <c r="B3978" s="25" t="s">
        <v>5984</v>
      </c>
      <c r="C3978" t="s">
        <v>20</v>
      </c>
      <c r="D3978" t="s">
        <v>21</v>
      </c>
      <c r="E3978">
        <v>2222222</v>
      </c>
      <c r="F3978" s="8" t="s">
        <v>22</v>
      </c>
      <c r="G3978" s="2">
        <v>98</v>
      </c>
      <c r="H3978" t="s">
        <v>4536</v>
      </c>
      <c r="J3978" s="9" t="s">
        <v>4864</v>
      </c>
      <c r="K3978" t="s">
        <v>4875</v>
      </c>
      <c r="L3978" s="2">
        <v>1</v>
      </c>
      <c r="M3978" s="24" t="s">
        <v>5971</v>
      </c>
      <c r="N3978" s="2" t="s">
        <v>23</v>
      </c>
      <c r="O3978" s="18" t="s">
        <v>3050</v>
      </c>
      <c r="P3978" s="18" t="s">
        <v>0</v>
      </c>
      <c r="Q3978" s="6" t="s">
        <v>4475</v>
      </c>
      <c r="T3978" s="23">
        <v>44456</v>
      </c>
      <c r="U3978" s="23">
        <v>47013</v>
      </c>
      <c r="X3978" s="20">
        <v>9895</v>
      </c>
      <c r="Z3978" s="6" t="s">
        <v>5978</v>
      </c>
      <c r="AA3978" s="15">
        <f t="shared" si="529"/>
        <v>4.1999999999999996E-4</v>
      </c>
      <c r="AB3978">
        <v>1.8106031999999999</v>
      </c>
      <c r="AC3978">
        <v>1.8830273279999998</v>
      </c>
    </row>
    <row r="3979" spans="1:29" x14ac:dyDescent="0.3">
      <c r="A3979">
        <v>136047</v>
      </c>
      <c r="B3979" s="25" t="s">
        <v>5984</v>
      </c>
      <c r="C3979" t="s">
        <v>20</v>
      </c>
      <c r="D3979" t="s">
        <v>21</v>
      </c>
      <c r="E3979">
        <v>2222222</v>
      </c>
      <c r="F3979" s="8" t="s">
        <v>22</v>
      </c>
      <c r="G3979" s="2">
        <v>98</v>
      </c>
      <c r="H3979" t="s">
        <v>4536</v>
      </c>
      <c r="J3979" s="9" t="s">
        <v>4909</v>
      </c>
      <c r="K3979" t="s">
        <v>5401</v>
      </c>
      <c r="L3979" s="2">
        <v>1</v>
      </c>
      <c r="M3979" s="24" t="s">
        <v>5971</v>
      </c>
      <c r="N3979" s="2" t="s">
        <v>23</v>
      </c>
      <c r="O3979" s="18" t="s">
        <v>3051</v>
      </c>
      <c r="P3979" s="18" t="s">
        <v>3781</v>
      </c>
      <c r="Q3979" s="6" t="s">
        <v>4475</v>
      </c>
      <c r="T3979" s="23">
        <v>45162</v>
      </c>
      <c r="U3979" s="23">
        <v>48906</v>
      </c>
      <c r="X3979" s="20">
        <v>100000</v>
      </c>
      <c r="Z3979" s="6" t="s">
        <v>5978</v>
      </c>
      <c r="AA3979" s="13">
        <f t="shared" ref="AA3979:AA3982" si="530">+(0.56/1000)</f>
        <v>5.6000000000000006E-4</v>
      </c>
      <c r="AB3979">
        <v>47.052616800000003</v>
      </c>
      <c r="AC3979">
        <v>48.934721472000007</v>
      </c>
    </row>
    <row r="3980" spans="1:29" x14ac:dyDescent="0.3">
      <c r="A3980">
        <v>139056</v>
      </c>
      <c r="B3980" s="25" t="s">
        <v>5984</v>
      </c>
      <c r="C3980" t="s">
        <v>20</v>
      </c>
      <c r="D3980" t="s">
        <v>21</v>
      </c>
      <c r="E3980">
        <v>2222222</v>
      </c>
      <c r="F3980" s="8" t="s">
        <v>22</v>
      </c>
      <c r="G3980" s="2">
        <v>98</v>
      </c>
      <c r="H3980" t="s">
        <v>4536</v>
      </c>
      <c r="J3980" s="9" t="s">
        <v>5858</v>
      </c>
      <c r="K3980" t="s">
        <v>5295</v>
      </c>
      <c r="L3980" s="2">
        <v>1</v>
      </c>
      <c r="M3980" s="24" t="s">
        <v>5971</v>
      </c>
      <c r="N3980" s="2" t="s">
        <v>23</v>
      </c>
      <c r="O3980" s="18" t="s">
        <v>3052</v>
      </c>
      <c r="P3980" s="18" t="s">
        <v>3781</v>
      </c>
      <c r="Q3980" s="6" t="s">
        <v>4475</v>
      </c>
      <c r="T3980" s="23">
        <v>45313</v>
      </c>
      <c r="U3980" s="23">
        <v>46408</v>
      </c>
      <c r="X3980" s="20">
        <v>3600</v>
      </c>
      <c r="Z3980" s="6" t="s">
        <v>5978</v>
      </c>
      <c r="AA3980" s="13">
        <f t="shared" si="530"/>
        <v>5.6000000000000006E-4</v>
      </c>
      <c r="AB3980">
        <v>0.27073760000000002</v>
      </c>
      <c r="AC3980">
        <v>0.28156710400000001</v>
      </c>
    </row>
    <row r="3981" spans="1:29" x14ac:dyDescent="0.3">
      <c r="A3981">
        <v>139356</v>
      </c>
      <c r="B3981" s="25" t="s">
        <v>5984</v>
      </c>
      <c r="C3981" t="s">
        <v>20</v>
      </c>
      <c r="D3981" t="s">
        <v>21</v>
      </c>
      <c r="E3981">
        <v>2222222</v>
      </c>
      <c r="F3981" s="8" t="s">
        <v>22</v>
      </c>
      <c r="G3981" s="2">
        <v>98</v>
      </c>
      <c r="H3981" t="s">
        <v>4536</v>
      </c>
      <c r="J3981" s="9" t="s">
        <v>4955</v>
      </c>
      <c r="K3981" t="s">
        <v>5151</v>
      </c>
      <c r="L3981" s="2">
        <v>1</v>
      </c>
      <c r="M3981" s="24" t="s">
        <v>5971</v>
      </c>
      <c r="N3981" s="2" t="s">
        <v>23</v>
      </c>
      <c r="O3981" s="18" t="s">
        <v>3053</v>
      </c>
      <c r="P3981" s="18" t="s">
        <v>3781</v>
      </c>
      <c r="Q3981" s="6" t="s">
        <v>4475</v>
      </c>
      <c r="T3981" s="23">
        <v>45326</v>
      </c>
      <c r="U3981" s="23">
        <v>46423</v>
      </c>
      <c r="X3981" s="20">
        <v>3000</v>
      </c>
      <c r="Z3981" s="6" t="s">
        <v>5978</v>
      </c>
      <c r="AA3981" s="13">
        <f t="shared" si="530"/>
        <v>5.6000000000000006E-4</v>
      </c>
      <c r="AB3981">
        <v>0.38934000000000002</v>
      </c>
      <c r="AC3981">
        <v>0.40491360000000004</v>
      </c>
    </row>
    <row r="3982" spans="1:29" x14ac:dyDescent="0.3">
      <c r="A3982">
        <v>139540</v>
      </c>
      <c r="B3982" s="25" t="s">
        <v>5984</v>
      </c>
      <c r="C3982" t="s">
        <v>20</v>
      </c>
      <c r="D3982" t="s">
        <v>21</v>
      </c>
      <c r="E3982">
        <v>2222222</v>
      </c>
      <c r="F3982" s="8" t="s">
        <v>22</v>
      </c>
      <c r="G3982" s="2">
        <v>98</v>
      </c>
      <c r="H3982" t="s">
        <v>4536</v>
      </c>
      <c r="J3982" s="9" t="s">
        <v>5859</v>
      </c>
      <c r="K3982" t="s">
        <v>5520</v>
      </c>
      <c r="L3982" s="2">
        <v>1</v>
      </c>
      <c r="M3982" s="24" t="s">
        <v>5971</v>
      </c>
      <c r="N3982" s="2" t="s">
        <v>23</v>
      </c>
      <c r="O3982" s="18" t="s">
        <v>3054</v>
      </c>
      <c r="P3982" s="18" t="s">
        <v>3781</v>
      </c>
      <c r="Q3982" s="6" t="s">
        <v>4475</v>
      </c>
      <c r="T3982" s="23">
        <v>45337</v>
      </c>
      <c r="U3982" s="23">
        <v>46799</v>
      </c>
      <c r="X3982" s="20">
        <v>4500</v>
      </c>
      <c r="Z3982" s="6" t="s">
        <v>5978</v>
      </c>
      <c r="AA3982" s="13">
        <f t="shared" si="530"/>
        <v>5.6000000000000006E-4</v>
      </c>
      <c r="AB3982">
        <v>1.2318431999999999</v>
      </c>
      <c r="AC3982">
        <v>1.2811169279999999</v>
      </c>
    </row>
    <row r="3983" spans="1:29" x14ac:dyDescent="0.3">
      <c r="A3983">
        <v>142440</v>
      </c>
      <c r="B3983" s="25" t="s">
        <v>5984</v>
      </c>
      <c r="C3983" t="s">
        <v>20</v>
      </c>
      <c r="D3983" t="s">
        <v>21</v>
      </c>
      <c r="E3983">
        <v>2222222</v>
      </c>
      <c r="F3983" s="8" t="s">
        <v>22</v>
      </c>
      <c r="G3983" s="2">
        <v>98</v>
      </c>
      <c r="H3983" t="s">
        <v>4536</v>
      </c>
      <c r="J3983" s="9" t="s">
        <v>5653</v>
      </c>
      <c r="K3983" t="s">
        <v>5516</v>
      </c>
      <c r="L3983" s="2">
        <v>1</v>
      </c>
      <c r="M3983" s="24" t="s">
        <v>5971</v>
      </c>
      <c r="N3983" s="2" t="s">
        <v>23</v>
      </c>
      <c r="O3983" s="18" t="s">
        <v>652</v>
      </c>
      <c r="P3983" s="18" t="s">
        <v>3781</v>
      </c>
      <c r="Q3983" s="6" t="s">
        <v>4475</v>
      </c>
      <c r="T3983" s="23">
        <v>45531</v>
      </c>
      <c r="U3983" s="23">
        <v>46991</v>
      </c>
      <c r="X3983" s="20">
        <v>7500</v>
      </c>
      <c r="Z3983" s="6" t="s">
        <v>5978</v>
      </c>
      <c r="AA3983" s="14">
        <f t="shared" ref="AA3983:AA4020" si="531">+(0.6/1000)</f>
        <v>5.9999999999999995E-4</v>
      </c>
      <c r="AB3983">
        <v>2.7192239999999996</v>
      </c>
      <c r="AC3983">
        <v>2.8279929599999996</v>
      </c>
    </row>
    <row r="3984" spans="1:29" x14ac:dyDescent="0.3">
      <c r="A3984">
        <v>142912</v>
      </c>
      <c r="B3984" s="25" t="s">
        <v>5984</v>
      </c>
      <c r="C3984" t="s">
        <v>20</v>
      </c>
      <c r="D3984" t="s">
        <v>21</v>
      </c>
      <c r="E3984">
        <v>2222222</v>
      </c>
      <c r="F3984" s="8" t="s">
        <v>22</v>
      </c>
      <c r="G3984" s="2">
        <v>98</v>
      </c>
      <c r="H3984" t="s">
        <v>4536</v>
      </c>
      <c r="J3984" s="9" t="s">
        <v>5093</v>
      </c>
      <c r="K3984" t="s">
        <v>5556</v>
      </c>
      <c r="L3984" s="2">
        <v>1</v>
      </c>
      <c r="M3984" s="24" t="s">
        <v>5971</v>
      </c>
      <c r="N3984" s="2" t="s">
        <v>23</v>
      </c>
      <c r="O3984" s="18" t="s">
        <v>3055</v>
      </c>
      <c r="P3984" s="18" t="s">
        <v>3781</v>
      </c>
      <c r="Q3984" s="6" t="s">
        <v>4475</v>
      </c>
      <c r="T3984" s="23">
        <v>45565</v>
      </c>
      <c r="U3984" s="23">
        <v>47756</v>
      </c>
      <c r="X3984" s="20">
        <v>11000</v>
      </c>
      <c r="Z3984" s="6" t="s">
        <v>5978</v>
      </c>
      <c r="AA3984" s="14">
        <f t="shared" si="531"/>
        <v>5.9999999999999995E-4</v>
      </c>
      <c r="AB3984">
        <v>5.2387379999999997</v>
      </c>
      <c r="AC3984">
        <v>5.4482875200000001</v>
      </c>
    </row>
    <row r="3985" spans="1:29" x14ac:dyDescent="0.3">
      <c r="A3985">
        <v>142995</v>
      </c>
      <c r="B3985" s="25" t="s">
        <v>5984</v>
      </c>
      <c r="C3985" t="s">
        <v>20</v>
      </c>
      <c r="D3985" t="s">
        <v>21</v>
      </c>
      <c r="E3985">
        <v>2222222</v>
      </c>
      <c r="F3985" s="8" t="s">
        <v>22</v>
      </c>
      <c r="G3985" s="2">
        <v>98</v>
      </c>
      <c r="H3985" t="s">
        <v>4536</v>
      </c>
      <c r="J3985" s="9" t="s">
        <v>4853</v>
      </c>
      <c r="K3985" t="s">
        <v>5130</v>
      </c>
      <c r="L3985" s="2">
        <v>1</v>
      </c>
      <c r="M3985" s="24" t="s">
        <v>5971</v>
      </c>
      <c r="N3985" s="2" t="s">
        <v>23</v>
      </c>
      <c r="O3985" s="18" t="s">
        <v>3056</v>
      </c>
      <c r="P3985" s="18" t="s">
        <v>0</v>
      </c>
      <c r="Q3985" s="6" t="s">
        <v>4475</v>
      </c>
      <c r="T3985" s="23">
        <v>45560</v>
      </c>
      <c r="U3985" s="23">
        <v>47477</v>
      </c>
      <c r="X3985" s="20">
        <v>5000</v>
      </c>
      <c r="Z3985" s="6" t="s">
        <v>5978</v>
      </c>
      <c r="AA3985" s="14">
        <f t="shared" si="531"/>
        <v>5.9999999999999995E-4</v>
      </c>
      <c r="AB3985">
        <v>2.4470039999999997</v>
      </c>
      <c r="AC3985">
        <v>2.5448841599999996</v>
      </c>
    </row>
    <row r="3986" spans="1:29" x14ac:dyDescent="0.3">
      <c r="A3986">
        <v>143495</v>
      </c>
      <c r="B3986" s="25" t="s">
        <v>5984</v>
      </c>
      <c r="C3986" t="s">
        <v>20</v>
      </c>
      <c r="D3986" t="s">
        <v>21</v>
      </c>
      <c r="E3986">
        <v>2222222</v>
      </c>
      <c r="F3986" s="8" t="s">
        <v>22</v>
      </c>
      <c r="G3986" s="2">
        <v>98</v>
      </c>
      <c r="H3986" t="s">
        <v>4536</v>
      </c>
      <c r="J3986" s="9" t="s">
        <v>5036</v>
      </c>
      <c r="K3986" t="s">
        <v>5010</v>
      </c>
      <c r="L3986" s="2">
        <v>1</v>
      </c>
      <c r="M3986" s="24" t="s">
        <v>5971</v>
      </c>
      <c r="N3986" s="2" t="s">
        <v>23</v>
      </c>
      <c r="O3986" s="18" t="s">
        <v>3057</v>
      </c>
      <c r="P3986" s="18" t="s">
        <v>0</v>
      </c>
      <c r="Q3986" s="6" t="s">
        <v>4475</v>
      </c>
      <c r="T3986" s="23">
        <v>45596</v>
      </c>
      <c r="U3986" s="23">
        <v>47878</v>
      </c>
      <c r="X3986" s="20">
        <v>7600</v>
      </c>
      <c r="Z3986" s="6" t="s">
        <v>5978</v>
      </c>
      <c r="AA3986" s="14">
        <f t="shared" si="531"/>
        <v>5.9999999999999995E-4</v>
      </c>
      <c r="AB3986">
        <v>3.8127360000000001</v>
      </c>
      <c r="AC3986">
        <v>3.9652454400000003</v>
      </c>
    </row>
    <row r="3987" spans="1:29" x14ac:dyDescent="0.3">
      <c r="A3987">
        <v>144249</v>
      </c>
      <c r="B3987" s="25" t="s">
        <v>5984</v>
      </c>
      <c r="C3987" t="s">
        <v>20</v>
      </c>
      <c r="D3987" t="s">
        <v>21</v>
      </c>
      <c r="E3987">
        <v>2222222</v>
      </c>
      <c r="F3987" s="8" t="s">
        <v>22</v>
      </c>
      <c r="G3987" s="2">
        <v>98</v>
      </c>
      <c r="H3987" t="s">
        <v>4536</v>
      </c>
      <c r="J3987" s="9" t="s">
        <v>5211</v>
      </c>
      <c r="K3987" t="s">
        <v>4946</v>
      </c>
      <c r="L3987" s="2">
        <v>1</v>
      </c>
      <c r="M3987" s="24" t="s">
        <v>5971</v>
      </c>
      <c r="N3987" s="2" t="s">
        <v>23</v>
      </c>
      <c r="O3987" s="18" t="s">
        <v>3058</v>
      </c>
      <c r="P3987" s="18" t="s">
        <v>0</v>
      </c>
      <c r="Q3987" s="6" t="s">
        <v>4475</v>
      </c>
      <c r="T3987" s="23">
        <v>45649</v>
      </c>
      <c r="U3987" s="23">
        <v>47474</v>
      </c>
      <c r="X3987" s="20">
        <v>16000</v>
      </c>
      <c r="Z3987" s="6" t="s">
        <v>5978</v>
      </c>
      <c r="AA3987" s="14">
        <f t="shared" si="531"/>
        <v>5.9999999999999995E-4</v>
      </c>
      <c r="AB3987">
        <v>7.2474899999999991</v>
      </c>
      <c r="AC3987">
        <v>7.5373895999999991</v>
      </c>
    </row>
    <row r="3988" spans="1:29" x14ac:dyDescent="0.3">
      <c r="A3988">
        <v>145357</v>
      </c>
      <c r="B3988" s="25" t="s">
        <v>5984</v>
      </c>
      <c r="C3988" t="s">
        <v>20</v>
      </c>
      <c r="D3988" t="s">
        <v>21</v>
      </c>
      <c r="E3988">
        <v>2222222</v>
      </c>
      <c r="F3988" s="8" t="s">
        <v>22</v>
      </c>
      <c r="G3988" s="2">
        <v>98</v>
      </c>
      <c r="H3988" t="s">
        <v>4536</v>
      </c>
      <c r="J3988" s="9" t="s">
        <v>4967</v>
      </c>
      <c r="K3988" t="s">
        <v>5110</v>
      </c>
      <c r="L3988" s="2">
        <v>1</v>
      </c>
      <c r="M3988" s="24" t="s">
        <v>5971</v>
      </c>
      <c r="N3988" s="2" t="s">
        <v>23</v>
      </c>
      <c r="O3988" s="18" t="s">
        <v>3059</v>
      </c>
      <c r="P3988" s="18" t="s">
        <v>3781</v>
      </c>
      <c r="Q3988" s="6" t="s">
        <v>4475</v>
      </c>
      <c r="T3988" s="23">
        <v>45733</v>
      </c>
      <c r="U3988" s="23">
        <v>46828</v>
      </c>
      <c r="X3988" s="20">
        <v>1000</v>
      </c>
      <c r="Z3988" s="6" t="s">
        <v>5978</v>
      </c>
      <c r="AA3988" s="14">
        <f t="shared" si="531"/>
        <v>5.9999999999999995E-4</v>
      </c>
      <c r="AB3988">
        <v>0.37066199999999994</v>
      </c>
      <c r="AC3988">
        <v>0.38548847999999997</v>
      </c>
    </row>
    <row r="3989" spans="1:29" x14ac:dyDescent="0.3">
      <c r="A3989">
        <v>145684</v>
      </c>
      <c r="B3989" s="25" t="s">
        <v>5984</v>
      </c>
      <c r="C3989" t="s">
        <v>20</v>
      </c>
      <c r="D3989" t="s">
        <v>21</v>
      </c>
      <c r="E3989">
        <v>2222222</v>
      </c>
      <c r="F3989" s="8" t="s">
        <v>22</v>
      </c>
      <c r="G3989" s="2">
        <v>98</v>
      </c>
      <c r="H3989" t="s">
        <v>4536</v>
      </c>
      <c r="J3989" s="9" t="s">
        <v>4908</v>
      </c>
      <c r="K3989" t="s">
        <v>4853</v>
      </c>
      <c r="L3989" s="2">
        <v>1</v>
      </c>
      <c r="M3989" s="24" t="s">
        <v>5971</v>
      </c>
      <c r="N3989" s="2" t="s">
        <v>23</v>
      </c>
      <c r="O3989" s="18" t="s">
        <v>940</v>
      </c>
      <c r="P3989" s="18" t="s">
        <v>0</v>
      </c>
      <c r="Q3989" s="6" t="s">
        <v>4475</v>
      </c>
      <c r="T3989" s="23">
        <v>45758</v>
      </c>
      <c r="U3989" s="23">
        <v>49410</v>
      </c>
      <c r="X3989" s="20">
        <v>23000</v>
      </c>
      <c r="Z3989" s="6" t="s">
        <v>5978</v>
      </c>
      <c r="AA3989" s="14">
        <f t="shared" si="531"/>
        <v>5.9999999999999995E-4</v>
      </c>
      <c r="AB3989">
        <v>12.816246</v>
      </c>
      <c r="AC3989">
        <v>13.328895839999999</v>
      </c>
    </row>
    <row r="3990" spans="1:29" x14ac:dyDescent="0.3">
      <c r="A3990">
        <v>146046</v>
      </c>
      <c r="B3990" s="25" t="s">
        <v>5984</v>
      </c>
      <c r="C3990" t="s">
        <v>20</v>
      </c>
      <c r="D3990" t="s">
        <v>21</v>
      </c>
      <c r="E3990">
        <v>2222222</v>
      </c>
      <c r="F3990" s="8" t="s">
        <v>22</v>
      </c>
      <c r="G3990" s="2">
        <v>98</v>
      </c>
      <c r="H3990" t="s">
        <v>4536</v>
      </c>
      <c r="J3990" s="9" t="s">
        <v>5124</v>
      </c>
      <c r="K3990" t="s">
        <v>5203</v>
      </c>
      <c r="L3990" s="2">
        <v>1</v>
      </c>
      <c r="M3990" s="24" t="s">
        <v>5971</v>
      </c>
      <c r="N3990" s="2" t="s">
        <v>23</v>
      </c>
      <c r="O3990" s="18" t="s">
        <v>3060</v>
      </c>
      <c r="P3990" s="18" t="s">
        <v>0</v>
      </c>
      <c r="Q3990" s="6" t="s">
        <v>4475</v>
      </c>
      <c r="T3990" s="23">
        <v>45791</v>
      </c>
      <c r="U3990" s="23">
        <v>49442</v>
      </c>
      <c r="X3990" s="20">
        <v>25000</v>
      </c>
      <c r="Z3990" s="6" t="s">
        <v>5978</v>
      </c>
      <c r="AA3990" s="14">
        <f t="shared" si="531"/>
        <v>5.9999999999999995E-4</v>
      </c>
      <c r="AB3990">
        <v>14.176109999999998</v>
      </c>
      <c r="AC3990">
        <v>14.743154399999998</v>
      </c>
    </row>
    <row r="3991" spans="1:29" x14ac:dyDescent="0.3">
      <c r="A3991">
        <v>147195</v>
      </c>
      <c r="B3991" s="25" t="s">
        <v>5984</v>
      </c>
      <c r="C3991" t="s">
        <v>20</v>
      </c>
      <c r="D3991" t="s">
        <v>21</v>
      </c>
      <c r="E3991">
        <v>2222222</v>
      </c>
      <c r="F3991" s="8" t="s">
        <v>22</v>
      </c>
      <c r="G3991" s="2">
        <v>98</v>
      </c>
      <c r="H3991" t="s">
        <v>4536</v>
      </c>
      <c r="J3991" s="9" t="s">
        <v>5053</v>
      </c>
      <c r="K3991" t="s">
        <v>5860</v>
      </c>
      <c r="L3991" s="2">
        <v>1</v>
      </c>
      <c r="M3991" s="24" t="s">
        <v>5971</v>
      </c>
      <c r="N3991" s="2" t="s">
        <v>23</v>
      </c>
      <c r="O3991" s="18" t="s">
        <v>3061</v>
      </c>
      <c r="P3991" s="18" t="s">
        <v>0</v>
      </c>
      <c r="Q3991" s="6" t="s">
        <v>4475</v>
      </c>
      <c r="T3991" s="23">
        <v>45870</v>
      </c>
      <c r="U3991" s="23">
        <v>46965</v>
      </c>
      <c r="X3991" s="20">
        <v>2000</v>
      </c>
      <c r="Z3991" s="6" t="s">
        <v>5978</v>
      </c>
      <c r="AA3991" s="14">
        <f t="shared" si="531"/>
        <v>5.9999999999999995E-4</v>
      </c>
      <c r="AB3991">
        <v>0.86919599999999997</v>
      </c>
      <c r="AC3991">
        <v>0.90396383999999996</v>
      </c>
    </row>
    <row r="3992" spans="1:29" x14ac:dyDescent="0.3">
      <c r="A3992">
        <v>147526</v>
      </c>
      <c r="B3992" s="25" t="s">
        <v>5984</v>
      </c>
      <c r="C3992" t="s">
        <v>20</v>
      </c>
      <c r="D3992" t="s">
        <v>21</v>
      </c>
      <c r="E3992">
        <v>2222222</v>
      </c>
      <c r="F3992" s="8" t="s">
        <v>22</v>
      </c>
      <c r="G3992" s="2">
        <v>98</v>
      </c>
      <c r="H3992" t="s">
        <v>4536</v>
      </c>
      <c r="J3992" s="9" t="s">
        <v>4967</v>
      </c>
      <c r="K3992" t="s">
        <v>5328</v>
      </c>
      <c r="L3992" s="2">
        <v>1</v>
      </c>
      <c r="M3992" s="24" t="s">
        <v>5971</v>
      </c>
      <c r="N3992" s="2" t="s">
        <v>23</v>
      </c>
      <c r="O3992" s="18" t="s">
        <v>3062</v>
      </c>
      <c r="P3992" s="18" t="s">
        <v>3781</v>
      </c>
      <c r="Q3992" s="6" t="s">
        <v>4475</v>
      </c>
      <c r="T3992" s="23">
        <v>45895</v>
      </c>
      <c r="U3992" s="23">
        <v>46260</v>
      </c>
      <c r="X3992" s="20">
        <v>500</v>
      </c>
      <c r="Z3992" s="6" t="s">
        <v>5978</v>
      </c>
      <c r="AA3992" s="14">
        <f t="shared" si="531"/>
        <v>5.9999999999999995E-4</v>
      </c>
      <c r="AB3992">
        <v>2.6837999999999997E-2</v>
      </c>
      <c r="AC3992">
        <v>2.7911519999999999E-2</v>
      </c>
    </row>
    <row r="3993" spans="1:29" x14ac:dyDescent="0.3">
      <c r="A3993">
        <v>148057</v>
      </c>
      <c r="B3993" s="25" t="s">
        <v>5984</v>
      </c>
      <c r="C3993" t="s">
        <v>20</v>
      </c>
      <c r="D3993" t="s">
        <v>21</v>
      </c>
      <c r="E3993">
        <v>2222222</v>
      </c>
      <c r="F3993" s="8" t="s">
        <v>22</v>
      </c>
      <c r="G3993" s="2">
        <v>98</v>
      </c>
      <c r="H3993" t="s">
        <v>4536</v>
      </c>
      <c r="J3993" s="9" t="s">
        <v>4880</v>
      </c>
      <c r="K3993" t="s">
        <v>5415</v>
      </c>
      <c r="L3993" s="2">
        <v>1</v>
      </c>
      <c r="M3993" s="24" t="s">
        <v>5971</v>
      </c>
      <c r="N3993" s="2" t="s">
        <v>23</v>
      </c>
      <c r="O3993" s="18" t="s">
        <v>3063</v>
      </c>
      <c r="P3993" s="18" t="s">
        <v>3781</v>
      </c>
      <c r="Q3993" s="6" t="s">
        <v>4475</v>
      </c>
      <c r="T3993" s="23">
        <v>45931</v>
      </c>
      <c r="U3993" s="23">
        <v>46660</v>
      </c>
      <c r="X3993" s="20">
        <v>1100</v>
      </c>
      <c r="Z3993" s="6" t="s">
        <v>5978</v>
      </c>
      <c r="AA3993" s="14">
        <f t="shared" si="531"/>
        <v>5.9999999999999995E-4</v>
      </c>
      <c r="AB3993">
        <v>0.41173199999999999</v>
      </c>
      <c r="AC3993">
        <v>0.42820128000000002</v>
      </c>
    </row>
    <row r="3994" spans="1:29" x14ac:dyDescent="0.3">
      <c r="A3994">
        <v>148119</v>
      </c>
      <c r="B3994" s="25" t="s">
        <v>5984</v>
      </c>
      <c r="C3994" t="s">
        <v>20</v>
      </c>
      <c r="D3994" t="s">
        <v>21</v>
      </c>
      <c r="E3994">
        <v>2222222</v>
      </c>
      <c r="F3994" s="8" t="s">
        <v>22</v>
      </c>
      <c r="G3994" s="2">
        <v>98</v>
      </c>
      <c r="H3994" t="s">
        <v>4536</v>
      </c>
      <c r="J3994" s="9" t="s">
        <v>5653</v>
      </c>
      <c r="K3994" t="s">
        <v>5516</v>
      </c>
      <c r="L3994" s="2">
        <v>1</v>
      </c>
      <c r="M3994" s="24" t="s">
        <v>5971</v>
      </c>
      <c r="N3994" s="2" t="s">
        <v>23</v>
      </c>
      <c r="O3994" s="18" t="s">
        <v>652</v>
      </c>
      <c r="P3994" s="18" t="s">
        <v>3781</v>
      </c>
      <c r="Q3994" s="6" t="s">
        <v>4475</v>
      </c>
      <c r="T3994" s="23">
        <v>45938</v>
      </c>
      <c r="U3994" s="23">
        <v>47033</v>
      </c>
      <c r="X3994" s="20">
        <v>4000</v>
      </c>
      <c r="Z3994" s="6" t="s">
        <v>5978</v>
      </c>
      <c r="AA3994" s="14">
        <f t="shared" si="531"/>
        <v>5.9999999999999995E-4</v>
      </c>
      <c r="AB3994">
        <v>1.9081739999999998</v>
      </c>
      <c r="AC3994">
        <v>1.9845009599999999</v>
      </c>
    </row>
    <row r="3995" spans="1:29" x14ac:dyDescent="0.3">
      <c r="A3995">
        <v>148612</v>
      </c>
      <c r="B3995" s="25" t="s">
        <v>5984</v>
      </c>
      <c r="C3995" t="s">
        <v>20</v>
      </c>
      <c r="D3995" t="s">
        <v>21</v>
      </c>
      <c r="E3995">
        <v>2222222</v>
      </c>
      <c r="F3995" s="8" t="s">
        <v>22</v>
      </c>
      <c r="G3995" s="2">
        <v>98</v>
      </c>
      <c r="H3995" t="s">
        <v>4536</v>
      </c>
      <c r="J3995" s="9" t="s">
        <v>5763</v>
      </c>
      <c r="K3995" t="s">
        <v>4512</v>
      </c>
      <c r="L3995" s="2">
        <v>1</v>
      </c>
      <c r="M3995" s="24" t="s">
        <v>5971</v>
      </c>
      <c r="N3995" s="2" t="s">
        <v>23</v>
      </c>
      <c r="O3995" s="18" t="s">
        <v>3064</v>
      </c>
      <c r="P3995" s="18" t="s">
        <v>0</v>
      </c>
      <c r="Q3995" s="6" t="s">
        <v>4475</v>
      </c>
      <c r="T3995" s="23">
        <v>45967</v>
      </c>
      <c r="U3995" s="23">
        <v>46697</v>
      </c>
      <c r="X3995" s="20">
        <v>5000</v>
      </c>
      <c r="Z3995" s="6" t="s">
        <v>5978</v>
      </c>
      <c r="AA3995" s="14">
        <f t="shared" si="531"/>
        <v>5.9999999999999995E-4</v>
      </c>
      <c r="AB3995">
        <v>2.116212</v>
      </c>
      <c r="AC3995">
        <v>2.2008604800000002</v>
      </c>
    </row>
    <row r="3996" spans="1:29" x14ac:dyDescent="0.3">
      <c r="A3996">
        <v>148732</v>
      </c>
      <c r="B3996" s="25" t="s">
        <v>5984</v>
      </c>
      <c r="C3996" t="s">
        <v>20</v>
      </c>
      <c r="D3996" t="s">
        <v>21</v>
      </c>
      <c r="E3996">
        <v>2222222</v>
      </c>
      <c r="F3996" s="8" t="s">
        <v>22</v>
      </c>
      <c r="G3996" s="2">
        <v>98</v>
      </c>
      <c r="H3996" t="s">
        <v>4536</v>
      </c>
      <c r="J3996" s="9" t="s">
        <v>4836</v>
      </c>
      <c r="K3996" t="s">
        <v>5310</v>
      </c>
      <c r="L3996" s="2">
        <v>1</v>
      </c>
      <c r="M3996" s="24" t="s">
        <v>5971</v>
      </c>
      <c r="N3996" s="2" t="s">
        <v>23</v>
      </c>
      <c r="O3996" s="18" t="s">
        <v>3065</v>
      </c>
      <c r="P3996" s="18" t="s">
        <v>3781</v>
      </c>
      <c r="Q3996" s="6" t="s">
        <v>4475</v>
      </c>
      <c r="T3996" s="23">
        <v>45975</v>
      </c>
      <c r="U3996" s="23">
        <v>46521</v>
      </c>
      <c r="X3996" s="20">
        <v>1000</v>
      </c>
      <c r="Z3996" s="6" t="s">
        <v>5978</v>
      </c>
      <c r="AA3996" s="14">
        <f t="shared" si="531"/>
        <v>5.9999999999999995E-4</v>
      </c>
      <c r="AB3996">
        <v>0.35191199999999995</v>
      </c>
      <c r="AC3996">
        <v>0.36598847999999995</v>
      </c>
    </row>
    <row r="3997" spans="1:29" x14ac:dyDescent="0.3">
      <c r="A3997">
        <v>149123</v>
      </c>
      <c r="B3997" s="25" t="s">
        <v>5984</v>
      </c>
      <c r="C3997" t="s">
        <v>20</v>
      </c>
      <c r="D3997" t="s">
        <v>21</v>
      </c>
      <c r="E3997">
        <v>2222222</v>
      </c>
      <c r="F3997" s="8" t="s">
        <v>22</v>
      </c>
      <c r="G3997" s="2">
        <v>98</v>
      </c>
      <c r="H3997" t="s">
        <v>4536</v>
      </c>
      <c r="J3997" s="9" t="s">
        <v>5861</v>
      </c>
      <c r="K3997" t="s">
        <v>5525</v>
      </c>
      <c r="L3997" s="2">
        <v>1</v>
      </c>
      <c r="M3997" s="24" t="s">
        <v>5971</v>
      </c>
      <c r="N3997" s="2" t="s">
        <v>23</v>
      </c>
      <c r="O3997" s="18" t="s">
        <v>3066</v>
      </c>
      <c r="P3997" s="18" t="s">
        <v>3781</v>
      </c>
      <c r="Q3997" s="6" t="s">
        <v>4475</v>
      </c>
      <c r="T3997" s="23">
        <v>46014</v>
      </c>
      <c r="U3997" s="23">
        <v>46743</v>
      </c>
      <c r="X3997" s="20">
        <v>3000</v>
      </c>
      <c r="Z3997" s="6" t="s">
        <v>5978</v>
      </c>
      <c r="AA3997" s="14">
        <f t="shared" si="531"/>
        <v>5.9999999999999995E-4</v>
      </c>
      <c r="AB3997">
        <v>1.3353839999999999</v>
      </c>
      <c r="AC3997">
        <v>1.3887993599999999</v>
      </c>
    </row>
    <row r="3998" spans="1:29" x14ac:dyDescent="0.3">
      <c r="A3998">
        <v>149282</v>
      </c>
      <c r="B3998" s="25" t="s">
        <v>5984</v>
      </c>
      <c r="C3998" t="s">
        <v>20</v>
      </c>
      <c r="D3998" t="s">
        <v>21</v>
      </c>
      <c r="E3998">
        <v>2222222</v>
      </c>
      <c r="F3998" s="8" t="s">
        <v>22</v>
      </c>
      <c r="G3998" s="2">
        <v>98</v>
      </c>
      <c r="H3998" t="s">
        <v>4536</v>
      </c>
      <c r="J3998" s="9" t="s">
        <v>4929</v>
      </c>
      <c r="K3998" t="s">
        <v>5862</v>
      </c>
      <c r="L3998" s="2">
        <v>1</v>
      </c>
      <c r="M3998" s="24" t="s">
        <v>5971</v>
      </c>
      <c r="N3998" s="2" t="s">
        <v>23</v>
      </c>
      <c r="O3998" s="18" t="s">
        <v>3067</v>
      </c>
      <c r="P3998" s="18" t="s">
        <v>0</v>
      </c>
      <c r="Q3998" s="6" t="s">
        <v>4475</v>
      </c>
      <c r="T3998" s="23">
        <v>46012</v>
      </c>
      <c r="U3998" s="23">
        <v>47107</v>
      </c>
      <c r="X3998" s="20">
        <v>7600</v>
      </c>
      <c r="Z3998" s="6" t="s">
        <v>5978</v>
      </c>
      <c r="AA3998" s="14">
        <f t="shared" si="531"/>
        <v>5.9999999999999995E-4</v>
      </c>
      <c r="AB3998">
        <v>3.9078839999999997</v>
      </c>
      <c r="AC3998">
        <v>4.0641993599999999</v>
      </c>
    </row>
    <row r="3999" spans="1:29" x14ac:dyDescent="0.3">
      <c r="A3999">
        <v>149481</v>
      </c>
      <c r="B3999" s="25" t="s">
        <v>5984</v>
      </c>
      <c r="C3999" t="s">
        <v>20</v>
      </c>
      <c r="D3999" t="s">
        <v>21</v>
      </c>
      <c r="E3999">
        <v>2222222</v>
      </c>
      <c r="F3999" s="8" t="s">
        <v>22</v>
      </c>
      <c r="G3999" s="2">
        <v>98</v>
      </c>
      <c r="H3999" t="s">
        <v>4536</v>
      </c>
      <c r="J3999" s="9" t="s">
        <v>4988</v>
      </c>
      <c r="K3999" t="s">
        <v>4878</v>
      </c>
      <c r="L3999" s="2">
        <v>1</v>
      </c>
      <c r="M3999" s="24" t="s">
        <v>5971</v>
      </c>
      <c r="N3999" s="2" t="s">
        <v>23</v>
      </c>
      <c r="O3999" s="18" t="s">
        <v>3068</v>
      </c>
      <c r="P3999" s="18" t="s">
        <v>0</v>
      </c>
      <c r="Q3999" s="6" t="s">
        <v>4475</v>
      </c>
      <c r="T3999" s="23">
        <v>46028</v>
      </c>
      <c r="U3999" s="23">
        <v>46392</v>
      </c>
      <c r="X3999" s="20">
        <v>4000</v>
      </c>
      <c r="Z3999" s="6" t="s">
        <v>5978</v>
      </c>
      <c r="AA3999" s="14">
        <f t="shared" si="531"/>
        <v>5.9999999999999995E-4</v>
      </c>
      <c r="AB3999">
        <v>1.2485099999999998</v>
      </c>
      <c r="AC3999">
        <v>1.2984503999999999</v>
      </c>
    </row>
    <row r="4000" spans="1:29" x14ac:dyDescent="0.3">
      <c r="A4000">
        <v>149621</v>
      </c>
      <c r="B4000" s="25" t="s">
        <v>5984</v>
      </c>
      <c r="C4000" t="s">
        <v>20</v>
      </c>
      <c r="D4000" t="s">
        <v>21</v>
      </c>
      <c r="E4000">
        <v>2222222</v>
      </c>
      <c r="F4000" s="8" t="s">
        <v>22</v>
      </c>
      <c r="G4000" s="2">
        <v>98</v>
      </c>
      <c r="H4000" t="s">
        <v>4536</v>
      </c>
      <c r="J4000" s="9" t="s">
        <v>4836</v>
      </c>
      <c r="K4000" t="s">
        <v>5310</v>
      </c>
      <c r="L4000" s="2">
        <v>1</v>
      </c>
      <c r="M4000" s="24" t="s">
        <v>5971</v>
      </c>
      <c r="N4000" s="2" t="s">
        <v>23</v>
      </c>
      <c r="O4000" s="18" t="s">
        <v>3065</v>
      </c>
      <c r="P4000" s="18" t="s">
        <v>3781</v>
      </c>
      <c r="Q4000" s="6" t="s">
        <v>4475</v>
      </c>
      <c r="T4000" s="23">
        <v>46043</v>
      </c>
      <c r="U4000" s="23">
        <v>47138</v>
      </c>
      <c r="X4000" s="20">
        <v>16000</v>
      </c>
      <c r="Z4000" s="6" t="s">
        <v>5978</v>
      </c>
      <c r="AA4000" s="14">
        <f t="shared" si="531"/>
        <v>5.9999999999999995E-4</v>
      </c>
      <c r="AB4000">
        <v>8.2931279999999994</v>
      </c>
      <c r="AC4000">
        <v>8.6248531199999992</v>
      </c>
    </row>
    <row r="4001" spans="1:29" x14ac:dyDescent="0.3">
      <c r="A4001">
        <v>149919</v>
      </c>
      <c r="B4001" s="25" t="s">
        <v>5984</v>
      </c>
      <c r="C4001" t="s">
        <v>20</v>
      </c>
      <c r="D4001" t="s">
        <v>21</v>
      </c>
      <c r="E4001">
        <v>2222222</v>
      </c>
      <c r="F4001" s="8" t="s">
        <v>22</v>
      </c>
      <c r="G4001" s="2">
        <v>98</v>
      </c>
      <c r="H4001" t="s">
        <v>4536</v>
      </c>
      <c r="J4001" s="9" t="s">
        <v>4908</v>
      </c>
      <c r="K4001" t="s">
        <v>4853</v>
      </c>
      <c r="L4001" s="2">
        <v>1</v>
      </c>
      <c r="M4001" s="24" t="s">
        <v>5971</v>
      </c>
      <c r="N4001" s="2" t="s">
        <v>23</v>
      </c>
      <c r="O4001" s="18" t="s">
        <v>940</v>
      </c>
      <c r="P4001" s="18" t="s">
        <v>0</v>
      </c>
      <c r="Q4001" s="6" t="s">
        <v>4475</v>
      </c>
      <c r="T4001" s="23">
        <v>46058</v>
      </c>
      <c r="U4001" s="23">
        <v>47156</v>
      </c>
      <c r="X4001" s="20">
        <v>1400</v>
      </c>
      <c r="Z4001" s="6" t="s">
        <v>5978</v>
      </c>
      <c r="AA4001" s="14">
        <f t="shared" si="531"/>
        <v>5.9999999999999995E-4</v>
      </c>
      <c r="AB4001">
        <v>0.74743199999999999</v>
      </c>
      <c r="AC4001">
        <v>0.77732928000000001</v>
      </c>
    </row>
    <row r="4002" spans="1:29" x14ac:dyDescent="0.3">
      <c r="A4002">
        <v>150095</v>
      </c>
      <c r="B4002" s="25" t="s">
        <v>5984</v>
      </c>
      <c r="C4002" t="s">
        <v>20</v>
      </c>
      <c r="D4002" t="s">
        <v>21</v>
      </c>
      <c r="E4002">
        <v>2222222</v>
      </c>
      <c r="F4002" s="8" t="s">
        <v>22</v>
      </c>
      <c r="G4002" s="2">
        <v>98</v>
      </c>
      <c r="H4002" t="s">
        <v>4536</v>
      </c>
      <c r="J4002" s="9" t="s">
        <v>4988</v>
      </c>
      <c r="K4002" t="s">
        <v>5160</v>
      </c>
      <c r="L4002" s="2">
        <v>1</v>
      </c>
      <c r="M4002" s="24" t="s">
        <v>5971</v>
      </c>
      <c r="N4002" s="2" t="s">
        <v>23</v>
      </c>
      <c r="O4002" s="18" t="s">
        <v>3069</v>
      </c>
      <c r="P4002" s="18" t="s">
        <v>0</v>
      </c>
      <c r="Q4002" s="6" t="s">
        <v>4475</v>
      </c>
      <c r="T4002" s="23">
        <v>46073</v>
      </c>
      <c r="U4002" s="23">
        <v>47291</v>
      </c>
      <c r="X4002" s="20">
        <v>5000</v>
      </c>
      <c r="Z4002" s="6" t="s">
        <v>5978</v>
      </c>
      <c r="AA4002" s="14">
        <f t="shared" si="531"/>
        <v>5.9999999999999995E-4</v>
      </c>
      <c r="AB4002">
        <v>1.6264979999999998</v>
      </c>
      <c r="AC4002">
        <v>1.6915579199999997</v>
      </c>
    </row>
    <row r="4003" spans="1:29" x14ac:dyDescent="0.3">
      <c r="A4003">
        <v>150678</v>
      </c>
      <c r="B4003" s="25" t="s">
        <v>5984</v>
      </c>
      <c r="C4003" t="s">
        <v>20</v>
      </c>
      <c r="D4003" t="s">
        <v>21</v>
      </c>
      <c r="E4003">
        <v>2222222</v>
      </c>
      <c r="F4003" s="8" t="s">
        <v>22</v>
      </c>
      <c r="G4003" s="2">
        <v>98</v>
      </c>
      <c r="H4003" t="s">
        <v>4536</v>
      </c>
      <c r="J4003" s="9" t="s">
        <v>5141</v>
      </c>
      <c r="K4003" t="s">
        <v>4861</v>
      </c>
      <c r="L4003" s="2">
        <v>1</v>
      </c>
      <c r="M4003" s="24" t="s">
        <v>5971</v>
      </c>
      <c r="N4003" s="2" t="s">
        <v>23</v>
      </c>
      <c r="O4003" s="18" t="s">
        <v>3070</v>
      </c>
      <c r="P4003" s="18" t="s">
        <v>3781</v>
      </c>
      <c r="Q4003" s="6" t="s">
        <v>4475</v>
      </c>
      <c r="T4003" s="23">
        <v>46108</v>
      </c>
      <c r="U4003" s="23">
        <v>46838</v>
      </c>
      <c r="X4003" s="20">
        <v>1050</v>
      </c>
      <c r="Z4003" s="6" t="s">
        <v>5978</v>
      </c>
      <c r="AA4003" s="14">
        <f t="shared" si="531"/>
        <v>5.9999999999999995E-4</v>
      </c>
      <c r="AB4003">
        <v>0.53920199999999996</v>
      </c>
      <c r="AC4003">
        <v>0.56077007999999995</v>
      </c>
    </row>
    <row r="4004" spans="1:29" x14ac:dyDescent="0.3">
      <c r="A4004">
        <v>150772</v>
      </c>
      <c r="B4004" s="25" t="s">
        <v>5984</v>
      </c>
      <c r="C4004" t="s">
        <v>20</v>
      </c>
      <c r="D4004" t="s">
        <v>21</v>
      </c>
      <c r="E4004">
        <v>2222222</v>
      </c>
      <c r="F4004" s="8" t="s">
        <v>22</v>
      </c>
      <c r="G4004" s="2">
        <v>98</v>
      </c>
      <c r="H4004" t="s">
        <v>4536</v>
      </c>
      <c r="J4004" s="9" t="s">
        <v>5164</v>
      </c>
      <c r="K4004" t="s">
        <v>4926</v>
      </c>
      <c r="L4004" s="2">
        <v>1</v>
      </c>
      <c r="M4004" s="24" t="s">
        <v>5971</v>
      </c>
      <c r="N4004" s="2" t="s">
        <v>23</v>
      </c>
      <c r="O4004" s="18" t="s">
        <v>3071</v>
      </c>
      <c r="P4004" s="18" t="s">
        <v>3781</v>
      </c>
      <c r="Q4004" s="6" t="s">
        <v>4475</v>
      </c>
      <c r="T4004" s="23">
        <v>46114</v>
      </c>
      <c r="U4004" s="23">
        <v>53419</v>
      </c>
      <c r="X4004" s="20">
        <v>34900</v>
      </c>
      <c r="Z4004" s="6" t="s">
        <v>5978</v>
      </c>
      <c r="AA4004" s="14">
        <f t="shared" si="531"/>
        <v>5.9999999999999995E-4</v>
      </c>
      <c r="AB4004">
        <v>20.835065999999998</v>
      </c>
      <c r="AC4004">
        <v>21.668468639999997</v>
      </c>
    </row>
    <row r="4005" spans="1:29" x14ac:dyDescent="0.3">
      <c r="A4005">
        <v>151084</v>
      </c>
      <c r="B4005" s="25" t="s">
        <v>5984</v>
      </c>
      <c r="C4005" t="s">
        <v>20</v>
      </c>
      <c r="D4005" t="s">
        <v>21</v>
      </c>
      <c r="E4005">
        <v>2222222</v>
      </c>
      <c r="F4005" s="8" t="s">
        <v>22</v>
      </c>
      <c r="G4005" s="2">
        <v>98</v>
      </c>
      <c r="H4005" t="s">
        <v>4536</v>
      </c>
      <c r="J4005" s="9" t="s">
        <v>4990</v>
      </c>
      <c r="K4005" t="s">
        <v>5033</v>
      </c>
      <c r="L4005" s="2">
        <v>1</v>
      </c>
      <c r="M4005" s="24" t="s">
        <v>5971</v>
      </c>
      <c r="N4005" s="2" t="s">
        <v>23</v>
      </c>
      <c r="O4005" s="18" t="s">
        <v>3072</v>
      </c>
      <c r="P4005" s="18" t="s">
        <v>3781</v>
      </c>
      <c r="Q4005" s="6" t="s">
        <v>4475</v>
      </c>
      <c r="T4005" s="23">
        <v>46136</v>
      </c>
      <c r="U4005" s="23">
        <v>46867</v>
      </c>
      <c r="X4005" s="20">
        <v>1500</v>
      </c>
      <c r="Z4005" s="6" t="s">
        <v>5978</v>
      </c>
      <c r="AA4005" s="14">
        <f t="shared" si="531"/>
        <v>5.9999999999999995E-4</v>
      </c>
      <c r="AB4005">
        <v>0.80351399999999995</v>
      </c>
      <c r="AC4005">
        <v>0.83565455999999994</v>
      </c>
    </row>
    <row r="4006" spans="1:29" x14ac:dyDescent="0.3">
      <c r="A4006">
        <v>151131</v>
      </c>
      <c r="B4006" s="25" t="s">
        <v>5984</v>
      </c>
      <c r="C4006" t="s">
        <v>20</v>
      </c>
      <c r="D4006" t="s">
        <v>21</v>
      </c>
      <c r="E4006">
        <v>2222222</v>
      </c>
      <c r="F4006" s="8" t="s">
        <v>22</v>
      </c>
      <c r="G4006" s="2">
        <v>98</v>
      </c>
      <c r="H4006" t="s">
        <v>4536</v>
      </c>
      <c r="J4006" s="9" t="s">
        <v>4826</v>
      </c>
      <c r="K4006" t="s">
        <v>4875</v>
      </c>
      <c r="L4006" s="2">
        <v>1</v>
      </c>
      <c r="M4006" s="24" t="s">
        <v>5971</v>
      </c>
      <c r="N4006" s="2" t="s">
        <v>23</v>
      </c>
      <c r="O4006" s="18" t="s">
        <v>3073</v>
      </c>
      <c r="P4006" s="18" t="s">
        <v>0</v>
      </c>
      <c r="Q4006" s="6" t="s">
        <v>4475</v>
      </c>
      <c r="T4006" s="23">
        <v>46140</v>
      </c>
      <c r="U4006" s="23">
        <v>46505</v>
      </c>
      <c r="X4006" s="20">
        <v>1000</v>
      </c>
      <c r="Z4006" s="6" t="s">
        <v>5978</v>
      </c>
      <c r="AA4006" s="14">
        <f t="shared" si="531"/>
        <v>5.9999999999999995E-4</v>
      </c>
      <c r="AB4006">
        <v>0.45941399999999999</v>
      </c>
      <c r="AC4006">
        <v>0.47779056000000003</v>
      </c>
    </row>
    <row r="4007" spans="1:29" x14ac:dyDescent="0.3">
      <c r="A4007">
        <v>151186</v>
      </c>
      <c r="B4007" s="25" t="s">
        <v>5984</v>
      </c>
      <c r="C4007" t="s">
        <v>20</v>
      </c>
      <c r="D4007" t="s">
        <v>21</v>
      </c>
      <c r="E4007">
        <v>2222222</v>
      </c>
      <c r="F4007" s="8" t="s">
        <v>22</v>
      </c>
      <c r="G4007" s="2">
        <v>98</v>
      </c>
      <c r="H4007" t="s">
        <v>4536</v>
      </c>
      <c r="J4007" s="9" t="s">
        <v>4921</v>
      </c>
      <c r="K4007" t="s">
        <v>4845</v>
      </c>
      <c r="L4007" s="2">
        <v>1</v>
      </c>
      <c r="M4007" s="24" t="s">
        <v>5971</v>
      </c>
      <c r="N4007" s="2" t="s">
        <v>23</v>
      </c>
      <c r="O4007" s="18" t="s">
        <v>3074</v>
      </c>
      <c r="P4007" s="18" t="s">
        <v>3781</v>
      </c>
      <c r="Q4007" s="6" t="s">
        <v>4475</v>
      </c>
      <c r="T4007" s="23">
        <v>46154</v>
      </c>
      <c r="U4007" s="23">
        <v>47979</v>
      </c>
      <c r="X4007" s="20">
        <v>20000</v>
      </c>
      <c r="Z4007" s="6" t="s">
        <v>5978</v>
      </c>
      <c r="AA4007" s="14">
        <f t="shared" si="531"/>
        <v>5.9999999999999995E-4</v>
      </c>
      <c r="AB4007">
        <v>11.731751999999998</v>
      </c>
      <c r="AC4007">
        <v>12.20102208</v>
      </c>
    </row>
    <row r="4008" spans="1:29" x14ac:dyDescent="0.3">
      <c r="A4008">
        <v>151376</v>
      </c>
      <c r="B4008" s="25" t="s">
        <v>5984</v>
      </c>
      <c r="C4008" t="s">
        <v>20</v>
      </c>
      <c r="D4008" t="s">
        <v>21</v>
      </c>
      <c r="E4008">
        <v>2222222</v>
      </c>
      <c r="F4008" s="8" t="s">
        <v>22</v>
      </c>
      <c r="G4008" s="2">
        <v>98</v>
      </c>
      <c r="H4008" t="s">
        <v>4536</v>
      </c>
      <c r="J4008" s="9" t="s">
        <v>4988</v>
      </c>
      <c r="K4008" t="s">
        <v>4878</v>
      </c>
      <c r="L4008" s="2">
        <v>1</v>
      </c>
      <c r="M4008" s="24" t="s">
        <v>5971</v>
      </c>
      <c r="N4008" s="2" t="s">
        <v>23</v>
      </c>
      <c r="O4008" s="18" t="s">
        <v>3068</v>
      </c>
      <c r="P4008" s="18" t="s">
        <v>0</v>
      </c>
      <c r="Q4008" s="6" t="s">
        <v>4475</v>
      </c>
      <c r="T4008" s="23">
        <v>46161</v>
      </c>
      <c r="U4008" s="23">
        <v>46416</v>
      </c>
      <c r="X4008" s="20">
        <v>31100</v>
      </c>
      <c r="Z4008" s="6" t="s">
        <v>5978</v>
      </c>
      <c r="AA4008" s="14">
        <f t="shared" si="531"/>
        <v>5.9999999999999995E-4</v>
      </c>
      <c r="AB4008">
        <v>18.659999999999997</v>
      </c>
      <c r="AC4008">
        <v>19.406399999999998</v>
      </c>
    </row>
    <row r="4009" spans="1:29" x14ac:dyDescent="0.3">
      <c r="A4009">
        <v>151393</v>
      </c>
      <c r="B4009" s="25" t="s">
        <v>5984</v>
      </c>
      <c r="C4009" t="s">
        <v>20</v>
      </c>
      <c r="D4009" t="s">
        <v>21</v>
      </c>
      <c r="E4009">
        <v>2222222</v>
      </c>
      <c r="F4009" s="8" t="s">
        <v>22</v>
      </c>
      <c r="G4009" s="2">
        <v>98</v>
      </c>
      <c r="H4009" t="s">
        <v>4536</v>
      </c>
      <c r="J4009" s="9" t="s">
        <v>5659</v>
      </c>
      <c r="K4009" t="s">
        <v>4932</v>
      </c>
      <c r="L4009" s="2">
        <v>1</v>
      </c>
      <c r="M4009" s="24" t="s">
        <v>5971</v>
      </c>
      <c r="N4009" s="2" t="s">
        <v>23</v>
      </c>
      <c r="O4009" s="18" t="s">
        <v>3075</v>
      </c>
      <c r="P4009" s="18" t="s">
        <v>3781</v>
      </c>
      <c r="Q4009" s="6" t="s">
        <v>4475</v>
      </c>
      <c r="T4009" s="23">
        <v>46161</v>
      </c>
      <c r="U4009" s="23">
        <v>47075</v>
      </c>
      <c r="X4009" s="20">
        <v>1050</v>
      </c>
      <c r="Z4009" s="6" t="s">
        <v>5978</v>
      </c>
      <c r="AA4009" s="14">
        <f t="shared" si="531"/>
        <v>5.9999999999999995E-4</v>
      </c>
      <c r="AB4009">
        <v>0.59561399999999998</v>
      </c>
      <c r="AC4009">
        <v>0.61943855999999997</v>
      </c>
    </row>
    <row r="4010" spans="1:29" x14ac:dyDescent="0.3">
      <c r="A4010">
        <v>151644</v>
      </c>
      <c r="B4010" s="25" t="s">
        <v>5984</v>
      </c>
      <c r="C4010" t="s">
        <v>20</v>
      </c>
      <c r="D4010" t="s">
        <v>21</v>
      </c>
      <c r="E4010">
        <v>2222222</v>
      </c>
      <c r="F4010" s="8" t="s">
        <v>22</v>
      </c>
      <c r="G4010" s="2">
        <v>98</v>
      </c>
      <c r="H4010" t="s">
        <v>4536</v>
      </c>
      <c r="J4010" s="9" t="s">
        <v>5763</v>
      </c>
      <c r="K4010" t="s">
        <v>4512</v>
      </c>
      <c r="L4010" s="2">
        <v>1</v>
      </c>
      <c r="M4010" s="24" t="s">
        <v>5971</v>
      </c>
      <c r="N4010" s="2" t="s">
        <v>23</v>
      </c>
      <c r="O4010" s="18" t="s">
        <v>3064</v>
      </c>
      <c r="P4010" s="18" t="s">
        <v>0</v>
      </c>
      <c r="Q4010" s="6" t="s">
        <v>4475</v>
      </c>
      <c r="T4010" s="23">
        <v>46177</v>
      </c>
      <c r="U4010" s="23">
        <v>46908</v>
      </c>
      <c r="X4010" s="20">
        <v>5000</v>
      </c>
      <c r="Z4010" s="6" t="s">
        <v>5978</v>
      </c>
      <c r="AA4010" s="14">
        <f t="shared" si="531"/>
        <v>5.9999999999999995E-4</v>
      </c>
      <c r="AB4010">
        <v>2.8927919999999996</v>
      </c>
      <c r="AC4010">
        <v>3.0085036799999996</v>
      </c>
    </row>
    <row r="4011" spans="1:29" x14ac:dyDescent="0.3">
      <c r="A4011">
        <v>151671</v>
      </c>
      <c r="B4011" s="25" t="s">
        <v>5984</v>
      </c>
      <c r="C4011" t="s">
        <v>20</v>
      </c>
      <c r="D4011" t="s">
        <v>21</v>
      </c>
      <c r="E4011">
        <v>2222222</v>
      </c>
      <c r="F4011" s="8" t="s">
        <v>22</v>
      </c>
      <c r="G4011" s="2">
        <v>98</v>
      </c>
      <c r="H4011" t="s">
        <v>4536</v>
      </c>
      <c r="J4011" s="9" t="s">
        <v>4899</v>
      </c>
      <c r="K4011" t="s">
        <v>5863</v>
      </c>
      <c r="L4011" s="2">
        <v>1</v>
      </c>
      <c r="M4011" s="24" t="s">
        <v>5971</v>
      </c>
      <c r="N4011" s="2" t="s">
        <v>23</v>
      </c>
      <c r="O4011" s="18" t="s">
        <v>3076</v>
      </c>
      <c r="P4011" s="18" t="s">
        <v>3781</v>
      </c>
      <c r="Q4011" s="6" t="s">
        <v>4475</v>
      </c>
      <c r="T4011" s="23">
        <v>46178</v>
      </c>
      <c r="U4011" s="23">
        <v>46268</v>
      </c>
      <c r="X4011" s="20">
        <v>3910</v>
      </c>
      <c r="Z4011" s="6" t="s">
        <v>5978</v>
      </c>
      <c r="AA4011" s="14">
        <f t="shared" si="531"/>
        <v>5.9999999999999995E-4</v>
      </c>
      <c r="AB4011">
        <v>2.3459999999999996</v>
      </c>
      <c r="AC4011">
        <v>2.4398399999999998</v>
      </c>
    </row>
    <row r="4012" spans="1:29" x14ac:dyDescent="0.3">
      <c r="A4012">
        <v>151768</v>
      </c>
      <c r="B4012" s="25" t="s">
        <v>5984</v>
      </c>
      <c r="C4012" t="s">
        <v>20</v>
      </c>
      <c r="D4012" t="s">
        <v>21</v>
      </c>
      <c r="E4012">
        <v>2222222</v>
      </c>
      <c r="F4012" s="8" t="s">
        <v>22</v>
      </c>
      <c r="G4012" s="2">
        <v>98</v>
      </c>
      <c r="H4012" t="s">
        <v>4536</v>
      </c>
      <c r="J4012" s="9" t="s">
        <v>5653</v>
      </c>
      <c r="K4012" t="s">
        <v>5516</v>
      </c>
      <c r="L4012" s="2">
        <v>1</v>
      </c>
      <c r="M4012" s="24" t="s">
        <v>5971</v>
      </c>
      <c r="N4012" s="2" t="s">
        <v>23</v>
      </c>
      <c r="O4012" s="18" t="s">
        <v>652</v>
      </c>
      <c r="P4012" s="18" t="s">
        <v>3781</v>
      </c>
      <c r="Q4012" s="6" t="s">
        <v>4475</v>
      </c>
      <c r="T4012" s="23">
        <v>46185</v>
      </c>
      <c r="U4012" s="23">
        <v>46275</v>
      </c>
      <c r="X4012" s="20">
        <v>4960</v>
      </c>
      <c r="Z4012" s="6" t="s">
        <v>5978</v>
      </c>
      <c r="AA4012" s="14">
        <f t="shared" si="531"/>
        <v>5.9999999999999995E-4</v>
      </c>
      <c r="AB4012">
        <v>2.9759999999999995</v>
      </c>
      <c r="AC4012">
        <v>3.0950399999999996</v>
      </c>
    </row>
    <row r="4013" spans="1:29" x14ac:dyDescent="0.3">
      <c r="A4013">
        <v>151858</v>
      </c>
      <c r="B4013" s="25" t="s">
        <v>5984</v>
      </c>
      <c r="C4013" t="s">
        <v>20</v>
      </c>
      <c r="D4013" t="s">
        <v>21</v>
      </c>
      <c r="E4013">
        <v>2222222</v>
      </c>
      <c r="F4013" s="8" t="s">
        <v>22</v>
      </c>
      <c r="G4013" s="2">
        <v>98</v>
      </c>
      <c r="H4013" t="s">
        <v>4536</v>
      </c>
      <c r="J4013" s="9" t="s">
        <v>5164</v>
      </c>
      <c r="K4013" t="s">
        <v>4926</v>
      </c>
      <c r="L4013" s="2">
        <v>1</v>
      </c>
      <c r="M4013" s="24" t="s">
        <v>5971</v>
      </c>
      <c r="N4013" s="2" t="s">
        <v>23</v>
      </c>
      <c r="O4013" s="18" t="s">
        <v>3071</v>
      </c>
      <c r="P4013" s="18" t="s">
        <v>3781</v>
      </c>
      <c r="Q4013" s="6" t="s">
        <v>4475</v>
      </c>
      <c r="T4013" s="23">
        <v>46192</v>
      </c>
      <c r="U4013" s="23">
        <v>46496</v>
      </c>
      <c r="X4013" s="20">
        <v>310</v>
      </c>
      <c r="Z4013" s="6" t="s">
        <v>5978</v>
      </c>
      <c r="AA4013" s="14">
        <f t="shared" si="531"/>
        <v>5.9999999999999995E-4</v>
      </c>
      <c r="AB4013">
        <v>0.15089999999999998</v>
      </c>
      <c r="AC4013">
        <v>0.15693599999999999</v>
      </c>
    </row>
    <row r="4014" spans="1:29" x14ac:dyDescent="0.3">
      <c r="A4014">
        <v>151904</v>
      </c>
      <c r="B4014" s="25" t="s">
        <v>5984</v>
      </c>
      <c r="C4014" t="s">
        <v>20</v>
      </c>
      <c r="D4014" t="s">
        <v>21</v>
      </c>
      <c r="E4014">
        <v>2222222</v>
      </c>
      <c r="F4014" s="8" t="s">
        <v>22</v>
      </c>
      <c r="G4014" s="2">
        <v>98</v>
      </c>
      <c r="H4014" t="s">
        <v>4536</v>
      </c>
      <c r="J4014" s="9" t="s">
        <v>5858</v>
      </c>
      <c r="K4014" t="s">
        <v>5295</v>
      </c>
      <c r="L4014" s="2">
        <v>1</v>
      </c>
      <c r="M4014" s="24" t="s">
        <v>5971</v>
      </c>
      <c r="N4014" s="2" t="s">
        <v>23</v>
      </c>
      <c r="O4014" s="18" t="s">
        <v>3052</v>
      </c>
      <c r="P4014" s="18" t="s">
        <v>3781</v>
      </c>
      <c r="Q4014" s="6" t="s">
        <v>4475</v>
      </c>
      <c r="T4014" s="23">
        <v>46196</v>
      </c>
      <c r="U4014" s="23">
        <v>46286</v>
      </c>
      <c r="X4014" s="20">
        <v>1000</v>
      </c>
      <c r="Z4014" s="6" t="s">
        <v>5978</v>
      </c>
      <c r="AA4014" s="14">
        <f t="shared" si="531"/>
        <v>5.9999999999999995E-4</v>
      </c>
      <c r="AB4014">
        <v>0.6</v>
      </c>
      <c r="AC4014">
        <v>0.624</v>
      </c>
    </row>
    <row r="4015" spans="1:29" x14ac:dyDescent="0.3">
      <c r="A4015">
        <v>152025</v>
      </c>
      <c r="B4015" s="25" t="s">
        <v>5984</v>
      </c>
      <c r="C4015" t="s">
        <v>20</v>
      </c>
      <c r="D4015" t="s">
        <v>21</v>
      </c>
      <c r="E4015">
        <v>2222222</v>
      </c>
      <c r="F4015" s="8" t="s">
        <v>22</v>
      </c>
      <c r="G4015" s="2">
        <v>98</v>
      </c>
      <c r="H4015" t="s">
        <v>4536</v>
      </c>
      <c r="J4015" s="9" t="s">
        <v>4864</v>
      </c>
      <c r="K4015" t="s">
        <v>4875</v>
      </c>
      <c r="L4015" s="2">
        <v>1</v>
      </c>
      <c r="M4015" s="24" t="s">
        <v>5971</v>
      </c>
      <c r="N4015" s="2" t="s">
        <v>23</v>
      </c>
      <c r="O4015" s="18" t="s">
        <v>3050</v>
      </c>
      <c r="P4015" s="18" t="s">
        <v>0</v>
      </c>
      <c r="Q4015" s="6" t="s">
        <v>4475</v>
      </c>
      <c r="T4015" s="23">
        <v>46205</v>
      </c>
      <c r="U4015" s="23">
        <v>46295</v>
      </c>
      <c r="X4015" s="20">
        <v>1550</v>
      </c>
      <c r="Z4015" s="6" t="s">
        <v>5978</v>
      </c>
      <c r="AA4015" s="14">
        <f t="shared" si="531"/>
        <v>5.9999999999999995E-4</v>
      </c>
      <c r="AB4015">
        <v>0.92999999999999994</v>
      </c>
      <c r="AC4015">
        <v>0.96719999999999995</v>
      </c>
    </row>
    <row r="4016" spans="1:29" x14ac:dyDescent="0.3">
      <c r="A4016">
        <v>152041</v>
      </c>
      <c r="B4016" s="25" t="s">
        <v>5984</v>
      </c>
      <c r="C4016" t="s">
        <v>20</v>
      </c>
      <c r="D4016" t="s">
        <v>21</v>
      </c>
      <c r="E4016">
        <v>2222222</v>
      </c>
      <c r="F4016" s="8" t="s">
        <v>22</v>
      </c>
      <c r="G4016" s="2">
        <v>98</v>
      </c>
      <c r="H4016" t="s">
        <v>4536</v>
      </c>
      <c r="J4016" s="9" t="s">
        <v>5750</v>
      </c>
      <c r="K4016" t="s">
        <v>5041</v>
      </c>
      <c r="L4016" s="2">
        <v>1</v>
      </c>
      <c r="M4016" s="24" t="s">
        <v>5971</v>
      </c>
      <c r="N4016" s="2" t="s">
        <v>23</v>
      </c>
      <c r="O4016" s="18" t="s">
        <v>2630</v>
      </c>
      <c r="P4016" s="18" t="s">
        <v>0</v>
      </c>
      <c r="Q4016" s="6" t="s">
        <v>4475</v>
      </c>
      <c r="T4016" s="23">
        <v>46206</v>
      </c>
      <c r="U4016" s="23">
        <v>46296</v>
      </c>
      <c r="X4016" s="20">
        <v>5000</v>
      </c>
      <c r="Z4016" s="6" t="s">
        <v>5978</v>
      </c>
      <c r="AA4016" s="14">
        <f t="shared" si="531"/>
        <v>5.9999999999999995E-4</v>
      </c>
      <c r="AB4016">
        <v>2.9999999999999996</v>
      </c>
      <c r="AC4016">
        <v>3.1199999999999997</v>
      </c>
    </row>
    <row r="4017" spans="1:29" x14ac:dyDescent="0.3">
      <c r="A4017">
        <v>152113</v>
      </c>
      <c r="B4017" s="25" t="s">
        <v>5984</v>
      </c>
      <c r="C4017" t="s">
        <v>20</v>
      </c>
      <c r="D4017" t="s">
        <v>21</v>
      </c>
      <c r="E4017">
        <v>2222222</v>
      </c>
      <c r="F4017" s="8" t="s">
        <v>22</v>
      </c>
      <c r="G4017" s="2">
        <v>98</v>
      </c>
      <c r="H4017" t="s">
        <v>4536</v>
      </c>
      <c r="J4017" s="9" t="s">
        <v>4830</v>
      </c>
      <c r="K4017" t="s">
        <v>5196</v>
      </c>
      <c r="L4017" s="2">
        <v>1</v>
      </c>
      <c r="M4017" s="24" t="s">
        <v>5971</v>
      </c>
      <c r="N4017" s="2" t="s">
        <v>23</v>
      </c>
      <c r="O4017" s="18" t="s">
        <v>3077</v>
      </c>
      <c r="P4017" s="18" t="s">
        <v>3781</v>
      </c>
      <c r="Q4017" s="6" t="s">
        <v>4475</v>
      </c>
      <c r="T4017" s="23">
        <v>46213</v>
      </c>
      <c r="U4017" s="23">
        <v>47309</v>
      </c>
      <c r="X4017" s="20">
        <v>3100</v>
      </c>
      <c r="Z4017" s="6" t="s">
        <v>5978</v>
      </c>
      <c r="AA4017" s="14">
        <f t="shared" si="531"/>
        <v>5.9999999999999995E-4</v>
      </c>
      <c r="AB4017">
        <v>1.8599999999999999</v>
      </c>
      <c r="AC4017">
        <v>1.9343999999999999</v>
      </c>
    </row>
    <row r="4018" spans="1:29" x14ac:dyDescent="0.3">
      <c r="A4018">
        <v>152128</v>
      </c>
      <c r="B4018" s="25" t="s">
        <v>5984</v>
      </c>
      <c r="C4018" t="s">
        <v>20</v>
      </c>
      <c r="D4018" t="s">
        <v>21</v>
      </c>
      <c r="E4018">
        <v>2222222</v>
      </c>
      <c r="F4018" s="8" t="s">
        <v>22</v>
      </c>
      <c r="G4018" s="2">
        <v>98</v>
      </c>
      <c r="H4018" t="s">
        <v>4536</v>
      </c>
      <c r="J4018" s="9" t="s">
        <v>4899</v>
      </c>
      <c r="K4018" t="s">
        <v>5863</v>
      </c>
      <c r="L4018" s="2">
        <v>1</v>
      </c>
      <c r="M4018" s="24" t="s">
        <v>5971</v>
      </c>
      <c r="N4018" s="2" t="s">
        <v>23</v>
      </c>
      <c r="O4018" s="18" t="s">
        <v>3076</v>
      </c>
      <c r="P4018" s="18" t="s">
        <v>3781</v>
      </c>
      <c r="Q4018" s="6" t="s">
        <v>4475</v>
      </c>
      <c r="T4018" s="23">
        <v>46213</v>
      </c>
      <c r="U4018" s="23">
        <v>46304</v>
      </c>
      <c r="X4018" s="20">
        <v>3000</v>
      </c>
      <c r="Z4018" s="6" t="s">
        <v>5978</v>
      </c>
      <c r="AA4018" s="14">
        <f t="shared" si="531"/>
        <v>5.9999999999999995E-4</v>
      </c>
      <c r="AB4018">
        <v>1.7999999999999998</v>
      </c>
      <c r="AC4018">
        <v>1.8719999999999999</v>
      </c>
    </row>
    <row r="4019" spans="1:29" x14ac:dyDescent="0.3">
      <c r="A4019">
        <v>152182</v>
      </c>
      <c r="B4019" s="25" t="s">
        <v>5984</v>
      </c>
      <c r="C4019" t="s">
        <v>20</v>
      </c>
      <c r="D4019" t="s">
        <v>21</v>
      </c>
      <c r="E4019">
        <v>2222222</v>
      </c>
      <c r="F4019" s="8" t="s">
        <v>22</v>
      </c>
      <c r="G4019" s="2">
        <v>98</v>
      </c>
      <c r="H4019" t="s">
        <v>4536</v>
      </c>
      <c r="J4019" s="9" t="s">
        <v>5124</v>
      </c>
      <c r="K4019" t="s">
        <v>5085</v>
      </c>
      <c r="L4019" s="2">
        <v>1</v>
      </c>
      <c r="M4019" s="24" t="s">
        <v>5971</v>
      </c>
      <c r="N4019" s="2" t="s">
        <v>23</v>
      </c>
      <c r="O4019" s="18" t="s">
        <v>3078</v>
      </c>
      <c r="P4019" s="18" t="s">
        <v>0</v>
      </c>
      <c r="Q4019" s="6" t="s">
        <v>4475</v>
      </c>
      <c r="T4019" s="23">
        <v>46233</v>
      </c>
      <c r="U4019" s="23">
        <v>48789</v>
      </c>
      <c r="X4019" s="20">
        <v>35000</v>
      </c>
      <c r="Z4019" s="6" t="s">
        <v>5978</v>
      </c>
      <c r="AA4019" s="14">
        <f t="shared" si="531"/>
        <v>5.9999999999999995E-4</v>
      </c>
      <c r="AB4019">
        <v>20.999999999999996</v>
      </c>
      <c r="AC4019">
        <v>21.839999999999996</v>
      </c>
    </row>
    <row r="4020" spans="1:29" x14ac:dyDescent="0.3">
      <c r="A4020">
        <v>152338</v>
      </c>
      <c r="B4020" s="25" t="s">
        <v>5984</v>
      </c>
      <c r="C4020" t="s">
        <v>20</v>
      </c>
      <c r="D4020" t="s">
        <v>21</v>
      </c>
      <c r="E4020">
        <v>2222222</v>
      </c>
      <c r="F4020" s="8" t="s">
        <v>22</v>
      </c>
      <c r="G4020" s="2">
        <v>98</v>
      </c>
      <c r="H4020" t="s">
        <v>4536</v>
      </c>
      <c r="J4020" s="9" t="s">
        <v>4917</v>
      </c>
      <c r="K4020" t="s">
        <v>5338</v>
      </c>
      <c r="L4020" s="2">
        <v>1</v>
      </c>
      <c r="M4020" s="24" t="s">
        <v>5971</v>
      </c>
      <c r="N4020" s="2" t="s">
        <v>23</v>
      </c>
      <c r="O4020" s="18" t="s">
        <v>3079</v>
      </c>
      <c r="P4020" s="18" t="s">
        <v>3781</v>
      </c>
      <c r="Q4020" s="6" t="s">
        <v>4475</v>
      </c>
      <c r="T4020" s="23">
        <v>46231</v>
      </c>
      <c r="U4020" s="23">
        <v>46321</v>
      </c>
      <c r="X4020" s="20">
        <v>3960</v>
      </c>
      <c r="Z4020" s="6" t="s">
        <v>5978</v>
      </c>
      <c r="AA4020" s="14">
        <f t="shared" si="531"/>
        <v>5.9999999999999995E-4</v>
      </c>
      <c r="AB4020">
        <v>2.3759999999999999</v>
      </c>
      <c r="AC4020">
        <v>2.4710399999999999</v>
      </c>
    </row>
    <row r="4021" spans="1:29" x14ac:dyDescent="0.3">
      <c r="A4021">
        <v>134084</v>
      </c>
      <c r="B4021" s="25" t="s">
        <v>5984</v>
      </c>
      <c r="C4021" t="s">
        <v>20</v>
      </c>
      <c r="D4021" t="s">
        <v>21</v>
      </c>
      <c r="E4021">
        <v>2222222</v>
      </c>
      <c r="F4021" s="8" t="s">
        <v>22</v>
      </c>
      <c r="G4021" s="2">
        <v>98</v>
      </c>
      <c r="H4021" t="s">
        <v>4537</v>
      </c>
      <c r="J4021" s="9" t="s">
        <v>5373</v>
      </c>
      <c r="K4021" t="s">
        <v>5031</v>
      </c>
      <c r="L4021" s="2">
        <v>1</v>
      </c>
      <c r="M4021" s="24" t="s">
        <v>5971</v>
      </c>
      <c r="N4021" s="2" t="s">
        <v>23</v>
      </c>
      <c r="O4021" s="18" t="s">
        <v>3080</v>
      </c>
      <c r="P4021" s="18" t="s">
        <v>3781</v>
      </c>
      <c r="Q4021" s="6" t="s">
        <v>4475</v>
      </c>
      <c r="T4021" s="23">
        <v>45044</v>
      </c>
      <c r="U4021" s="23">
        <v>46235</v>
      </c>
      <c r="X4021" s="20">
        <v>2495</v>
      </c>
      <c r="Z4021" s="6" t="s">
        <v>5978</v>
      </c>
      <c r="AA4021" s="13">
        <f t="shared" ref="AA4021:AA4022" si="532">+(0.56/1000)</f>
        <v>5.6000000000000006E-4</v>
      </c>
      <c r="AB4021">
        <v>0.83151600000000003</v>
      </c>
      <c r="AC4021">
        <v>0.8647766400000001</v>
      </c>
    </row>
    <row r="4022" spans="1:29" x14ac:dyDescent="0.3">
      <c r="A4022">
        <v>136311</v>
      </c>
      <c r="B4022" s="25" t="s">
        <v>5984</v>
      </c>
      <c r="C4022" t="s">
        <v>20</v>
      </c>
      <c r="D4022" t="s">
        <v>21</v>
      </c>
      <c r="E4022">
        <v>2222222</v>
      </c>
      <c r="F4022" s="8" t="s">
        <v>22</v>
      </c>
      <c r="G4022" s="2">
        <v>98</v>
      </c>
      <c r="H4022" t="s">
        <v>4537</v>
      </c>
      <c r="J4022" s="9" t="s">
        <v>5493</v>
      </c>
      <c r="K4022" t="s">
        <v>5864</v>
      </c>
      <c r="L4022" s="2">
        <v>1</v>
      </c>
      <c r="M4022" s="24" t="s">
        <v>5971</v>
      </c>
      <c r="N4022" s="2" t="s">
        <v>23</v>
      </c>
      <c r="O4022" s="18" t="s">
        <v>3081</v>
      </c>
      <c r="P4022" s="18" t="s">
        <v>0</v>
      </c>
      <c r="Q4022" s="6" t="s">
        <v>4475</v>
      </c>
      <c r="T4022" s="23">
        <v>45166</v>
      </c>
      <c r="U4022" s="23">
        <v>46626</v>
      </c>
      <c r="X4022" s="20">
        <v>5000</v>
      </c>
      <c r="Z4022" s="6" t="s">
        <v>5978</v>
      </c>
      <c r="AA4022" s="13">
        <f t="shared" si="532"/>
        <v>5.6000000000000006E-4</v>
      </c>
      <c r="AB4022">
        <v>1.0577728000000002</v>
      </c>
      <c r="AC4022">
        <v>1.1000837120000002</v>
      </c>
    </row>
    <row r="4023" spans="1:29" x14ac:dyDescent="0.3">
      <c r="A4023">
        <v>144283</v>
      </c>
      <c r="B4023" s="25" t="s">
        <v>5984</v>
      </c>
      <c r="C4023" t="s">
        <v>20</v>
      </c>
      <c r="D4023" t="s">
        <v>21</v>
      </c>
      <c r="E4023">
        <v>2222222</v>
      </c>
      <c r="F4023" s="8" t="s">
        <v>22</v>
      </c>
      <c r="G4023" s="2">
        <v>98</v>
      </c>
      <c r="H4023" t="s">
        <v>4537</v>
      </c>
      <c r="J4023" s="9" t="s">
        <v>5011</v>
      </c>
      <c r="K4023" t="s">
        <v>4761</v>
      </c>
      <c r="L4023" s="2">
        <v>1</v>
      </c>
      <c r="M4023" s="24" t="s">
        <v>5971</v>
      </c>
      <c r="N4023" s="2" t="s">
        <v>23</v>
      </c>
      <c r="O4023" s="18" t="s">
        <v>3082</v>
      </c>
      <c r="P4023" s="18" t="s">
        <v>0</v>
      </c>
      <c r="Q4023" s="6" t="s">
        <v>4475</v>
      </c>
      <c r="T4023" s="23">
        <v>45652</v>
      </c>
      <c r="U4023" s="23">
        <v>47112</v>
      </c>
      <c r="X4023" s="20">
        <v>5000</v>
      </c>
      <c r="Z4023" s="6" t="s">
        <v>5978</v>
      </c>
      <c r="AA4023" s="14">
        <f t="shared" ref="AA4023:AA4028" si="533">+(0.6/1000)</f>
        <v>5.9999999999999995E-4</v>
      </c>
      <c r="AB4023">
        <v>2.1168659999999999</v>
      </c>
      <c r="AC4023">
        <v>2.2015406400000002</v>
      </c>
    </row>
    <row r="4024" spans="1:29" x14ac:dyDescent="0.3">
      <c r="A4024">
        <v>148790</v>
      </c>
      <c r="B4024" s="25" t="s">
        <v>5984</v>
      </c>
      <c r="C4024" t="s">
        <v>20</v>
      </c>
      <c r="D4024" t="s">
        <v>21</v>
      </c>
      <c r="E4024">
        <v>2222222</v>
      </c>
      <c r="F4024" s="8" t="s">
        <v>22</v>
      </c>
      <c r="G4024" s="2">
        <v>98</v>
      </c>
      <c r="H4024" t="s">
        <v>4537</v>
      </c>
      <c r="J4024" s="9" t="s">
        <v>4838</v>
      </c>
      <c r="K4024" t="s">
        <v>4847</v>
      </c>
      <c r="L4024" s="2">
        <v>1</v>
      </c>
      <c r="M4024" s="24" t="s">
        <v>5971</v>
      </c>
      <c r="N4024" s="2" t="s">
        <v>23</v>
      </c>
      <c r="O4024" s="18" t="s">
        <v>3083</v>
      </c>
      <c r="P4024" s="18" t="s">
        <v>0</v>
      </c>
      <c r="Q4024" s="6" t="s">
        <v>4475</v>
      </c>
      <c r="T4024" s="23">
        <v>45979</v>
      </c>
      <c r="U4024" s="23">
        <v>46525</v>
      </c>
      <c r="X4024" s="20">
        <v>3500</v>
      </c>
      <c r="Z4024" s="6" t="s">
        <v>5978</v>
      </c>
      <c r="AA4024" s="14">
        <f t="shared" si="533"/>
        <v>5.9999999999999995E-4</v>
      </c>
      <c r="AB4024">
        <v>1.2316560000000001</v>
      </c>
      <c r="AC4024">
        <v>1.2809222400000002</v>
      </c>
    </row>
    <row r="4025" spans="1:29" x14ac:dyDescent="0.3">
      <c r="A4025">
        <v>150132</v>
      </c>
      <c r="B4025" s="25" t="s">
        <v>5984</v>
      </c>
      <c r="C4025" t="s">
        <v>20</v>
      </c>
      <c r="D4025" t="s">
        <v>21</v>
      </c>
      <c r="E4025">
        <v>2222222</v>
      </c>
      <c r="F4025" s="8" t="s">
        <v>22</v>
      </c>
      <c r="G4025" s="2">
        <v>98</v>
      </c>
      <c r="H4025" t="s">
        <v>4537</v>
      </c>
      <c r="J4025" s="9" t="s">
        <v>4911</v>
      </c>
      <c r="K4025" t="s">
        <v>5181</v>
      </c>
      <c r="L4025" s="2">
        <v>1</v>
      </c>
      <c r="M4025" s="24" t="s">
        <v>5971</v>
      </c>
      <c r="N4025" s="2" t="s">
        <v>23</v>
      </c>
      <c r="O4025" s="18" t="s">
        <v>3084</v>
      </c>
      <c r="P4025" s="18" t="s">
        <v>3781</v>
      </c>
      <c r="Q4025" s="6" t="s">
        <v>4475</v>
      </c>
      <c r="T4025" s="23">
        <v>46073</v>
      </c>
      <c r="U4025" s="23">
        <v>47171</v>
      </c>
      <c r="X4025" s="20">
        <v>1720</v>
      </c>
      <c r="Z4025" s="6" t="s">
        <v>5978</v>
      </c>
      <c r="AA4025" s="14">
        <f t="shared" si="533"/>
        <v>5.9999999999999995E-4</v>
      </c>
      <c r="AB4025">
        <v>0.91830599999999996</v>
      </c>
      <c r="AC4025">
        <v>0.95503824000000004</v>
      </c>
    </row>
    <row r="4026" spans="1:29" x14ac:dyDescent="0.3">
      <c r="A4026">
        <v>152010</v>
      </c>
      <c r="B4026" s="25" t="s">
        <v>5984</v>
      </c>
      <c r="C4026" t="s">
        <v>20</v>
      </c>
      <c r="D4026" t="s">
        <v>21</v>
      </c>
      <c r="E4026">
        <v>2222222</v>
      </c>
      <c r="F4026" s="8" t="s">
        <v>22</v>
      </c>
      <c r="G4026" s="2">
        <v>98</v>
      </c>
      <c r="H4026" t="s">
        <v>4537</v>
      </c>
      <c r="J4026" s="9" t="s">
        <v>4901</v>
      </c>
      <c r="K4026" t="s">
        <v>5621</v>
      </c>
      <c r="L4026" s="2">
        <v>1</v>
      </c>
      <c r="M4026" s="24" t="s">
        <v>5971</v>
      </c>
      <c r="N4026" s="2" t="s">
        <v>23</v>
      </c>
      <c r="O4026" s="18" t="s">
        <v>3085</v>
      </c>
      <c r="P4026" s="18" t="s">
        <v>0</v>
      </c>
      <c r="Q4026" s="6" t="s">
        <v>4475</v>
      </c>
      <c r="T4026" s="23">
        <v>46204</v>
      </c>
      <c r="U4026" s="23">
        <v>46752</v>
      </c>
      <c r="X4026" s="20">
        <v>1700</v>
      </c>
      <c r="Z4026" s="6" t="s">
        <v>5978</v>
      </c>
      <c r="AA4026" s="14">
        <f t="shared" si="533"/>
        <v>5.9999999999999995E-4</v>
      </c>
      <c r="AB4026">
        <v>0.96973799999999988</v>
      </c>
      <c r="AC4026">
        <v>1.0085275199999999</v>
      </c>
    </row>
    <row r="4027" spans="1:29" x14ac:dyDescent="0.3">
      <c r="A4027">
        <v>152144</v>
      </c>
      <c r="B4027" s="25" t="s">
        <v>5984</v>
      </c>
      <c r="C4027" t="s">
        <v>20</v>
      </c>
      <c r="D4027" t="s">
        <v>21</v>
      </c>
      <c r="E4027">
        <v>2222222</v>
      </c>
      <c r="F4027" s="8" t="s">
        <v>22</v>
      </c>
      <c r="G4027" s="2">
        <v>98</v>
      </c>
      <c r="H4027" t="s">
        <v>4537</v>
      </c>
      <c r="J4027" s="9" t="s">
        <v>4911</v>
      </c>
      <c r="K4027" t="s">
        <v>5245</v>
      </c>
      <c r="L4027" s="2">
        <v>1</v>
      </c>
      <c r="M4027" s="24" t="s">
        <v>5971</v>
      </c>
      <c r="N4027" s="2" t="s">
        <v>23</v>
      </c>
      <c r="O4027" s="18" t="s">
        <v>3086</v>
      </c>
      <c r="P4027" s="18" t="s">
        <v>3781</v>
      </c>
      <c r="Q4027" s="6" t="s">
        <v>4475</v>
      </c>
      <c r="T4027" s="23">
        <v>46216</v>
      </c>
      <c r="U4027" s="23">
        <v>46246</v>
      </c>
      <c r="X4027" s="20">
        <v>300</v>
      </c>
      <c r="Z4027" s="6" t="s">
        <v>5978</v>
      </c>
      <c r="AA4027" s="14">
        <f t="shared" si="533"/>
        <v>5.9999999999999995E-4</v>
      </c>
      <c r="AB4027">
        <v>0.18</v>
      </c>
      <c r="AC4027">
        <v>0.18720000000000001</v>
      </c>
    </row>
    <row r="4028" spans="1:29" x14ac:dyDescent="0.3">
      <c r="A4028">
        <v>147479</v>
      </c>
      <c r="B4028" s="25" t="s">
        <v>5984</v>
      </c>
      <c r="C4028" t="s">
        <v>20</v>
      </c>
      <c r="D4028" t="s">
        <v>21</v>
      </c>
      <c r="E4028">
        <v>2222222</v>
      </c>
      <c r="F4028" s="8" t="s">
        <v>22</v>
      </c>
      <c r="G4028" s="2">
        <v>98</v>
      </c>
      <c r="H4028" t="s">
        <v>4538</v>
      </c>
      <c r="J4028" s="9" t="s">
        <v>4908</v>
      </c>
      <c r="K4028" t="s">
        <v>4875</v>
      </c>
      <c r="L4028" s="2">
        <v>1</v>
      </c>
      <c r="M4028" s="24" t="s">
        <v>5971</v>
      </c>
      <c r="N4028" s="2" t="s">
        <v>23</v>
      </c>
      <c r="O4028" s="18" t="s">
        <v>3087</v>
      </c>
      <c r="P4028" s="18" t="s">
        <v>0</v>
      </c>
      <c r="Q4028" s="6" t="s">
        <v>4475</v>
      </c>
      <c r="T4028" s="23">
        <v>45891</v>
      </c>
      <c r="U4028" s="23">
        <v>46620</v>
      </c>
      <c r="X4028" s="20">
        <v>5000</v>
      </c>
      <c r="Z4028" s="6" t="s">
        <v>5978</v>
      </c>
      <c r="AA4028" s="14">
        <f t="shared" si="533"/>
        <v>5.9999999999999995E-4</v>
      </c>
      <c r="AB4028">
        <v>1.7567879999999998</v>
      </c>
      <c r="AC4028">
        <v>1.8270595199999999</v>
      </c>
    </row>
    <row r="4029" spans="1:29" x14ac:dyDescent="0.3">
      <c r="A4029">
        <v>114241</v>
      </c>
      <c r="B4029" s="25" t="s">
        <v>5984</v>
      </c>
      <c r="C4029" t="s">
        <v>20</v>
      </c>
      <c r="D4029" t="s">
        <v>21</v>
      </c>
      <c r="E4029">
        <v>2222222</v>
      </c>
      <c r="F4029" s="8" t="s">
        <v>22</v>
      </c>
      <c r="G4029" s="2">
        <v>98</v>
      </c>
      <c r="H4029" t="s">
        <v>4539</v>
      </c>
      <c r="J4029" s="9" t="s">
        <v>4961</v>
      </c>
      <c r="K4029" t="s">
        <v>5108</v>
      </c>
      <c r="L4029" s="2">
        <v>1</v>
      </c>
      <c r="M4029" s="24" t="s">
        <v>5971</v>
      </c>
      <c r="N4029" s="2" t="s">
        <v>23</v>
      </c>
      <c r="O4029" s="18" t="s">
        <v>3088</v>
      </c>
      <c r="P4029" s="18" t="s">
        <v>0</v>
      </c>
      <c r="Q4029" s="6" t="s">
        <v>4475</v>
      </c>
      <c r="T4029" s="23">
        <v>44043</v>
      </c>
      <c r="U4029" s="23">
        <v>47788</v>
      </c>
      <c r="X4029" s="20">
        <v>40000</v>
      </c>
      <c r="Z4029" s="6" t="s">
        <v>5978</v>
      </c>
      <c r="AA4029" s="15">
        <f>+(0.42/1000)</f>
        <v>4.1999999999999996E-4</v>
      </c>
      <c r="AB4029">
        <v>9.6042869999999994</v>
      </c>
      <c r="AC4029">
        <v>9.9884584800000003</v>
      </c>
    </row>
    <row r="4030" spans="1:29" x14ac:dyDescent="0.3">
      <c r="A4030">
        <v>132114</v>
      </c>
      <c r="B4030" s="25" t="s">
        <v>5984</v>
      </c>
      <c r="C4030" t="s">
        <v>20</v>
      </c>
      <c r="D4030" t="s">
        <v>21</v>
      </c>
      <c r="E4030">
        <v>2222222</v>
      </c>
      <c r="F4030" s="8" t="s">
        <v>22</v>
      </c>
      <c r="G4030" s="2">
        <v>98</v>
      </c>
      <c r="H4030" t="s">
        <v>4539</v>
      </c>
      <c r="J4030" s="9" t="s">
        <v>4908</v>
      </c>
      <c r="K4030" t="s">
        <v>5374</v>
      </c>
      <c r="L4030" s="2">
        <v>1</v>
      </c>
      <c r="M4030" s="24" t="s">
        <v>5971</v>
      </c>
      <c r="N4030" s="2" t="s">
        <v>23</v>
      </c>
      <c r="O4030" s="18" t="s">
        <v>3089</v>
      </c>
      <c r="P4030" s="18" t="s">
        <v>0</v>
      </c>
      <c r="Q4030" s="6" t="s">
        <v>4475</v>
      </c>
      <c r="T4030" s="23">
        <v>44924</v>
      </c>
      <c r="U4030" s="23">
        <v>47590</v>
      </c>
      <c r="X4030" s="20">
        <v>22515.53</v>
      </c>
      <c r="Z4030" s="6" t="s">
        <v>5978</v>
      </c>
      <c r="AA4030" s="13">
        <f t="shared" ref="AA4030:AA4033" si="534">+(0.56/1000)</f>
        <v>5.6000000000000006E-4</v>
      </c>
      <c r="AB4030">
        <v>10.199576800000001</v>
      </c>
      <c r="AC4030">
        <v>10.607559872000001</v>
      </c>
    </row>
    <row r="4031" spans="1:29" x14ac:dyDescent="0.3">
      <c r="A4031">
        <v>133366</v>
      </c>
      <c r="B4031" s="25" t="s">
        <v>5984</v>
      </c>
      <c r="C4031" t="s">
        <v>20</v>
      </c>
      <c r="D4031" t="s">
        <v>21</v>
      </c>
      <c r="E4031">
        <v>2222222</v>
      </c>
      <c r="F4031" s="8" t="s">
        <v>22</v>
      </c>
      <c r="G4031" s="2">
        <v>98</v>
      </c>
      <c r="H4031" t="s">
        <v>4539</v>
      </c>
      <c r="J4031" s="9" t="s">
        <v>4892</v>
      </c>
      <c r="K4031" t="s">
        <v>4993</v>
      </c>
      <c r="L4031" s="2">
        <v>1</v>
      </c>
      <c r="M4031" s="24" t="s">
        <v>5971</v>
      </c>
      <c r="N4031" s="2" t="s">
        <v>23</v>
      </c>
      <c r="O4031" s="18" t="s">
        <v>3090</v>
      </c>
      <c r="P4031" s="18" t="s">
        <v>3781</v>
      </c>
      <c r="Q4031" s="6" t="s">
        <v>4475</v>
      </c>
      <c r="T4031" s="23">
        <v>44998</v>
      </c>
      <c r="U4031" s="23">
        <v>46824</v>
      </c>
      <c r="X4031" s="20">
        <v>20000</v>
      </c>
      <c r="Z4031" s="6" t="s">
        <v>5978</v>
      </c>
      <c r="AA4031" s="13">
        <f t="shared" si="534"/>
        <v>5.6000000000000006E-4</v>
      </c>
      <c r="AB4031">
        <v>4.7728352000000003</v>
      </c>
      <c r="AC4031">
        <v>4.9637486080000004</v>
      </c>
    </row>
    <row r="4032" spans="1:29" x14ac:dyDescent="0.3">
      <c r="A4032">
        <v>135483</v>
      </c>
      <c r="B4032" s="25" t="s">
        <v>5984</v>
      </c>
      <c r="C4032" t="s">
        <v>20</v>
      </c>
      <c r="D4032" t="s">
        <v>21</v>
      </c>
      <c r="E4032">
        <v>2222222</v>
      </c>
      <c r="F4032" s="8" t="s">
        <v>22</v>
      </c>
      <c r="G4032" s="2">
        <v>98</v>
      </c>
      <c r="H4032" t="s">
        <v>4539</v>
      </c>
      <c r="J4032" s="9" t="s">
        <v>4916</v>
      </c>
      <c r="K4032" t="s">
        <v>4932</v>
      </c>
      <c r="L4032" s="2">
        <v>1</v>
      </c>
      <c r="M4032" s="24" t="s">
        <v>5971</v>
      </c>
      <c r="N4032" s="2" t="s">
        <v>23</v>
      </c>
      <c r="O4032" s="18" t="s">
        <v>3091</v>
      </c>
      <c r="P4032" s="18" t="s">
        <v>3781</v>
      </c>
      <c r="Q4032" s="6" t="s">
        <v>4475</v>
      </c>
      <c r="T4032" s="23">
        <v>45152</v>
      </c>
      <c r="U4032" s="23">
        <v>48898</v>
      </c>
      <c r="X4032" s="20">
        <v>100000</v>
      </c>
      <c r="Z4032" s="6" t="s">
        <v>5978</v>
      </c>
      <c r="AA4032" s="13">
        <f t="shared" si="534"/>
        <v>5.6000000000000006E-4</v>
      </c>
      <c r="AB4032">
        <v>48.495176800000003</v>
      </c>
      <c r="AC4032">
        <v>50.434983872000004</v>
      </c>
    </row>
    <row r="4033" spans="1:29" x14ac:dyDescent="0.3">
      <c r="A4033">
        <v>138775</v>
      </c>
      <c r="B4033" s="25" t="s">
        <v>5984</v>
      </c>
      <c r="C4033" t="s">
        <v>20</v>
      </c>
      <c r="D4033" t="s">
        <v>21</v>
      </c>
      <c r="E4033">
        <v>2222222</v>
      </c>
      <c r="F4033" s="8" t="s">
        <v>22</v>
      </c>
      <c r="G4033" s="2">
        <v>98</v>
      </c>
      <c r="H4033" t="s">
        <v>4539</v>
      </c>
      <c r="J4033" s="9" t="s">
        <v>4898</v>
      </c>
      <c r="K4033" t="s">
        <v>4926</v>
      </c>
      <c r="L4033" s="2">
        <v>1</v>
      </c>
      <c r="M4033" s="24" t="s">
        <v>5971</v>
      </c>
      <c r="N4033" s="2" t="s">
        <v>23</v>
      </c>
      <c r="O4033" s="18" t="s">
        <v>3092</v>
      </c>
      <c r="P4033" s="18" t="s">
        <v>3781</v>
      </c>
      <c r="Q4033" s="6" t="s">
        <v>4475</v>
      </c>
      <c r="T4033" s="23">
        <v>45300</v>
      </c>
      <c r="U4033" s="23">
        <v>46760</v>
      </c>
      <c r="X4033" s="20">
        <v>5000</v>
      </c>
      <c r="Z4033" s="6" t="s">
        <v>5978</v>
      </c>
      <c r="AA4033" s="13">
        <f t="shared" si="534"/>
        <v>5.6000000000000006E-4</v>
      </c>
      <c r="AB4033">
        <v>1.3033048</v>
      </c>
      <c r="AC4033">
        <v>1.355436992</v>
      </c>
    </row>
    <row r="4034" spans="1:29" x14ac:dyDescent="0.3">
      <c r="A4034">
        <v>143928</v>
      </c>
      <c r="B4034" s="25" t="s">
        <v>5984</v>
      </c>
      <c r="C4034" t="s">
        <v>20</v>
      </c>
      <c r="D4034" t="s">
        <v>21</v>
      </c>
      <c r="E4034">
        <v>2222222</v>
      </c>
      <c r="F4034" s="8" t="s">
        <v>22</v>
      </c>
      <c r="G4034" s="2">
        <v>98</v>
      </c>
      <c r="H4034" t="s">
        <v>4539</v>
      </c>
      <c r="J4034" s="9" t="s">
        <v>5486</v>
      </c>
      <c r="K4034" t="s">
        <v>5090</v>
      </c>
      <c r="L4034" s="2">
        <v>1</v>
      </c>
      <c r="M4034" s="24" t="s">
        <v>5971</v>
      </c>
      <c r="N4034" s="2" t="s">
        <v>23</v>
      </c>
      <c r="O4034" s="18" t="s">
        <v>3093</v>
      </c>
      <c r="P4034" s="18" t="s">
        <v>3781</v>
      </c>
      <c r="Q4034" s="6" t="s">
        <v>4475</v>
      </c>
      <c r="T4034" s="23">
        <v>45625</v>
      </c>
      <c r="U4034" s="23">
        <v>47451</v>
      </c>
      <c r="X4034" s="20">
        <v>4450</v>
      </c>
      <c r="Z4034" s="6" t="s">
        <v>5978</v>
      </c>
      <c r="AA4034" s="14">
        <f t="shared" ref="AA4034:AA4059" si="535">+(0.6/1000)</f>
        <v>5.9999999999999995E-4</v>
      </c>
      <c r="AB4034">
        <v>2.0037180000000001</v>
      </c>
      <c r="AC4034">
        <v>2.0838667200000001</v>
      </c>
    </row>
    <row r="4035" spans="1:29" x14ac:dyDescent="0.3">
      <c r="A4035">
        <v>144026</v>
      </c>
      <c r="B4035" s="25" t="s">
        <v>5984</v>
      </c>
      <c r="C4035" t="s">
        <v>20</v>
      </c>
      <c r="D4035" t="s">
        <v>21</v>
      </c>
      <c r="E4035">
        <v>2222222</v>
      </c>
      <c r="F4035" s="8" t="s">
        <v>22</v>
      </c>
      <c r="G4035" s="2">
        <v>98</v>
      </c>
      <c r="H4035" t="s">
        <v>4539</v>
      </c>
      <c r="J4035" s="9" t="s">
        <v>4917</v>
      </c>
      <c r="K4035" t="s">
        <v>4980</v>
      </c>
      <c r="L4035" s="2">
        <v>1</v>
      </c>
      <c r="M4035" s="24" t="s">
        <v>5971</v>
      </c>
      <c r="N4035" s="2" t="s">
        <v>23</v>
      </c>
      <c r="O4035" s="18" t="s">
        <v>3094</v>
      </c>
      <c r="P4035" s="18" t="s">
        <v>3781</v>
      </c>
      <c r="Q4035" s="6" t="s">
        <v>4475</v>
      </c>
      <c r="T4035" s="23">
        <v>45632</v>
      </c>
      <c r="U4035" s="23">
        <v>47122</v>
      </c>
      <c r="X4035" s="20">
        <v>3900</v>
      </c>
      <c r="Z4035" s="6" t="s">
        <v>5978</v>
      </c>
      <c r="AA4035" s="14">
        <f t="shared" si="535"/>
        <v>5.9999999999999995E-4</v>
      </c>
      <c r="AB4035">
        <v>1.6499099999999998</v>
      </c>
      <c r="AC4035">
        <v>1.7159063999999997</v>
      </c>
    </row>
    <row r="4036" spans="1:29" x14ac:dyDescent="0.3">
      <c r="A4036">
        <v>145383</v>
      </c>
      <c r="B4036" s="25" t="s">
        <v>5984</v>
      </c>
      <c r="C4036" t="s">
        <v>20</v>
      </c>
      <c r="D4036" t="s">
        <v>21</v>
      </c>
      <c r="E4036">
        <v>2222222</v>
      </c>
      <c r="F4036" s="8" t="s">
        <v>22</v>
      </c>
      <c r="G4036" s="2">
        <v>98</v>
      </c>
      <c r="H4036" t="s">
        <v>4539</v>
      </c>
      <c r="J4036" s="9" t="s">
        <v>5865</v>
      </c>
      <c r="K4036" t="s">
        <v>5035</v>
      </c>
      <c r="L4036" s="2">
        <v>1</v>
      </c>
      <c r="M4036" s="24" t="s">
        <v>5971</v>
      </c>
      <c r="N4036" s="2" t="s">
        <v>23</v>
      </c>
      <c r="O4036" s="18" t="s">
        <v>3095</v>
      </c>
      <c r="P4036" s="18" t="s">
        <v>0</v>
      </c>
      <c r="Q4036" s="6" t="s">
        <v>4475</v>
      </c>
      <c r="T4036" s="23">
        <v>45741</v>
      </c>
      <c r="U4036" s="23">
        <v>47566</v>
      </c>
      <c r="X4036" s="20">
        <v>10800</v>
      </c>
      <c r="Z4036" s="6" t="s">
        <v>5978</v>
      </c>
      <c r="AA4036" s="14">
        <f t="shared" si="535"/>
        <v>5.9999999999999995E-4</v>
      </c>
      <c r="AB4036">
        <v>5.1697680000000004</v>
      </c>
      <c r="AC4036">
        <v>5.3765587200000002</v>
      </c>
    </row>
    <row r="4037" spans="1:29" x14ac:dyDescent="0.3">
      <c r="A4037">
        <v>146686</v>
      </c>
      <c r="B4037" s="25" t="s">
        <v>5984</v>
      </c>
      <c r="C4037" t="s">
        <v>20</v>
      </c>
      <c r="D4037" t="s">
        <v>21</v>
      </c>
      <c r="E4037">
        <v>2222222</v>
      </c>
      <c r="F4037" s="8" t="s">
        <v>22</v>
      </c>
      <c r="G4037" s="2">
        <v>98</v>
      </c>
      <c r="H4037" t="s">
        <v>4539</v>
      </c>
      <c r="J4037" s="10" t="s">
        <v>4967</v>
      </c>
      <c r="K4037" t="s">
        <v>5408</v>
      </c>
      <c r="L4037" s="2">
        <v>1</v>
      </c>
      <c r="M4037" s="24" t="s">
        <v>5971</v>
      </c>
      <c r="N4037" s="2" t="s">
        <v>23</v>
      </c>
      <c r="O4037" s="18" t="s">
        <v>3096</v>
      </c>
      <c r="P4037" s="18" t="s">
        <v>3781</v>
      </c>
      <c r="Q4037" s="6" t="s">
        <v>4475</v>
      </c>
      <c r="T4037" s="23">
        <v>45837</v>
      </c>
      <c r="U4037" s="23">
        <v>49495</v>
      </c>
      <c r="X4037" s="20">
        <v>20000</v>
      </c>
      <c r="Z4037" s="6" t="s">
        <v>5978</v>
      </c>
      <c r="AA4037" s="14">
        <f t="shared" si="535"/>
        <v>5.9999999999999995E-4</v>
      </c>
      <c r="AB4037">
        <v>9</v>
      </c>
      <c r="AC4037">
        <v>9.36</v>
      </c>
    </row>
    <row r="4038" spans="1:29" x14ac:dyDescent="0.3">
      <c r="A4038">
        <v>146771</v>
      </c>
      <c r="B4038" s="25" t="s">
        <v>5984</v>
      </c>
      <c r="C4038" t="s">
        <v>20</v>
      </c>
      <c r="D4038" t="s">
        <v>21</v>
      </c>
      <c r="E4038">
        <v>2222222</v>
      </c>
      <c r="F4038" s="8" t="s">
        <v>22</v>
      </c>
      <c r="G4038" s="2">
        <v>98</v>
      </c>
      <c r="H4038" t="s">
        <v>4539</v>
      </c>
      <c r="J4038" s="9" t="s">
        <v>4950</v>
      </c>
      <c r="K4038" t="s">
        <v>4875</v>
      </c>
      <c r="L4038" s="2">
        <v>1</v>
      </c>
      <c r="M4038" s="24" t="s">
        <v>5971</v>
      </c>
      <c r="N4038" s="2" t="s">
        <v>23</v>
      </c>
      <c r="O4038" s="18" t="s">
        <v>3097</v>
      </c>
      <c r="P4038" s="18" t="s">
        <v>0</v>
      </c>
      <c r="Q4038" s="6" t="s">
        <v>4475</v>
      </c>
      <c r="T4038" s="23">
        <v>45845</v>
      </c>
      <c r="U4038" s="23">
        <v>46940</v>
      </c>
      <c r="X4038" s="20">
        <v>1500</v>
      </c>
      <c r="Z4038" s="6" t="s">
        <v>5978</v>
      </c>
      <c r="AA4038" s="14">
        <f t="shared" si="535"/>
        <v>5.9999999999999995E-4</v>
      </c>
      <c r="AB4038">
        <v>0.65201399999999998</v>
      </c>
      <c r="AC4038">
        <v>0.67809456000000001</v>
      </c>
    </row>
    <row r="4039" spans="1:29" x14ac:dyDescent="0.3">
      <c r="A4039">
        <v>147188</v>
      </c>
      <c r="B4039" s="25" t="s">
        <v>5984</v>
      </c>
      <c r="C4039" t="s">
        <v>20</v>
      </c>
      <c r="D4039" t="s">
        <v>21</v>
      </c>
      <c r="E4039">
        <v>2222222</v>
      </c>
      <c r="F4039" s="8" t="s">
        <v>22</v>
      </c>
      <c r="G4039" s="2">
        <v>98</v>
      </c>
      <c r="H4039" t="s">
        <v>4539</v>
      </c>
      <c r="J4039" s="9" t="s">
        <v>5184</v>
      </c>
      <c r="K4039" t="s">
        <v>4980</v>
      </c>
      <c r="L4039" s="2">
        <v>1</v>
      </c>
      <c r="M4039" s="24" t="s">
        <v>5971</v>
      </c>
      <c r="N4039" s="2" t="s">
        <v>23</v>
      </c>
      <c r="O4039" s="18" t="s">
        <v>3098</v>
      </c>
      <c r="P4039" s="18" t="s">
        <v>3781</v>
      </c>
      <c r="Q4039" s="6" t="s">
        <v>4475</v>
      </c>
      <c r="T4039" s="23">
        <v>45870</v>
      </c>
      <c r="U4039" s="23">
        <v>46600</v>
      </c>
      <c r="X4039" s="20">
        <v>1000</v>
      </c>
      <c r="Z4039" s="6" t="s">
        <v>5978</v>
      </c>
      <c r="AA4039" s="14">
        <f t="shared" si="535"/>
        <v>5.9999999999999995E-4</v>
      </c>
      <c r="AB4039">
        <v>0.34561799999999998</v>
      </c>
      <c r="AC4039">
        <v>0.35944271999999999</v>
      </c>
    </row>
    <row r="4040" spans="1:29" x14ac:dyDescent="0.3">
      <c r="A4040">
        <v>147501</v>
      </c>
      <c r="B4040" s="25" t="s">
        <v>5984</v>
      </c>
      <c r="C4040" t="s">
        <v>20</v>
      </c>
      <c r="D4040" t="s">
        <v>21</v>
      </c>
      <c r="E4040">
        <v>2222222</v>
      </c>
      <c r="F4040" s="8" t="s">
        <v>22</v>
      </c>
      <c r="G4040" s="2">
        <v>98</v>
      </c>
      <c r="H4040" t="s">
        <v>4539</v>
      </c>
      <c r="J4040" s="9" t="s">
        <v>4950</v>
      </c>
      <c r="K4040" t="s">
        <v>4966</v>
      </c>
      <c r="L4040" s="2">
        <v>1</v>
      </c>
      <c r="M4040" s="24" t="s">
        <v>5971</v>
      </c>
      <c r="N4040" s="2" t="s">
        <v>23</v>
      </c>
      <c r="O4040" s="18" t="s">
        <v>3099</v>
      </c>
      <c r="P4040" s="18" t="s">
        <v>0</v>
      </c>
      <c r="Q4040" s="6" t="s">
        <v>4475</v>
      </c>
      <c r="T4040" s="23">
        <v>45894</v>
      </c>
      <c r="U4040" s="23">
        <v>46258</v>
      </c>
      <c r="X4040" s="20">
        <v>600</v>
      </c>
      <c r="Z4040" s="6" t="s">
        <v>5978</v>
      </c>
      <c r="AA4040" s="14">
        <f t="shared" si="535"/>
        <v>5.9999999999999995E-4</v>
      </c>
      <c r="AB4040">
        <v>3.2231999999999997E-2</v>
      </c>
      <c r="AC4040">
        <v>3.3521280000000001E-2</v>
      </c>
    </row>
    <row r="4041" spans="1:29" x14ac:dyDescent="0.3">
      <c r="A4041">
        <v>147948</v>
      </c>
      <c r="B4041" s="25" t="s">
        <v>5984</v>
      </c>
      <c r="C4041" t="s">
        <v>20</v>
      </c>
      <c r="D4041" t="s">
        <v>21</v>
      </c>
      <c r="E4041">
        <v>2222222</v>
      </c>
      <c r="F4041" s="8" t="s">
        <v>22</v>
      </c>
      <c r="G4041" s="2">
        <v>98</v>
      </c>
      <c r="H4041" t="s">
        <v>4539</v>
      </c>
      <c r="J4041" s="9" t="s">
        <v>4953</v>
      </c>
      <c r="K4041" t="s">
        <v>4949</v>
      </c>
      <c r="L4041" s="2">
        <v>1</v>
      </c>
      <c r="M4041" s="24" t="s">
        <v>5971</v>
      </c>
      <c r="N4041" s="2" t="s">
        <v>23</v>
      </c>
      <c r="O4041" s="18" t="s">
        <v>3100</v>
      </c>
      <c r="P4041" s="18" t="s">
        <v>0</v>
      </c>
      <c r="Q4041" s="6" t="s">
        <v>4475</v>
      </c>
      <c r="T4041" s="23">
        <v>45925</v>
      </c>
      <c r="U4041" s="23">
        <v>46290</v>
      </c>
      <c r="X4041" s="20">
        <v>1500</v>
      </c>
      <c r="Z4041" s="6" t="s">
        <v>5978</v>
      </c>
      <c r="AA4041" s="14">
        <f t="shared" si="535"/>
        <v>5.9999999999999995E-4</v>
      </c>
      <c r="AB4041">
        <v>0.16057799999999997</v>
      </c>
      <c r="AC4041">
        <v>0.16700111999999998</v>
      </c>
    </row>
    <row r="4042" spans="1:29" x14ac:dyDescent="0.3">
      <c r="A4042">
        <v>148485</v>
      </c>
      <c r="B4042" s="25" t="s">
        <v>5984</v>
      </c>
      <c r="C4042" t="s">
        <v>20</v>
      </c>
      <c r="D4042" t="s">
        <v>21</v>
      </c>
      <c r="E4042">
        <v>2222222</v>
      </c>
      <c r="F4042" s="8" t="s">
        <v>22</v>
      </c>
      <c r="G4042" s="2">
        <v>98</v>
      </c>
      <c r="H4042" t="s">
        <v>4539</v>
      </c>
      <c r="J4042" s="9" t="s">
        <v>4911</v>
      </c>
      <c r="K4042" t="s">
        <v>5451</v>
      </c>
      <c r="L4042" s="2">
        <v>1</v>
      </c>
      <c r="M4042" s="24" t="s">
        <v>5971</v>
      </c>
      <c r="N4042" s="2" t="s">
        <v>23</v>
      </c>
      <c r="O4042" s="18" t="s">
        <v>3101</v>
      </c>
      <c r="P4042" s="18" t="s">
        <v>3781</v>
      </c>
      <c r="Q4042" s="6" t="s">
        <v>4475</v>
      </c>
      <c r="T4042" s="23">
        <v>45807</v>
      </c>
      <c r="U4042" s="23">
        <v>47613</v>
      </c>
      <c r="X4042" s="20">
        <v>7880</v>
      </c>
      <c r="Z4042" s="6" t="s">
        <v>5978</v>
      </c>
      <c r="AA4042" s="14">
        <f t="shared" si="535"/>
        <v>5.9999999999999995E-4</v>
      </c>
      <c r="AB4042">
        <v>4.0491419999999998</v>
      </c>
      <c r="AC4042">
        <v>4.2111076799999996</v>
      </c>
    </row>
    <row r="4043" spans="1:29" x14ac:dyDescent="0.3">
      <c r="A4043">
        <v>148559</v>
      </c>
      <c r="B4043" s="25" t="s">
        <v>5984</v>
      </c>
      <c r="C4043" t="s">
        <v>20</v>
      </c>
      <c r="D4043" t="s">
        <v>21</v>
      </c>
      <c r="E4043">
        <v>2222222</v>
      </c>
      <c r="F4043" s="8" t="s">
        <v>22</v>
      </c>
      <c r="G4043" s="2">
        <v>98</v>
      </c>
      <c r="H4043" t="s">
        <v>4539</v>
      </c>
      <c r="J4043" s="9" t="s">
        <v>4997</v>
      </c>
      <c r="K4043" t="s">
        <v>5679</v>
      </c>
      <c r="L4043" s="2">
        <v>1</v>
      </c>
      <c r="M4043" s="24" t="s">
        <v>5971</v>
      </c>
      <c r="N4043" s="2" t="s">
        <v>23</v>
      </c>
      <c r="O4043" s="18" t="s">
        <v>3102</v>
      </c>
      <c r="P4043" s="18" t="s">
        <v>3781</v>
      </c>
      <c r="Q4043" s="6" t="s">
        <v>4475</v>
      </c>
      <c r="T4043" s="23">
        <v>45678</v>
      </c>
      <c r="U4043" s="23">
        <v>46423</v>
      </c>
      <c r="X4043" s="20">
        <v>1060</v>
      </c>
      <c r="Z4043" s="6" t="s">
        <v>5978</v>
      </c>
      <c r="AA4043" s="14">
        <f t="shared" si="535"/>
        <v>5.9999999999999995E-4</v>
      </c>
      <c r="AB4043">
        <v>0.22043399999999996</v>
      </c>
      <c r="AC4043">
        <v>0.22925135999999996</v>
      </c>
    </row>
    <row r="4044" spans="1:29" x14ac:dyDescent="0.3">
      <c r="A4044">
        <v>148598</v>
      </c>
      <c r="B4044" s="25" t="s">
        <v>5984</v>
      </c>
      <c r="C4044" t="s">
        <v>20</v>
      </c>
      <c r="D4044" t="s">
        <v>21</v>
      </c>
      <c r="E4044">
        <v>2222222</v>
      </c>
      <c r="F4044" s="8" t="s">
        <v>22</v>
      </c>
      <c r="G4044" s="2">
        <v>98</v>
      </c>
      <c r="H4044" t="s">
        <v>4539</v>
      </c>
      <c r="J4044" s="9" t="s">
        <v>4911</v>
      </c>
      <c r="K4044" t="s">
        <v>4836</v>
      </c>
      <c r="L4044" s="2">
        <v>1</v>
      </c>
      <c r="M4044" s="24" t="s">
        <v>5971</v>
      </c>
      <c r="N4044" s="2" t="s">
        <v>23</v>
      </c>
      <c r="O4044" s="18" t="s">
        <v>3103</v>
      </c>
      <c r="P4044" s="18" t="s">
        <v>3781</v>
      </c>
      <c r="Q4044" s="6" t="s">
        <v>4475</v>
      </c>
      <c r="T4044" s="23">
        <v>45860</v>
      </c>
      <c r="U4044" s="23">
        <v>46578</v>
      </c>
      <c r="X4044" s="20">
        <v>1000</v>
      </c>
      <c r="Z4044" s="6" t="s">
        <v>5978</v>
      </c>
      <c r="AA4044" s="14">
        <f t="shared" si="535"/>
        <v>5.9999999999999995E-4</v>
      </c>
      <c r="AB4044">
        <v>0.32054999999999995</v>
      </c>
      <c r="AC4044">
        <v>0.33337199999999995</v>
      </c>
    </row>
    <row r="4045" spans="1:29" x14ac:dyDescent="0.3">
      <c r="A4045">
        <v>148703</v>
      </c>
      <c r="B4045" s="25" t="s">
        <v>5984</v>
      </c>
      <c r="C4045" t="s">
        <v>20</v>
      </c>
      <c r="D4045" t="s">
        <v>21</v>
      </c>
      <c r="E4045">
        <v>2222222</v>
      </c>
      <c r="F4045" s="8" t="s">
        <v>22</v>
      </c>
      <c r="G4045" s="2">
        <v>98</v>
      </c>
      <c r="H4045" t="s">
        <v>4539</v>
      </c>
      <c r="J4045" s="9" t="s">
        <v>4891</v>
      </c>
      <c r="K4045" t="s">
        <v>5524</v>
      </c>
      <c r="L4045" s="2">
        <v>1</v>
      </c>
      <c r="M4045" s="24" t="s">
        <v>5971</v>
      </c>
      <c r="N4045" s="2" t="s">
        <v>23</v>
      </c>
      <c r="O4045" s="18" t="s">
        <v>3104</v>
      </c>
      <c r="P4045" s="18" t="s">
        <v>3781</v>
      </c>
      <c r="Q4045" s="6" t="s">
        <v>4475</v>
      </c>
      <c r="T4045" s="23">
        <v>45975</v>
      </c>
      <c r="U4045" s="23">
        <v>46521</v>
      </c>
      <c r="X4045" s="20">
        <v>1000</v>
      </c>
      <c r="Z4045" s="6" t="s">
        <v>5978</v>
      </c>
      <c r="AA4045" s="14">
        <f t="shared" si="535"/>
        <v>5.9999999999999995E-4</v>
      </c>
      <c r="AB4045">
        <v>0.38452799999999998</v>
      </c>
      <c r="AC4045">
        <v>0.39990912000000001</v>
      </c>
    </row>
    <row r="4046" spans="1:29" x14ac:dyDescent="0.3">
      <c r="A4046">
        <v>149560</v>
      </c>
      <c r="B4046" s="25" t="s">
        <v>5984</v>
      </c>
      <c r="C4046" t="s">
        <v>20</v>
      </c>
      <c r="D4046" t="s">
        <v>21</v>
      </c>
      <c r="E4046">
        <v>2222222</v>
      </c>
      <c r="F4046" s="8" t="s">
        <v>22</v>
      </c>
      <c r="G4046" s="2">
        <v>98</v>
      </c>
      <c r="H4046" t="s">
        <v>4539</v>
      </c>
      <c r="J4046" s="9" t="s">
        <v>5184</v>
      </c>
      <c r="K4046" t="s">
        <v>4980</v>
      </c>
      <c r="L4046" s="2">
        <v>1</v>
      </c>
      <c r="M4046" s="24" t="s">
        <v>5971</v>
      </c>
      <c r="N4046" s="2" t="s">
        <v>23</v>
      </c>
      <c r="O4046" s="18" t="s">
        <v>3098</v>
      </c>
      <c r="P4046" s="18" t="s">
        <v>3781</v>
      </c>
      <c r="Q4046" s="6" t="s">
        <v>4475</v>
      </c>
      <c r="T4046" s="23">
        <v>46034</v>
      </c>
      <c r="U4046" s="23">
        <v>46764</v>
      </c>
      <c r="X4046" s="20">
        <v>2500</v>
      </c>
      <c r="Z4046" s="6" t="s">
        <v>5978</v>
      </c>
      <c r="AA4046" s="14">
        <f t="shared" si="535"/>
        <v>5.9999999999999995E-4</v>
      </c>
      <c r="AB4046">
        <v>1.1698679999999999</v>
      </c>
      <c r="AC4046">
        <v>1.21666272</v>
      </c>
    </row>
    <row r="4047" spans="1:29" x14ac:dyDescent="0.3">
      <c r="A4047">
        <v>149718</v>
      </c>
      <c r="B4047" s="25" t="s">
        <v>5984</v>
      </c>
      <c r="C4047" t="s">
        <v>20</v>
      </c>
      <c r="D4047" t="s">
        <v>21</v>
      </c>
      <c r="E4047">
        <v>2222222</v>
      </c>
      <c r="F4047" s="8" t="s">
        <v>22</v>
      </c>
      <c r="G4047" s="2">
        <v>98</v>
      </c>
      <c r="H4047" t="s">
        <v>4539</v>
      </c>
      <c r="J4047" s="9" t="s">
        <v>5118</v>
      </c>
      <c r="K4047" t="s">
        <v>4832</v>
      </c>
      <c r="L4047" s="2">
        <v>1</v>
      </c>
      <c r="M4047" s="24" t="s">
        <v>5971</v>
      </c>
      <c r="N4047" s="2" t="s">
        <v>23</v>
      </c>
      <c r="O4047" s="18" t="s">
        <v>3105</v>
      </c>
      <c r="P4047" s="18" t="s">
        <v>3781</v>
      </c>
      <c r="Q4047" s="6" t="s">
        <v>4475</v>
      </c>
      <c r="T4047" s="23">
        <v>46078</v>
      </c>
      <c r="U4047" s="23">
        <v>47600</v>
      </c>
      <c r="X4047" s="20">
        <v>35000</v>
      </c>
      <c r="Z4047" s="6" t="s">
        <v>5978</v>
      </c>
      <c r="AA4047" s="14">
        <f t="shared" si="535"/>
        <v>5.9999999999999995E-4</v>
      </c>
      <c r="AB4047">
        <v>13.774493999999999</v>
      </c>
      <c r="AC4047">
        <v>14.32547376</v>
      </c>
    </row>
    <row r="4048" spans="1:29" x14ac:dyDescent="0.3">
      <c r="A4048">
        <v>150323</v>
      </c>
      <c r="B4048" s="25" t="s">
        <v>5984</v>
      </c>
      <c r="C4048" t="s">
        <v>20</v>
      </c>
      <c r="D4048" t="s">
        <v>21</v>
      </c>
      <c r="E4048">
        <v>2222222</v>
      </c>
      <c r="F4048" s="8" t="s">
        <v>22</v>
      </c>
      <c r="G4048" s="2">
        <v>98</v>
      </c>
      <c r="H4048" t="s">
        <v>4539</v>
      </c>
      <c r="J4048" s="9" t="s">
        <v>5701</v>
      </c>
      <c r="K4048" t="s">
        <v>4899</v>
      </c>
      <c r="L4048" s="2">
        <v>1</v>
      </c>
      <c r="M4048" s="24" t="s">
        <v>5971</v>
      </c>
      <c r="N4048" s="2" t="s">
        <v>23</v>
      </c>
      <c r="O4048" s="18" t="s">
        <v>3106</v>
      </c>
      <c r="P4048" s="18" t="s">
        <v>3781</v>
      </c>
      <c r="Q4048" s="6" t="s">
        <v>4475</v>
      </c>
      <c r="T4048" s="23">
        <v>46087</v>
      </c>
      <c r="U4048" s="23">
        <v>47182</v>
      </c>
      <c r="X4048" s="20">
        <v>2000</v>
      </c>
      <c r="Z4048" s="6" t="s">
        <v>5978</v>
      </c>
      <c r="AA4048" s="14">
        <f t="shared" si="535"/>
        <v>5.9999999999999995E-4</v>
      </c>
      <c r="AB4048">
        <v>0.36320999999999998</v>
      </c>
      <c r="AC4048">
        <v>0.37773839999999997</v>
      </c>
    </row>
    <row r="4049" spans="1:29" x14ac:dyDescent="0.3">
      <c r="A4049">
        <v>150484</v>
      </c>
      <c r="B4049" s="25" t="s">
        <v>5984</v>
      </c>
      <c r="C4049" t="s">
        <v>20</v>
      </c>
      <c r="D4049" t="s">
        <v>21</v>
      </c>
      <c r="E4049">
        <v>2222222</v>
      </c>
      <c r="F4049" s="8" t="s">
        <v>22</v>
      </c>
      <c r="G4049" s="2">
        <v>98</v>
      </c>
      <c r="H4049" t="s">
        <v>4539</v>
      </c>
      <c r="J4049" s="9" t="s">
        <v>4836</v>
      </c>
      <c r="K4049" t="s">
        <v>5620</v>
      </c>
      <c r="L4049" s="2">
        <v>1</v>
      </c>
      <c r="M4049" s="24" t="s">
        <v>5971</v>
      </c>
      <c r="N4049" s="2" t="s">
        <v>23</v>
      </c>
      <c r="O4049" s="18" t="s">
        <v>3107</v>
      </c>
      <c r="P4049" s="18" t="s">
        <v>3781</v>
      </c>
      <c r="Q4049" s="6" t="s">
        <v>4475</v>
      </c>
      <c r="T4049" s="23">
        <v>46097</v>
      </c>
      <c r="U4049" s="23">
        <v>47557</v>
      </c>
      <c r="X4049" s="20">
        <v>2100</v>
      </c>
      <c r="Z4049" s="6" t="s">
        <v>5978</v>
      </c>
      <c r="AA4049" s="14">
        <f t="shared" si="535"/>
        <v>5.9999999999999995E-4</v>
      </c>
      <c r="AB4049">
        <v>1.1858519999999999</v>
      </c>
      <c r="AC4049">
        <v>1.2332860799999998</v>
      </c>
    </row>
    <row r="4050" spans="1:29" x14ac:dyDescent="0.3">
      <c r="A4050">
        <v>150557</v>
      </c>
      <c r="B4050" s="25" t="s">
        <v>5984</v>
      </c>
      <c r="C4050" t="s">
        <v>20</v>
      </c>
      <c r="D4050" t="s">
        <v>21</v>
      </c>
      <c r="E4050">
        <v>2222222</v>
      </c>
      <c r="F4050" s="8" t="s">
        <v>22</v>
      </c>
      <c r="G4050" s="2">
        <v>98</v>
      </c>
      <c r="H4050" t="s">
        <v>4539</v>
      </c>
      <c r="J4050" s="9" t="s">
        <v>4838</v>
      </c>
      <c r="K4050" t="s">
        <v>4950</v>
      </c>
      <c r="L4050" s="2">
        <v>1</v>
      </c>
      <c r="M4050" s="24" t="s">
        <v>5971</v>
      </c>
      <c r="N4050" s="2" t="s">
        <v>23</v>
      </c>
      <c r="O4050" s="18" t="s">
        <v>3108</v>
      </c>
      <c r="P4050" s="18" t="s">
        <v>0</v>
      </c>
      <c r="Q4050" s="6" t="s">
        <v>4475</v>
      </c>
      <c r="T4050" s="23">
        <v>46102</v>
      </c>
      <c r="U4050" s="23">
        <v>47197</v>
      </c>
      <c r="X4050" s="20">
        <v>4200</v>
      </c>
      <c r="Z4050" s="6" t="s">
        <v>5978</v>
      </c>
      <c r="AA4050" s="14">
        <f t="shared" si="535"/>
        <v>5.9999999999999995E-4</v>
      </c>
      <c r="AB4050">
        <v>2.3018639999999997</v>
      </c>
      <c r="AC4050">
        <v>2.3939385599999996</v>
      </c>
    </row>
    <row r="4051" spans="1:29" x14ac:dyDescent="0.3">
      <c r="A4051">
        <v>150903</v>
      </c>
      <c r="B4051" s="25" t="s">
        <v>5984</v>
      </c>
      <c r="C4051" t="s">
        <v>20</v>
      </c>
      <c r="D4051" t="s">
        <v>21</v>
      </c>
      <c r="E4051">
        <v>2222222</v>
      </c>
      <c r="F4051" s="8" t="s">
        <v>22</v>
      </c>
      <c r="G4051" s="2">
        <v>98</v>
      </c>
      <c r="H4051" t="s">
        <v>4539</v>
      </c>
      <c r="J4051" s="9" t="s">
        <v>5277</v>
      </c>
      <c r="K4051" t="s">
        <v>4956</v>
      </c>
      <c r="L4051" s="2">
        <v>1</v>
      </c>
      <c r="M4051" s="24" t="s">
        <v>5971</v>
      </c>
      <c r="N4051" s="2" t="s">
        <v>23</v>
      </c>
      <c r="O4051" s="18" t="s">
        <v>3109</v>
      </c>
      <c r="P4051" s="18" t="s">
        <v>3781</v>
      </c>
      <c r="Q4051" s="6" t="s">
        <v>4475</v>
      </c>
      <c r="T4051" s="23">
        <v>46135</v>
      </c>
      <c r="U4051" s="23">
        <v>46866</v>
      </c>
      <c r="X4051" s="20">
        <v>2700</v>
      </c>
      <c r="Z4051" s="6" t="s">
        <v>5978</v>
      </c>
      <c r="AA4051" s="14">
        <f t="shared" si="535"/>
        <v>5.9999999999999995E-4</v>
      </c>
      <c r="AB4051">
        <v>1.434828</v>
      </c>
      <c r="AC4051">
        <v>1.49222112</v>
      </c>
    </row>
    <row r="4052" spans="1:29" x14ac:dyDescent="0.3">
      <c r="A4052">
        <v>151183</v>
      </c>
      <c r="B4052" s="25" t="s">
        <v>5984</v>
      </c>
      <c r="C4052" t="s">
        <v>20</v>
      </c>
      <c r="D4052" t="s">
        <v>21</v>
      </c>
      <c r="E4052">
        <v>2222222</v>
      </c>
      <c r="F4052" s="8" t="s">
        <v>22</v>
      </c>
      <c r="G4052" s="2">
        <v>98</v>
      </c>
      <c r="H4052" t="s">
        <v>4539</v>
      </c>
      <c r="J4052" s="9" t="s">
        <v>5701</v>
      </c>
      <c r="K4052" t="s">
        <v>4899</v>
      </c>
      <c r="L4052" s="2">
        <v>1</v>
      </c>
      <c r="M4052" s="24" t="s">
        <v>5971</v>
      </c>
      <c r="N4052" s="2" t="s">
        <v>23</v>
      </c>
      <c r="O4052" s="18" t="s">
        <v>3106</v>
      </c>
      <c r="P4052" s="18" t="s">
        <v>3781</v>
      </c>
      <c r="Q4052" s="6" t="s">
        <v>4475</v>
      </c>
      <c r="T4052" s="23">
        <v>46144</v>
      </c>
      <c r="U4052" s="23">
        <v>46236</v>
      </c>
      <c r="X4052" s="20">
        <v>1500</v>
      </c>
      <c r="Z4052" s="6" t="s">
        <v>5978</v>
      </c>
      <c r="AA4052" s="14">
        <f t="shared" si="535"/>
        <v>5.9999999999999995E-4</v>
      </c>
      <c r="AB4052">
        <v>0.89999999999999991</v>
      </c>
      <c r="AC4052">
        <v>0.93599999999999994</v>
      </c>
    </row>
    <row r="4053" spans="1:29" x14ac:dyDescent="0.3">
      <c r="A4053">
        <v>151518</v>
      </c>
      <c r="B4053" s="25" t="s">
        <v>5984</v>
      </c>
      <c r="C4053" t="s">
        <v>20</v>
      </c>
      <c r="D4053" t="s">
        <v>21</v>
      </c>
      <c r="E4053">
        <v>2222222</v>
      </c>
      <c r="F4053" s="8" t="s">
        <v>22</v>
      </c>
      <c r="G4053" s="2">
        <v>98</v>
      </c>
      <c r="H4053" t="s">
        <v>4539</v>
      </c>
      <c r="J4053" s="9" t="s">
        <v>4945</v>
      </c>
      <c r="K4053" t="s">
        <v>4856</v>
      </c>
      <c r="L4053" s="2">
        <v>1</v>
      </c>
      <c r="M4053" s="24" t="s">
        <v>5971</v>
      </c>
      <c r="N4053" s="2" t="s">
        <v>23</v>
      </c>
      <c r="O4053" s="18" t="s">
        <v>3110</v>
      </c>
      <c r="P4053" s="18" t="s">
        <v>0</v>
      </c>
      <c r="Q4053" s="6" t="s">
        <v>4475</v>
      </c>
      <c r="T4053" s="23">
        <v>46171</v>
      </c>
      <c r="U4053" s="23">
        <v>46354</v>
      </c>
      <c r="X4053" s="20">
        <v>5000</v>
      </c>
      <c r="Z4053" s="6" t="s">
        <v>5978</v>
      </c>
      <c r="AA4053" s="14">
        <f t="shared" si="535"/>
        <v>5.9999999999999995E-4</v>
      </c>
      <c r="AB4053">
        <v>2.0288699999999995</v>
      </c>
      <c r="AC4053">
        <v>2.1100247999999997</v>
      </c>
    </row>
    <row r="4054" spans="1:29" x14ac:dyDescent="0.3">
      <c r="A4054">
        <v>151596</v>
      </c>
      <c r="B4054" s="25" t="s">
        <v>5984</v>
      </c>
      <c r="C4054" t="s">
        <v>20</v>
      </c>
      <c r="D4054" t="s">
        <v>21</v>
      </c>
      <c r="E4054">
        <v>2222222</v>
      </c>
      <c r="F4054" s="8" t="s">
        <v>22</v>
      </c>
      <c r="G4054" s="2">
        <v>98</v>
      </c>
      <c r="H4054" t="s">
        <v>4539</v>
      </c>
      <c r="J4054" s="9" t="s">
        <v>5120</v>
      </c>
      <c r="K4054" t="s">
        <v>5108</v>
      </c>
      <c r="L4054" s="2">
        <v>1</v>
      </c>
      <c r="M4054" s="24" t="s">
        <v>5971</v>
      </c>
      <c r="N4054" s="2" t="s">
        <v>23</v>
      </c>
      <c r="O4054" s="18" t="s">
        <v>3111</v>
      </c>
      <c r="P4054" s="18" t="s">
        <v>0</v>
      </c>
      <c r="Q4054" s="6" t="s">
        <v>4475</v>
      </c>
      <c r="T4054" s="23">
        <v>46216</v>
      </c>
      <c r="U4054" s="23">
        <v>51694</v>
      </c>
      <c r="X4054" s="20">
        <v>180000</v>
      </c>
      <c r="Z4054" s="6" t="s">
        <v>5978</v>
      </c>
      <c r="AA4054" s="14">
        <f t="shared" si="535"/>
        <v>5.9999999999999995E-4</v>
      </c>
      <c r="AB4054">
        <v>107.99999999999999</v>
      </c>
      <c r="AC4054">
        <v>112.32</v>
      </c>
    </row>
    <row r="4055" spans="1:29" x14ac:dyDescent="0.3">
      <c r="A4055">
        <v>151892</v>
      </c>
      <c r="B4055" s="25" t="s">
        <v>5984</v>
      </c>
      <c r="C4055" t="s">
        <v>20</v>
      </c>
      <c r="D4055" t="s">
        <v>21</v>
      </c>
      <c r="E4055">
        <v>2222222</v>
      </c>
      <c r="F4055" s="8" t="s">
        <v>22</v>
      </c>
      <c r="G4055" s="2">
        <v>98</v>
      </c>
      <c r="H4055" t="s">
        <v>4539</v>
      </c>
      <c r="J4055" s="9" t="s">
        <v>5490</v>
      </c>
      <c r="K4055" t="s">
        <v>4932</v>
      </c>
      <c r="L4055" s="2">
        <v>1</v>
      </c>
      <c r="M4055" s="24" t="s">
        <v>5971</v>
      </c>
      <c r="N4055" s="2" t="s">
        <v>23</v>
      </c>
      <c r="O4055" s="18" t="s">
        <v>2068</v>
      </c>
      <c r="P4055" s="18" t="s">
        <v>3781</v>
      </c>
      <c r="Q4055" s="6" t="s">
        <v>4475</v>
      </c>
      <c r="T4055" s="23">
        <v>46212</v>
      </c>
      <c r="U4055" s="23">
        <v>48769</v>
      </c>
      <c r="X4055" s="20">
        <v>25000</v>
      </c>
      <c r="Z4055" s="6" t="s">
        <v>5978</v>
      </c>
      <c r="AA4055" s="14">
        <f t="shared" si="535"/>
        <v>5.9999999999999995E-4</v>
      </c>
      <c r="AB4055">
        <v>14.999999999999998</v>
      </c>
      <c r="AC4055">
        <v>15.599999999999998</v>
      </c>
    </row>
    <row r="4056" spans="1:29" x14ac:dyDescent="0.3">
      <c r="A4056">
        <v>151945</v>
      </c>
      <c r="B4056" s="25" t="s">
        <v>5984</v>
      </c>
      <c r="C4056" t="s">
        <v>20</v>
      </c>
      <c r="D4056" t="s">
        <v>21</v>
      </c>
      <c r="E4056">
        <v>2222222</v>
      </c>
      <c r="F4056" s="8" t="s">
        <v>22</v>
      </c>
      <c r="G4056" s="2">
        <v>98</v>
      </c>
      <c r="H4056" t="s">
        <v>4539</v>
      </c>
      <c r="J4056" s="9" t="s">
        <v>4968</v>
      </c>
      <c r="K4056" t="s">
        <v>4878</v>
      </c>
      <c r="L4056" s="2">
        <v>1</v>
      </c>
      <c r="M4056" s="24" t="s">
        <v>5971</v>
      </c>
      <c r="N4056" s="2" t="s">
        <v>23</v>
      </c>
      <c r="O4056" s="18" t="s">
        <v>512</v>
      </c>
      <c r="P4056" s="18" t="s">
        <v>0</v>
      </c>
      <c r="Q4056" s="6" t="s">
        <v>4475</v>
      </c>
      <c r="T4056" s="23">
        <v>46200</v>
      </c>
      <c r="U4056" s="23">
        <v>46290</v>
      </c>
      <c r="X4056" s="20">
        <v>2000</v>
      </c>
      <c r="Z4056" s="6" t="s">
        <v>5978</v>
      </c>
      <c r="AA4056" s="14">
        <f t="shared" si="535"/>
        <v>5.9999999999999995E-4</v>
      </c>
      <c r="AB4056">
        <v>1.2</v>
      </c>
      <c r="AC4056">
        <v>1.248</v>
      </c>
    </row>
    <row r="4057" spans="1:29" x14ac:dyDescent="0.3">
      <c r="A4057">
        <v>152104</v>
      </c>
      <c r="B4057" s="25" t="s">
        <v>5984</v>
      </c>
      <c r="C4057" t="s">
        <v>20</v>
      </c>
      <c r="D4057" t="s">
        <v>21</v>
      </c>
      <c r="E4057">
        <v>2222222</v>
      </c>
      <c r="F4057" s="8" t="s">
        <v>22</v>
      </c>
      <c r="G4057" s="2">
        <v>98</v>
      </c>
      <c r="H4057" t="s">
        <v>4539</v>
      </c>
      <c r="J4057" s="9" t="s">
        <v>5184</v>
      </c>
      <c r="K4057" t="s">
        <v>4980</v>
      </c>
      <c r="L4057" s="2">
        <v>1</v>
      </c>
      <c r="M4057" s="24" t="s">
        <v>5971</v>
      </c>
      <c r="N4057" s="2" t="s">
        <v>23</v>
      </c>
      <c r="O4057" s="18" t="s">
        <v>3098</v>
      </c>
      <c r="P4057" s="18" t="s">
        <v>3781</v>
      </c>
      <c r="Q4057" s="6" t="s">
        <v>4475</v>
      </c>
      <c r="T4057" s="23">
        <v>46211</v>
      </c>
      <c r="U4057" s="23">
        <v>46941</v>
      </c>
      <c r="X4057" s="20">
        <v>1000</v>
      </c>
      <c r="Z4057" s="6" t="s">
        <v>5978</v>
      </c>
      <c r="AA4057" s="14">
        <f t="shared" si="535"/>
        <v>5.9999999999999995E-4</v>
      </c>
      <c r="AB4057">
        <v>0.6</v>
      </c>
      <c r="AC4057">
        <v>0.624</v>
      </c>
    </row>
    <row r="4058" spans="1:29" x14ac:dyDescent="0.3">
      <c r="A4058">
        <v>152199</v>
      </c>
      <c r="B4058" s="25" t="s">
        <v>5984</v>
      </c>
      <c r="C4058" t="s">
        <v>20</v>
      </c>
      <c r="D4058" t="s">
        <v>21</v>
      </c>
      <c r="E4058">
        <v>2222222</v>
      </c>
      <c r="F4058" s="8" t="s">
        <v>22</v>
      </c>
      <c r="G4058" s="2">
        <v>98</v>
      </c>
      <c r="H4058" t="s">
        <v>4539</v>
      </c>
      <c r="J4058" s="9" t="s">
        <v>4998</v>
      </c>
      <c r="K4058" t="s">
        <v>5682</v>
      </c>
      <c r="L4058" s="2">
        <v>1</v>
      </c>
      <c r="M4058" s="24" t="s">
        <v>5971</v>
      </c>
      <c r="N4058" s="2" t="s">
        <v>23</v>
      </c>
      <c r="O4058" s="18" t="s">
        <v>2520</v>
      </c>
      <c r="P4058" s="18" t="s">
        <v>3781</v>
      </c>
      <c r="Q4058" s="6" t="s">
        <v>4475</v>
      </c>
      <c r="T4058" s="23">
        <v>46219</v>
      </c>
      <c r="U4058" s="23">
        <v>46309</v>
      </c>
      <c r="X4058" s="20">
        <v>5000</v>
      </c>
      <c r="Z4058" s="6" t="s">
        <v>5978</v>
      </c>
      <c r="AA4058" s="14">
        <f t="shared" si="535"/>
        <v>5.9999999999999995E-4</v>
      </c>
      <c r="AB4058">
        <v>2.9999999999999996</v>
      </c>
      <c r="AC4058">
        <v>3.1199999999999997</v>
      </c>
    </row>
    <row r="4059" spans="1:29" x14ac:dyDescent="0.3">
      <c r="A4059">
        <v>152235</v>
      </c>
      <c r="B4059" s="25" t="s">
        <v>5984</v>
      </c>
      <c r="C4059" t="s">
        <v>20</v>
      </c>
      <c r="D4059" t="s">
        <v>21</v>
      </c>
      <c r="E4059">
        <v>2222222</v>
      </c>
      <c r="F4059" s="8" t="s">
        <v>22</v>
      </c>
      <c r="G4059" s="2">
        <v>98</v>
      </c>
      <c r="H4059" t="s">
        <v>4539</v>
      </c>
      <c r="J4059" s="9" t="s">
        <v>4967</v>
      </c>
      <c r="K4059" t="s">
        <v>5866</v>
      </c>
      <c r="L4059" s="2">
        <v>1</v>
      </c>
      <c r="M4059" s="24" t="s">
        <v>5971</v>
      </c>
      <c r="N4059" s="2" t="s">
        <v>23</v>
      </c>
      <c r="O4059" s="18" t="s">
        <v>3112</v>
      </c>
      <c r="P4059" s="18" t="s">
        <v>3781</v>
      </c>
      <c r="Q4059" s="6" t="s">
        <v>4475</v>
      </c>
      <c r="T4059" s="23">
        <v>46220</v>
      </c>
      <c r="U4059" s="23">
        <v>46250</v>
      </c>
      <c r="X4059" s="20">
        <v>36000</v>
      </c>
      <c r="Z4059" s="6" t="s">
        <v>5978</v>
      </c>
      <c r="AA4059" s="14">
        <f t="shared" si="535"/>
        <v>5.9999999999999995E-4</v>
      </c>
      <c r="AB4059">
        <v>21.599999999999998</v>
      </c>
      <c r="AC4059">
        <v>22.463999999999999</v>
      </c>
    </row>
    <row r="4060" spans="1:29" x14ac:dyDescent="0.3">
      <c r="A4060">
        <v>114789</v>
      </c>
      <c r="B4060" s="25" t="s">
        <v>5984</v>
      </c>
      <c r="C4060" t="s">
        <v>20</v>
      </c>
      <c r="D4060" t="s">
        <v>21</v>
      </c>
      <c r="E4060">
        <v>2222222</v>
      </c>
      <c r="F4060" s="8" t="s">
        <v>22</v>
      </c>
      <c r="G4060" s="2">
        <v>98</v>
      </c>
      <c r="H4060" t="s">
        <v>4540</v>
      </c>
      <c r="J4060" s="9" t="s">
        <v>5061</v>
      </c>
      <c r="K4060" t="s">
        <v>5440</v>
      </c>
      <c r="L4060" s="2">
        <v>1</v>
      </c>
      <c r="M4060" s="24" t="s">
        <v>5971</v>
      </c>
      <c r="N4060" s="2" t="s">
        <v>23</v>
      </c>
      <c r="O4060" s="18" t="s">
        <v>3113</v>
      </c>
      <c r="P4060" s="18" t="s">
        <v>0</v>
      </c>
      <c r="Q4060" s="6" t="s">
        <v>4475</v>
      </c>
      <c r="T4060" s="23">
        <v>44068</v>
      </c>
      <c r="U4060" s="23">
        <v>44813</v>
      </c>
      <c r="X4060" s="20">
        <v>2045</v>
      </c>
      <c r="Z4060" s="6" t="s">
        <v>5978</v>
      </c>
      <c r="AA4060" s="15">
        <f>+(0.42/1000)</f>
        <v>4.1999999999999996E-4</v>
      </c>
      <c r="AB4060">
        <v>0.85889999999999989</v>
      </c>
      <c r="AC4060">
        <v>0.89325599999999994</v>
      </c>
    </row>
    <row r="4061" spans="1:29" x14ac:dyDescent="0.3">
      <c r="A4061">
        <v>131763</v>
      </c>
      <c r="B4061" s="25" t="s">
        <v>5984</v>
      </c>
      <c r="C4061" t="s">
        <v>20</v>
      </c>
      <c r="D4061" t="s">
        <v>21</v>
      </c>
      <c r="E4061">
        <v>2222222</v>
      </c>
      <c r="F4061" s="8" t="s">
        <v>22</v>
      </c>
      <c r="G4061" s="2">
        <v>98</v>
      </c>
      <c r="H4061" t="s">
        <v>4540</v>
      </c>
      <c r="J4061" s="9" t="s">
        <v>4839</v>
      </c>
      <c r="K4061" t="s">
        <v>5385</v>
      </c>
      <c r="L4061" s="2">
        <v>1</v>
      </c>
      <c r="M4061" s="24" t="s">
        <v>5971</v>
      </c>
      <c r="N4061" s="2" t="s">
        <v>23</v>
      </c>
      <c r="O4061" s="18" t="s">
        <v>3114</v>
      </c>
      <c r="P4061" s="18" t="s">
        <v>0</v>
      </c>
      <c r="Q4061" s="6" t="s">
        <v>4475</v>
      </c>
      <c r="T4061" s="23">
        <v>44907</v>
      </c>
      <c r="U4061" s="23">
        <v>46942</v>
      </c>
      <c r="X4061" s="20">
        <v>13571.71</v>
      </c>
      <c r="Z4061" s="6" t="s">
        <v>5978</v>
      </c>
      <c r="AA4061" s="13">
        <f t="shared" ref="AA4061:AA4062" si="536">+(0.56/1000)</f>
        <v>5.6000000000000006E-4</v>
      </c>
      <c r="AB4061">
        <v>6.620292000000001</v>
      </c>
      <c r="AC4061">
        <v>6.8851036800000012</v>
      </c>
    </row>
    <row r="4062" spans="1:29" x14ac:dyDescent="0.3">
      <c r="A4062">
        <v>135336</v>
      </c>
      <c r="B4062" s="25" t="s">
        <v>5984</v>
      </c>
      <c r="C4062" t="s">
        <v>20</v>
      </c>
      <c r="D4062" t="s">
        <v>21</v>
      </c>
      <c r="E4062">
        <v>2222222</v>
      </c>
      <c r="F4062" s="8" t="s">
        <v>22</v>
      </c>
      <c r="G4062" s="2">
        <v>98</v>
      </c>
      <c r="H4062" t="s">
        <v>4540</v>
      </c>
      <c r="J4062" s="9" t="s">
        <v>4913</v>
      </c>
      <c r="K4062" t="s">
        <v>4949</v>
      </c>
      <c r="L4062" s="2">
        <v>1</v>
      </c>
      <c r="M4062" s="24" t="s">
        <v>5971</v>
      </c>
      <c r="N4062" s="2" t="s">
        <v>23</v>
      </c>
      <c r="O4062" s="18" t="s">
        <v>3115</v>
      </c>
      <c r="P4062" s="18" t="s">
        <v>0</v>
      </c>
      <c r="Q4062" s="6" t="s">
        <v>4475</v>
      </c>
      <c r="T4062" s="23">
        <v>45106</v>
      </c>
      <c r="U4062" s="23">
        <v>46567</v>
      </c>
      <c r="X4062" s="20">
        <v>13420</v>
      </c>
      <c r="Z4062" s="6" t="s">
        <v>5978</v>
      </c>
      <c r="AA4062" s="13">
        <f t="shared" si="536"/>
        <v>5.6000000000000006E-4</v>
      </c>
      <c r="AB4062">
        <v>7.1424248000000006</v>
      </c>
      <c r="AC4062">
        <v>7.4281217920000007</v>
      </c>
    </row>
    <row r="4063" spans="1:29" x14ac:dyDescent="0.3">
      <c r="A4063">
        <v>142291</v>
      </c>
      <c r="B4063" s="25" t="s">
        <v>5984</v>
      </c>
      <c r="C4063" t="s">
        <v>20</v>
      </c>
      <c r="D4063" t="s">
        <v>21</v>
      </c>
      <c r="E4063">
        <v>2222222</v>
      </c>
      <c r="F4063" s="8" t="s">
        <v>22</v>
      </c>
      <c r="G4063" s="2">
        <v>98</v>
      </c>
      <c r="H4063" t="s">
        <v>4540</v>
      </c>
      <c r="J4063" s="9" t="s">
        <v>5160</v>
      </c>
      <c r="K4063" t="s">
        <v>4949</v>
      </c>
      <c r="L4063" s="2">
        <v>1</v>
      </c>
      <c r="M4063" s="24" t="s">
        <v>5971</v>
      </c>
      <c r="N4063" s="2" t="s">
        <v>23</v>
      </c>
      <c r="O4063" s="18" t="s">
        <v>3116</v>
      </c>
      <c r="P4063" s="18" t="s">
        <v>0</v>
      </c>
      <c r="Q4063" s="6" t="s">
        <v>4475</v>
      </c>
      <c r="T4063" s="23">
        <v>45509</v>
      </c>
      <c r="U4063" s="23">
        <v>46969</v>
      </c>
      <c r="X4063" s="20">
        <v>3735</v>
      </c>
      <c r="Z4063" s="6" t="s">
        <v>5978</v>
      </c>
      <c r="AA4063" s="14">
        <f t="shared" ref="AA4063:AA4066" si="537">+(0.6/1000)</f>
        <v>5.9999999999999995E-4</v>
      </c>
      <c r="AB4063">
        <v>1.3752959999999999</v>
      </c>
      <c r="AC4063">
        <v>1.43030784</v>
      </c>
    </row>
    <row r="4064" spans="1:29" x14ac:dyDescent="0.3">
      <c r="A4064">
        <v>148914</v>
      </c>
      <c r="B4064" s="25" t="s">
        <v>5984</v>
      </c>
      <c r="C4064" t="s">
        <v>20</v>
      </c>
      <c r="D4064" t="s">
        <v>21</v>
      </c>
      <c r="E4064">
        <v>2222222</v>
      </c>
      <c r="F4064" s="8" t="s">
        <v>22</v>
      </c>
      <c r="G4064" s="2">
        <v>98</v>
      </c>
      <c r="H4064" t="s">
        <v>4541</v>
      </c>
      <c r="J4064" s="9" t="s">
        <v>4901</v>
      </c>
      <c r="K4064" t="s">
        <v>4961</v>
      </c>
      <c r="L4064" s="2">
        <v>1</v>
      </c>
      <c r="M4064" s="24" t="s">
        <v>5971</v>
      </c>
      <c r="N4064" s="2" t="s">
        <v>23</v>
      </c>
      <c r="O4064" s="18" t="s">
        <v>3117</v>
      </c>
      <c r="P4064" s="18" t="s">
        <v>0</v>
      </c>
      <c r="Q4064" s="6" t="s">
        <v>4475</v>
      </c>
      <c r="T4064" s="23">
        <v>45987</v>
      </c>
      <c r="U4064" s="23">
        <v>47448</v>
      </c>
      <c r="X4064" s="20">
        <v>23000</v>
      </c>
      <c r="Z4064" s="6" t="s">
        <v>5978</v>
      </c>
      <c r="AA4064" s="14">
        <f t="shared" si="537"/>
        <v>5.9999999999999995E-4</v>
      </c>
      <c r="AB4064">
        <v>12.030719999999999</v>
      </c>
      <c r="AC4064">
        <v>12.511948799999999</v>
      </c>
    </row>
    <row r="4065" spans="1:29" x14ac:dyDescent="0.3">
      <c r="A4065">
        <v>148576</v>
      </c>
      <c r="B4065" s="25" t="s">
        <v>5984</v>
      </c>
      <c r="C4065" t="s">
        <v>20</v>
      </c>
      <c r="D4065" t="s">
        <v>21</v>
      </c>
      <c r="E4065">
        <v>2222222</v>
      </c>
      <c r="F4065" s="8" t="s">
        <v>22</v>
      </c>
      <c r="G4065" s="2">
        <v>98</v>
      </c>
      <c r="H4065" t="s">
        <v>4542</v>
      </c>
      <c r="J4065" s="9" t="s">
        <v>4908</v>
      </c>
      <c r="K4065" t="s">
        <v>5068</v>
      </c>
      <c r="L4065" s="2">
        <v>1</v>
      </c>
      <c r="M4065" s="24" t="s">
        <v>5971</v>
      </c>
      <c r="N4065" s="2" t="s">
        <v>23</v>
      </c>
      <c r="O4065" s="18" t="s">
        <v>3118</v>
      </c>
      <c r="P4065" s="18" t="s">
        <v>0</v>
      </c>
      <c r="Q4065" s="6" t="s">
        <v>4475</v>
      </c>
      <c r="T4065" s="23">
        <v>45747</v>
      </c>
      <c r="U4065" s="23">
        <v>47182</v>
      </c>
      <c r="X4065" s="20">
        <v>6135</v>
      </c>
      <c r="Z4065" s="6" t="s">
        <v>5978</v>
      </c>
      <c r="AA4065" s="14">
        <f t="shared" si="537"/>
        <v>5.9999999999999995E-4</v>
      </c>
      <c r="AB4065">
        <v>2.7453539999999998</v>
      </c>
      <c r="AC4065">
        <v>2.8551681599999998</v>
      </c>
    </row>
    <row r="4066" spans="1:29" x14ac:dyDescent="0.3">
      <c r="A4066">
        <v>148581</v>
      </c>
      <c r="B4066" s="25" t="s">
        <v>5984</v>
      </c>
      <c r="C4066" t="s">
        <v>20</v>
      </c>
      <c r="D4066" t="s">
        <v>21</v>
      </c>
      <c r="E4066">
        <v>2222222</v>
      </c>
      <c r="F4066" s="8" t="s">
        <v>22</v>
      </c>
      <c r="G4066" s="2">
        <v>98</v>
      </c>
      <c r="H4066" t="s">
        <v>4542</v>
      </c>
      <c r="J4066" s="9" t="s">
        <v>5110</v>
      </c>
      <c r="K4066" t="s">
        <v>4926</v>
      </c>
      <c r="L4066" s="2">
        <v>1</v>
      </c>
      <c r="M4066" s="24" t="s">
        <v>5971</v>
      </c>
      <c r="N4066" s="2" t="s">
        <v>23</v>
      </c>
      <c r="O4066" s="18" t="s">
        <v>3119</v>
      </c>
      <c r="P4066" s="18" t="s">
        <v>3781</v>
      </c>
      <c r="Q4066" s="6" t="s">
        <v>4475</v>
      </c>
      <c r="T4066" s="23">
        <v>45754</v>
      </c>
      <c r="U4066" s="23">
        <v>46665</v>
      </c>
      <c r="X4066" s="20">
        <v>6350</v>
      </c>
      <c r="Z4066" s="6" t="s">
        <v>5978</v>
      </c>
      <c r="AA4066" s="14">
        <f t="shared" si="537"/>
        <v>5.9999999999999995E-4</v>
      </c>
      <c r="AB4066">
        <v>2.091828</v>
      </c>
      <c r="AC4066">
        <v>2.1755011200000003</v>
      </c>
    </row>
    <row r="4067" spans="1:29" x14ac:dyDescent="0.3">
      <c r="A4067">
        <v>140095</v>
      </c>
      <c r="B4067" s="25" t="s">
        <v>5984</v>
      </c>
      <c r="C4067" t="s">
        <v>20</v>
      </c>
      <c r="D4067" t="s">
        <v>21</v>
      </c>
      <c r="E4067">
        <v>2222222</v>
      </c>
      <c r="F4067" s="8" t="s">
        <v>22</v>
      </c>
      <c r="G4067" s="2">
        <v>98</v>
      </c>
      <c r="H4067" t="s">
        <v>4543</v>
      </c>
      <c r="J4067" s="9" t="s">
        <v>5336</v>
      </c>
      <c r="K4067" t="s">
        <v>5212</v>
      </c>
      <c r="L4067" s="2">
        <v>1</v>
      </c>
      <c r="M4067" s="24" t="s">
        <v>5971</v>
      </c>
      <c r="N4067" s="2" t="s">
        <v>23</v>
      </c>
      <c r="O4067" s="18" t="s">
        <v>3120</v>
      </c>
      <c r="P4067" s="18" t="s">
        <v>0</v>
      </c>
      <c r="Q4067" s="6" t="s">
        <v>4475</v>
      </c>
      <c r="T4067" s="23">
        <v>45387</v>
      </c>
      <c r="U4067" s="23">
        <v>46848</v>
      </c>
      <c r="X4067" s="20">
        <v>10000</v>
      </c>
      <c r="Z4067" s="6" t="s">
        <v>5978</v>
      </c>
      <c r="AA4067" s="13">
        <f>+(0.56/1000)</f>
        <v>5.6000000000000006E-4</v>
      </c>
      <c r="AB4067">
        <v>2.8414176000000002</v>
      </c>
      <c r="AC4067">
        <v>2.9550743040000005</v>
      </c>
    </row>
    <row r="4068" spans="1:29" x14ac:dyDescent="0.3">
      <c r="A4068">
        <v>148329</v>
      </c>
      <c r="B4068" s="25" t="s">
        <v>5984</v>
      </c>
      <c r="C4068" t="s">
        <v>20</v>
      </c>
      <c r="D4068" t="s">
        <v>21</v>
      </c>
      <c r="E4068">
        <v>2222222</v>
      </c>
      <c r="F4068" s="8" t="s">
        <v>22</v>
      </c>
      <c r="G4068" s="2">
        <v>98</v>
      </c>
      <c r="H4068" t="s">
        <v>4543</v>
      </c>
      <c r="J4068" s="9" t="s">
        <v>4838</v>
      </c>
      <c r="K4068" t="s">
        <v>5068</v>
      </c>
      <c r="L4068" s="2">
        <v>1</v>
      </c>
      <c r="M4068" s="24" t="s">
        <v>5971</v>
      </c>
      <c r="N4068" s="2" t="s">
        <v>23</v>
      </c>
      <c r="O4068" s="18" t="s">
        <v>2000</v>
      </c>
      <c r="P4068" s="18" t="s">
        <v>0</v>
      </c>
      <c r="Q4068" s="6" t="s">
        <v>4475</v>
      </c>
      <c r="T4068" s="23">
        <v>45953</v>
      </c>
      <c r="U4068" s="23">
        <v>46499</v>
      </c>
      <c r="X4068" s="20">
        <v>2900</v>
      </c>
      <c r="Z4068" s="6" t="s">
        <v>5978</v>
      </c>
      <c r="AA4068" s="14">
        <f t="shared" ref="AA4068:AA4070" si="538">+(0.6/1000)</f>
        <v>5.9999999999999995E-4</v>
      </c>
      <c r="AB4068">
        <v>1.2077819999999999</v>
      </c>
      <c r="AC4068">
        <v>1.25609328</v>
      </c>
    </row>
    <row r="4069" spans="1:29" x14ac:dyDescent="0.3">
      <c r="A4069">
        <v>151472</v>
      </c>
      <c r="B4069" s="25" t="s">
        <v>5984</v>
      </c>
      <c r="C4069" t="s">
        <v>20</v>
      </c>
      <c r="D4069" t="s">
        <v>21</v>
      </c>
      <c r="E4069">
        <v>2222222</v>
      </c>
      <c r="F4069" s="8" t="s">
        <v>22</v>
      </c>
      <c r="G4069" s="2">
        <v>98</v>
      </c>
      <c r="H4069" t="s">
        <v>4543</v>
      </c>
      <c r="J4069" s="9" t="s">
        <v>4855</v>
      </c>
      <c r="K4069" t="s">
        <v>4861</v>
      </c>
      <c r="L4069" s="2">
        <v>1</v>
      </c>
      <c r="M4069" s="24" t="s">
        <v>5971</v>
      </c>
      <c r="N4069" s="2" t="s">
        <v>23</v>
      </c>
      <c r="O4069" s="18" t="s">
        <v>2073</v>
      </c>
      <c r="P4069" s="18" t="s">
        <v>3781</v>
      </c>
      <c r="Q4069" s="6" t="s">
        <v>4475</v>
      </c>
      <c r="T4069" s="23">
        <v>46168</v>
      </c>
      <c r="U4069" s="23">
        <v>47263</v>
      </c>
      <c r="X4069" s="20">
        <v>3000</v>
      </c>
      <c r="Z4069" s="6" t="s">
        <v>5978</v>
      </c>
      <c r="AA4069" s="14">
        <f t="shared" si="538"/>
        <v>5.9999999999999995E-4</v>
      </c>
      <c r="AB4069">
        <v>1.7611139999999998</v>
      </c>
      <c r="AC4069">
        <v>1.8315585599999999</v>
      </c>
    </row>
    <row r="4070" spans="1:29" x14ac:dyDescent="0.3">
      <c r="A4070">
        <v>141234</v>
      </c>
      <c r="B4070" s="25" t="s">
        <v>5984</v>
      </c>
      <c r="C4070" t="s">
        <v>20</v>
      </c>
      <c r="D4070" t="s">
        <v>21</v>
      </c>
      <c r="E4070">
        <v>2222222</v>
      </c>
      <c r="F4070" s="8" t="s">
        <v>22</v>
      </c>
      <c r="G4070" s="2">
        <v>98</v>
      </c>
      <c r="H4070" t="s">
        <v>4544</v>
      </c>
      <c r="J4070" s="9" t="s">
        <v>5058</v>
      </c>
      <c r="K4070" t="s">
        <v>5191</v>
      </c>
      <c r="L4070" s="2">
        <v>1</v>
      </c>
      <c r="M4070" s="24" t="s">
        <v>5971</v>
      </c>
      <c r="N4070" s="2" t="s">
        <v>23</v>
      </c>
      <c r="O4070" s="18" t="s">
        <v>3121</v>
      </c>
      <c r="P4070" s="18" t="s">
        <v>0</v>
      </c>
      <c r="Q4070" s="6" t="s">
        <v>4475</v>
      </c>
      <c r="T4070" s="23">
        <v>45441</v>
      </c>
      <c r="U4070" s="23">
        <v>48088</v>
      </c>
      <c r="X4070" s="20">
        <v>22600</v>
      </c>
      <c r="Z4070" s="6" t="s">
        <v>5978</v>
      </c>
      <c r="AA4070" s="14">
        <f t="shared" si="538"/>
        <v>5.9999999999999995E-4</v>
      </c>
      <c r="AB4070">
        <v>13.072163999999997</v>
      </c>
      <c r="AC4070">
        <v>13.595050559999997</v>
      </c>
    </row>
    <row r="4071" spans="1:29" x14ac:dyDescent="0.3">
      <c r="A4071">
        <v>130561</v>
      </c>
      <c r="B4071" s="25" t="s">
        <v>5984</v>
      </c>
      <c r="C4071" t="s">
        <v>20</v>
      </c>
      <c r="D4071" t="s">
        <v>21</v>
      </c>
      <c r="E4071">
        <v>2222222</v>
      </c>
      <c r="F4071" s="8" t="s">
        <v>22</v>
      </c>
      <c r="G4071" s="2">
        <v>98</v>
      </c>
      <c r="H4071" t="s">
        <v>4545</v>
      </c>
      <c r="J4071" s="9" t="s">
        <v>4950</v>
      </c>
      <c r="K4071" t="s">
        <v>4847</v>
      </c>
      <c r="L4071" s="2">
        <v>1</v>
      </c>
      <c r="M4071" s="24" t="s">
        <v>5971</v>
      </c>
      <c r="N4071" s="2" t="s">
        <v>23</v>
      </c>
      <c r="O4071" s="18" t="s">
        <v>3122</v>
      </c>
      <c r="P4071" s="18" t="s">
        <v>0</v>
      </c>
      <c r="Q4071" s="6" t="s">
        <v>4475</v>
      </c>
      <c r="T4071" s="23">
        <v>44845</v>
      </c>
      <c r="U4071" s="23">
        <v>45940</v>
      </c>
      <c r="X4071" s="20">
        <v>6000</v>
      </c>
      <c r="Z4071" s="6" t="s">
        <v>5978</v>
      </c>
      <c r="AA4071" s="13">
        <f t="shared" ref="AA4071:AA4072" si="539">+(0.56/1000)</f>
        <v>5.6000000000000006E-4</v>
      </c>
      <c r="AB4071">
        <v>8.9633600000000008E-2</v>
      </c>
      <c r="AC4071">
        <v>9.3218944000000012E-2</v>
      </c>
    </row>
    <row r="4072" spans="1:29" x14ac:dyDescent="0.3">
      <c r="A4072">
        <v>134628</v>
      </c>
      <c r="B4072" s="25" t="s">
        <v>5984</v>
      </c>
      <c r="C4072" t="s">
        <v>20</v>
      </c>
      <c r="D4072" t="s">
        <v>21</v>
      </c>
      <c r="E4072">
        <v>2222222</v>
      </c>
      <c r="F4072" s="8" t="s">
        <v>22</v>
      </c>
      <c r="G4072" s="2">
        <v>98</v>
      </c>
      <c r="H4072" t="s">
        <v>4546</v>
      </c>
      <c r="J4072" s="9" t="s">
        <v>4924</v>
      </c>
      <c r="K4072" t="s">
        <v>4851</v>
      </c>
      <c r="L4072" s="2">
        <v>1</v>
      </c>
      <c r="M4072" s="24" t="s">
        <v>5971</v>
      </c>
      <c r="N4072" s="2" t="s">
        <v>23</v>
      </c>
      <c r="O4072" s="18" t="s">
        <v>3123</v>
      </c>
      <c r="P4072" s="18" t="s">
        <v>3781</v>
      </c>
      <c r="Q4072" s="6" t="s">
        <v>4475</v>
      </c>
      <c r="T4072" s="23">
        <v>45085</v>
      </c>
      <c r="U4072" s="23">
        <v>46546</v>
      </c>
      <c r="X4072" s="20">
        <v>13000</v>
      </c>
      <c r="Z4072" s="6" t="s">
        <v>5978</v>
      </c>
      <c r="AA4072" s="13">
        <f t="shared" si="539"/>
        <v>5.6000000000000006E-4</v>
      </c>
      <c r="AB4072">
        <v>5.4905927999999999</v>
      </c>
      <c r="AC4072">
        <v>5.7102165119999997</v>
      </c>
    </row>
    <row r="4073" spans="1:29" x14ac:dyDescent="0.3">
      <c r="A4073">
        <v>121881</v>
      </c>
      <c r="B4073" s="25" t="s">
        <v>5984</v>
      </c>
      <c r="C4073" t="s">
        <v>20</v>
      </c>
      <c r="D4073" t="s">
        <v>21</v>
      </c>
      <c r="E4073">
        <v>2222222</v>
      </c>
      <c r="F4073" s="8" t="s">
        <v>22</v>
      </c>
      <c r="G4073" s="2">
        <v>98</v>
      </c>
      <c r="H4073" t="s">
        <v>4547</v>
      </c>
      <c r="J4073" s="9" t="s">
        <v>4853</v>
      </c>
      <c r="K4073" t="s">
        <v>4875</v>
      </c>
      <c r="L4073" s="2">
        <v>1</v>
      </c>
      <c r="M4073" s="24" t="s">
        <v>5971</v>
      </c>
      <c r="N4073" s="2" t="s">
        <v>23</v>
      </c>
      <c r="O4073" s="18" t="s">
        <v>3124</v>
      </c>
      <c r="P4073" s="18" t="s">
        <v>0</v>
      </c>
      <c r="Q4073" s="6" t="s">
        <v>4475</v>
      </c>
      <c r="T4073" s="23">
        <v>44391</v>
      </c>
      <c r="U4073" s="23">
        <v>45486</v>
      </c>
      <c r="X4073" s="20">
        <v>3000</v>
      </c>
      <c r="Z4073" s="6" t="s">
        <v>5978</v>
      </c>
      <c r="AA4073" s="15">
        <f>+(0.42/1000)</f>
        <v>4.1999999999999996E-4</v>
      </c>
      <c r="AB4073">
        <v>0.2121672</v>
      </c>
      <c r="AC4073">
        <v>0.22065388800000002</v>
      </c>
    </row>
    <row r="4074" spans="1:29" x14ac:dyDescent="0.3">
      <c r="A4074">
        <v>143017</v>
      </c>
      <c r="B4074" s="25" t="s">
        <v>5984</v>
      </c>
      <c r="C4074" t="s">
        <v>20</v>
      </c>
      <c r="D4074" t="s">
        <v>21</v>
      </c>
      <c r="E4074">
        <v>2222222</v>
      </c>
      <c r="F4074" s="8" t="s">
        <v>22</v>
      </c>
      <c r="G4074" s="2">
        <v>98</v>
      </c>
      <c r="H4074" t="s">
        <v>4547</v>
      </c>
      <c r="J4074" s="9" t="s">
        <v>5017</v>
      </c>
      <c r="K4074" t="s">
        <v>5097</v>
      </c>
      <c r="L4074" s="2">
        <v>1</v>
      </c>
      <c r="M4074" s="24" t="s">
        <v>5971</v>
      </c>
      <c r="N4074" s="2" t="s">
        <v>23</v>
      </c>
      <c r="O4074" s="18" t="s">
        <v>1543</v>
      </c>
      <c r="P4074" s="18" t="s">
        <v>3781</v>
      </c>
      <c r="Q4074" s="6" t="s">
        <v>4475</v>
      </c>
      <c r="T4074" s="23">
        <v>45565</v>
      </c>
      <c r="U4074" s="23">
        <v>51135</v>
      </c>
      <c r="X4074" s="20">
        <v>19500</v>
      </c>
      <c r="Z4074" s="6" t="s">
        <v>5978</v>
      </c>
      <c r="AA4074" s="14">
        <f t="shared" ref="AA4074:AA4081" si="540">+(0.6/1000)</f>
        <v>5.9999999999999995E-4</v>
      </c>
      <c r="AB4074">
        <v>11.279621999999998</v>
      </c>
      <c r="AC4074">
        <v>11.730806879999998</v>
      </c>
    </row>
    <row r="4075" spans="1:29" x14ac:dyDescent="0.3">
      <c r="A4075">
        <v>143836</v>
      </c>
      <c r="B4075" s="25" t="s">
        <v>5984</v>
      </c>
      <c r="C4075" t="s">
        <v>20</v>
      </c>
      <c r="D4075" t="s">
        <v>21</v>
      </c>
      <c r="E4075">
        <v>2222222</v>
      </c>
      <c r="F4075" s="8" t="s">
        <v>22</v>
      </c>
      <c r="G4075" s="2">
        <v>98</v>
      </c>
      <c r="H4075" t="s">
        <v>4547</v>
      </c>
      <c r="J4075" s="9" t="s">
        <v>5049</v>
      </c>
      <c r="K4075" t="s">
        <v>5128</v>
      </c>
      <c r="L4075" s="2">
        <v>1</v>
      </c>
      <c r="M4075" s="24" t="s">
        <v>5971</v>
      </c>
      <c r="N4075" s="2" t="s">
        <v>23</v>
      </c>
      <c r="O4075" s="18" t="s">
        <v>3125</v>
      </c>
      <c r="P4075" s="18" t="s">
        <v>0</v>
      </c>
      <c r="Q4075" s="6" t="s">
        <v>4475</v>
      </c>
      <c r="T4075" s="23">
        <v>45636</v>
      </c>
      <c r="U4075" s="23">
        <v>47461</v>
      </c>
      <c r="X4075" s="20">
        <v>15060</v>
      </c>
      <c r="Z4075" s="6" t="s">
        <v>5978</v>
      </c>
      <c r="AA4075" s="14">
        <f t="shared" si="540"/>
        <v>5.9999999999999995E-4</v>
      </c>
      <c r="AB4075">
        <v>6.8217119999999998</v>
      </c>
      <c r="AC4075">
        <v>7.0945804800000003</v>
      </c>
    </row>
    <row r="4076" spans="1:29" x14ac:dyDescent="0.3">
      <c r="A4076">
        <v>144749</v>
      </c>
      <c r="B4076" s="25" t="s">
        <v>5984</v>
      </c>
      <c r="C4076" t="s">
        <v>20</v>
      </c>
      <c r="D4076" t="s">
        <v>21</v>
      </c>
      <c r="E4076">
        <v>2222222</v>
      </c>
      <c r="F4076" s="8" t="s">
        <v>22</v>
      </c>
      <c r="G4076" s="2">
        <v>98</v>
      </c>
      <c r="H4076" t="s">
        <v>4547</v>
      </c>
      <c r="J4076" s="9" t="s">
        <v>5210</v>
      </c>
      <c r="K4076" t="s">
        <v>5189</v>
      </c>
      <c r="L4076" s="2">
        <v>1</v>
      </c>
      <c r="M4076" s="24" t="s">
        <v>5971</v>
      </c>
      <c r="N4076" s="2" t="s">
        <v>23</v>
      </c>
      <c r="O4076" s="18" t="s">
        <v>3126</v>
      </c>
      <c r="P4076" s="18" t="s">
        <v>0</v>
      </c>
      <c r="Q4076" s="6" t="s">
        <v>4475</v>
      </c>
      <c r="T4076" s="23">
        <v>45689</v>
      </c>
      <c r="U4076" s="23">
        <v>46421</v>
      </c>
      <c r="X4076" s="20">
        <v>3500</v>
      </c>
      <c r="Z4076" s="6" t="s">
        <v>5978</v>
      </c>
      <c r="AA4076" s="14">
        <f t="shared" si="540"/>
        <v>5.9999999999999995E-4</v>
      </c>
      <c r="AB4076">
        <v>0.68866799999999995</v>
      </c>
      <c r="AC4076">
        <v>0.71621471999999997</v>
      </c>
    </row>
    <row r="4077" spans="1:29" x14ac:dyDescent="0.3">
      <c r="A4077">
        <v>147082</v>
      </c>
      <c r="B4077" s="25" t="s">
        <v>5984</v>
      </c>
      <c r="C4077" t="s">
        <v>20</v>
      </c>
      <c r="D4077" t="s">
        <v>21</v>
      </c>
      <c r="E4077">
        <v>2222222</v>
      </c>
      <c r="F4077" s="8" t="s">
        <v>22</v>
      </c>
      <c r="G4077" s="2">
        <v>98</v>
      </c>
      <c r="H4077" t="s">
        <v>4547</v>
      </c>
      <c r="J4077" s="9" t="s">
        <v>5073</v>
      </c>
      <c r="K4077" t="s">
        <v>5025</v>
      </c>
      <c r="L4077" s="2">
        <v>1</v>
      </c>
      <c r="M4077" s="24" t="s">
        <v>5971</v>
      </c>
      <c r="N4077" s="2" t="s">
        <v>23</v>
      </c>
      <c r="O4077" s="18" t="s">
        <v>3127</v>
      </c>
      <c r="P4077" s="18" t="s">
        <v>3781</v>
      </c>
      <c r="Q4077" s="6" t="s">
        <v>4475</v>
      </c>
      <c r="T4077" s="23">
        <v>45863</v>
      </c>
      <c r="U4077" s="23">
        <v>46958</v>
      </c>
      <c r="X4077" s="20">
        <v>5000</v>
      </c>
      <c r="Z4077" s="6" t="s">
        <v>5978</v>
      </c>
      <c r="AA4077" s="14">
        <f t="shared" si="540"/>
        <v>5.9999999999999995E-4</v>
      </c>
      <c r="AB4077">
        <v>2.1734519999999997</v>
      </c>
      <c r="AC4077">
        <v>2.2603900799999996</v>
      </c>
    </row>
    <row r="4078" spans="1:29" x14ac:dyDescent="0.3">
      <c r="A4078">
        <v>147689</v>
      </c>
      <c r="B4078" s="25" t="s">
        <v>5984</v>
      </c>
      <c r="C4078" t="s">
        <v>20</v>
      </c>
      <c r="D4078" t="s">
        <v>21</v>
      </c>
      <c r="E4078">
        <v>2222222</v>
      </c>
      <c r="F4078" s="8" t="s">
        <v>22</v>
      </c>
      <c r="G4078" s="2">
        <v>98</v>
      </c>
      <c r="H4078" t="s">
        <v>4547</v>
      </c>
      <c r="J4078" s="9" t="s">
        <v>4815</v>
      </c>
      <c r="K4078" t="s">
        <v>4774</v>
      </c>
      <c r="L4078" s="2">
        <v>1</v>
      </c>
      <c r="M4078" s="24" t="s">
        <v>5971</v>
      </c>
      <c r="N4078" s="2" t="s">
        <v>23</v>
      </c>
      <c r="O4078" s="18" t="s">
        <v>3128</v>
      </c>
      <c r="P4078" s="18" t="s">
        <v>0</v>
      </c>
      <c r="Q4078" s="6" t="s">
        <v>4475</v>
      </c>
      <c r="T4078" s="23">
        <v>45905</v>
      </c>
      <c r="U4078" s="23">
        <v>47370</v>
      </c>
      <c r="X4078" s="20">
        <v>5000</v>
      </c>
      <c r="Z4078" s="6" t="s">
        <v>5978</v>
      </c>
      <c r="AA4078" s="14">
        <f t="shared" si="540"/>
        <v>5.9999999999999995E-4</v>
      </c>
      <c r="AB4078">
        <v>2.5388099999999998</v>
      </c>
      <c r="AC4078">
        <v>2.6403623999999999</v>
      </c>
    </row>
    <row r="4079" spans="1:29" x14ac:dyDescent="0.3">
      <c r="A4079">
        <v>148203</v>
      </c>
      <c r="B4079" s="25" t="s">
        <v>5984</v>
      </c>
      <c r="C4079" t="s">
        <v>20</v>
      </c>
      <c r="D4079" t="s">
        <v>21</v>
      </c>
      <c r="E4079">
        <v>2222222</v>
      </c>
      <c r="F4079" s="8" t="s">
        <v>22</v>
      </c>
      <c r="G4079" s="2">
        <v>98</v>
      </c>
      <c r="H4079" t="s">
        <v>4547</v>
      </c>
      <c r="J4079" s="9" t="s">
        <v>4852</v>
      </c>
      <c r="K4079" t="s">
        <v>4950</v>
      </c>
      <c r="L4079" s="2">
        <v>1</v>
      </c>
      <c r="M4079" s="24" t="s">
        <v>5971</v>
      </c>
      <c r="N4079" s="2" t="s">
        <v>23</v>
      </c>
      <c r="O4079" s="18" t="s">
        <v>3129</v>
      </c>
      <c r="P4079" s="18" t="s">
        <v>0</v>
      </c>
      <c r="Q4079" s="6" t="s">
        <v>4475</v>
      </c>
      <c r="T4079" s="23">
        <v>45945</v>
      </c>
      <c r="U4079" s="23">
        <v>46310</v>
      </c>
      <c r="X4079" s="20">
        <v>4000</v>
      </c>
      <c r="Z4079" s="6" t="s">
        <v>5978</v>
      </c>
      <c r="AA4079" s="14">
        <f t="shared" si="540"/>
        <v>5.9999999999999995E-4</v>
      </c>
      <c r="AB4079">
        <v>0.63746400000000003</v>
      </c>
      <c r="AC4079">
        <v>0.66296256000000009</v>
      </c>
    </row>
    <row r="4080" spans="1:29" x14ac:dyDescent="0.3">
      <c r="A4080">
        <v>148456</v>
      </c>
      <c r="B4080" s="25" t="s">
        <v>5984</v>
      </c>
      <c r="C4080" t="s">
        <v>20</v>
      </c>
      <c r="D4080" t="s">
        <v>21</v>
      </c>
      <c r="E4080">
        <v>2222222</v>
      </c>
      <c r="F4080" s="8" t="s">
        <v>22</v>
      </c>
      <c r="G4080" s="2">
        <v>98</v>
      </c>
      <c r="H4080" t="s">
        <v>4547</v>
      </c>
      <c r="J4080" s="9" t="s">
        <v>4950</v>
      </c>
      <c r="K4080" t="s">
        <v>4894</v>
      </c>
      <c r="L4080" s="2">
        <v>1</v>
      </c>
      <c r="M4080" s="24" t="s">
        <v>5971</v>
      </c>
      <c r="N4080" s="2" t="s">
        <v>23</v>
      </c>
      <c r="O4080" s="18" t="s">
        <v>3130</v>
      </c>
      <c r="P4080" s="18" t="s">
        <v>0</v>
      </c>
      <c r="Q4080" s="6" t="s">
        <v>4475</v>
      </c>
      <c r="T4080" s="23">
        <v>45963</v>
      </c>
      <c r="U4080" s="23">
        <v>46328</v>
      </c>
      <c r="X4080" s="20">
        <v>1220</v>
      </c>
      <c r="Z4080" s="6" t="s">
        <v>5978</v>
      </c>
      <c r="AA4080" s="14">
        <f t="shared" si="540"/>
        <v>5.9999999999999995E-4</v>
      </c>
      <c r="AB4080">
        <v>0.31997999999999993</v>
      </c>
      <c r="AC4080">
        <v>0.33277919999999994</v>
      </c>
    </row>
    <row r="4081" spans="1:29" x14ac:dyDescent="0.3">
      <c r="A4081">
        <v>151391</v>
      </c>
      <c r="B4081" s="25" t="s">
        <v>5984</v>
      </c>
      <c r="C4081" t="s">
        <v>20</v>
      </c>
      <c r="D4081" t="s">
        <v>21</v>
      </c>
      <c r="E4081">
        <v>2222222</v>
      </c>
      <c r="F4081" s="8" t="s">
        <v>22</v>
      </c>
      <c r="G4081" s="2">
        <v>98</v>
      </c>
      <c r="H4081" t="s">
        <v>4547</v>
      </c>
      <c r="J4081" s="9" t="s">
        <v>5093</v>
      </c>
      <c r="K4081" t="s">
        <v>4893</v>
      </c>
      <c r="L4081" s="2">
        <v>1</v>
      </c>
      <c r="M4081" s="24" t="s">
        <v>5971</v>
      </c>
      <c r="N4081" s="2" t="s">
        <v>23</v>
      </c>
      <c r="O4081" s="18" t="s">
        <v>3131</v>
      </c>
      <c r="P4081" s="18" t="s">
        <v>3781</v>
      </c>
      <c r="Q4081" s="6" t="s">
        <v>4475</v>
      </c>
      <c r="T4081" s="23">
        <v>46161</v>
      </c>
      <c r="U4081" s="23">
        <v>46251</v>
      </c>
      <c r="X4081" s="20">
        <v>3050</v>
      </c>
      <c r="Z4081" s="6" t="s">
        <v>5978</v>
      </c>
      <c r="AA4081" s="14">
        <f t="shared" si="540"/>
        <v>5.9999999999999995E-4</v>
      </c>
      <c r="AB4081">
        <v>1.8299999999999998</v>
      </c>
      <c r="AC4081">
        <v>1.9032</v>
      </c>
    </row>
    <row r="4082" spans="1:29" x14ac:dyDescent="0.3">
      <c r="A4082">
        <v>126786</v>
      </c>
      <c r="B4082" s="25" t="s">
        <v>5984</v>
      </c>
      <c r="C4082" t="s">
        <v>20</v>
      </c>
      <c r="D4082" t="s">
        <v>21</v>
      </c>
      <c r="E4082">
        <v>2222222</v>
      </c>
      <c r="F4082" s="8" t="s">
        <v>22</v>
      </c>
      <c r="G4082" s="2">
        <v>98</v>
      </c>
      <c r="H4082" t="s">
        <v>4548</v>
      </c>
      <c r="J4082" s="9" t="s">
        <v>5013</v>
      </c>
      <c r="K4082" t="s">
        <v>5270</v>
      </c>
      <c r="L4082" s="2">
        <v>1</v>
      </c>
      <c r="M4082" s="24" t="s">
        <v>5971</v>
      </c>
      <c r="N4082" s="2" t="s">
        <v>23</v>
      </c>
      <c r="O4082" s="18" t="s">
        <v>3132</v>
      </c>
      <c r="P4082" s="18" t="s">
        <v>0</v>
      </c>
      <c r="Q4082" s="6" t="s">
        <v>4475</v>
      </c>
      <c r="T4082" s="23">
        <v>44644</v>
      </c>
      <c r="U4082" s="23">
        <v>47200</v>
      </c>
      <c r="X4082" s="20">
        <v>25000</v>
      </c>
      <c r="Z4082" s="6" t="s">
        <v>5978</v>
      </c>
      <c r="AA4082" s="15">
        <f>+(0.42/1000)</f>
        <v>4.1999999999999996E-4</v>
      </c>
      <c r="AB4082">
        <v>5.4269333999999994</v>
      </c>
      <c r="AC4082">
        <v>5.6440107359999994</v>
      </c>
    </row>
    <row r="4083" spans="1:29" x14ac:dyDescent="0.3">
      <c r="A4083">
        <v>136293</v>
      </c>
      <c r="B4083" s="25" t="s">
        <v>5984</v>
      </c>
      <c r="C4083" t="s">
        <v>20</v>
      </c>
      <c r="D4083" t="s">
        <v>21</v>
      </c>
      <c r="E4083">
        <v>2222222</v>
      </c>
      <c r="F4083" s="8" t="s">
        <v>22</v>
      </c>
      <c r="G4083" s="2">
        <v>98</v>
      </c>
      <c r="H4083" t="s">
        <v>4548</v>
      </c>
      <c r="J4083" s="9" t="s">
        <v>4896</v>
      </c>
      <c r="K4083" t="s">
        <v>5341</v>
      </c>
      <c r="L4083" s="2">
        <v>1</v>
      </c>
      <c r="M4083" s="24" t="s">
        <v>5971</v>
      </c>
      <c r="N4083" s="2" t="s">
        <v>23</v>
      </c>
      <c r="O4083" s="18" t="s">
        <v>3133</v>
      </c>
      <c r="P4083" s="18" t="s">
        <v>3781</v>
      </c>
      <c r="Q4083" s="6" t="s">
        <v>4475</v>
      </c>
      <c r="T4083" s="23">
        <v>45164</v>
      </c>
      <c r="U4083" s="23">
        <v>46260</v>
      </c>
      <c r="X4083" s="20">
        <v>5000</v>
      </c>
      <c r="Z4083" s="6" t="s">
        <v>5978</v>
      </c>
      <c r="AA4083" s="13">
        <f>+(0.56/1000)</f>
        <v>5.6000000000000006E-4</v>
      </c>
      <c r="AB4083">
        <v>0.10114720000000001</v>
      </c>
      <c r="AC4083">
        <v>0.105193088</v>
      </c>
    </row>
    <row r="4084" spans="1:29" x14ac:dyDescent="0.3">
      <c r="A4084">
        <v>142939</v>
      </c>
      <c r="B4084" s="25" t="s">
        <v>5984</v>
      </c>
      <c r="C4084" t="s">
        <v>20</v>
      </c>
      <c r="D4084" t="s">
        <v>21</v>
      </c>
      <c r="E4084">
        <v>2222222</v>
      </c>
      <c r="F4084" s="8" t="s">
        <v>22</v>
      </c>
      <c r="G4084" s="2">
        <v>98</v>
      </c>
      <c r="H4084" t="s">
        <v>4548</v>
      </c>
      <c r="J4084" s="9" t="s">
        <v>5867</v>
      </c>
      <c r="K4084" t="s">
        <v>5174</v>
      </c>
      <c r="L4084" s="2">
        <v>1</v>
      </c>
      <c r="M4084" s="24" t="s">
        <v>5971</v>
      </c>
      <c r="N4084" s="2" t="s">
        <v>23</v>
      </c>
      <c r="O4084" s="18" t="s">
        <v>3134</v>
      </c>
      <c r="P4084" s="18" t="s">
        <v>0</v>
      </c>
      <c r="Q4084" s="6" t="s">
        <v>4475</v>
      </c>
      <c r="T4084" s="23">
        <v>45565</v>
      </c>
      <c r="U4084" s="23">
        <v>47756</v>
      </c>
      <c r="X4084" s="20">
        <v>20000</v>
      </c>
      <c r="Z4084" s="6" t="s">
        <v>5978</v>
      </c>
      <c r="AA4084" s="14">
        <f t="shared" ref="AA4084:AA4097" si="541">+(0.6/1000)</f>
        <v>5.9999999999999995E-4</v>
      </c>
      <c r="AB4084">
        <v>9.5250419999999991</v>
      </c>
      <c r="AC4084">
        <v>9.9060436799999998</v>
      </c>
    </row>
    <row r="4085" spans="1:29" x14ac:dyDescent="0.3">
      <c r="A4085">
        <v>144670</v>
      </c>
      <c r="B4085" s="25" t="s">
        <v>5984</v>
      </c>
      <c r="C4085" t="s">
        <v>20</v>
      </c>
      <c r="D4085" t="s">
        <v>21</v>
      </c>
      <c r="E4085">
        <v>2222222</v>
      </c>
      <c r="F4085" s="8" t="s">
        <v>22</v>
      </c>
      <c r="G4085" s="2">
        <v>98</v>
      </c>
      <c r="H4085" t="s">
        <v>4548</v>
      </c>
      <c r="J4085" s="9" t="s">
        <v>4951</v>
      </c>
      <c r="K4085" t="s">
        <v>4961</v>
      </c>
      <c r="L4085" s="2">
        <v>1</v>
      </c>
      <c r="M4085" s="24" t="s">
        <v>5971</v>
      </c>
      <c r="N4085" s="2" t="s">
        <v>23</v>
      </c>
      <c r="O4085" s="18" t="s">
        <v>3135</v>
      </c>
      <c r="P4085" s="18" t="s">
        <v>0</v>
      </c>
      <c r="Q4085" s="6" t="s">
        <v>4475</v>
      </c>
      <c r="T4085" s="23">
        <v>45680</v>
      </c>
      <c r="U4085" s="23">
        <v>46743</v>
      </c>
      <c r="X4085" s="20">
        <v>4780</v>
      </c>
      <c r="Z4085" s="6" t="s">
        <v>5978</v>
      </c>
      <c r="AA4085" s="14">
        <f t="shared" si="541"/>
        <v>5.9999999999999995E-4</v>
      </c>
      <c r="AB4085">
        <v>2.7022679999999997</v>
      </c>
      <c r="AC4085">
        <v>2.8103587199999995</v>
      </c>
    </row>
    <row r="4086" spans="1:29" x14ac:dyDescent="0.3">
      <c r="A4086">
        <v>145706</v>
      </c>
      <c r="B4086" s="25" t="s">
        <v>5984</v>
      </c>
      <c r="C4086" t="s">
        <v>20</v>
      </c>
      <c r="D4086" t="s">
        <v>21</v>
      </c>
      <c r="E4086">
        <v>2222222</v>
      </c>
      <c r="F4086" s="8" t="s">
        <v>22</v>
      </c>
      <c r="G4086" s="2">
        <v>98</v>
      </c>
      <c r="H4086" t="s">
        <v>4548</v>
      </c>
      <c r="J4086" s="9" t="s">
        <v>5213</v>
      </c>
      <c r="K4086" t="s">
        <v>5019</v>
      </c>
      <c r="L4086" s="2">
        <v>1</v>
      </c>
      <c r="M4086" s="24" t="s">
        <v>5971</v>
      </c>
      <c r="N4086" s="2" t="s">
        <v>23</v>
      </c>
      <c r="O4086" s="18" t="s">
        <v>3136</v>
      </c>
      <c r="P4086" s="18" t="s">
        <v>3781</v>
      </c>
      <c r="Q4086" s="6" t="s">
        <v>4475</v>
      </c>
      <c r="T4086" s="23">
        <v>45769</v>
      </c>
      <c r="U4086" s="23">
        <v>47230</v>
      </c>
      <c r="X4086" s="20">
        <v>20000</v>
      </c>
      <c r="Z4086" s="6" t="s">
        <v>5978</v>
      </c>
      <c r="AA4086" s="14">
        <f t="shared" si="541"/>
        <v>5.9999999999999995E-4</v>
      </c>
      <c r="AB4086">
        <v>9.0415139999999994</v>
      </c>
      <c r="AC4086">
        <v>9.4031745600000001</v>
      </c>
    </row>
    <row r="4087" spans="1:29" x14ac:dyDescent="0.3">
      <c r="A4087">
        <v>147782</v>
      </c>
      <c r="B4087" s="25" t="s">
        <v>5984</v>
      </c>
      <c r="C4087" t="s">
        <v>20</v>
      </c>
      <c r="D4087" t="s">
        <v>21</v>
      </c>
      <c r="E4087">
        <v>2222222</v>
      </c>
      <c r="F4087" s="8" t="s">
        <v>22</v>
      </c>
      <c r="G4087" s="2">
        <v>98</v>
      </c>
      <c r="H4087" t="s">
        <v>4548</v>
      </c>
      <c r="J4087" s="9" t="s">
        <v>5759</v>
      </c>
      <c r="K4087" t="s">
        <v>4829</v>
      </c>
      <c r="L4087" s="2">
        <v>1</v>
      </c>
      <c r="M4087" s="24" t="s">
        <v>5971</v>
      </c>
      <c r="N4087" s="2" t="s">
        <v>23</v>
      </c>
      <c r="O4087" s="18" t="s">
        <v>3137</v>
      </c>
      <c r="P4087" s="18" t="s">
        <v>3781</v>
      </c>
      <c r="Q4087" s="6" t="s">
        <v>4475</v>
      </c>
      <c r="T4087" s="23">
        <v>45912</v>
      </c>
      <c r="U4087" s="23">
        <v>46642</v>
      </c>
      <c r="X4087" s="20">
        <v>5000</v>
      </c>
      <c r="Z4087" s="6" t="s">
        <v>5978</v>
      </c>
      <c r="AA4087" s="14">
        <f t="shared" si="541"/>
        <v>5.9999999999999995E-4</v>
      </c>
      <c r="AB4087">
        <v>1.8789719999999999</v>
      </c>
      <c r="AC4087">
        <v>1.9541308799999999</v>
      </c>
    </row>
    <row r="4088" spans="1:29" x14ac:dyDescent="0.3">
      <c r="A4088">
        <v>149304</v>
      </c>
      <c r="B4088" s="25" t="s">
        <v>5984</v>
      </c>
      <c r="C4088" t="s">
        <v>20</v>
      </c>
      <c r="D4088" t="s">
        <v>21</v>
      </c>
      <c r="E4088">
        <v>2222222</v>
      </c>
      <c r="F4088" s="8" t="s">
        <v>22</v>
      </c>
      <c r="G4088" s="2">
        <v>98</v>
      </c>
      <c r="H4088" t="s">
        <v>4548</v>
      </c>
      <c r="J4088" s="9" t="s">
        <v>4836</v>
      </c>
      <c r="K4088" t="s">
        <v>5831</v>
      </c>
      <c r="L4088" s="2">
        <v>1</v>
      </c>
      <c r="M4088" s="24" t="s">
        <v>5971</v>
      </c>
      <c r="N4088" s="2" t="s">
        <v>23</v>
      </c>
      <c r="O4088" s="18" t="s">
        <v>677</v>
      </c>
      <c r="P4088" s="18" t="s">
        <v>3781</v>
      </c>
      <c r="Q4088" s="6" t="s">
        <v>4475</v>
      </c>
      <c r="T4088" s="23">
        <v>46012</v>
      </c>
      <c r="U4088" s="23">
        <v>47107</v>
      </c>
      <c r="X4088" s="20">
        <v>5000</v>
      </c>
      <c r="Z4088" s="6" t="s">
        <v>5978</v>
      </c>
      <c r="AA4088" s="14">
        <f t="shared" si="541"/>
        <v>5.9999999999999995E-4</v>
      </c>
      <c r="AB4088">
        <v>2.5338899999999995</v>
      </c>
      <c r="AC4088">
        <v>2.6352455999999997</v>
      </c>
    </row>
    <row r="4089" spans="1:29" x14ac:dyDescent="0.3">
      <c r="A4089">
        <v>150276</v>
      </c>
      <c r="B4089" s="25" t="s">
        <v>5984</v>
      </c>
      <c r="C4089" t="s">
        <v>20</v>
      </c>
      <c r="D4089" t="s">
        <v>21</v>
      </c>
      <c r="E4089">
        <v>2222222</v>
      </c>
      <c r="F4089" s="8" t="s">
        <v>22</v>
      </c>
      <c r="G4089" s="2">
        <v>98</v>
      </c>
      <c r="H4089" t="s">
        <v>4548</v>
      </c>
      <c r="J4089" s="9" t="s">
        <v>5721</v>
      </c>
      <c r="K4089" t="s">
        <v>5195</v>
      </c>
      <c r="L4089" s="2">
        <v>1</v>
      </c>
      <c r="M4089" s="24" t="s">
        <v>5971</v>
      </c>
      <c r="N4089" s="2" t="s">
        <v>23</v>
      </c>
      <c r="O4089" s="18" t="s">
        <v>3138</v>
      </c>
      <c r="P4089" s="18" t="s">
        <v>3781</v>
      </c>
      <c r="Q4089" s="6" t="s">
        <v>4475</v>
      </c>
      <c r="T4089" s="23">
        <v>46084</v>
      </c>
      <c r="U4089" s="23">
        <v>47544</v>
      </c>
      <c r="X4089" s="20">
        <v>5000</v>
      </c>
      <c r="Z4089" s="6" t="s">
        <v>5978</v>
      </c>
      <c r="AA4089" s="14">
        <f t="shared" si="541"/>
        <v>5.9999999999999995E-4</v>
      </c>
      <c r="AB4089">
        <v>2.8234439999999998</v>
      </c>
      <c r="AC4089">
        <v>2.9363817599999997</v>
      </c>
    </row>
    <row r="4090" spans="1:29" x14ac:dyDescent="0.3">
      <c r="A4090">
        <v>150652</v>
      </c>
      <c r="B4090" s="25" t="s">
        <v>5984</v>
      </c>
      <c r="C4090" t="s">
        <v>20</v>
      </c>
      <c r="D4090" t="s">
        <v>21</v>
      </c>
      <c r="E4090">
        <v>2222222</v>
      </c>
      <c r="F4090" s="8" t="s">
        <v>22</v>
      </c>
      <c r="G4090" s="2">
        <v>98</v>
      </c>
      <c r="H4090" t="s">
        <v>4548</v>
      </c>
      <c r="J4090" s="9" t="s">
        <v>5759</v>
      </c>
      <c r="K4090" t="s">
        <v>4829</v>
      </c>
      <c r="L4090" s="2">
        <v>1</v>
      </c>
      <c r="M4090" s="24" t="s">
        <v>5971</v>
      </c>
      <c r="N4090" s="2" t="s">
        <v>23</v>
      </c>
      <c r="O4090" s="18" t="s">
        <v>3137</v>
      </c>
      <c r="P4090" s="18" t="s">
        <v>3781</v>
      </c>
      <c r="Q4090" s="6" t="s">
        <v>4475</v>
      </c>
      <c r="T4090" s="23">
        <v>46106</v>
      </c>
      <c r="U4090" s="23">
        <v>47476</v>
      </c>
      <c r="X4090" s="20">
        <v>6200</v>
      </c>
      <c r="Z4090" s="6" t="s">
        <v>5978</v>
      </c>
      <c r="AA4090" s="14">
        <f t="shared" si="541"/>
        <v>5.9999999999999995E-4</v>
      </c>
      <c r="AB4090">
        <v>3.4715279999999997</v>
      </c>
      <c r="AC4090">
        <v>3.6103891199999998</v>
      </c>
    </row>
    <row r="4091" spans="1:29" x14ac:dyDescent="0.3">
      <c r="A4091">
        <v>150700</v>
      </c>
      <c r="B4091" s="25" t="s">
        <v>5984</v>
      </c>
      <c r="C4091" t="s">
        <v>20</v>
      </c>
      <c r="D4091" t="s">
        <v>21</v>
      </c>
      <c r="E4091">
        <v>2222222</v>
      </c>
      <c r="F4091" s="8" t="s">
        <v>22</v>
      </c>
      <c r="G4091" s="2">
        <v>98</v>
      </c>
      <c r="H4091" t="s">
        <v>4548</v>
      </c>
      <c r="J4091" s="9" t="s">
        <v>5192</v>
      </c>
      <c r="K4091" t="s">
        <v>4926</v>
      </c>
      <c r="L4091" s="2">
        <v>1</v>
      </c>
      <c r="M4091" s="24" t="s">
        <v>5971</v>
      </c>
      <c r="N4091" s="2" t="s">
        <v>23</v>
      </c>
      <c r="O4091" s="18" t="s">
        <v>3139</v>
      </c>
      <c r="P4091" s="18" t="s">
        <v>3781</v>
      </c>
      <c r="Q4091" s="6" t="s">
        <v>4475</v>
      </c>
      <c r="T4091" s="23">
        <v>46109</v>
      </c>
      <c r="U4091" s="23">
        <v>47023</v>
      </c>
      <c r="X4091" s="20">
        <v>1610</v>
      </c>
      <c r="Z4091" s="6" t="s">
        <v>5978</v>
      </c>
      <c r="AA4091" s="14">
        <f t="shared" si="541"/>
        <v>5.9999999999999995E-4</v>
      </c>
      <c r="AB4091">
        <v>0.8867759999999999</v>
      </c>
      <c r="AC4091">
        <v>0.92224703999999991</v>
      </c>
    </row>
    <row r="4092" spans="1:29" x14ac:dyDescent="0.3">
      <c r="A4092">
        <v>150929</v>
      </c>
      <c r="B4092" s="25" t="s">
        <v>5984</v>
      </c>
      <c r="C4092" t="s">
        <v>20</v>
      </c>
      <c r="D4092" t="s">
        <v>21</v>
      </c>
      <c r="E4092">
        <v>2222222</v>
      </c>
      <c r="F4092" s="8" t="s">
        <v>22</v>
      </c>
      <c r="G4092" s="2">
        <v>98</v>
      </c>
      <c r="H4092" t="s">
        <v>4548</v>
      </c>
      <c r="J4092" s="9" t="s">
        <v>4903</v>
      </c>
      <c r="K4092" t="s">
        <v>4925</v>
      </c>
      <c r="L4092" s="2">
        <v>1</v>
      </c>
      <c r="M4092" s="24" t="s">
        <v>5971</v>
      </c>
      <c r="N4092" s="2" t="s">
        <v>23</v>
      </c>
      <c r="O4092" s="18" t="s">
        <v>3140</v>
      </c>
      <c r="P4092" s="18" t="s">
        <v>3781</v>
      </c>
      <c r="Q4092" s="6" t="s">
        <v>4475</v>
      </c>
      <c r="T4092" s="23">
        <v>46134</v>
      </c>
      <c r="U4092" s="23">
        <v>46317</v>
      </c>
      <c r="X4092" s="20">
        <v>730</v>
      </c>
      <c r="Z4092" s="6" t="s">
        <v>5978</v>
      </c>
      <c r="AA4092" s="14">
        <f t="shared" si="541"/>
        <v>5.9999999999999995E-4</v>
      </c>
      <c r="AB4092">
        <v>0.223632</v>
      </c>
      <c r="AC4092">
        <v>0.23257728</v>
      </c>
    </row>
    <row r="4093" spans="1:29" x14ac:dyDescent="0.3">
      <c r="A4093">
        <v>151435</v>
      </c>
      <c r="B4093" s="25" t="s">
        <v>5984</v>
      </c>
      <c r="C4093" t="s">
        <v>20</v>
      </c>
      <c r="D4093" t="s">
        <v>21</v>
      </c>
      <c r="E4093">
        <v>2222222</v>
      </c>
      <c r="F4093" s="8" t="s">
        <v>22</v>
      </c>
      <c r="G4093" s="2">
        <v>98</v>
      </c>
      <c r="H4093" t="s">
        <v>4548</v>
      </c>
      <c r="J4093" s="9" t="s">
        <v>5213</v>
      </c>
      <c r="K4093" t="s">
        <v>5019</v>
      </c>
      <c r="L4093" s="2">
        <v>1</v>
      </c>
      <c r="M4093" s="24" t="s">
        <v>5971</v>
      </c>
      <c r="N4093" s="2" t="s">
        <v>23</v>
      </c>
      <c r="O4093" s="18" t="s">
        <v>3136</v>
      </c>
      <c r="P4093" s="18" t="s">
        <v>3781</v>
      </c>
      <c r="Q4093" s="6" t="s">
        <v>4475</v>
      </c>
      <c r="T4093" s="23">
        <v>46163</v>
      </c>
      <c r="U4093" s="23">
        <v>46253</v>
      </c>
      <c r="X4093" s="20">
        <v>4000</v>
      </c>
      <c r="Z4093" s="6" t="s">
        <v>5978</v>
      </c>
      <c r="AA4093" s="14">
        <f t="shared" si="541"/>
        <v>5.9999999999999995E-4</v>
      </c>
      <c r="AB4093">
        <v>2.4</v>
      </c>
      <c r="AC4093">
        <v>2.496</v>
      </c>
    </row>
    <row r="4094" spans="1:29" x14ac:dyDescent="0.3">
      <c r="A4094">
        <v>151565</v>
      </c>
      <c r="B4094" s="25" t="s">
        <v>5984</v>
      </c>
      <c r="C4094" t="s">
        <v>20</v>
      </c>
      <c r="D4094" t="s">
        <v>21</v>
      </c>
      <c r="E4094">
        <v>2222222</v>
      </c>
      <c r="F4094" s="8" t="s">
        <v>22</v>
      </c>
      <c r="G4094" s="2">
        <v>98</v>
      </c>
      <c r="H4094" t="s">
        <v>4548</v>
      </c>
      <c r="J4094" s="9" t="s">
        <v>5192</v>
      </c>
      <c r="K4094" t="s">
        <v>4926</v>
      </c>
      <c r="L4094" s="2">
        <v>1</v>
      </c>
      <c r="M4094" s="24" t="s">
        <v>5971</v>
      </c>
      <c r="N4094" s="2" t="s">
        <v>23</v>
      </c>
      <c r="O4094" s="18" t="s">
        <v>3139</v>
      </c>
      <c r="P4094" s="18" t="s">
        <v>3781</v>
      </c>
      <c r="Q4094" s="6" t="s">
        <v>4475</v>
      </c>
      <c r="T4094" s="23">
        <v>46173</v>
      </c>
      <c r="U4094" s="23">
        <v>46263</v>
      </c>
      <c r="X4094" s="20">
        <v>4980</v>
      </c>
      <c r="Z4094" s="6" t="s">
        <v>5978</v>
      </c>
      <c r="AA4094" s="14">
        <f t="shared" si="541"/>
        <v>5.9999999999999995E-4</v>
      </c>
      <c r="AB4094">
        <v>2.9879999999999995</v>
      </c>
      <c r="AC4094">
        <v>3.1075199999999996</v>
      </c>
    </row>
    <row r="4095" spans="1:29" x14ac:dyDescent="0.3">
      <c r="A4095">
        <v>151621</v>
      </c>
      <c r="B4095" s="25" t="s">
        <v>5984</v>
      </c>
      <c r="C4095" t="s">
        <v>20</v>
      </c>
      <c r="D4095" t="s">
        <v>21</v>
      </c>
      <c r="E4095">
        <v>2222222</v>
      </c>
      <c r="F4095" s="8" t="s">
        <v>22</v>
      </c>
      <c r="G4095" s="2">
        <v>98</v>
      </c>
      <c r="H4095" t="s">
        <v>4548</v>
      </c>
      <c r="J4095" s="9" t="s">
        <v>5213</v>
      </c>
      <c r="K4095" t="s">
        <v>5019</v>
      </c>
      <c r="L4095" s="2">
        <v>1</v>
      </c>
      <c r="M4095" s="24" t="s">
        <v>5971</v>
      </c>
      <c r="N4095" s="2" t="s">
        <v>23</v>
      </c>
      <c r="O4095" s="18" t="s">
        <v>3136</v>
      </c>
      <c r="P4095" s="18" t="s">
        <v>3781</v>
      </c>
      <c r="Q4095" s="6" t="s">
        <v>4475</v>
      </c>
      <c r="T4095" s="23">
        <v>46176</v>
      </c>
      <c r="U4095" s="23">
        <v>46266</v>
      </c>
      <c r="X4095" s="20">
        <v>3400</v>
      </c>
      <c r="Z4095" s="6" t="s">
        <v>5978</v>
      </c>
      <c r="AA4095" s="14">
        <f t="shared" si="541"/>
        <v>5.9999999999999995E-4</v>
      </c>
      <c r="AB4095">
        <v>2.04</v>
      </c>
      <c r="AC4095">
        <v>2.1215999999999999</v>
      </c>
    </row>
    <row r="4096" spans="1:29" x14ac:dyDescent="0.3">
      <c r="A4096">
        <v>151634</v>
      </c>
      <c r="B4096" s="25" t="s">
        <v>5984</v>
      </c>
      <c r="C4096" t="s">
        <v>20</v>
      </c>
      <c r="D4096" t="s">
        <v>21</v>
      </c>
      <c r="E4096">
        <v>2222222</v>
      </c>
      <c r="F4096" s="8" t="s">
        <v>22</v>
      </c>
      <c r="G4096" s="2">
        <v>98</v>
      </c>
      <c r="H4096" t="s">
        <v>4548</v>
      </c>
      <c r="J4096" s="9" t="s">
        <v>5125</v>
      </c>
      <c r="K4096" t="s">
        <v>5469</v>
      </c>
      <c r="L4096" s="2">
        <v>1</v>
      </c>
      <c r="M4096" s="24" t="s">
        <v>5971</v>
      </c>
      <c r="N4096" s="2" t="s">
        <v>23</v>
      </c>
      <c r="O4096" s="18" t="s">
        <v>3141</v>
      </c>
      <c r="P4096" s="18" t="s">
        <v>0</v>
      </c>
      <c r="Q4096" s="6" t="s">
        <v>4475</v>
      </c>
      <c r="T4096" s="23">
        <v>46189</v>
      </c>
      <c r="U4096" s="23">
        <v>46768</v>
      </c>
      <c r="X4096" s="20">
        <v>4150</v>
      </c>
      <c r="Z4096" s="6" t="s">
        <v>5978</v>
      </c>
      <c r="AA4096" s="14">
        <f t="shared" si="541"/>
        <v>5.9999999999999995E-4</v>
      </c>
      <c r="AB4096">
        <v>2.4899999999999998</v>
      </c>
      <c r="AC4096">
        <v>2.5895999999999999</v>
      </c>
    </row>
    <row r="4097" spans="1:29" x14ac:dyDescent="0.3">
      <c r="A4097">
        <v>152200</v>
      </c>
      <c r="B4097" s="25" t="s">
        <v>5984</v>
      </c>
      <c r="C4097" t="s">
        <v>20</v>
      </c>
      <c r="D4097" t="s">
        <v>21</v>
      </c>
      <c r="E4097">
        <v>2222222</v>
      </c>
      <c r="F4097" s="8" t="s">
        <v>22</v>
      </c>
      <c r="G4097" s="2">
        <v>98</v>
      </c>
      <c r="H4097" t="s">
        <v>4548</v>
      </c>
      <c r="J4097" s="9" t="s">
        <v>5868</v>
      </c>
      <c r="K4097" t="s">
        <v>4910</v>
      </c>
      <c r="L4097" s="2">
        <v>1</v>
      </c>
      <c r="M4097" s="24" t="s">
        <v>5971</v>
      </c>
      <c r="N4097" s="2" t="s">
        <v>23</v>
      </c>
      <c r="O4097" s="18" t="s">
        <v>3142</v>
      </c>
      <c r="P4097" s="18" t="s">
        <v>3781</v>
      </c>
      <c r="Q4097" s="6" t="s">
        <v>4475</v>
      </c>
      <c r="T4097" s="23">
        <v>46220</v>
      </c>
      <c r="U4097" s="23">
        <v>47315</v>
      </c>
      <c r="X4097" s="20">
        <v>3000</v>
      </c>
      <c r="Z4097" s="6" t="s">
        <v>5978</v>
      </c>
      <c r="AA4097" s="14">
        <f t="shared" si="541"/>
        <v>5.9999999999999995E-4</v>
      </c>
      <c r="AB4097">
        <v>1.7999999999999998</v>
      </c>
      <c r="AC4097">
        <v>1.8719999999999999</v>
      </c>
    </row>
    <row r="4098" spans="1:29" x14ac:dyDescent="0.3">
      <c r="A4098">
        <v>110540</v>
      </c>
      <c r="B4098" s="25" t="s">
        <v>5984</v>
      </c>
      <c r="C4098" t="s">
        <v>20</v>
      </c>
      <c r="D4098" t="s">
        <v>21</v>
      </c>
      <c r="E4098">
        <v>2222222</v>
      </c>
      <c r="F4098" s="8" t="s">
        <v>22</v>
      </c>
      <c r="G4098" s="2">
        <v>98</v>
      </c>
      <c r="H4098" t="s">
        <v>4549</v>
      </c>
      <c r="J4098" s="9" t="s">
        <v>4936</v>
      </c>
      <c r="K4098" t="s">
        <v>4965</v>
      </c>
      <c r="L4098" s="2">
        <v>1</v>
      </c>
      <c r="M4098" s="24" t="s">
        <v>5971</v>
      </c>
      <c r="N4098" s="2" t="s">
        <v>23</v>
      </c>
      <c r="O4098" s="18" t="s">
        <v>3143</v>
      </c>
      <c r="P4098" s="18" t="s">
        <v>0</v>
      </c>
      <c r="Q4098" s="6" t="s">
        <v>4475</v>
      </c>
      <c r="T4098" s="23">
        <v>43857</v>
      </c>
      <c r="U4098" s="23">
        <v>46489</v>
      </c>
      <c r="X4098" s="20">
        <v>17551</v>
      </c>
      <c r="Z4098" s="6" t="s">
        <v>5978</v>
      </c>
      <c r="AA4098" s="15">
        <f>+(0.42/1000)</f>
        <v>4.1999999999999996E-4</v>
      </c>
      <c r="AB4098">
        <v>1.2481937999999999</v>
      </c>
      <c r="AC4098">
        <v>1.298121552</v>
      </c>
    </row>
    <row r="4099" spans="1:29" x14ac:dyDescent="0.3">
      <c r="A4099">
        <v>146663</v>
      </c>
      <c r="B4099" s="25" t="s">
        <v>5984</v>
      </c>
      <c r="C4099" t="s">
        <v>20</v>
      </c>
      <c r="D4099" t="s">
        <v>21</v>
      </c>
      <c r="E4099">
        <v>2222222</v>
      </c>
      <c r="F4099" s="8" t="s">
        <v>22</v>
      </c>
      <c r="G4099" s="2">
        <v>98</v>
      </c>
      <c r="H4099" t="s">
        <v>4549</v>
      </c>
      <c r="J4099" s="9" t="s">
        <v>5160</v>
      </c>
      <c r="K4099" t="s">
        <v>4878</v>
      </c>
      <c r="L4099" s="2">
        <v>1</v>
      </c>
      <c r="M4099" s="24" t="s">
        <v>5971</v>
      </c>
      <c r="N4099" s="2" t="s">
        <v>23</v>
      </c>
      <c r="O4099" s="18" t="s">
        <v>3144</v>
      </c>
      <c r="P4099" s="18" t="s">
        <v>0</v>
      </c>
      <c r="Q4099" s="6" t="s">
        <v>4475</v>
      </c>
      <c r="T4099" s="23">
        <v>45834</v>
      </c>
      <c r="U4099" s="23">
        <v>47295</v>
      </c>
      <c r="X4099" s="20">
        <v>5000</v>
      </c>
      <c r="Z4099" s="6" t="s">
        <v>5978</v>
      </c>
      <c r="AA4099" s="14">
        <f t="shared" ref="AA4099:AA4101" si="542">+(0.6/1000)</f>
        <v>5.9999999999999995E-4</v>
      </c>
      <c r="AB4099">
        <v>2.44014</v>
      </c>
      <c r="AC4099">
        <v>2.5377456</v>
      </c>
    </row>
    <row r="4100" spans="1:29" x14ac:dyDescent="0.3">
      <c r="A4100">
        <v>150444</v>
      </c>
      <c r="B4100" s="25" t="s">
        <v>5984</v>
      </c>
      <c r="C4100" t="s">
        <v>20</v>
      </c>
      <c r="D4100" t="s">
        <v>21</v>
      </c>
      <c r="E4100">
        <v>2222222</v>
      </c>
      <c r="F4100" s="8" t="s">
        <v>22</v>
      </c>
      <c r="G4100" s="2">
        <v>98</v>
      </c>
      <c r="H4100" t="s">
        <v>4550</v>
      </c>
      <c r="J4100" s="9" t="s">
        <v>5592</v>
      </c>
      <c r="K4100" t="s">
        <v>4884</v>
      </c>
      <c r="L4100" s="2">
        <v>1</v>
      </c>
      <c r="M4100" s="24" t="s">
        <v>5971</v>
      </c>
      <c r="N4100" s="2" t="s">
        <v>23</v>
      </c>
      <c r="O4100" s="18" t="s">
        <v>3145</v>
      </c>
      <c r="P4100" s="18" t="s">
        <v>3781</v>
      </c>
      <c r="Q4100" s="6" t="s">
        <v>4475</v>
      </c>
      <c r="T4100" s="23">
        <v>46099</v>
      </c>
      <c r="U4100" s="23">
        <v>49751</v>
      </c>
      <c r="X4100" s="20">
        <v>22700</v>
      </c>
      <c r="Z4100" s="6" t="s">
        <v>5978</v>
      </c>
      <c r="AA4100" s="14">
        <f t="shared" si="542"/>
        <v>5.9999999999999995E-4</v>
      </c>
      <c r="AB4100">
        <v>13.416917999999999</v>
      </c>
      <c r="AC4100">
        <v>13.95359472</v>
      </c>
    </row>
    <row r="4101" spans="1:29" x14ac:dyDescent="0.3">
      <c r="A4101">
        <v>151085</v>
      </c>
      <c r="B4101" s="25" t="s">
        <v>5984</v>
      </c>
      <c r="C4101" t="s">
        <v>20</v>
      </c>
      <c r="D4101" t="s">
        <v>21</v>
      </c>
      <c r="E4101">
        <v>2222222</v>
      </c>
      <c r="F4101" s="8" t="s">
        <v>22</v>
      </c>
      <c r="G4101" s="2">
        <v>98</v>
      </c>
      <c r="H4101" t="s">
        <v>4550</v>
      </c>
      <c r="J4101" s="9" t="s">
        <v>5869</v>
      </c>
      <c r="K4101" t="s">
        <v>5870</v>
      </c>
      <c r="L4101" s="2">
        <v>1</v>
      </c>
      <c r="M4101" s="24" t="s">
        <v>5971</v>
      </c>
      <c r="N4101" s="2" t="s">
        <v>23</v>
      </c>
      <c r="O4101" s="18" t="s">
        <v>1064</v>
      </c>
      <c r="P4101" s="18" t="s">
        <v>3781</v>
      </c>
      <c r="Q4101" s="6" t="s">
        <v>4475</v>
      </c>
      <c r="T4101" s="23">
        <v>46149</v>
      </c>
      <c r="U4101" s="23">
        <v>47974</v>
      </c>
      <c r="X4101" s="20">
        <v>13100</v>
      </c>
      <c r="Z4101" s="6" t="s">
        <v>5978</v>
      </c>
      <c r="AA4101" s="14">
        <f t="shared" si="542"/>
        <v>5.9999999999999995E-4</v>
      </c>
      <c r="AB4101">
        <v>7.6749539999999996</v>
      </c>
      <c r="AC4101">
        <v>7.9819521599999996</v>
      </c>
    </row>
    <row r="4102" spans="1:29" x14ac:dyDescent="0.3">
      <c r="A4102">
        <v>137421</v>
      </c>
      <c r="B4102" s="25" t="s">
        <v>5984</v>
      </c>
      <c r="C4102" t="s">
        <v>20</v>
      </c>
      <c r="D4102" t="s">
        <v>21</v>
      </c>
      <c r="E4102">
        <v>2222222</v>
      </c>
      <c r="F4102" s="8" t="s">
        <v>22</v>
      </c>
      <c r="G4102" s="2">
        <v>98</v>
      </c>
      <c r="H4102" t="s">
        <v>4551</v>
      </c>
      <c r="J4102" s="9" t="s">
        <v>5120</v>
      </c>
      <c r="K4102" t="s">
        <v>4853</v>
      </c>
      <c r="L4102" s="2">
        <v>1</v>
      </c>
      <c r="M4102" s="24" t="s">
        <v>5971</v>
      </c>
      <c r="N4102" s="2" t="s">
        <v>23</v>
      </c>
      <c r="O4102" s="18" t="s">
        <v>3146</v>
      </c>
      <c r="P4102" s="18" t="s">
        <v>0</v>
      </c>
      <c r="Q4102" s="6" t="s">
        <v>4475</v>
      </c>
      <c r="T4102" s="23">
        <v>45227</v>
      </c>
      <c r="U4102" s="23">
        <v>46419</v>
      </c>
      <c r="X4102" s="20">
        <v>3000</v>
      </c>
      <c r="Z4102" s="6" t="s">
        <v>5978</v>
      </c>
      <c r="AA4102" s="13">
        <f>+(0.56/1000)</f>
        <v>5.6000000000000006E-4</v>
      </c>
      <c r="AB4102">
        <v>0.39992960000000005</v>
      </c>
      <c r="AC4102">
        <v>0.41592678400000005</v>
      </c>
    </row>
    <row r="4103" spans="1:29" x14ac:dyDescent="0.3">
      <c r="A4103">
        <v>124673</v>
      </c>
      <c r="B4103" s="25" t="s">
        <v>5984</v>
      </c>
      <c r="C4103" t="s">
        <v>20</v>
      </c>
      <c r="D4103" t="s">
        <v>21</v>
      </c>
      <c r="E4103">
        <v>2222222</v>
      </c>
      <c r="F4103" s="8" t="s">
        <v>22</v>
      </c>
      <c r="G4103" s="2">
        <v>98</v>
      </c>
      <c r="H4103" t="s">
        <v>4552</v>
      </c>
      <c r="J4103" s="9" t="s">
        <v>4864</v>
      </c>
      <c r="K4103" t="s">
        <v>4847</v>
      </c>
      <c r="L4103" s="2">
        <v>1</v>
      </c>
      <c r="M4103" s="24" t="s">
        <v>5971</v>
      </c>
      <c r="N4103" s="2" t="s">
        <v>23</v>
      </c>
      <c r="O4103" s="18" t="s">
        <v>3147</v>
      </c>
      <c r="P4103" s="18" t="s">
        <v>0</v>
      </c>
      <c r="Q4103" s="6" t="s">
        <v>4475</v>
      </c>
      <c r="T4103" s="23">
        <v>44530</v>
      </c>
      <c r="U4103" s="23">
        <v>46356</v>
      </c>
      <c r="X4103" s="20">
        <v>24900</v>
      </c>
      <c r="Z4103" s="6" t="s">
        <v>5978</v>
      </c>
      <c r="AA4103" s="15">
        <f>+(0.42/1000)</f>
        <v>4.1999999999999996E-4</v>
      </c>
      <c r="AB4103">
        <v>9.0938483999999988</v>
      </c>
      <c r="AC4103">
        <v>9.457602335999999</v>
      </c>
    </row>
    <row r="4104" spans="1:29" x14ac:dyDescent="0.3">
      <c r="A4104">
        <v>135605</v>
      </c>
      <c r="B4104" s="25" t="s">
        <v>5984</v>
      </c>
      <c r="C4104" t="s">
        <v>20</v>
      </c>
      <c r="D4104" t="s">
        <v>21</v>
      </c>
      <c r="E4104">
        <v>2222222</v>
      </c>
      <c r="F4104" s="8" t="s">
        <v>22</v>
      </c>
      <c r="G4104" s="2">
        <v>98</v>
      </c>
      <c r="H4104" t="s">
        <v>4552</v>
      </c>
      <c r="J4104" s="9" t="s">
        <v>4836</v>
      </c>
      <c r="K4104" t="s">
        <v>4837</v>
      </c>
      <c r="L4104" s="2">
        <v>1</v>
      </c>
      <c r="M4104" s="24" t="s">
        <v>5971</v>
      </c>
      <c r="N4104" s="2" t="s">
        <v>23</v>
      </c>
      <c r="O4104" s="18" t="s">
        <v>3148</v>
      </c>
      <c r="P4104" s="18" t="s">
        <v>3781</v>
      </c>
      <c r="Q4104" s="6" t="s">
        <v>4475</v>
      </c>
      <c r="T4104" s="23">
        <v>45126</v>
      </c>
      <c r="U4104" s="23">
        <v>48870</v>
      </c>
      <c r="X4104" s="20">
        <v>14000</v>
      </c>
      <c r="Z4104" s="6" t="s">
        <v>5978</v>
      </c>
      <c r="AA4104" s="13">
        <f t="shared" ref="AA4104:AA4107" si="543">+(0.56/1000)</f>
        <v>5.6000000000000006E-4</v>
      </c>
      <c r="AB4104">
        <v>6.7517576000000004</v>
      </c>
      <c r="AC4104">
        <v>7.0218279040000002</v>
      </c>
    </row>
    <row r="4105" spans="1:29" x14ac:dyDescent="0.3">
      <c r="A4105">
        <v>136748</v>
      </c>
      <c r="B4105" s="25" t="s">
        <v>5984</v>
      </c>
      <c r="C4105" t="s">
        <v>20</v>
      </c>
      <c r="D4105" t="s">
        <v>21</v>
      </c>
      <c r="E4105">
        <v>2222222</v>
      </c>
      <c r="F4105" s="8" t="s">
        <v>22</v>
      </c>
      <c r="G4105" s="2">
        <v>98</v>
      </c>
      <c r="H4105" t="s">
        <v>4552</v>
      </c>
      <c r="J4105" s="9" t="s">
        <v>4838</v>
      </c>
      <c r="K4105" t="s">
        <v>5018</v>
      </c>
      <c r="L4105" s="2">
        <v>1</v>
      </c>
      <c r="M4105" s="24" t="s">
        <v>5971</v>
      </c>
      <c r="N4105" s="2" t="s">
        <v>23</v>
      </c>
      <c r="O4105" s="18" t="s">
        <v>3149</v>
      </c>
      <c r="P4105" s="18" t="s">
        <v>0</v>
      </c>
      <c r="Q4105" s="6" t="s">
        <v>4475</v>
      </c>
      <c r="T4105" s="23">
        <v>45189</v>
      </c>
      <c r="U4105" s="23">
        <v>46650</v>
      </c>
      <c r="X4105" s="20">
        <v>5000</v>
      </c>
      <c r="Z4105" s="6" t="s">
        <v>5978</v>
      </c>
      <c r="AA4105" s="13">
        <f t="shared" si="543"/>
        <v>5.6000000000000006E-4</v>
      </c>
      <c r="AB4105">
        <v>1.9899152000000002</v>
      </c>
      <c r="AC4105">
        <v>2.0695118080000001</v>
      </c>
    </row>
    <row r="4106" spans="1:29" x14ac:dyDescent="0.3">
      <c r="A4106">
        <v>138082</v>
      </c>
      <c r="B4106" s="25" t="s">
        <v>5984</v>
      </c>
      <c r="C4106" t="s">
        <v>20</v>
      </c>
      <c r="D4106" t="s">
        <v>21</v>
      </c>
      <c r="E4106">
        <v>2222222</v>
      </c>
      <c r="F4106" s="8" t="s">
        <v>22</v>
      </c>
      <c r="G4106" s="2">
        <v>98</v>
      </c>
      <c r="H4106" t="s">
        <v>4552</v>
      </c>
      <c r="J4106" s="9" t="s">
        <v>4836</v>
      </c>
      <c r="K4106" t="s">
        <v>4837</v>
      </c>
      <c r="L4106" s="2">
        <v>1</v>
      </c>
      <c r="M4106" s="24" t="s">
        <v>5971</v>
      </c>
      <c r="N4106" s="2" t="s">
        <v>23</v>
      </c>
      <c r="O4106" s="18" t="s">
        <v>3148</v>
      </c>
      <c r="P4106" s="18" t="s">
        <v>3781</v>
      </c>
      <c r="Q4106" s="6" t="s">
        <v>4475</v>
      </c>
      <c r="T4106" s="23">
        <v>45259</v>
      </c>
      <c r="U4106" s="23">
        <v>46817</v>
      </c>
      <c r="X4106" s="20">
        <v>5000</v>
      </c>
      <c r="Z4106" s="6" t="s">
        <v>5978</v>
      </c>
      <c r="AA4106" s="13">
        <f t="shared" si="543"/>
        <v>5.6000000000000006E-4</v>
      </c>
      <c r="AB4106">
        <v>1.4282072000000001</v>
      </c>
      <c r="AC4106">
        <v>1.4853354880000003</v>
      </c>
    </row>
    <row r="4107" spans="1:29" x14ac:dyDescent="0.3">
      <c r="A4107">
        <v>138116</v>
      </c>
      <c r="B4107" s="25" t="s">
        <v>5984</v>
      </c>
      <c r="C4107" t="s">
        <v>20</v>
      </c>
      <c r="D4107" t="s">
        <v>21</v>
      </c>
      <c r="E4107">
        <v>2222222</v>
      </c>
      <c r="F4107" s="8" t="s">
        <v>22</v>
      </c>
      <c r="G4107" s="2">
        <v>98</v>
      </c>
      <c r="H4107" t="s">
        <v>4552</v>
      </c>
      <c r="J4107" s="9" t="s">
        <v>5055</v>
      </c>
      <c r="K4107" t="s">
        <v>4887</v>
      </c>
      <c r="L4107" s="2">
        <v>1</v>
      </c>
      <c r="M4107" s="24" t="s">
        <v>5971</v>
      </c>
      <c r="N4107" s="2" t="s">
        <v>23</v>
      </c>
      <c r="O4107" s="18" t="s">
        <v>3150</v>
      </c>
      <c r="P4107" s="18" t="s">
        <v>3781</v>
      </c>
      <c r="Q4107" s="6" t="s">
        <v>4475</v>
      </c>
      <c r="T4107" s="23">
        <v>45280</v>
      </c>
      <c r="U4107" s="23">
        <v>50758</v>
      </c>
      <c r="X4107" s="20">
        <v>80000</v>
      </c>
      <c r="Z4107" s="6" t="s">
        <v>5978</v>
      </c>
      <c r="AA4107" s="13">
        <f t="shared" si="543"/>
        <v>5.6000000000000006E-4</v>
      </c>
      <c r="AB4107">
        <v>41.454571200000004</v>
      </c>
      <c r="AC4107">
        <v>43.112754048000006</v>
      </c>
    </row>
    <row r="4108" spans="1:29" x14ac:dyDescent="0.3">
      <c r="A4108">
        <v>141006</v>
      </c>
      <c r="B4108" s="25" t="s">
        <v>5984</v>
      </c>
      <c r="C4108" t="s">
        <v>20</v>
      </c>
      <c r="D4108" t="s">
        <v>21</v>
      </c>
      <c r="E4108">
        <v>2222222</v>
      </c>
      <c r="F4108" s="8" t="s">
        <v>22</v>
      </c>
      <c r="G4108" s="2">
        <v>98</v>
      </c>
      <c r="H4108" t="s">
        <v>4552</v>
      </c>
      <c r="J4108" s="9" t="s">
        <v>4877</v>
      </c>
      <c r="K4108" t="s">
        <v>4949</v>
      </c>
      <c r="L4108" s="2">
        <v>1</v>
      </c>
      <c r="M4108" s="24" t="s">
        <v>5971</v>
      </c>
      <c r="N4108" s="2" t="s">
        <v>23</v>
      </c>
      <c r="O4108" s="18" t="s">
        <v>3151</v>
      </c>
      <c r="P4108" s="18" t="s">
        <v>0</v>
      </c>
      <c r="Q4108" s="6" t="s">
        <v>4475</v>
      </c>
      <c r="T4108" s="23">
        <v>45435</v>
      </c>
      <c r="U4108" s="23">
        <v>46895</v>
      </c>
      <c r="X4108" s="20">
        <v>6200</v>
      </c>
      <c r="Z4108" s="6" t="s">
        <v>5978</v>
      </c>
      <c r="AA4108" s="14">
        <f t="shared" ref="AA4108:AA4114" si="544">+(0.6/1000)</f>
        <v>5.9999999999999995E-4</v>
      </c>
      <c r="AB4108">
        <v>2.00169</v>
      </c>
      <c r="AC4108">
        <v>2.0817576</v>
      </c>
    </row>
    <row r="4109" spans="1:29" x14ac:dyDescent="0.3">
      <c r="A4109">
        <v>141387</v>
      </c>
      <c r="B4109" s="25" t="s">
        <v>5984</v>
      </c>
      <c r="C4109" t="s">
        <v>20</v>
      </c>
      <c r="D4109" t="s">
        <v>21</v>
      </c>
      <c r="E4109">
        <v>2222222</v>
      </c>
      <c r="F4109" s="8" t="s">
        <v>22</v>
      </c>
      <c r="G4109" s="2">
        <v>98</v>
      </c>
      <c r="H4109" t="s">
        <v>4552</v>
      </c>
      <c r="J4109" s="9" t="s">
        <v>5055</v>
      </c>
      <c r="K4109" t="s">
        <v>4887</v>
      </c>
      <c r="L4109" s="2">
        <v>1</v>
      </c>
      <c r="M4109" s="24" t="s">
        <v>5971</v>
      </c>
      <c r="N4109" s="2" t="s">
        <v>23</v>
      </c>
      <c r="O4109" s="18" t="s">
        <v>3150</v>
      </c>
      <c r="P4109" s="18" t="s">
        <v>3781</v>
      </c>
      <c r="Q4109" s="6" t="s">
        <v>4475</v>
      </c>
      <c r="T4109" s="23">
        <v>45453</v>
      </c>
      <c r="U4109" s="23">
        <v>50931</v>
      </c>
      <c r="X4109" s="20">
        <v>20000</v>
      </c>
      <c r="Z4109" s="6" t="s">
        <v>5978</v>
      </c>
      <c r="AA4109" s="14">
        <f t="shared" si="544"/>
        <v>5.9999999999999995E-4</v>
      </c>
      <c r="AB4109">
        <v>11.388731999999999</v>
      </c>
      <c r="AC4109">
        <v>11.844281279999999</v>
      </c>
    </row>
    <row r="4110" spans="1:29" x14ac:dyDescent="0.3">
      <c r="A4110">
        <v>142695</v>
      </c>
      <c r="B4110" s="25" t="s">
        <v>5984</v>
      </c>
      <c r="C4110" t="s">
        <v>20</v>
      </c>
      <c r="D4110" t="s">
        <v>21</v>
      </c>
      <c r="E4110">
        <v>2222222</v>
      </c>
      <c r="F4110" s="8" t="s">
        <v>22</v>
      </c>
      <c r="G4110" s="2">
        <v>98</v>
      </c>
      <c r="H4110" t="s">
        <v>4552</v>
      </c>
      <c r="J4110" s="9" t="s">
        <v>4929</v>
      </c>
      <c r="K4110" t="s">
        <v>4852</v>
      </c>
      <c r="L4110" s="2">
        <v>1</v>
      </c>
      <c r="M4110" s="24" t="s">
        <v>5971</v>
      </c>
      <c r="N4110" s="2" t="s">
        <v>23</v>
      </c>
      <c r="O4110" s="18" t="s">
        <v>3152</v>
      </c>
      <c r="P4110" s="18" t="s">
        <v>0</v>
      </c>
      <c r="Q4110" s="6" t="s">
        <v>4475</v>
      </c>
      <c r="T4110" s="23">
        <v>45538</v>
      </c>
      <c r="U4110" s="23">
        <v>46359</v>
      </c>
      <c r="X4110" s="20">
        <v>5000</v>
      </c>
      <c r="Z4110" s="6" t="s">
        <v>5978</v>
      </c>
      <c r="AA4110" s="14">
        <f t="shared" si="544"/>
        <v>5.9999999999999995E-4</v>
      </c>
      <c r="AB4110">
        <v>0.72193199999999991</v>
      </c>
      <c r="AC4110">
        <v>0.75080927999999991</v>
      </c>
    </row>
    <row r="4111" spans="1:29" x14ac:dyDescent="0.3">
      <c r="A4111">
        <v>142755</v>
      </c>
      <c r="B4111" s="25" t="s">
        <v>5984</v>
      </c>
      <c r="C4111" t="s">
        <v>20</v>
      </c>
      <c r="D4111" t="s">
        <v>21</v>
      </c>
      <c r="E4111">
        <v>2222222</v>
      </c>
      <c r="F4111" s="8" t="s">
        <v>22</v>
      </c>
      <c r="G4111" s="2">
        <v>98</v>
      </c>
      <c r="H4111" t="s">
        <v>4552</v>
      </c>
      <c r="J4111" s="9" t="s">
        <v>4836</v>
      </c>
      <c r="K4111" t="s">
        <v>5412</v>
      </c>
      <c r="L4111" s="2">
        <v>1</v>
      </c>
      <c r="M4111" s="24" t="s">
        <v>5971</v>
      </c>
      <c r="N4111" s="2" t="s">
        <v>23</v>
      </c>
      <c r="O4111" s="18" t="s">
        <v>3153</v>
      </c>
      <c r="P4111" s="18" t="s">
        <v>3781</v>
      </c>
      <c r="Q4111" s="6" t="s">
        <v>4475</v>
      </c>
      <c r="T4111" s="23">
        <v>45541</v>
      </c>
      <c r="U4111" s="23">
        <v>47002</v>
      </c>
      <c r="X4111" s="20">
        <v>3030</v>
      </c>
      <c r="Z4111" s="6" t="s">
        <v>5978</v>
      </c>
      <c r="AA4111" s="14">
        <f t="shared" si="544"/>
        <v>5.9999999999999995E-4</v>
      </c>
      <c r="AB4111">
        <v>1.1523479999999999</v>
      </c>
      <c r="AC4111">
        <v>1.19844192</v>
      </c>
    </row>
    <row r="4112" spans="1:29" x14ac:dyDescent="0.3">
      <c r="A4112">
        <v>143423</v>
      </c>
      <c r="B4112" s="25" t="s">
        <v>5984</v>
      </c>
      <c r="C4112" t="s">
        <v>20</v>
      </c>
      <c r="D4112" t="s">
        <v>21</v>
      </c>
      <c r="E4112">
        <v>2222222</v>
      </c>
      <c r="F4112" s="8" t="s">
        <v>22</v>
      </c>
      <c r="G4112" s="2">
        <v>98</v>
      </c>
      <c r="H4112" t="s">
        <v>4552</v>
      </c>
      <c r="J4112" s="9" t="s">
        <v>5871</v>
      </c>
      <c r="K4112" t="s">
        <v>5083</v>
      </c>
      <c r="L4112" s="2">
        <v>1</v>
      </c>
      <c r="M4112" s="24" t="s">
        <v>5971</v>
      </c>
      <c r="N4112" s="2" t="s">
        <v>23</v>
      </c>
      <c r="O4112" s="18" t="s">
        <v>3154</v>
      </c>
      <c r="P4112" s="18" t="s">
        <v>3781</v>
      </c>
      <c r="Q4112" s="6" t="s">
        <v>4475</v>
      </c>
      <c r="T4112" s="23">
        <v>45591</v>
      </c>
      <c r="U4112" s="23">
        <v>46685</v>
      </c>
      <c r="X4112" s="20">
        <v>10000</v>
      </c>
      <c r="Z4112" s="6" t="s">
        <v>5978</v>
      </c>
      <c r="AA4112" s="14">
        <f t="shared" si="544"/>
        <v>5.9999999999999995E-4</v>
      </c>
      <c r="AB4112">
        <v>2.8183019999999996</v>
      </c>
      <c r="AC4112">
        <v>2.9310340799999999</v>
      </c>
    </row>
    <row r="4113" spans="1:29" x14ac:dyDescent="0.3">
      <c r="A4113">
        <v>144955</v>
      </c>
      <c r="B4113" s="25" t="s">
        <v>5984</v>
      </c>
      <c r="C4113" t="s">
        <v>20</v>
      </c>
      <c r="D4113" t="s">
        <v>21</v>
      </c>
      <c r="E4113">
        <v>2222222</v>
      </c>
      <c r="F4113" s="8" t="s">
        <v>22</v>
      </c>
      <c r="G4113" s="2">
        <v>98</v>
      </c>
      <c r="H4113" t="s">
        <v>4552</v>
      </c>
      <c r="J4113" s="9" t="s">
        <v>4988</v>
      </c>
      <c r="K4113" t="s">
        <v>4949</v>
      </c>
      <c r="L4113" s="2">
        <v>1</v>
      </c>
      <c r="M4113" s="24" t="s">
        <v>5971</v>
      </c>
      <c r="N4113" s="2" t="s">
        <v>23</v>
      </c>
      <c r="O4113" s="18" t="s">
        <v>2814</v>
      </c>
      <c r="P4113" s="18" t="s">
        <v>0</v>
      </c>
      <c r="Q4113" s="6" t="s">
        <v>4475</v>
      </c>
      <c r="T4113" s="23">
        <v>45712</v>
      </c>
      <c r="U4113" s="23">
        <v>46260</v>
      </c>
      <c r="X4113" s="20">
        <v>25000</v>
      </c>
      <c r="Z4113" s="6" t="s">
        <v>5978</v>
      </c>
      <c r="AA4113" s="14">
        <f t="shared" si="544"/>
        <v>5.9999999999999995E-4</v>
      </c>
      <c r="AB4113">
        <v>0.93505799999999994</v>
      </c>
      <c r="AC4113">
        <v>0.97246031999999993</v>
      </c>
    </row>
    <row r="4114" spans="1:29" x14ac:dyDescent="0.3">
      <c r="A4114">
        <v>145758</v>
      </c>
      <c r="B4114" s="25" t="s">
        <v>5984</v>
      </c>
      <c r="C4114" t="s">
        <v>20</v>
      </c>
      <c r="D4114" t="s">
        <v>21</v>
      </c>
      <c r="E4114">
        <v>2222222</v>
      </c>
      <c r="F4114" s="8" t="s">
        <v>22</v>
      </c>
      <c r="G4114" s="2">
        <v>98</v>
      </c>
      <c r="H4114" t="s">
        <v>4552</v>
      </c>
      <c r="J4114" s="9" t="s">
        <v>5120</v>
      </c>
      <c r="K4114" t="s">
        <v>4875</v>
      </c>
      <c r="L4114" s="2">
        <v>1</v>
      </c>
      <c r="M4114" s="24" t="s">
        <v>5971</v>
      </c>
      <c r="N4114" s="2" t="s">
        <v>23</v>
      </c>
      <c r="O4114" s="18" t="s">
        <v>3155</v>
      </c>
      <c r="P4114" s="18" t="s">
        <v>0</v>
      </c>
      <c r="Q4114" s="6" t="s">
        <v>4475</v>
      </c>
      <c r="T4114" s="23">
        <v>45762</v>
      </c>
      <c r="U4114" s="23">
        <v>46858</v>
      </c>
      <c r="X4114" s="20">
        <v>5000</v>
      </c>
      <c r="Z4114" s="6" t="s">
        <v>5978</v>
      </c>
      <c r="AA4114" s="14">
        <f t="shared" si="544"/>
        <v>5.9999999999999995E-4</v>
      </c>
      <c r="AB4114">
        <v>1.9440299999999999</v>
      </c>
      <c r="AC4114">
        <v>2.0217912</v>
      </c>
    </row>
    <row r="4115" spans="1:29" x14ac:dyDescent="0.3">
      <c r="A4115">
        <v>148546</v>
      </c>
      <c r="B4115" s="25" t="s">
        <v>5984</v>
      </c>
      <c r="C4115" t="s">
        <v>20</v>
      </c>
      <c r="D4115" t="s">
        <v>21</v>
      </c>
      <c r="E4115">
        <v>2222222</v>
      </c>
      <c r="F4115" s="8" t="s">
        <v>22</v>
      </c>
      <c r="G4115" s="2">
        <v>98</v>
      </c>
      <c r="H4115" t="s">
        <v>4552</v>
      </c>
      <c r="J4115" s="9" t="s">
        <v>5872</v>
      </c>
      <c r="K4115" t="s">
        <v>5873</v>
      </c>
      <c r="L4115" s="2">
        <v>1</v>
      </c>
      <c r="M4115" s="24" t="s">
        <v>5971</v>
      </c>
      <c r="N4115" s="2" t="s">
        <v>23</v>
      </c>
      <c r="O4115" s="18" t="s">
        <v>3156</v>
      </c>
      <c r="P4115" s="18" t="s">
        <v>0</v>
      </c>
      <c r="Q4115" s="6" t="s">
        <v>4475</v>
      </c>
      <c r="T4115" s="23">
        <v>45309</v>
      </c>
      <c r="U4115" s="23">
        <v>49011</v>
      </c>
      <c r="X4115" s="20">
        <v>30000</v>
      </c>
      <c r="Z4115" s="6" t="s">
        <v>5978</v>
      </c>
      <c r="AA4115" s="13">
        <f>+(0.56/1000)</f>
        <v>5.6000000000000006E-4</v>
      </c>
      <c r="AB4115">
        <v>14.934864000000003</v>
      </c>
      <c r="AC4115">
        <v>15.532258560000004</v>
      </c>
    </row>
    <row r="4116" spans="1:29" x14ac:dyDescent="0.3">
      <c r="A4116">
        <v>149151</v>
      </c>
      <c r="B4116" s="25" t="s">
        <v>5984</v>
      </c>
      <c r="C4116" t="s">
        <v>20</v>
      </c>
      <c r="D4116" t="s">
        <v>21</v>
      </c>
      <c r="E4116">
        <v>2222222</v>
      </c>
      <c r="F4116" s="8" t="s">
        <v>22</v>
      </c>
      <c r="G4116" s="2">
        <v>98</v>
      </c>
      <c r="H4116" t="s">
        <v>4552</v>
      </c>
      <c r="J4116" s="9" t="s">
        <v>4836</v>
      </c>
      <c r="K4116" t="s">
        <v>4837</v>
      </c>
      <c r="L4116" s="2">
        <v>1</v>
      </c>
      <c r="M4116" s="24" t="s">
        <v>5971</v>
      </c>
      <c r="N4116" s="2" t="s">
        <v>23</v>
      </c>
      <c r="O4116" s="18" t="s">
        <v>3148</v>
      </c>
      <c r="P4116" s="18" t="s">
        <v>3781</v>
      </c>
      <c r="Q4116" s="6" t="s">
        <v>4475</v>
      </c>
      <c r="T4116" s="23">
        <v>46001</v>
      </c>
      <c r="U4116" s="23">
        <v>47098</v>
      </c>
      <c r="X4116" s="20">
        <v>2120</v>
      </c>
      <c r="Z4116" s="6" t="s">
        <v>5978</v>
      </c>
      <c r="AA4116" s="14">
        <f t="shared" ref="AA4116:AA4125" si="545">+(0.6/1000)</f>
        <v>5.9999999999999995E-4</v>
      </c>
      <c r="AB4116">
        <v>1.0718159999999999</v>
      </c>
      <c r="AC4116">
        <v>1.11468864</v>
      </c>
    </row>
    <row r="4117" spans="1:29" x14ac:dyDescent="0.3">
      <c r="A4117">
        <v>149391</v>
      </c>
      <c r="B4117" s="25" t="s">
        <v>5984</v>
      </c>
      <c r="C4117" t="s">
        <v>20</v>
      </c>
      <c r="D4117" t="s">
        <v>21</v>
      </c>
      <c r="E4117">
        <v>2222222</v>
      </c>
      <c r="F4117" s="8" t="s">
        <v>22</v>
      </c>
      <c r="G4117" s="2">
        <v>98</v>
      </c>
      <c r="H4117" t="s">
        <v>4552</v>
      </c>
      <c r="J4117" s="9" t="s">
        <v>4936</v>
      </c>
      <c r="K4117" t="s">
        <v>4965</v>
      </c>
      <c r="L4117" s="2">
        <v>1</v>
      </c>
      <c r="M4117" s="24" t="s">
        <v>5971</v>
      </c>
      <c r="N4117" s="2" t="s">
        <v>23</v>
      </c>
      <c r="O4117" s="18" t="s">
        <v>3157</v>
      </c>
      <c r="P4117" s="18" t="s">
        <v>0</v>
      </c>
      <c r="Q4117" s="6" t="s">
        <v>4475</v>
      </c>
      <c r="T4117" s="23">
        <v>46050</v>
      </c>
      <c r="U4117" s="23">
        <v>49701</v>
      </c>
      <c r="X4117" s="20">
        <v>30000</v>
      </c>
      <c r="Z4117" s="6" t="s">
        <v>5978</v>
      </c>
      <c r="AA4117" s="14">
        <f t="shared" si="545"/>
        <v>5.9999999999999995E-4</v>
      </c>
      <c r="AB4117">
        <v>17.580359999999999</v>
      </c>
      <c r="AC4117">
        <v>18.283574399999999</v>
      </c>
    </row>
    <row r="4118" spans="1:29" x14ac:dyDescent="0.3">
      <c r="A4118">
        <v>149582</v>
      </c>
      <c r="B4118" s="25" t="s">
        <v>5984</v>
      </c>
      <c r="C4118" t="s">
        <v>20</v>
      </c>
      <c r="D4118" t="s">
        <v>21</v>
      </c>
      <c r="E4118">
        <v>2222222</v>
      </c>
      <c r="F4118" s="8" t="s">
        <v>22</v>
      </c>
      <c r="G4118" s="2">
        <v>98</v>
      </c>
      <c r="H4118" t="s">
        <v>4552</v>
      </c>
      <c r="J4118" s="9" t="s">
        <v>4903</v>
      </c>
      <c r="K4118" t="s">
        <v>4893</v>
      </c>
      <c r="L4118" s="2">
        <v>1</v>
      </c>
      <c r="M4118" s="24" t="s">
        <v>5971</v>
      </c>
      <c r="N4118" s="2" t="s">
        <v>23</v>
      </c>
      <c r="O4118" s="18" t="s">
        <v>3158</v>
      </c>
      <c r="P4118" s="18" t="s">
        <v>3781</v>
      </c>
      <c r="Q4118" s="6" t="s">
        <v>4475</v>
      </c>
      <c r="T4118" s="23">
        <v>46034</v>
      </c>
      <c r="U4118" s="23">
        <v>47495</v>
      </c>
      <c r="X4118" s="20">
        <v>5000</v>
      </c>
      <c r="Z4118" s="6" t="s">
        <v>5978</v>
      </c>
      <c r="AA4118" s="14">
        <f t="shared" si="545"/>
        <v>5.9999999999999995E-4</v>
      </c>
      <c r="AB4118">
        <v>2.7287159999999995</v>
      </c>
      <c r="AC4118">
        <v>2.8378646399999994</v>
      </c>
    </row>
    <row r="4119" spans="1:29" x14ac:dyDescent="0.3">
      <c r="A4119">
        <v>150784</v>
      </c>
      <c r="B4119" s="25" t="s">
        <v>5984</v>
      </c>
      <c r="C4119" t="s">
        <v>20</v>
      </c>
      <c r="D4119" t="s">
        <v>21</v>
      </c>
      <c r="E4119">
        <v>2222222</v>
      </c>
      <c r="F4119" s="8" t="s">
        <v>22</v>
      </c>
      <c r="G4119" s="2">
        <v>98</v>
      </c>
      <c r="H4119" t="s">
        <v>4552</v>
      </c>
      <c r="J4119" s="9" t="s">
        <v>5013</v>
      </c>
      <c r="K4119" t="s">
        <v>5426</v>
      </c>
      <c r="L4119" s="2">
        <v>1</v>
      </c>
      <c r="M4119" s="24" t="s">
        <v>5971</v>
      </c>
      <c r="N4119" s="2" t="s">
        <v>23</v>
      </c>
      <c r="O4119" s="18" t="s">
        <v>3159</v>
      </c>
      <c r="P4119" s="18" t="s">
        <v>0</v>
      </c>
      <c r="Q4119" s="6" t="s">
        <v>4475</v>
      </c>
      <c r="T4119" s="23">
        <v>46133</v>
      </c>
      <c r="U4119" s="23">
        <v>53438</v>
      </c>
      <c r="X4119" s="20">
        <v>102000</v>
      </c>
      <c r="Z4119" s="6" t="s">
        <v>5978</v>
      </c>
      <c r="AA4119" s="14">
        <f t="shared" si="545"/>
        <v>5.9999999999999995E-4</v>
      </c>
      <c r="AB4119">
        <v>60.434999999999995</v>
      </c>
      <c r="AC4119">
        <v>62.852399999999996</v>
      </c>
    </row>
    <row r="4120" spans="1:29" x14ac:dyDescent="0.3">
      <c r="A4120">
        <v>151130</v>
      </c>
      <c r="B4120" s="25" t="s">
        <v>5984</v>
      </c>
      <c r="C4120" t="s">
        <v>20</v>
      </c>
      <c r="D4120" t="s">
        <v>21</v>
      </c>
      <c r="E4120">
        <v>2222222</v>
      </c>
      <c r="F4120" s="8" t="s">
        <v>22</v>
      </c>
      <c r="G4120" s="2">
        <v>98</v>
      </c>
      <c r="H4120" t="s">
        <v>4552</v>
      </c>
      <c r="J4120" s="9" t="s">
        <v>5045</v>
      </c>
      <c r="K4120" t="s">
        <v>5546</v>
      </c>
      <c r="L4120" s="2">
        <v>1</v>
      </c>
      <c r="M4120" s="24" t="s">
        <v>5971</v>
      </c>
      <c r="N4120" s="2" t="s">
        <v>23</v>
      </c>
      <c r="O4120" s="18" t="s">
        <v>3160</v>
      </c>
      <c r="P4120" s="18" t="s">
        <v>3781</v>
      </c>
      <c r="Q4120" s="6" t="s">
        <v>4475</v>
      </c>
      <c r="T4120" s="23">
        <v>46140</v>
      </c>
      <c r="U4120" s="23">
        <v>47236</v>
      </c>
      <c r="X4120" s="20">
        <v>2380</v>
      </c>
      <c r="Z4120" s="6" t="s">
        <v>5978</v>
      </c>
      <c r="AA4120" s="14">
        <f t="shared" si="545"/>
        <v>5.9999999999999995E-4</v>
      </c>
      <c r="AB4120">
        <v>1.3348139999999999</v>
      </c>
      <c r="AC4120">
        <v>1.38820656</v>
      </c>
    </row>
    <row r="4121" spans="1:29" x14ac:dyDescent="0.3">
      <c r="A4121">
        <v>151337</v>
      </c>
      <c r="B4121" s="25" t="s">
        <v>5984</v>
      </c>
      <c r="C4121" t="s">
        <v>20</v>
      </c>
      <c r="D4121" t="s">
        <v>21</v>
      </c>
      <c r="E4121">
        <v>2222222</v>
      </c>
      <c r="F4121" s="8" t="s">
        <v>22</v>
      </c>
      <c r="G4121" s="2">
        <v>98</v>
      </c>
      <c r="H4121" t="s">
        <v>4552</v>
      </c>
      <c r="J4121" s="9" t="s">
        <v>4929</v>
      </c>
      <c r="K4121" t="s">
        <v>4852</v>
      </c>
      <c r="L4121" s="2">
        <v>1</v>
      </c>
      <c r="M4121" s="24" t="s">
        <v>5971</v>
      </c>
      <c r="N4121" s="2" t="s">
        <v>23</v>
      </c>
      <c r="O4121" s="18" t="s">
        <v>3152</v>
      </c>
      <c r="P4121" s="18" t="s">
        <v>0</v>
      </c>
      <c r="Q4121" s="6" t="s">
        <v>4475</v>
      </c>
      <c r="T4121" s="23">
        <v>46163</v>
      </c>
      <c r="U4121" s="23">
        <v>47988</v>
      </c>
      <c r="X4121" s="20">
        <v>10000</v>
      </c>
      <c r="Z4121" s="6" t="s">
        <v>5978</v>
      </c>
      <c r="AA4121" s="14">
        <f t="shared" si="545"/>
        <v>5.9999999999999995E-4</v>
      </c>
      <c r="AB4121">
        <v>5.8587539999999994</v>
      </c>
      <c r="AC4121">
        <v>6.0931041599999993</v>
      </c>
    </row>
    <row r="4122" spans="1:29" x14ac:dyDescent="0.3">
      <c r="A4122">
        <v>151398</v>
      </c>
      <c r="B4122" s="25" t="s">
        <v>5984</v>
      </c>
      <c r="C4122" t="s">
        <v>20</v>
      </c>
      <c r="D4122" t="s">
        <v>21</v>
      </c>
      <c r="E4122">
        <v>2222222</v>
      </c>
      <c r="F4122" s="8" t="s">
        <v>22</v>
      </c>
      <c r="G4122" s="2">
        <v>98</v>
      </c>
      <c r="H4122" t="s">
        <v>4552</v>
      </c>
      <c r="J4122" s="9" t="s">
        <v>4916</v>
      </c>
      <c r="K4122" t="s">
        <v>5246</v>
      </c>
      <c r="L4122" s="2">
        <v>1</v>
      </c>
      <c r="M4122" s="24" t="s">
        <v>5971</v>
      </c>
      <c r="N4122" s="2" t="s">
        <v>23</v>
      </c>
      <c r="O4122" s="18" t="s">
        <v>3161</v>
      </c>
      <c r="P4122" s="18" t="s">
        <v>3781</v>
      </c>
      <c r="Q4122" s="6" t="s">
        <v>4475</v>
      </c>
      <c r="T4122" s="23">
        <v>46161</v>
      </c>
      <c r="U4122" s="23">
        <v>46525</v>
      </c>
      <c r="X4122" s="20">
        <v>500</v>
      </c>
      <c r="Z4122" s="6" t="s">
        <v>5978</v>
      </c>
      <c r="AA4122" s="14">
        <f t="shared" si="545"/>
        <v>5.9999999999999995E-4</v>
      </c>
      <c r="AB4122">
        <v>0.25337999999999999</v>
      </c>
      <c r="AC4122">
        <v>0.2635152</v>
      </c>
    </row>
    <row r="4123" spans="1:29" x14ac:dyDescent="0.3">
      <c r="A4123">
        <v>151512</v>
      </c>
      <c r="B4123" s="25" t="s">
        <v>5984</v>
      </c>
      <c r="C4123" t="s">
        <v>20</v>
      </c>
      <c r="D4123" t="s">
        <v>21</v>
      </c>
      <c r="E4123">
        <v>2222222</v>
      </c>
      <c r="F4123" s="8" t="s">
        <v>22</v>
      </c>
      <c r="G4123" s="2">
        <v>98</v>
      </c>
      <c r="H4123" t="s">
        <v>4552</v>
      </c>
      <c r="J4123" s="9" t="s">
        <v>4877</v>
      </c>
      <c r="K4123" t="s">
        <v>4949</v>
      </c>
      <c r="L4123" s="2">
        <v>1</v>
      </c>
      <c r="M4123" s="24" t="s">
        <v>5971</v>
      </c>
      <c r="N4123" s="2" t="s">
        <v>23</v>
      </c>
      <c r="O4123" s="18" t="s">
        <v>3151</v>
      </c>
      <c r="P4123" s="18" t="s">
        <v>0</v>
      </c>
      <c r="Q4123" s="6" t="s">
        <v>4475</v>
      </c>
      <c r="T4123" s="23">
        <v>46170</v>
      </c>
      <c r="U4123" s="23">
        <v>47630</v>
      </c>
      <c r="X4123" s="20">
        <v>5000</v>
      </c>
      <c r="Z4123" s="6" t="s">
        <v>5978</v>
      </c>
      <c r="AA4123" s="14">
        <f t="shared" si="545"/>
        <v>5.9999999999999995E-4</v>
      </c>
      <c r="AB4123">
        <v>2.9123100000000002</v>
      </c>
      <c r="AC4123">
        <v>3.0288024000000004</v>
      </c>
    </row>
    <row r="4124" spans="1:29" x14ac:dyDescent="0.3">
      <c r="A4124">
        <v>151513</v>
      </c>
      <c r="B4124" s="25" t="s">
        <v>5984</v>
      </c>
      <c r="C4124" t="s">
        <v>20</v>
      </c>
      <c r="D4124" t="s">
        <v>21</v>
      </c>
      <c r="E4124">
        <v>2222222</v>
      </c>
      <c r="F4124" s="8" t="s">
        <v>22</v>
      </c>
      <c r="G4124" s="2">
        <v>98</v>
      </c>
      <c r="H4124" t="s">
        <v>4552</v>
      </c>
      <c r="J4124" s="9" t="s">
        <v>5204</v>
      </c>
      <c r="K4124" t="s">
        <v>4950</v>
      </c>
      <c r="L4124" s="2">
        <v>1</v>
      </c>
      <c r="M4124" s="24" t="s">
        <v>5971</v>
      </c>
      <c r="N4124" s="2" t="s">
        <v>23</v>
      </c>
      <c r="O4124" s="18" t="s">
        <v>3162</v>
      </c>
      <c r="P4124" s="18" t="s">
        <v>0</v>
      </c>
      <c r="Q4124" s="6" t="s">
        <v>4475</v>
      </c>
      <c r="T4124" s="23">
        <v>46173</v>
      </c>
      <c r="U4124" s="23">
        <v>47633</v>
      </c>
      <c r="X4124" s="20">
        <v>3040</v>
      </c>
      <c r="Z4124" s="6" t="s">
        <v>5978</v>
      </c>
      <c r="AA4124" s="14">
        <f t="shared" si="545"/>
        <v>5.9999999999999995E-4</v>
      </c>
      <c r="AB4124">
        <v>1.8137339999999997</v>
      </c>
      <c r="AC4124">
        <v>1.8862833599999997</v>
      </c>
    </row>
    <row r="4125" spans="1:29" x14ac:dyDescent="0.3">
      <c r="A4125">
        <v>151577</v>
      </c>
      <c r="B4125" s="25" t="s">
        <v>5984</v>
      </c>
      <c r="C4125" t="s">
        <v>20</v>
      </c>
      <c r="D4125" t="s">
        <v>21</v>
      </c>
      <c r="E4125">
        <v>2222222</v>
      </c>
      <c r="F4125" s="8" t="s">
        <v>22</v>
      </c>
      <c r="G4125" s="2">
        <v>98</v>
      </c>
      <c r="H4125" t="s">
        <v>4552</v>
      </c>
      <c r="J4125" s="9" t="s">
        <v>4903</v>
      </c>
      <c r="K4125" t="s">
        <v>4893</v>
      </c>
      <c r="L4125" s="2">
        <v>1</v>
      </c>
      <c r="M4125" s="24" t="s">
        <v>5971</v>
      </c>
      <c r="N4125" s="2" t="s">
        <v>23</v>
      </c>
      <c r="O4125" s="18" t="s">
        <v>3163</v>
      </c>
      <c r="P4125" s="18" t="s">
        <v>3781</v>
      </c>
      <c r="Q4125" s="6" t="s">
        <v>4475</v>
      </c>
      <c r="T4125" s="23">
        <v>46174</v>
      </c>
      <c r="U4125" s="23">
        <v>46264</v>
      </c>
      <c r="X4125" s="20">
        <v>3250</v>
      </c>
      <c r="Z4125" s="6" t="s">
        <v>5978</v>
      </c>
      <c r="AA4125" s="14">
        <f t="shared" si="545"/>
        <v>5.9999999999999995E-4</v>
      </c>
      <c r="AB4125">
        <v>1.9499999999999997</v>
      </c>
      <c r="AC4125">
        <v>2.0279999999999996</v>
      </c>
    </row>
    <row r="4126" spans="1:29" x14ac:dyDescent="0.3">
      <c r="A4126">
        <v>122169</v>
      </c>
      <c r="B4126" s="25" t="s">
        <v>5984</v>
      </c>
      <c r="C4126" t="s">
        <v>20</v>
      </c>
      <c r="D4126" t="s">
        <v>21</v>
      </c>
      <c r="E4126">
        <v>2222222</v>
      </c>
      <c r="F4126" s="8" t="s">
        <v>22</v>
      </c>
      <c r="G4126" s="2">
        <v>98</v>
      </c>
      <c r="H4126" t="s">
        <v>4553</v>
      </c>
      <c r="J4126" s="9" t="s">
        <v>4998</v>
      </c>
      <c r="K4126" t="s">
        <v>5133</v>
      </c>
      <c r="L4126" s="2">
        <v>1</v>
      </c>
      <c r="M4126" s="24" t="s">
        <v>5971</v>
      </c>
      <c r="N4126" s="2" t="s">
        <v>23</v>
      </c>
      <c r="O4126" s="18" t="s">
        <v>3164</v>
      </c>
      <c r="P4126" s="18" t="s">
        <v>3781</v>
      </c>
      <c r="Q4126" s="6" t="s">
        <v>4475</v>
      </c>
      <c r="T4126" s="23">
        <v>44406</v>
      </c>
      <c r="U4126" s="23">
        <v>48154</v>
      </c>
      <c r="X4126" s="20">
        <v>17350</v>
      </c>
      <c r="Z4126" s="6" t="s">
        <v>5978</v>
      </c>
      <c r="AA4126" s="15">
        <f>+(0.42/1000)</f>
        <v>4.1999999999999996E-4</v>
      </c>
      <c r="AB4126">
        <v>5.2466063999999992</v>
      </c>
      <c r="AC4126">
        <v>5.4564706559999996</v>
      </c>
    </row>
    <row r="4127" spans="1:29" x14ac:dyDescent="0.3">
      <c r="A4127">
        <v>135041</v>
      </c>
      <c r="B4127" s="25" t="s">
        <v>5984</v>
      </c>
      <c r="C4127" t="s">
        <v>20</v>
      </c>
      <c r="D4127" t="s">
        <v>21</v>
      </c>
      <c r="E4127">
        <v>2222222</v>
      </c>
      <c r="F4127" s="8" t="s">
        <v>22</v>
      </c>
      <c r="G4127" s="2">
        <v>98</v>
      </c>
      <c r="H4127" t="s">
        <v>4553</v>
      </c>
      <c r="J4127" s="9" t="s">
        <v>4852</v>
      </c>
      <c r="K4127" t="s">
        <v>5078</v>
      </c>
      <c r="L4127" s="2">
        <v>1</v>
      </c>
      <c r="M4127" s="24" t="s">
        <v>5971</v>
      </c>
      <c r="N4127" s="2" t="s">
        <v>23</v>
      </c>
      <c r="O4127" s="18" t="s">
        <v>2383</v>
      </c>
      <c r="P4127" s="18" t="s">
        <v>0</v>
      </c>
      <c r="Q4127" s="6" t="s">
        <v>4475</v>
      </c>
      <c r="T4127" s="23">
        <v>45106</v>
      </c>
      <c r="U4127" s="23">
        <v>47663</v>
      </c>
      <c r="X4127" s="20">
        <v>31000</v>
      </c>
      <c r="Z4127" s="6" t="s">
        <v>5978</v>
      </c>
      <c r="AA4127" s="13">
        <f t="shared" ref="AA4127:AA4128" si="546">+(0.56/1000)</f>
        <v>5.6000000000000006E-4</v>
      </c>
      <c r="AB4127">
        <v>12.023306400000001</v>
      </c>
      <c r="AC4127">
        <v>12.504238656000002</v>
      </c>
    </row>
    <row r="4128" spans="1:29" x14ac:dyDescent="0.3">
      <c r="A4128">
        <v>137220</v>
      </c>
      <c r="B4128" s="25" t="s">
        <v>5984</v>
      </c>
      <c r="C4128" t="s">
        <v>20</v>
      </c>
      <c r="D4128" t="s">
        <v>21</v>
      </c>
      <c r="E4128">
        <v>2222222</v>
      </c>
      <c r="F4128" s="8" t="s">
        <v>22</v>
      </c>
      <c r="G4128" s="2">
        <v>98</v>
      </c>
      <c r="H4128" t="s">
        <v>4553</v>
      </c>
      <c r="J4128" s="9" t="s">
        <v>4852</v>
      </c>
      <c r="K4128" t="s">
        <v>5078</v>
      </c>
      <c r="L4128" s="2">
        <v>1</v>
      </c>
      <c r="M4128" s="24" t="s">
        <v>5971</v>
      </c>
      <c r="N4128" s="2" t="s">
        <v>23</v>
      </c>
      <c r="O4128" s="18" t="s">
        <v>2383</v>
      </c>
      <c r="P4128" s="18" t="s">
        <v>0</v>
      </c>
      <c r="Q4128" s="6" t="s">
        <v>4475</v>
      </c>
      <c r="T4128" s="23">
        <v>45210</v>
      </c>
      <c r="U4128" s="23">
        <v>46305</v>
      </c>
      <c r="X4128" s="20">
        <v>5000</v>
      </c>
      <c r="Z4128" s="6" t="s">
        <v>5978</v>
      </c>
      <c r="AA4128" s="13">
        <f t="shared" si="546"/>
        <v>5.6000000000000006E-4</v>
      </c>
      <c r="AB4128">
        <v>0.29876000000000003</v>
      </c>
      <c r="AC4128">
        <v>0.31071040000000005</v>
      </c>
    </row>
    <row r="4129" spans="1:29" x14ac:dyDescent="0.3">
      <c r="A4129">
        <v>142131</v>
      </c>
      <c r="B4129" s="25" t="s">
        <v>5984</v>
      </c>
      <c r="C4129" t="s">
        <v>20</v>
      </c>
      <c r="D4129" t="s">
        <v>21</v>
      </c>
      <c r="E4129">
        <v>2222222</v>
      </c>
      <c r="F4129" s="8" t="s">
        <v>22</v>
      </c>
      <c r="G4129" s="2">
        <v>98</v>
      </c>
      <c r="H4129" t="s">
        <v>4553</v>
      </c>
      <c r="J4129" s="9" t="s">
        <v>4859</v>
      </c>
      <c r="K4129" t="s">
        <v>5033</v>
      </c>
      <c r="L4129" s="2">
        <v>1</v>
      </c>
      <c r="M4129" s="24" t="s">
        <v>5971</v>
      </c>
      <c r="N4129" s="2" t="s">
        <v>23</v>
      </c>
      <c r="O4129" s="18" t="s">
        <v>3165</v>
      </c>
      <c r="P4129" s="18" t="s">
        <v>3781</v>
      </c>
      <c r="Q4129" s="6" t="s">
        <v>4475</v>
      </c>
      <c r="T4129" s="23">
        <v>45502</v>
      </c>
      <c r="U4129" s="23">
        <v>51163</v>
      </c>
      <c r="X4129" s="20">
        <v>25000</v>
      </c>
      <c r="Z4129" s="6" t="s">
        <v>5978</v>
      </c>
      <c r="AA4129" s="14">
        <f t="shared" ref="AA4129:AA4138" si="547">+(0.6/1000)</f>
        <v>5.9999999999999995E-4</v>
      </c>
      <c r="AB4129">
        <v>14.501063999999998</v>
      </c>
      <c r="AC4129">
        <v>15.081106559999998</v>
      </c>
    </row>
    <row r="4130" spans="1:29" x14ac:dyDescent="0.3">
      <c r="A4130">
        <v>144914</v>
      </c>
      <c r="B4130" s="25" t="s">
        <v>5984</v>
      </c>
      <c r="C4130" t="s">
        <v>20</v>
      </c>
      <c r="D4130" t="s">
        <v>21</v>
      </c>
      <c r="E4130">
        <v>2222222</v>
      </c>
      <c r="F4130" s="8" t="s">
        <v>22</v>
      </c>
      <c r="G4130" s="2">
        <v>98</v>
      </c>
      <c r="H4130" t="s">
        <v>4553</v>
      </c>
      <c r="J4130" s="9" t="s">
        <v>4892</v>
      </c>
      <c r="K4130" t="s">
        <v>5033</v>
      </c>
      <c r="L4130" s="2">
        <v>1</v>
      </c>
      <c r="M4130" s="24" t="s">
        <v>5971</v>
      </c>
      <c r="N4130" s="2" t="s">
        <v>23</v>
      </c>
      <c r="O4130" s="18" t="s">
        <v>3166</v>
      </c>
      <c r="P4130" s="18" t="s">
        <v>3781</v>
      </c>
      <c r="Q4130" s="6" t="s">
        <v>4475</v>
      </c>
      <c r="T4130" s="23">
        <v>45698</v>
      </c>
      <c r="U4130" s="23">
        <v>46795</v>
      </c>
      <c r="X4130" s="20">
        <v>4000</v>
      </c>
      <c r="Z4130" s="6" t="s">
        <v>5978</v>
      </c>
      <c r="AA4130" s="14">
        <f t="shared" si="547"/>
        <v>5.9999999999999995E-4</v>
      </c>
      <c r="AB4130">
        <v>1.4189339999999997</v>
      </c>
      <c r="AC4130">
        <v>1.4756913599999997</v>
      </c>
    </row>
    <row r="4131" spans="1:29" x14ac:dyDescent="0.3">
      <c r="A4131">
        <v>148584</v>
      </c>
      <c r="B4131" s="25" t="s">
        <v>5984</v>
      </c>
      <c r="C4131" t="s">
        <v>20</v>
      </c>
      <c r="D4131" t="s">
        <v>21</v>
      </c>
      <c r="E4131">
        <v>2222222</v>
      </c>
      <c r="F4131" s="8" t="s">
        <v>22</v>
      </c>
      <c r="G4131" s="2">
        <v>98</v>
      </c>
      <c r="H4131" t="s">
        <v>4553</v>
      </c>
      <c r="J4131" s="9" t="s">
        <v>4962</v>
      </c>
      <c r="K4131" t="s">
        <v>4942</v>
      </c>
      <c r="L4131" s="2">
        <v>1</v>
      </c>
      <c r="M4131" s="24" t="s">
        <v>5971</v>
      </c>
      <c r="N4131" s="2" t="s">
        <v>23</v>
      </c>
      <c r="O4131" s="18" t="s">
        <v>3167</v>
      </c>
      <c r="P4131" s="18" t="s">
        <v>3781</v>
      </c>
      <c r="Q4131" s="6" t="s">
        <v>4475</v>
      </c>
      <c r="T4131" s="23">
        <v>45770</v>
      </c>
      <c r="U4131" s="23">
        <v>46482</v>
      </c>
      <c r="X4131" s="20">
        <v>2000</v>
      </c>
      <c r="Z4131" s="6" t="s">
        <v>5978</v>
      </c>
      <c r="AA4131" s="14">
        <f t="shared" si="547"/>
        <v>5.9999999999999995E-4</v>
      </c>
      <c r="AB4131">
        <v>0.48518999999999995</v>
      </c>
      <c r="AC4131">
        <v>0.50459759999999998</v>
      </c>
    </row>
    <row r="4132" spans="1:29" x14ac:dyDescent="0.3">
      <c r="A4132">
        <v>149158</v>
      </c>
      <c r="B4132" s="25" t="s">
        <v>5984</v>
      </c>
      <c r="C4132" t="s">
        <v>20</v>
      </c>
      <c r="D4132" t="s">
        <v>21</v>
      </c>
      <c r="E4132">
        <v>2222222</v>
      </c>
      <c r="F4132" s="8" t="s">
        <v>22</v>
      </c>
      <c r="G4132" s="2">
        <v>98</v>
      </c>
      <c r="H4132" t="s">
        <v>4553</v>
      </c>
      <c r="J4132" s="9" t="s">
        <v>4839</v>
      </c>
      <c r="K4132" t="s">
        <v>5285</v>
      </c>
      <c r="L4132" s="2">
        <v>1</v>
      </c>
      <c r="M4132" s="24" t="s">
        <v>5971</v>
      </c>
      <c r="N4132" s="2" t="s">
        <v>23</v>
      </c>
      <c r="O4132" s="18" t="s">
        <v>3168</v>
      </c>
      <c r="P4132" s="18" t="s">
        <v>0</v>
      </c>
      <c r="Q4132" s="6" t="s">
        <v>4475</v>
      </c>
      <c r="T4132" s="23">
        <v>46002</v>
      </c>
      <c r="U4132" s="23">
        <v>47463</v>
      </c>
      <c r="X4132" s="20">
        <v>5000</v>
      </c>
      <c r="Z4132" s="6" t="s">
        <v>5978</v>
      </c>
      <c r="AA4132" s="14">
        <f t="shared" si="547"/>
        <v>5.9999999999999995E-4</v>
      </c>
      <c r="AB4132">
        <v>2.6827320000000001</v>
      </c>
      <c r="AC4132">
        <v>2.7900412800000001</v>
      </c>
    </row>
    <row r="4133" spans="1:29" x14ac:dyDescent="0.3">
      <c r="A4133">
        <v>150012</v>
      </c>
      <c r="B4133" s="25" t="s">
        <v>5984</v>
      </c>
      <c r="C4133" t="s">
        <v>20</v>
      </c>
      <c r="D4133" t="s">
        <v>21</v>
      </c>
      <c r="E4133">
        <v>2222222</v>
      </c>
      <c r="F4133" s="8" t="s">
        <v>22</v>
      </c>
      <c r="G4133" s="2">
        <v>98</v>
      </c>
      <c r="H4133" t="s">
        <v>4553</v>
      </c>
      <c r="J4133" s="9" t="s">
        <v>4859</v>
      </c>
      <c r="K4133" t="s">
        <v>5033</v>
      </c>
      <c r="L4133" s="2">
        <v>1</v>
      </c>
      <c r="M4133" s="24" t="s">
        <v>5971</v>
      </c>
      <c r="N4133" s="2" t="s">
        <v>23</v>
      </c>
      <c r="O4133" s="18" t="s">
        <v>3165</v>
      </c>
      <c r="P4133" s="18" t="s">
        <v>3781</v>
      </c>
      <c r="Q4133" s="6" t="s">
        <v>4475</v>
      </c>
      <c r="T4133" s="23">
        <v>46064</v>
      </c>
      <c r="U4133" s="23">
        <v>46978</v>
      </c>
      <c r="X4133" s="20">
        <v>2620</v>
      </c>
      <c r="Z4133" s="6" t="s">
        <v>5978</v>
      </c>
      <c r="AA4133" s="14">
        <f t="shared" si="547"/>
        <v>5.9999999999999995E-4</v>
      </c>
      <c r="AB4133">
        <v>1.3543439999999998</v>
      </c>
      <c r="AC4133">
        <v>1.4085177599999998</v>
      </c>
    </row>
    <row r="4134" spans="1:29" x14ac:dyDescent="0.3">
      <c r="A4134">
        <v>151284</v>
      </c>
      <c r="B4134" s="25" t="s">
        <v>5984</v>
      </c>
      <c r="C4134" t="s">
        <v>20</v>
      </c>
      <c r="D4134" t="s">
        <v>21</v>
      </c>
      <c r="E4134">
        <v>2222222</v>
      </c>
      <c r="F4134" s="8" t="s">
        <v>22</v>
      </c>
      <c r="G4134" s="2">
        <v>98</v>
      </c>
      <c r="H4134" t="s">
        <v>4553</v>
      </c>
      <c r="J4134" s="9" t="s">
        <v>4949</v>
      </c>
      <c r="K4134" t="s">
        <v>4857</v>
      </c>
      <c r="L4134" s="2">
        <v>1</v>
      </c>
      <c r="M4134" s="24" t="s">
        <v>5971</v>
      </c>
      <c r="N4134" s="2" t="s">
        <v>23</v>
      </c>
      <c r="O4134" s="18" t="s">
        <v>3169</v>
      </c>
      <c r="P4134" s="18" t="s">
        <v>0</v>
      </c>
      <c r="Q4134" s="6" t="s">
        <v>4475</v>
      </c>
      <c r="T4134" s="23">
        <v>46153</v>
      </c>
      <c r="U4134" s="23">
        <v>46243</v>
      </c>
      <c r="X4134" s="20">
        <v>1950</v>
      </c>
      <c r="Z4134" s="6" t="s">
        <v>5978</v>
      </c>
      <c r="AA4134" s="14">
        <f t="shared" si="547"/>
        <v>5.9999999999999995E-4</v>
      </c>
      <c r="AB4134">
        <v>1.17</v>
      </c>
      <c r="AC4134">
        <v>1.2167999999999999</v>
      </c>
    </row>
    <row r="4135" spans="1:29" x14ac:dyDescent="0.3">
      <c r="A4135">
        <v>151449</v>
      </c>
      <c r="B4135" s="25" t="s">
        <v>5984</v>
      </c>
      <c r="C4135" t="s">
        <v>20</v>
      </c>
      <c r="D4135" t="s">
        <v>21</v>
      </c>
      <c r="E4135">
        <v>2222222</v>
      </c>
      <c r="F4135" s="8" t="s">
        <v>22</v>
      </c>
      <c r="G4135" s="2">
        <v>98</v>
      </c>
      <c r="H4135" t="s">
        <v>4553</v>
      </c>
      <c r="J4135" s="9" t="s">
        <v>5874</v>
      </c>
      <c r="K4135" t="s">
        <v>5875</v>
      </c>
      <c r="L4135" s="2">
        <v>1</v>
      </c>
      <c r="M4135" s="24" t="s">
        <v>5971</v>
      </c>
      <c r="N4135" s="2" t="s">
        <v>23</v>
      </c>
      <c r="O4135" s="18" t="s">
        <v>3170</v>
      </c>
      <c r="P4135" s="18" t="s">
        <v>0</v>
      </c>
      <c r="Q4135" s="6" t="s">
        <v>4475</v>
      </c>
      <c r="T4135" s="23">
        <v>46171</v>
      </c>
      <c r="U4135" s="23">
        <v>46261</v>
      </c>
      <c r="X4135" s="20">
        <v>5210</v>
      </c>
      <c r="Z4135" s="6" t="s">
        <v>5978</v>
      </c>
      <c r="AA4135" s="14">
        <f t="shared" si="547"/>
        <v>5.9999999999999995E-4</v>
      </c>
      <c r="AB4135">
        <v>3.1259999999999999</v>
      </c>
      <c r="AC4135">
        <v>3.2510400000000002</v>
      </c>
    </row>
    <row r="4136" spans="1:29" x14ac:dyDescent="0.3">
      <c r="A4136">
        <v>152179</v>
      </c>
      <c r="B4136" s="25" t="s">
        <v>5984</v>
      </c>
      <c r="C4136" t="s">
        <v>20</v>
      </c>
      <c r="D4136" t="s">
        <v>21</v>
      </c>
      <c r="E4136">
        <v>2222222</v>
      </c>
      <c r="F4136" s="8" t="s">
        <v>22</v>
      </c>
      <c r="G4136" s="2">
        <v>98</v>
      </c>
      <c r="H4136" t="s">
        <v>4553</v>
      </c>
      <c r="J4136" s="9" t="s">
        <v>4998</v>
      </c>
      <c r="K4136" t="s">
        <v>5133</v>
      </c>
      <c r="L4136" s="2">
        <v>1</v>
      </c>
      <c r="M4136" s="24" t="s">
        <v>5971</v>
      </c>
      <c r="N4136" s="2" t="s">
        <v>23</v>
      </c>
      <c r="O4136" s="18" t="s">
        <v>3164</v>
      </c>
      <c r="P4136" s="18" t="s">
        <v>3781</v>
      </c>
      <c r="Q4136" s="6" t="s">
        <v>4475</v>
      </c>
      <c r="T4136" s="23">
        <v>46226</v>
      </c>
      <c r="U4136" s="23">
        <v>46316</v>
      </c>
      <c r="X4136" s="20">
        <v>4990</v>
      </c>
      <c r="Z4136" s="6" t="s">
        <v>5978</v>
      </c>
      <c r="AA4136" s="14">
        <f t="shared" si="547"/>
        <v>5.9999999999999995E-4</v>
      </c>
      <c r="AB4136">
        <v>2.9939999999999998</v>
      </c>
      <c r="AC4136">
        <v>3.1137600000000001</v>
      </c>
    </row>
    <row r="4137" spans="1:29" x14ac:dyDescent="0.3">
      <c r="A4137">
        <v>148376</v>
      </c>
      <c r="B4137" s="25" t="s">
        <v>5984</v>
      </c>
      <c r="C4137" t="s">
        <v>20</v>
      </c>
      <c r="D4137" t="s">
        <v>21</v>
      </c>
      <c r="E4137">
        <v>2222222</v>
      </c>
      <c r="F4137" s="8" t="s">
        <v>22</v>
      </c>
      <c r="G4137" s="2">
        <v>98</v>
      </c>
      <c r="H4137" t="s">
        <v>4554</v>
      </c>
      <c r="J4137" s="9" t="s">
        <v>5336</v>
      </c>
      <c r="K4137" t="s">
        <v>5064</v>
      </c>
      <c r="L4137" s="2">
        <v>1</v>
      </c>
      <c r="M4137" s="24" t="s">
        <v>5971</v>
      </c>
      <c r="N4137" s="2" t="s">
        <v>23</v>
      </c>
      <c r="O4137" s="18" t="s">
        <v>3171</v>
      </c>
      <c r="P4137" s="18" t="s">
        <v>0</v>
      </c>
      <c r="Q4137" s="6" t="s">
        <v>4475</v>
      </c>
      <c r="T4137" s="23">
        <v>45957</v>
      </c>
      <c r="U4137" s="23">
        <v>46322</v>
      </c>
      <c r="X4137" s="20">
        <v>3000</v>
      </c>
      <c r="Z4137" s="6" t="s">
        <v>5978</v>
      </c>
      <c r="AA4137" s="14">
        <f t="shared" si="547"/>
        <v>5.9999999999999995E-4</v>
      </c>
      <c r="AB4137">
        <v>0.47810399999999997</v>
      </c>
      <c r="AC4137">
        <v>0.49722815999999997</v>
      </c>
    </row>
    <row r="4138" spans="1:29" x14ac:dyDescent="0.3">
      <c r="A4138">
        <v>146547</v>
      </c>
      <c r="B4138" s="25" t="s">
        <v>5984</v>
      </c>
      <c r="C4138" t="s">
        <v>20</v>
      </c>
      <c r="D4138" t="s">
        <v>21</v>
      </c>
      <c r="E4138">
        <v>2222222</v>
      </c>
      <c r="F4138" s="8" t="s">
        <v>22</v>
      </c>
      <c r="G4138" s="2">
        <v>98</v>
      </c>
      <c r="H4138" t="s">
        <v>4555</v>
      </c>
      <c r="J4138" s="9" t="s">
        <v>4836</v>
      </c>
      <c r="K4138" t="s">
        <v>5876</v>
      </c>
      <c r="L4138" s="2">
        <v>1</v>
      </c>
      <c r="M4138" s="24" t="s">
        <v>5971</v>
      </c>
      <c r="N4138" s="2" t="s">
        <v>23</v>
      </c>
      <c r="O4138" s="18" t="s">
        <v>3172</v>
      </c>
      <c r="P4138" s="18" t="s">
        <v>3781</v>
      </c>
      <c r="Q4138" s="6" t="s">
        <v>4475</v>
      </c>
      <c r="T4138" s="23">
        <v>45828</v>
      </c>
      <c r="U4138" s="23">
        <v>49480</v>
      </c>
      <c r="X4138" s="20">
        <v>20000</v>
      </c>
      <c r="Z4138" s="6" t="s">
        <v>5978</v>
      </c>
      <c r="AA4138" s="14">
        <f t="shared" si="547"/>
        <v>5.9999999999999995E-4</v>
      </c>
      <c r="AB4138">
        <v>11.42742</v>
      </c>
      <c r="AC4138">
        <v>11.8845168</v>
      </c>
    </row>
    <row r="4139" spans="1:29" x14ac:dyDescent="0.3">
      <c r="A4139">
        <v>112891</v>
      </c>
      <c r="B4139" s="25" t="s">
        <v>5984</v>
      </c>
      <c r="C4139" t="s">
        <v>20</v>
      </c>
      <c r="D4139" t="s">
        <v>21</v>
      </c>
      <c r="E4139">
        <v>2222222</v>
      </c>
      <c r="F4139" s="8" t="s">
        <v>22</v>
      </c>
      <c r="G4139" s="2">
        <v>98</v>
      </c>
      <c r="H4139" t="s">
        <v>4556</v>
      </c>
      <c r="J4139" s="9" t="s">
        <v>5093</v>
      </c>
      <c r="K4139" t="s">
        <v>5797</v>
      </c>
      <c r="L4139" s="2">
        <v>1</v>
      </c>
      <c r="M4139" s="24" t="s">
        <v>5971</v>
      </c>
      <c r="N4139" s="2" t="s">
        <v>23</v>
      </c>
      <c r="O4139" s="18" t="s">
        <v>3173</v>
      </c>
      <c r="P4139" s="18" t="s">
        <v>3781</v>
      </c>
      <c r="Q4139" s="6" t="s">
        <v>4475</v>
      </c>
      <c r="T4139" s="23">
        <v>43991</v>
      </c>
      <c r="U4139" s="23">
        <v>45817</v>
      </c>
      <c r="X4139" s="20">
        <v>19500</v>
      </c>
      <c r="Z4139" s="6" t="s">
        <v>5978</v>
      </c>
      <c r="AA4139" s="15">
        <f>+(0.42/1000)</f>
        <v>4.1999999999999996E-4</v>
      </c>
      <c r="AB4139">
        <v>0.40739999999999998</v>
      </c>
      <c r="AC4139">
        <v>0.42369600000000002</v>
      </c>
    </row>
    <row r="4140" spans="1:29" x14ac:dyDescent="0.3">
      <c r="A4140">
        <v>142223</v>
      </c>
      <c r="B4140" s="25" t="s">
        <v>5984</v>
      </c>
      <c r="C4140" t="s">
        <v>20</v>
      </c>
      <c r="D4140" t="s">
        <v>21</v>
      </c>
      <c r="E4140">
        <v>2222222</v>
      </c>
      <c r="F4140" s="8" t="s">
        <v>22</v>
      </c>
      <c r="G4140" s="2">
        <v>98</v>
      </c>
      <c r="H4140" t="s">
        <v>4556</v>
      </c>
      <c r="J4140" s="9" t="s">
        <v>4998</v>
      </c>
      <c r="K4140" t="s">
        <v>4924</v>
      </c>
      <c r="L4140" s="2">
        <v>1</v>
      </c>
      <c r="M4140" s="24" t="s">
        <v>5971</v>
      </c>
      <c r="N4140" s="2" t="s">
        <v>23</v>
      </c>
      <c r="O4140" s="18" t="s">
        <v>3174</v>
      </c>
      <c r="P4140" s="18" t="s">
        <v>3781</v>
      </c>
      <c r="Q4140" s="6" t="s">
        <v>4475</v>
      </c>
      <c r="T4140" s="23">
        <v>45504</v>
      </c>
      <c r="U4140" s="23">
        <v>46598</v>
      </c>
      <c r="X4140" s="20">
        <v>5000</v>
      </c>
      <c r="Z4140" s="6" t="s">
        <v>5978</v>
      </c>
      <c r="AA4140" s="14">
        <f t="shared" ref="AA4140:AA4141" si="548">+(0.6/1000)</f>
        <v>5.9999999999999995E-4</v>
      </c>
      <c r="AB4140">
        <v>1.1945939999999999</v>
      </c>
      <c r="AC4140">
        <v>1.2423777599999999</v>
      </c>
    </row>
    <row r="4141" spans="1:29" x14ac:dyDescent="0.3">
      <c r="A4141">
        <v>150550</v>
      </c>
      <c r="B4141" s="25" t="s">
        <v>5984</v>
      </c>
      <c r="C4141" t="s">
        <v>20</v>
      </c>
      <c r="D4141" t="s">
        <v>21</v>
      </c>
      <c r="E4141">
        <v>2222222</v>
      </c>
      <c r="F4141" s="8" t="s">
        <v>22</v>
      </c>
      <c r="G4141" s="2">
        <v>98</v>
      </c>
      <c r="H4141" t="s">
        <v>4556</v>
      </c>
      <c r="J4141" s="9" t="s">
        <v>5063</v>
      </c>
      <c r="K4141" t="s">
        <v>4961</v>
      </c>
      <c r="L4141" s="2">
        <v>1</v>
      </c>
      <c r="M4141" s="24" t="s">
        <v>5971</v>
      </c>
      <c r="N4141" s="2" t="s">
        <v>23</v>
      </c>
      <c r="O4141" s="18" t="s">
        <v>1189</v>
      </c>
      <c r="P4141" s="18" t="s">
        <v>0</v>
      </c>
      <c r="Q4141" s="6" t="s">
        <v>4475</v>
      </c>
      <c r="T4141" s="23">
        <v>46100</v>
      </c>
      <c r="U4141" s="23">
        <v>46465</v>
      </c>
      <c r="X4141" s="20">
        <v>3000</v>
      </c>
      <c r="Z4141" s="6" t="s">
        <v>5978</v>
      </c>
      <c r="AA4141" s="14">
        <f t="shared" si="548"/>
        <v>5.9999999999999995E-4</v>
      </c>
      <c r="AB4141">
        <v>1.23333</v>
      </c>
      <c r="AC4141">
        <v>1.2826632</v>
      </c>
    </row>
    <row r="4142" spans="1:29" x14ac:dyDescent="0.3">
      <c r="A4142">
        <v>140011</v>
      </c>
      <c r="B4142" s="25" t="s">
        <v>5984</v>
      </c>
      <c r="C4142" t="s">
        <v>20</v>
      </c>
      <c r="D4142" t="s">
        <v>21</v>
      </c>
      <c r="E4142">
        <v>2222222</v>
      </c>
      <c r="F4142" s="8" t="s">
        <v>22</v>
      </c>
      <c r="G4142" s="2">
        <v>98</v>
      </c>
      <c r="H4142" t="s">
        <v>4557</v>
      </c>
      <c r="J4142" s="9" t="s">
        <v>4997</v>
      </c>
      <c r="K4142" t="s">
        <v>4991</v>
      </c>
      <c r="L4142" s="2">
        <v>1</v>
      </c>
      <c r="M4142" s="24" t="s">
        <v>5971</v>
      </c>
      <c r="N4142" s="2" t="s">
        <v>23</v>
      </c>
      <c r="O4142" s="18" t="s">
        <v>3175</v>
      </c>
      <c r="P4142" s="18" t="s">
        <v>3781</v>
      </c>
      <c r="Q4142" s="6" t="s">
        <v>4475</v>
      </c>
      <c r="T4142" s="23">
        <v>45359</v>
      </c>
      <c r="U4142" s="23">
        <v>46822</v>
      </c>
      <c r="X4142" s="20">
        <v>4000</v>
      </c>
      <c r="Z4142" s="6" t="s">
        <v>5978</v>
      </c>
      <c r="AA4142" s="13">
        <f t="shared" ref="AA4142:AA4143" si="549">+(0.56/1000)</f>
        <v>5.6000000000000006E-4</v>
      </c>
      <c r="AB4142">
        <v>1.1428480000000001</v>
      </c>
      <c r="AC4142">
        <v>1.1885619200000002</v>
      </c>
    </row>
    <row r="4143" spans="1:29" x14ac:dyDescent="0.3">
      <c r="A4143">
        <v>134562</v>
      </c>
      <c r="B4143" s="25" t="s">
        <v>5984</v>
      </c>
      <c r="C4143" t="s">
        <v>20</v>
      </c>
      <c r="D4143" t="s">
        <v>21</v>
      </c>
      <c r="E4143">
        <v>2222222</v>
      </c>
      <c r="F4143" s="8" t="s">
        <v>22</v>
      </c>
      <c r="G4143" s="2">
        <v>98</v>
      </c>
      <c r="H4143" t="s">
        <v>4558</v>
      </c>
      <c r="J4143" s="9" t="s">
        <v>5389</v>
      </c>
      <c r="K4143" t="s">
        <v>5030</v>
      </c>
      <c r="L4143" s="2">
        <v>1</v>
      </c>
      <c r="M4143" s="24" t="s">
        <v>5971</v>
      </c>
      <c r="N4143" s="2" t="s">
        <v>23</v>
      </c>
      <c r="O4143" s="18" t="s">
        <v>3176</v>
      </c>
      <c r="P4143" s="18" t="s">
        <v>3781</v>
      </c>
      <c r="Q4143" s="6" t="s">
        <v>4475</v>
      </c>
      <c r="T4143" s="23">
        <v>45065</v>
      </c>
      <c r="U4143" s="23">
        <v>47713</v>
      </c>
      <c r="X4143" s="20">
        <v>43000</v>
      </c>
      <c r="Z4143" s="6" t="s">
        <v>5978</v>
      </c>
      <c r="AA4143" s="13">
        <f t="shared" si="549"/>
        <v>5.6000000000000006E-4</v>
      </c>
      <c r="AB4143">
        <v>17.0119376</v>
      </c>
      <c r="AC4143">
        <v>17.692415103999998</v>
      </c>
    </row>
    <row r="4144" spans="1:29" x14ac:dyDescent="0.3">
      <c r="A4144">
        <v>151981</v>
      </c>
      <c r="B4144" s="25" t="s">
        <v>5984</v>
      </c>
      <c r="C4144" t="s">
        <v>20</v>
      </c>
      <c r="D4144" t="s">
        <v>21</v>
      </c>
      <c r="E4144">
        <v>2222222</v>
      </c>
      <c r="F4144" s="8" t="s">
        <v>22</v>
      </c>
      <c r="G4144" s="2">
        <v>98</v>
      </c>
      <c r="H4144" t="s">
        <v>4558</v>
      </c>
      <c r="J4144" s="9" t="s">
        <v>5389</v>
      </c>
      <c r="K4144" t="s">
        <v>5030</v>
      </c>
      <c r="L4144" s="2">
        <v>1</v>
      </c>
      <c r="M4144" s="24" t="s">
        <v>5971</v>
      </c>
      <c r="N4144" s="2" t="s">
        <v>23</v>
      </c>
      <c r="O4144" s="18" t="s">
        <v>3176</v>
      </c>
      <c r="P4144" s="18" t="s">
        <v>3781</v>
      </c>
      <c r="Q4144" s="6" t="s">
        <v>4475</v>
      </c>
      <c r="T4144" s="23">
        <v>46203</v>
      </c>
      <c r="U4144" s="23">
        <v>46293</v>
      </c>
      <c r="X4144" s="20">
        <v>3440</v>
      </c>
      <c r="Z4144" s="6" t="s">
        <v>5978</v>
      </c>
      <c r="AA4144" s="14">
        <f>+(0.6/1000)</f>
        <v>5.9999999999999995E-4</v>
      </c>
      <c r="AB4144">
        <v>2.0639999999999996</v>
      </c>
      <c r="AC4144">
        <v>2.1465599999999996</v>
      </c>
    </row>
    <row r="4145" spans="1:29" x14ac:dyDescent="0.3">
      <c r="A4145">
        <v>131845</v>
      </c>
      <c r="B4145" s="25" t="s">
        <v>5984</v>
      </c>
      <c r="C4145" t="s">
        <v>20</v>
      </c>
      <c r="D4145" t="s">
        <v>21</v>
      </c>
      <c r="E4145">
        <v>2222222</v>
      </c>
      <c r="F4145" s="8" t="s">
        <v>22</v>
      </c>
      <c r="G4145" s="2">
        <v>98</v>
      </c>
      <c r="H4145" t="s">
        <v>4559</v>
      </c>
      <c r="J4145" s="9" t="s">
        <v>5011</v>
      </c>
      <c r="K4145" t="s">
        <v>4832</v>
      </c>
      <c r="L4145" s="2">
        <v>1</v>
      </c>
      <c r="M4145" s="24" t="s">
        <v>5971</v>
      </c>
      <c r="N4145" s="2" t="s">
        <v>23</v>
      </c>
      <c r="O4145" s="18" t="s">
        <v>3177</v>
      </c>
      <c r="P4145" s="18" t="s">
        <v>3781</v>
      </c>
      <c r="Q4145" s="6" t="s">
        <v>4475</v>
      </c>
      <c r="T4145" s="23">
        <v>44910</v>
      </c>
      <c r="U4145" s="23">
        <v>47472</v>
      </c>
      <c r="X4145" s="20">
        <v>8000</v>
      </c>
      <c r="Z4145" s="6" t="s">
        <v>5978</v>
      </c>
      <c r="AA4145" s="13">
        <f>+(0.56/1000)</f>
        <v>5.6000000000000006E-4</v>
      </c>
      <c r="AB4145">
        <v>3.2953312000000006</v>
      </c>
      <c r="AC4145">
        <v>3.4271444480000008</v>
      </c>
    </row>
    <row r="4146" spans="1:29" x14ac:dyDescent="0.3">
      <c r="A4146">
        <v>143478</v>
      </c>
      <c r="B4146" s="25" t="s">
        <v>5984</v>
      </c>
      <c r="C4146" t="s">
        <v>20</v>
      </c>
      <c r="D4146" t="s">
        <v>21</v>
      </c>
      <c r="E4146">
        <v>2222222</v>
      </c>
      <c r="F4146" s="8" t="s">
        <v>22</v>
      </c>
      <c r="G4146" s="2">
        <v>98</v>
      </c>
      <c r="H4146" t="s">
        <v>4559</v>
      </c>
      <c r="J4146" s="9" t="s">
        <v>4826</v>
      </c>
      <c r="K4146" t="s">
        <v>5053</v>
      </c>
      <c r="L4146" s="2">
        <v>1</v>
      </c>
      <c r="M4146" s="24" t="s">
        <v>5971</v>
      </c>
      <c r="N4146" s="2" t="s">
        <v>23</v>
      </c>
      <c r="O4146" s="18" t="s">
        <v>3178</v>
      </c>
      <c r="P4146" s="18" t="s">
        <v>0</v>
      </c>
      <c r="Q4146" s="6" t="s">
        <v>4475</v>
      </c>
      <c r="T4146" s="23">
        <v>45596</v>
      </c>
      <c r="U4146" s="23">
        <v>46330</v>
      </c>
      <c r="X4146" s="20">
        <v>20000</v>
      </c>
      <c r="Z4146" s="6" t="s">
        <v>5978</v>
      </c>
      <c r="AA4146" s="14">
        <f t="shared" ref="AA4146:AA4150" si="550">+(0.6/1000)</f>
        <v>5.9999999999999995E-4</v>
      </c>
      <c r="AB4146">
        <v>2.289936</v>
      </c>
      <c r="AC4146">
        <v>2.3815334400000001</v>
      </c>
    </row>
    <row r="4147" spans="1:29" x14ac:dyDescent="0.3">
      <c r="A4147">
        <v>147698</v>
      </c>
      <c r="B4147" s="25" t="s">
        <v>5984</v>
      </c>
      <c r="C4147" t="s">
        <v>20</v>
      </c>
      <c r="D4147" t="s">
        <v>21</v>
      </c>
      <c r="E4147">
        <v>2222222</v>
      </c>
      <c r="F4147" s="8" t="s">
        <v>22</v>
      </c>
      <c r="G4147" s="2">
        <v>98</v>
      </c>
      <c r="H4147" t="s">
        <v>4559</v>
      </c>
      <c r="J4147" s="9" t="s">
        <v>4953</v>
      </c>
      <c r="K4147" t="s">
        <v>4961</v>
      </c>
      <c r="L4147" s="2">
        <v>1</v>
      </c>
      <c r="M4147" s="24" t="s">
        <v>5971</v>
      </c>
      <c r="N4147" s="2" t="s">
        <v>23</v>
      </c>
      <c r="O4147" s="18" t="s">
        <v>3105</v>
      </c>
      <c r="P4147" s="18" t="s">
        <v>0</v>
      </c>
      <c r="Q4147" s="6" t="s">
        <v>4475</v>
      </c>
      <c r="T4147" s="23">
        <v>45915</v>
      </c>
      <c r="U4147" s="23">
        <v>48477</v>
      </c>
      <c r="X4147" s="20">
        <v>30000</v>
      </c>
      <c r="Z4147" s="6" t="s">
        <v>5978</v>
      </c>
      <c r="AA4147" s="14">
        <f t="shared" si="550"/>
        <v>5.9999999999999995E-4</v>
      </c>
      <c r="AB4147">
        <v>16.706436</v>
      </c>
      <c r="AC4147">
        <v>17.374693440000001</v>
      </c>
    </row>
    <row r="4148" spans="1:29" x14ac:dyDescent="0.3">
      <c r="A4148">
        <v>149952</v>
      </c>
      <c r="B4148" s="25" t="s">
        <v>5984</v>
      </c>
      <c r="C4148" t="s">
        <v>20</v>
      </c>
      <c r="D4148" t="s">
        <v>21</v>
      </c>
      <c r="E4148">
        <v>2222222</v>
      </c>
      <c r="F4148" s="8" t="s">
        <v>22</v>
      </c>
      <c r="G4148" s="2">
        <v>98</v>
      </c>
      <c r="H4148" t="s">
        <v>4559</v>
      </c>
      <c r="J4148" s="9" t="s">
        <v>4815</v>
      </c>
      <c r="K4148" t="s">
        <v>4913</v>
      </c>
      <c r="L4148" s="2">
        <v>1</v>
      </c>
      <c r="M4148" s="24" t="s">
        <v>5971</v>
      </c>
      <c r="N4148" s="2" t="s">
        <v>23</v>
      </c>
      <c r="O4148" s="18" t="s">
        <v>3179</v>
      </c>
      <c r="P4148" s="18" t="s">
        <v>0</v>
      </c>
      <c r="Q4148" s="6" t="s">
        <v>4475</v>
      </c>
      <c r="T4148" s="23">
        <v>46061</v>
      </c>
      <c r="U4148" s="23">
        <v>46975</v>
      </c>
      <c r="X4148" s="20">
        <v>5000</v>
      </c>
      <c r="Z4148" s="6" t="s">
        <v>5978</v>
      </c>
      <c r="AA4148" s="14">
        <f t="shared" si="550"/>
        <v>5.9999999999999995E-4</v>
      </c>
      <c r="AB4148">
        <v>2.5704120000000001</v>
      </c>
      <c r="AC4148">
        <v>2.6732284800000001</v>
      </c>
    </row>
    <row r="4149" spans="1:29" x14ac:dyDescent="0.3">
      <c r="A4149">
        <v>150408</v>
      </c>
      <c r="B4149" s="25" t="s">
        <v>5984</v>
      </c>
      <c r="C4149" t="s">
        <v>20</v>
      </c>
      <c r="D4149" t="s">
        <v>21</v>
      </c>
      <c r="E4149">
        <v>2222222</v>
      </c>
      <c r="F4149" s="8" t="s">
        <v>22</v>
      </c>
      <c r="G4149" s="2">
        <v>98</v>
      </c>
      <c r="H4149" t="s">
        <v>4559</v>
      </c>
      <c r="J4149" s="9" t="s">
        <v>4955</v>
      </c>
      <c r="K4149" t="s">
        <v>5031</v>
      </c>
      <c r="L4149" s="2">
        <v>1</v>
      </c>
      <c r="M4149" s="24" t="s">
        <v>5971</v>
      </c>
      <c r="N4149" s="2" t="s">
        <v>23</v>
      </c>
      <c r="O4149" s="18" t="s">
        <v>3180</v>
      </c>
      <c r="P4149" s="18" t="s">
        <v>3781</v>
      </c>
      <c r="Q4149" s="6" t="s">
        <v>4475</v>
      </c>
      <c r="T4149" s="23">
        <v>46091</v>
      </c>
      <c r="U4149" s="23">
        <v>47186</v>
      </c>
      <c r="X4149" s="20">
        <v>3000</v>
      </c>
      <c r="Z4149" s="6" t="s">
        <v>5978</v>
      </c>
      <c r="AA4149" s="14">
        <f t="shared" si="550"/>
        <v>5.9999999999999995E-4</v>
      </c>
      <c r="AB4149">
        <v>1.6419479999999997</v>
      </c>
      <c r="AC4149">
        <v>1.7076259199999997</v>
      </c>
    </row>
    <row r="4150" spans="1:29" x14ac:dyDescent="0.3">
      <c r="A4150">
        <v>150781</v>
      </c>
      <c r="B4150" s="25" t="s">
        <v>5984</v>
      </c>
      <c r="C4150" t="s">
        <v>20</v>
      </c>
      <c r="D4150" t="s">
        <v>21</v>
      </c>
      <c r="E4150">
        <v>2222222</v>
      </c>
      <c r="F4150" s="8" t="s">
        <v>22</v>
      </c>
      <c r="G4150" s="2">
        <v>98</v>
      </c>
      <c r="H4150" t="s">
        <v>4559</v>
      </c>
      <c r="J4150" s="9" t="s">
        <v>5541</v>
      </c>
      <c r="K4150" t="s">
        <v>5266</v>
      </c>
      <c r="L4150" s="2">
        <v>1</v>
      </c>
      <c r="M4150" s="24" t="s">
        <v>5971</v>
      </c>
      <c r="N4150" s="2" t="s">
        <v>23</v>
      </c>
      <c r="O4150" s="18" t="s">
        <v>3181</v>
      </c>
      <c r="P4150" s="18" t="s">
        <v>3781</v>
      </c>
      <c r="Q4150" s="6" t="s">
        <v>4475</v>
      </c>
      <c r="T4150" s="23">
        <v>46114</v>
      </c>
      <c r="U4150" s="23">
        <v>47940</v>
      </c>
      <c r="X4150" s="20">
        <v>5000</v>
      </c>
      <c r="Z4150" s="6" t="s">
        <v>5978</v>
      </c>
      <c r="AA4150" s="14">
        <f t="shared" si="550"/>
        <v>5.9999999999999995E-4</v>
      </c>
      <c r="AB4150">
        <v>2.9053079999999998</v>
      </c>
      <c r="AC4150">
        <v>3.02152032</v>
      </c>
    </row>
    <row r="4151" spans="1:29" x14ac:dyDescent="0.3">
      <c r="A4151">
        <v>122390</v>
      </c>
      <c r="B4151" s="25" t="s">
        <v>5984</v>
      </c>
      <c r="C4151" t="s">
        <v>20</v>
      </c>
      <c r="D4151" t="s">
        <v>21</v>
      </c>
      <c r="E4151">
        <v>2222222</v>
      </c>
      <c r="F4151" s="8" t="s">
        <v>22</v>
      </c>
      <c r="G4151" s="2">
        <v>98</v>
      </c>
      <c r="H4151" t="s">
        <v>4560</v>
      </c>
      <c r="J4151" s="9" t="s">
        <v>4859</v>
      </c>
      <c r="K4151" t="s">
        <v>5071</v>
      </c>
      <c r="L4151" s="2">
        <v>1</v>
      </c>
      <c r="M4151" s="24" t="s">
        <v>5971</v>
      </c>
      <c r="N4151" s="2" t="s">
        <v>23</v>
      </c>
      <c r="O4151" s="18" t="s">
        <v>3182</v>
      </c>
      <c r="P4151" s="18" t="s">
        <v>3781</v>
      </c>
      <c r="Q4151" s="6" t="s">
        <v>4475</v>
      </c>
      <c r="T4151" s="23">
        <v>44421</v>
      </c>
      <c r="U4151" s="23">
        <v>46246</v>
      </c>
      <c r="X4151" s="20">
        <v>8000</v>
      </c>
      <c r="Z4151" s="6" t="s">
        <v>5978</v>
      </c>
      <c r="AA4151" s="15">
        <f>+(0.42/1000)</f>
        <v>4.1999999999999996E-4</v>
      </c>
      <c r="AB4151">
        <v>7.8560999999999992E-2</v>
      </c>
      <c r="AC4151">
        <v>8.1703439999999988E-2</v>
      </c>
    </row>
    <row r="4152" spans="1:29" x14ac:dyDescent="0.3">
      <c r="A4152">
        <v>133066</v>
      </c>
      <c r="B4152" s="25" t="s">
        <v>5984</v>
      </c>
      <c r="C4152" t="s">
        <v>20</v>
      </c>
      <c r="D4152" t="s">
        <v>21</v>
      </c>
      <c r="E4152">
        <v>2222222</v>
      </c>
      <c r="F4152" s="8" t="s">
        <v>22</v>
      </c>
      <c r="G4152" s="2">
        <v>98</v>
      </c>
      <c r="H4152" t="s">
        <v>4560</v>
      </c>
      <c r="J4152" s="9" t="s">
        <v>5699</v>
      </c>
      <c r="K4152" t="s">
        <v>5776</v>
      </c>
      <c r="L4152" s="2">
        <v>1</v>
      </c>
      <c r="M4152" s="24" t="s">
        <v>5971</v>
      </c>
      <c r="N4152" s="2" t="s">
        <v>23</v>
      </c>
      <c r="O4152" s="18" t="s">
        <v>3183</v>
      </c>
      <c r="P4152" s="18" t="s">
        <v>3781</v>
      </c>
      <c r="Q4152" s="6" t="s">
        <v>4475</v>
      </c>
      <c r="T4152" s="23">
        <v>44974</v>
      </c>
      <c r="U4152" s="23">
        <v>46437</v>
      </c>
      <c r="X4152" s="20">
        <v>5000</v>
      </c>
      <c r="Z4152" s="6" t="s">
        <v>5978</v>
      </c>
      <c r="AA4152" s="13">
        <f>+(0.56/1000)</f>
        <v>5.6000000000000006E-4</v>
      </c>
      <c r="AB4152">
        <v>0.55582240000000005</v>
      </c>
      <c r="AC4152">
        <v>0.57805529600000005</v>
      </c>
    </row>
    <row r="4153" spans="1:29" x14ac:dyDescent="0.3">
      <c r="A4153">
        <v>145156</v>
      </c>
      <c r="B4153" s="25" t="s">
        <v>5984</v>
      </c>
      <c r="C4153" t="s">
        <v>20</v>
      </c>
      <c r="D4153" t="s">
        <v>21</v>
      </c>
      <c r="E4153">
        <v>2222222</v>
      </c>
      <c r="F4153" s="8" t="s">
        <v>22</v>
      </c>
      <c r="G4153" s="2">
        <v>98</v>
      </c>
      <c r="H4153" t="s">
        <v>4560</v>
      </c>
      <c r="J4153" s="9" t="s">
        <v>4845</v>
      </c>
      <c r="K4153" t="s">
        <v>5031</v>
      </c>
      <c r="L4153" s="2">
        <v>1</v>
      </c>
      <c r="M4153" s="24" t="s">
        <v>5971</v>
      </c>
      <c r="N4153" s="2" t="s">
        <v>23</v>
      </c>
      <c r="O4153" s="18" t="s">
        <v>3184</v>
      </c>
      <c r="P4153" s="18" t="s">
        <v>3781</v>
      </c>
      <c r="Q4153" s="6" t="s">
        <v>4475</v>
      </c>
      <c r="T4153" s="23">
        <v>45715</v>
      </c>
      <c r="U4153" s="23">
        <v>47177</v>
      </c>
      <c r="X4153" s="20">
        <v>5000</v>
      </c>
      <c r="Z4153" s="6" t="s">
        <v>5978</v>
      </c>
      <c r="AA4153" s="14">
        <f t="shared" ref="AA4153:AA4154" si="551">+(0.6/1000)</f>
        <v>5.9999999999999995E-4</v>
      </c>
      <c r="AB4153">
        <v>2.175192</v>
      </c>
      <c r="AC4153">
        <v>2.2621996800000002</v>
      </c>
    </row>
    <row r="4154" spans="1:29" x14ac:dyDescent="0.3">
      <c r="A4154">
        <v>148395</v>
      </c>
      <c r="B4154" s="25" t="s">
        <v>5984</v>
      </c>
      <c r="C4154" t="s">
        <v>20</v>
      </c>
      <c r="D4154" t="s">
        <v>21</v>
      </c>
      <c r="E4154">
        <v>2222222</v>
      </c>
      <c r="F4154" s="8" t="s">
        <v>22</v>
      </c>
      <c r="G4154" s="2">
        <v>98</v>
      </c>
      <c r="H4154" t="s">
        <v>4561</v>
      </c>
      <c r="J4154" s="9" t="s">
        <v>5240</v>
      </c>
      <c r="K4154" t="s">
        <v>4815</v>
      </c>
      <c r="L4154" s="2">
        <v>1</v>
      </c>
      <c r="M4154" s="24" t="s">
        <v>5971</v>
      </c>
      <c r="N4154" s="2" t="s">
        <v>23</v>
      </c>
      <c r="O4154" s="18" t="s">
        <v>3185</v>
      </c>
      <c r="P4154" s="18" t="s">
        <v>0</v>
      </c>
      <c r="Q4154" s="6" t="s">
        <v>4475</v>
      </c>
      <c r="T4154" s="23">
        <v>45981</v>
      </c>
      <c r="U4154" s="23">
        <v>51460</v>
      </c>
      <c r="X4154" s="20">
        <v>140000</v>
      </c>
      <c r="Z4154" s="6" t="s">
        <v>5978</v>
      </c>
      <c r="AA4154" s="14">
        <f t="shared" si="551"/>
        <v>5.9999999999999995E-4</v>
      </c>
      <c r="AB4154">
        <v>82.589603999999994</v>
      </c>
      <c r="AC4154">
        <v>85.893188159999994</v>
      </c>
    </row>
    <row r="4155" spans="1:29" x14ac:dyDescent="0.3">
      <c r="A4155">
        <v>131987</v>
      </c>
      <c r="B4155" s="25" t="s">
        <v>5984</v>
      </c>
      <c r="C4155" t="s">
        <v>20</v>
      </c>
      <c r="D4155" t="s">
        <v>21</v>
      </c>
      <c r="E4155">
        <v>2222222</v>
      </c>
      <c r="F4155" s="8" t="s">
        <v>22</v>
      </c>
      <c r="G4155" s="2">
        <v>98</v>
      </c>
      <c r="H4155" t="s">
        <v>4562</v>
      </c>
      <c r="J4155" s="9" t="s">
        <v>5204</v>
      </c>
      <c r="K4155" t="s">
        <v>4908</v>
      </c>
      <c r="L4155" s="2">
        <v>1</v>
      </c>
      <c r="M4155" s="24" t="s">
        <v>5971</v>
      </c>
      <c r="N4155" s="2" t="s">
        <v>23</v>
      </c>
      <c r="O4155" s="18" t="s">
        <v>3186</v>
      </c>
      <c r="P4155" s="18" t="s">
        <v>0</v>
      </c>
      <c r="Q4155" s="6" t="s">
        <v>4475</v>
      </c>
      <c r="T4155" s="23">
        <v>44951</v>
      </c>
      <c r="U4155" s="23">
        <v>47507</v>
      </c>
      <c r="X4155" s="20">
        <v>15500</v>
      </c>
      <c r="Z4155" s="6" t="s">
        <v>5978</v>
      </c>
      <c r="AA4155" s="13">
        <f>+(0.56/1000)</f>
        <v>5.6000000000000006E-4</v>
      </c>
      <c r="AB4155">
        <v>5.5234704000000008</v>
      </c>
      <c r="AC4155">
        <v>5.7444092160000011</v>
      </c>
    </row>
    <row r="4156" spans="1:29" x14ac:dyDescent="0.3">
      <c r="A4156">
        <v>147992</v>
      </c>
      <c r="B4156" s="25" t="s">
        <v>5984</v>
      </c>
      <c r="C4156" t="s">
        <v>20</v>
      </c>
      <c r="D4156" t="s">
        <v>21</v>
      </c>
      <c r="E4156">
        <v>2222222</v>
      </c>
      <c r="F4156" s="8" t="s">
        <v>22</v>
      </c>
      <c r="G4156" s="2">
        <v>98</v>
      </c>
      <c r="H4156" t="s">
        <v>4563</v>
      </c>
      <c r="J4156" s="9" t="s">
        <v>5877</v>
      </c>
      <c r="K4156" t="s">
        <v>4961</v>
      </c>
      <c r="L4156" s="2">
        <v>1</v>
      </c>
      <c r="M4156" s="24" t="s">
        <v>5971</v>
      </c>
      <c r="N4156" s="2" t="s">
        <v>23</v>
      </c>
      <c r="O4156" s="18" t="s">
        <v>3187</v>
      </c>
      <c r="P4156" s="18" t="s">
        <v>0</v>
      </c>
      <c r="Q4156" s="6" t="s">
        <v>4475</v>
      </c>
      <c r="T4156" s="23">
        <v>45939</v>
      </c>
      <c r="U4156" s="23">
        <v>47399</v>
      </c>
      <c r="X4156" s="20">
        <v>9000</v>
      </c>
      <c r="Z4156" s="6" t="s">
        <v>5978</v>
      </c>
      <c r="AA4156" s="14">
        <f t="shared" ref="AA4156:AA4158" si="552">+(0.6/1000)</f>
        <v>5.9999999999999995E-4</v>
      </c>
      <c r="AB4156">
        <v>4.6293659999999992</v>
      </c>
      <c r="AC4156">
        <v>4.8145406399999997</v>
      </c>
    </row>
    <row r="4157" spans="1:29" x14ac:dyDescent="0.3">
      <c r="A4157">
        <v>145627</v>
      </c>
      <c r="B4157" s="25" t="s">
        <v>5984</v>
      </c>
      <c r="C4157" t="s">
        <v>20</v>
      </c>
      <c r="D4157" t="s">
        <v>21</v>
      </c>
      <c r="E4157">
        <v>2222222</v>
      </c>
      <c r="F4157" s="8" t="s">
        <v>22</v>
      </c>
      <c r="G4157" s="2">
        <v>98</v>
      </c>
      <c r="H4157" t="s">
        <v>4564</v>
      </c>
      <c r="J4157" s="9" t="s">
        <v>5344</v>
      </c>
      <c r="K4157" t="s">
        <v>4932</v>
      </c>
      <c r="L4157" s="2">
        <v>1</v>
      </c>
      <c r="M4157" s="24" t="s">
        <v>5971</v>
      </c>
      <c r="N4157" s="2" t="s">
        <v>23</v>
      </c>
      <c r="O4157" s="18" t="s">
        <v>3188</v>
      </c>
      <c r="P4157" s="18" t="s">
        <v>3781</v>
      </c>
      <c r="Q4157" s="6" t="s">
        <v>4475</v>
      </c>
      <c r="T4157" s="23">
        <v>45773</v>
      </c>
      <c r="U4157" s="23">
        <v>49425</v>
      </c>
      <c r="X4157" s="20">
        <v>9000</v>
      </c>
      <c r="Z4157" s="6" t="s">
        <v>5978</v>
      </c>
      <c r="AA4157" s="14">
        <f t="shared" si="552"/>
        <v>5.9999999999999995E-4</v>
      </c>
      <c r="AB4157">
        <v>5.0150339999999991</v>
      </c>
      <c r="AC4157">
        <v>5.2156353599999994</v>
      </c>
    </row>
    <row r="4158" spans="1:29" x14ac:dyDescent="0.3">
      <c r="A4158">
        <v>148423</v>
      </c>
      <c r="B4158" s="25" t="s">
        <v>5984</v>
      </c>
      <c r="C4158" t="s">
        <v>20</v>
      </c>
      <c r="D4158" t="s">
        <v>21</v>
      </c>
      <c r="E4158">
        <v>2222222</v>
      </c>
      <c r="F4158" s="8" t="s">
        <v>22</v>
      </c>
      <c r="G4158" s="2">
        <v>98</v>
      </c>
      <c r="H4158" t="s">
        <v>4565</v>
      </c>
      <c r="J4158" s="9" t="s">
        <v>4836</v>
      </c>
      <c r="K4158" t="s">
        <v>4872</v>
      </c>
      <c r="L4158" s="2">
        <v>1</v>
      </c>
      <c r="M4158" s="24" t="s">
        <v>5971</v>
      </c>
      <c r="N4158" s="2" t="s">
        <v>23</v>
      </c>
      <c r="O4158" s="18" t="s">
        <v>3189</v>
      </c>
      <c r="P4158" s="18" t="s">
        <v>3781</v>
      </c>
      <c r="Q4158" s="6" t="s">
        <v>4475</v>
      </c>
      <c r="T4158" s="23">
        <v>45960</v>
      </c>
      <c r="U4158" s="23">
        <v>46872</v>
      </c>
      <c r="X4158" s="20">
        <v>1040</v>
      </c>
      <c r="Z4158" s="6" t="s">
        <v>5978</v>
      </c>
      <c r="AA4158" s="14">
        <f t="shared" si="552"/>
        <v>5.9999999999999995E-4</v>
      </c>
      <c r="AB4158">
        <v>0.52691999999999994</v>
      </c>
      <c r="AC4158">
        <v>0.54799679999999995</v>
      </c>
    </row>
    <row r="4159" spans="1:29" x14ac:dyDescent="0.3">
      <c r="A4159">
        <v>135686</v>
      </c>
      <c r="B4159" s="25" t="s">
        <v>5984</v>
      </c>
      <c r="C4159" t="s">
        <v>20</v>
      </c>
      <c r="D4159" t="s">
        <v>21</v>
      </c>
      <c r="E4159">
        <v>2222222</v>
      </c>
      <c r="F4159" s="8" t="s">
        <v>22</v>
      </c>
      <c r="G4159" s="2">
        <v>98</v>
      </c>
      <c r="H4159" t="s">
        <v>4566</v>
      </c>
      <c r="J4159" s="9" t="s">
        <v>5048</v>
      </c>
      <c r="K4159" t="s">
        <v>4980</v>
      </c>
      <c r="L4159" s="2">
        <v>1</v>
      </c>
      <c r="M4159" s="24" t="s">
        <v>5971</v>
      </c>
      <c r="N4159" s="2" t="s">
        <v>23</v>
      </c>
      <c r="O4159" s="18" t="s">
        <v>3190</v>
      </c>
      <c r="P4159" s="18" t="s">
        <v>3781</v>
      </c>
      <c r="Q4159" s="6" t="s">
        <v>4475</v>
      </c>
      <c r="T4159" s="23">
        <v>45127</v>
      </c>
      <c r="U4159" s="23">
        <v>46588</v>
      </c>
      <c r="X4159" s="20">
        <v>5000</v>
      </c>
      <c r="Z4159" s="6" t="s">
        <v>5978</v>
      </c>
      <c r="AA4159" s="13">
        <f>+(0.56/1000)</f>
        <v>5.6000000000000006E-4</v>
      </c>
      <c r="AB4159">
        <v>0.91241360000000005</v>
      </c>
      <c r="AC4159">
        <v>0.94891014400000007</v>
      </c>
    </row>
    <row r="4160" spans="1:29" x14ac:dyDescent="0.3">
      <c r="A4160">
        <v>142095</v>
      </c>
      <c r="B4160" s="25" t="s">
        <v>5984</v>
      </c>
      <c r="C4160" t="s">
        <v>20</v>
      </c>
      <c r="D4160" t="s">
        <v>21</v>
      </c>
      <c r="E4160">
        <v>2222222</v>
      </c>
      <c r="F4160" s="8" t="s">
        <v>22</v>
      </c>
      <c r="G4160" s="2">
        <v>98</v>
      </c>
      <c r="H4160" t="s">
        <v>4566</v>
      </c>
      <c r="J4160" s="9" t="s">
        <v>4836</v>
      </c>
      <c r="K4160" t="s">
        <v>5019</v>
      </c>
      <c r="L4160" s="2">
        <v>1</v>
      </c>
      <c r="M4160" s="24" t="s">
        <v>5971</v>
      </c>
      <c r="N4160" s="2" t="s">
        <v>23</v>
      </c>
      <c r="O4160" s="18" t="s">
        <v>3191</v>
      </c>
      <c r="P4160" s="18" t="s">
        <v>3781</v>
      </c>
      <c r="Q4160" s="6" t="s">
        <v>4475</v>
      </c>
      <c r="T4160" s="23">
        <v>45496</v>
      </c>
      <c r="U4160" s="23">
        <v>46956</v>
      </c>
      <c r="X4160" s="20">
        <v>3115</v>
      </c>
      <c r="Z4160" s="6" t="s">
        <v>5978</v>
      </c>
      <c r="AA4160" s="14">
        <f t="shared" ref="AA4160:AA4168" si="553">+(0.6/1000)</f>
        <v>5.9999999999999995E-4</v>
      </c>
      <c r="AB4160">
        <v>1.1101859999999999</v>
      </c>
      <c r="AC4160">
        <v>1.15459344</v>
      </c>
    </row>
    <row r="4161" spans="1:29" x14ac:dyDescent="0.3">
      <c r="A4161">
        <v>142672</v>
      </c>
      <c r="B4161" s="25" t="s">
        <v>5984</v>
      </c>
      <c r="C4161" t="s">
        <v>20</v>
      </c>
      <c r="D4161" t="s">
        <v>21</v>
      </c>
      <c r="E4161">
        <v>2222222</v>
      </c>
      <c r="F4161" s="8" t="s">
        <v>22</v>
      </c>
      <c r="G4161" s="2">
        <v>98</v>
      </c>
      <c r="H4161" t="s">
        <v>4566</v>
      </c>
      <c r="J4161" s="9" t="s">
        <v>4969</v>
      </c>
      <c r="K4161" t="s">
        <v>5320</v>
      </c>
      <c r="L4161" s="2">
        <v>1</v>
      </c>
      <c r="M4161" s="24" t="s">
        <v>5971</v>
      </c>
      <c r="N4161" s="2" t="s">
        <v>23</v>
      </c>
      <c r="O4161" s="18" t="s">
        <v>3192</v>
      </c>
      <c r="P4161" s="18" t="s">
        <v>3781</v>
      </c>
      <c r="Q4161" s="6" t="s">
        <v>4475</v>
      </c>
      <c r="T4161" s="23">
        <v>45537</v>
      </c>
      <c r="U4161" s="23">
        <v>46632</v>
      </c>
      <c r="X4161" s="20">
        <v>4000</v>
      </c>
      <c r="Z4161" s="6" t="s">
        <v>5978</v>
      </c>
      <c r="AA4161" s="14">
        <f t="shared" si="553"/>
        <v>5.9999999999999995E-4</v>
      </c>
      <c r="AB4161">
        <v>1.097982</v>
      </c>
      <c r="AC4161">
        <v>1.1419012800000001</v>
      </c>
    </row>
    <row r="4162" spans="1:29" x14ac:dyDescent="0.3">
      <c r="A4162">
        <v>142968</v>
      </c>
      <c r="B4162" s="25" t="s">
        <v>5984</v>
      </c>
      <c r="C4162" t="s">
        <v>20</v>
      </c>
      <c r="D4162" t="s">
        <v>21</v>
      </c>
      <c r="E4162">
        <v>2222222</v>
      </c>
      <c r="F4162" s="8" t="s">
        <v>22</v>
      </c>
      <c r="G4162" s="2">
        <v>98</v>
      </c>
      <c r="H4162" t="s">
        <v>4566</v>
      </c>
      <c r="J4162" s="9" t="s">
        <v>5653</v>
      </c>
      <c r="K4162" t="s">
        <v>5148</v>
      </c>
      <c r="L4162" s="2">
        <v>1</v>
      </c>
      <c r="M4162" s="24" t="s">
        <v>5971</v>
      </c>
      <c r="N4162" s="2" t="s">
        <v>23</v>
      </c>
      <c r="O4162" s="18" t="s">
        <v>3193</v>
      </c>
      <c r="P4162" s="18" t="s">
        <v>3781</v>
      </c>
      <c r="Q4162" s="6" t="s">
        <v>4475</v>
      </c>
      <c r="T4162" s="23">
        <v>45559</v>
      </c>
      <c r="U4162" s="23">
        <v>46380</v>
      </c>
      <c r="X4162" s="20">
        <v>3360</v>
      </c>
      <c r="Z4162" s="6" t="s">
        <v>5978</v>
      </c>
      <c r="AA4162" s="14">
        <f t="shared" si="553"/>
        <v>5.9999999999999995E-4</v>
      </c>
      <c r="AB4162">
        <v>0.56182199999999993</v>
      </c>
      <c r="AC4162">
        <v>0.58429487999999996</v>
      </c>
    </row>
    <row r="4163" spans="1:29" x14ac:dyDescent="0.3">
      <c r="A4163">
        <v>143886</v>
      </c>
      <c r="B4163" s="25" t="s">
        <v>5984</v>
      </c>
      <c r="C4163" t="s">
        <v>20</v>
      </c>
      <c r="D4163" t="s">
        <v>21</v>
      </c>
      <c r="E4163">
        <v>2222222</v>
      </c>
      <c r="F4163" s="8" t="s">
        <v>22</v>
      </c>
      <c r="G4163" s="2">
        <v>98</v>
      </c>
      <c r="H4163" t="s">
        <v>4566</v>
      </c>
      <c r="J4163" s="9" t="s">
        <v>5154</v>
      </c>
      <c r="K4163" t="s">
        <v>4946</v>
      </c>
      <c r="L4163" s="2">
        <v>1</v>
      </c>
      <c r="M4163" s="24" t="s">
        <v>5971</v>
      </c>
      <c r="N4163" s="2" t="s">
        <v>23</v>
      </c>
      <c r="O4163" s="18" t="s">
        <v>1231</v>
      </c>
      <c r="P4163" s="18" t="s">
        <v>0</v>
      </c>
      <c r="Q4163" s="6" t="s">
        <v>4475</v>
      </c>
      <c r="T4163" s="23">
        <v>45626</v>
      </c>
      <c r="U4163" s="23">
        <v>49279</v>
      </c>
      <c r="X4163" s="20">
        <v>23000</v>
      </c>
      <c r="Z4163" s="6" t="s">
        <v>5978</v>
      </c>
      <c r="AA4163" s="14">
        <f t="shared" si="553"/>
        <v>5.9999999999999995E-4</v>
      </c>
      <c r="AB4163">
        <v>12.674094</v>
      </c>
      <c r="AC4163">
        <v>13.18105776</v>
      </c>
    </row>
    <row r="4164" spans="1:29" x14ac:dyDescent="0.3">
      <c r="A4164">
        <v>144273</v>
      </c>
      <c r="B4164" s="25" t="s">
        <v>5984</v>
      </c>
      <c r="C4164" t="s">
        <v>20</v>
      </c>
      <c r="D4164" t="s">
        <v>21</v>
      </c>
      <c r="E4164">
        <v>2222222</v>
      </c>
      <c r="F4164" s="8" t="s">
        <v>22</v>
      </c>
      <c r="G4164" s="2">
        <v>98</v>
      </c>
      <c r="H4164" t="s">
        <v>4566</v>
      </c>
      <c r="J4164" s="9" t="s">
        <v>5048</v>
      </c>
      <c r="K4164" t="s">
        <v>4980</v>
      </c>
      <c r="L4164" s="2">
        <v>1</v>
      </c>
      <c r="M4164" s="24" t="s">
        <v>5971</v>
      </c>
      <c r="N4164" s="2" t="s">
        <v>23</v>
      </c>
      <c r="O4164" s="18" t="s">
        <v>3190</v>
      </c>
      <c r="P4164" s="18" t="s">
        <v>3781</v>
      </c>
      <c r="Q4164" s="6" t="s">
        <v>4475</v>
      </c>
      <c r="T4164" s="23">
        <v>45652</v>
      </c>
      <c r="U4164" s="23">
        <v>46746</v>
      </c>
      <c r="X4164" s="20">
        <v>2070</v>
      </c>
      <c r="Z4164" s="6" t="s">
        <v>5978</v>
      </c>
      <c r="AA4164" s="14">
        <f t="shared" si="553"/>
        <v>5.9999999999999995E-4</v>
      </c>
      <c r="AB4164">
        <v>0.6648059999999999</v>
      </c>
      <c r="AC4164">
        <v>0.69139823999999994</v>
      </c>
    </row>
    <row r="4165" spans="1:29" x14ac:dyDescent="0.3">
      <c r="A4165">
        <v>145637</v>
      </c>
      <c r="B4165" s="25" t="s">
        <v>5984</v>
      </c>
      <c r="C4165" t="s">
        <v>20</v>
      </c>
      <c r="D4165" t="s">
        <v>21</v>
      </c>
      <c r="E4165">
        <v>2222222</v>
      </c>
      <c r="F4165" s="8" t="s">
        <v>22</v>
      </c>
      <c r="G4165" s="2">
        <v>98</v>
      </c>
      <c r="H4165" t="s">
        <v>4566</v>
      </c>
      <c r="J4165" s="9" t="s">
        <v>4891</v>
      </c>
      <c r="K4165" t="s">
        <v>5284</v>
      </c>
      <c r="L4165" s="2">
        <v>1</v>
      </c>
      <c r="M4165" s="24" t="s">
        <v>5971</v>
      </c>
      <c r="N4165" s="2" t="s">
        <v>23</v>
      </c>
      <c r="O4165" s="18" t="s">
        <v>3194</v>
      </c>
      <c r="P4165" s="18" t="s">
        <v>3781</v>
      </c>
      <c r="Q4165" s="6" t="s">
        <v>4475</v>
      </c>
      <c r="T4165" s="23">
        <v>45753</v>
      </c>
      <c r="U4165" s="23">
        <v>46483</v>
      </c>
      <c r="X4165" s="20">
        <v>1000</v>
      </c>
      <c r="Z4165" s="6" t="s">
        <v>5978</v>
      </c>
      <c r="AA4165" s="14">
        <f t="shared" si="553"/>
        <v>5.9999999999999995E-4</v>
      </c>
      <c r="AB4165">
        <v>0.24936</v>
      </c>
      <c r="AC4165">
        <v>0.25933440000000002</v>
      </c>
    </row>
    <row r="4166" spans="1:29" x14ac:dyDescent="0.3">
      <c r="A4166">
        <v>145809</v>
      </c>
      <c r="B4166" s="25" t="s">
        <v>5984</v>
      </c>
      <c r="C4166" t="s">
        <v>20</v>
      </c>
      <c r="D4166" t="s">
        <v>21</v>
      </c>
      <c r="E4166">
        <v>2222222</v>
      </c>
      <c r="F4166" s="8" t="s">
        <v>22</v>
      </c>
      <c r="G4166" s="2">
        <v>98</v>
      </c>
      <c r="H4166" t="s">
        <v>4566</v>
      </c>
      <c r="J4166" s="9" t="s">
        <v>4969</v>
      </c>
      <c r="K4166" t="s">
        <v>5320</v>
      </c>
      <c r="L4166" s="2">
        <v>1</v>
      </c>
      <c r="M4166" s="24" t="s">
        <v>5971</v>
      </c>
      <c r="N4166" s="2" t="s">
        <v>23</v>
      </c>
      <c r="O4166" s="18" t="s">
        <v>3192</v>
      </c>
      <c r="P4166" s="18" t="s">
        <v>3781</v>
      </c>
      <c r="Q4166" s="6" t="s">
        <v>4475</v>
      </c>
      <c r="T4166" s="23">
        <v>45768</v>
      </c>
      <c r="U4166" s="23">
        <v>46864</v>
      </c>
      <c r="X4166" s="20">
        <v>5000</v>
      </c>
      <c r="Z4166" s="6" t="s">
        <v>5978</v>
      </c>
      <c r="AA4166" s="14">
        <f t="shared" si="553"/>
        <v>5.9999999999999995E-4</v>
      </c>
      <c r="AB4166">
        <v>1.6772999999999998</v>
      </c>
      <c r="AC4166">
        <v>1.7443919999999999</v>
      </c>
    </row>
    <row r="4167" spans="1:29" x14ac:dyDescent="0.3">
      <c r="A4167">
        <v>150668</v>
      </c>
      <c r="B4167" s="25" t="s">
        <v>5984</v>
      </c>
      <c r="C4167" t="s">
        <v>20</v>
      </c>
      <c r="D4167" t="s">
        <v>21</v>
      </c>
      <c r="E4167">
        <v>2222222</v>
      </c>
      <c r="F4167" s="8" t="s">
        <v>22</v>
      </c>
      <c r="G4167" s="2">
        <v>98</v>
      </c>
      <c r="H4167" t="s">
        <v>4566</v>
      </c>
      <c r="J4167" s="9" t="s">
        <v>4891</v>
      </c>
      <c r="K4167" t="s">
        <v>5284</v>
      </c>
      <c r="L4167" s="2">
        <v>1</v>
      </c>
      <c r="M4167" s="24" t="s">
        <v>5971</v>
      </c>
      <c r="N4167" s="2" t="s">
        <v>23</v>
      </c>
      <c r="O4167" s="18" t="s">
        <v>3194</v>
      </c>
      <c r="P4167" s="18" t="s">
        <v>3781</v>
      </c>
      <c r="Q4167" s="6" t="s">
        <v>4475</v>
      </c>
      <c r="T4167" s="23">
        <v>46107</v>
      </c>
      <c r="U4167" s="23">
        <v>47932</v>
      </c>
      <c r="X4167" s="20">
        <v>4780</v>
      </c>
      <c r="Z4167" s="6" t="s">
        <v>5978</v>
      </c>
      <c r="AA4167" s="14">
        <f t="shared" si="553"/>
        <v>5.9999999999999995E-4</v>
      </c>
      <c r="AB4167">
        <v>2.7672300000000001</v>
      </c>
      <c r="AC4167">
        <v>2.8779192</v>
      </c>
    </row>
    <row r="4168" spans="1:29" x14ac:dyDescent="0.3">
      <c r="A4168">
        <v>151823</v>
      </c>
      <c r="B4168" s="25" t="s">
        <v>5984</v>
      </c>
      <c r="C4168" t="s">
        <v>20</v>
      </c>
      <c r="D4168" t="s">
        <v>21</v>
      </c>
      <c r="E4168">
        <v>2222222</v>
      </c>
      <c r="F4168" s="8" t="s">
        <v>22</v>
      </c>
      <c r="G4168" s="2">
        <v>98</v>
      </c>
      <c r="H4168" t="s">
        <v>4566</v>
      </c>
      <c r="J4168" s="9" t="s">
        <v>4836</v>
      </c>
      <c r="K4168" t="s">
        <v>4932</v>
      </c>
      <c r="L4168" s="2">
        <v>1</v>
      </c>
      <c r="M4168" s="24" t="s">
        <v>5971</v>
      </c>
      <c r="N4168" s="2" t="s">
        <v>23</v>
      </c>
      <c r="O4168" s="18" t="s">
        <v>3195</v>
      </c>
      <c r="P4168" s="18" t="s">
        <v>3781</v>
      </c>
      <c r="Q4168" s="6" t="s">
        <v>4475</v>
      </c>
      <c r="T4168" s="23">
        <v>46190</v>
      </c>
      <c r="U4168" s="23">
        <v>46280</v>
      </c>
      <c r="X4168" s="20">
        <v>2950</v>
      </c>
      <c r="Z4168" s="6" t="s">
        <v>5978</v>
      </c>
      <c r="AA4168" s="14">
        <f t="shared" si="553"/>
        <v>5.9999999999999995E-4</v>
      </c>
      <c r="AB4168">
        <v>1.7699999999999998</v>
      </c>
      <c r="AC4168">
        <v>1.8407999999999998</v>
      </c>
    </row>
    <row r="4169" spans="1:29" x14ac:dyDescent="0.3">
      <c r="A4169">
        <v>136905</v>
      </c>
      <c r="B4169" s="25" t="s">
        <v>5984</v>
      </c>
      <c r="C4169" t="s">
        <v>20</v>
      </c>
      <c r="D4169" t="s">
        <v>21</v>
      </c>
      <c r="E4169">
        <v>2222222</v>
      </c>
      <c r="F4169" s="8" t="s">
        <v>22</v>
      </c>
      <c r="G4169" s="2">
        <v>98</v>
      </c>
      <c r="H4169" t="s">
        <v>4567</v>
      </c>
      <c r="J4169" s="9" t="s">
        <v>5204</v>
      </c>
      <c r="K4169" t="s">
        <v>4961</v>
      </c>
      <c r="L4169" s="2">
        <v>1</v>
      </c>
      <c r="M4169" s="24" t="s">
        <v>5971</v>
      </c>
      <c r="N4169" s="2" t="s">
        <v>23</v>
      </c>
      <c r="O4169" s="18" t="s">
        <v>743</v>
      </c>
      <c r="P4169" s="18" t="s">
        <v>0</v>
      </c>
      <c r="Q4169" s="6" t="s">
        <v>4475</v>
      </c>
      <c r="T4169" s="23">
        <v>45196</v>
      </c>
      <c r="U4169" s="23">
        <v>46661</v>
      </c>
      <c r="X4169" s="20">
        <v>3110</v>
      </c>
      <c r="Z4169" s="6" t="s">
        <v>5978</v>
      </c>
      <c r="AA4169" s="13">
        <f>+(0.56/1000)</f>
        <v>5.6000000000000006E-4</v>
      </c>
      <c r="AB4169">
        <v>0.69209280000000017</v>
      </c>
      <c r="AC4169">
        <v>0.71977651200000026</v>
      </c>
    </row>
    <row r="4170" spans="1:29" x14ac:dyDescent="0.3">
      <c r="A4170">
        <v>150954</v>
      </c>
      <c r="B4170" s="25" t="s">
        <v>5984</v>
      </c>
      <c r="C4170" t="s">
        <v>20</v>
      </c>
      <c r="D4170" t="s">
        <v>21</v>
      </c>
      <c r="E4170">
        <v>2222222</v>
      </c>
      <c r="F4170" s="8" t="s">
        <v>22</v>
      </c>
      <c r="G4170" s="2">
        <v>98</v>
      </c>
      <c r="H4170" t="s">
        <v>4567</v>
      </c>
      <c r="J4170" s="9" t="s">
        <v>4859</v>
      </c>
      <c r="K4170" t="s">
        <v>5011</v>
      </c>
      <c r="L4170" s="2">
        <v>1</v>
      </c>
      <c r="M4170" s="24" t="s">
        <v>5971</v>
      </c>
      <c r="N4170" s="2" t="s">
        <v>23</v>
      </c>
      <c r="O4170" s="18" t="s">
        <v>301</v>
      </c>
      <c r="P4170" s="18" t="s">
        <v>3781</v>
      </c>
      <c r="Q4170" s="6" t="s">
        <v>4475</v>
      </c>
      <c r="T4170" s="23">
        <v>46129</v>
      </c>
      <c r="U4170" s="23">
        <v>47225</v>
      </c>
      <c r="X4170" s="20">
        <v>4300</v>
      </c>
      <c r="Z4170" s="6" t="s">
        <v>5978</v>
      </c>
      <c r="AA4170" s="14">
        <f t="shared" ref="AA4170:AA4173" si="554">+(0.6/1000)</f>
        <v>5.9999999999999995E-4</v>
      </c>
      <c r="AB4170">
        <v>2.4140999999999999</v>
      </c>
      <c r="AC4170">
        <v>2.5106639999999998</v>
      </c>
    </row>
    <row r="4171" spans="1:29" x14ac:dyDescent="0.3">
      <c r="A4171">
        <v>148819</v>
      </c>
      <c r="B4171" s="25" t="s">
        <v>5984</v>
      </c>
      <c r="C4171" t="s">
        <v>20</v>
      </c>
      <c r="D4171" t="s">
        <v>21</v>
      </c>
      <c r="E4171">
        <v>2222222</v>
      </c>
      <c r="F4171" s="8" t="s">
        <v>22</v>
      </c>
      <c r="G4171" s="2">
        <v>98</v>
      </c>
      <c r="H4171" t="s">
        <v>4568</v>
      </c>
      <c r="J4171" s="9" t="s">
        <v>5233</v>
      </c>
      <c r="K4171" t="s">
        <v>4853</v>
      </c>
      <c r="L4171" s="2">
        <v>1</v>
      </c>
      <c r="M4171" s="24" t="s">
        <v>5971</v>
      </c>
      <c r="N4171" s="2" t="s">
        <v>23</v>
      </c>
      <c r="O4171" s="18" t="s">
        <v>3196</v>
      </c>
      <c r="P4171" s="18" t="s">
        <v>0</v>
      </c>
      <c r="Q4171" s="6" t="s">
        <v>4475</v>
      </c>
      <c r="T4171" s="23">
        <v>45988</v>
      </c>
      <c r="U4171" s="23">
        <v>49640</v>
      </c>
      <c r="X4171" s="20">
        <v>52000</v>
      </c>
      <c r="Z4171" s="6" t="s">
        <v>5978</v>
      </c>
      <c r="AA4171" s="14">
        <f t="shared" si="554"/>
        <v>5.9999999999999995E-4</v>
      </c>
      <c r="AB4171">
        <v>30.072461999999994</v>
      </c>
      <c r="AC4171">
        <v>31.275360479999996</v>
      </c>
    </row>
    <row r="4172" spans="1:29" x14ac:dyDescent="0.3">
      <c r="A4172">
        <v>152368</v>
      </c>
      <c r="B4172" s="25" t="s">
        <v>5984</v>
      </c>
      <c r="C4172" t="s">
        <v>20</v>
      </c>
      <c r="D4172" t="s">
        <v>21</v>
      </c>
      <c r="E4172">
        <v>2222222</v>
      </c>
      <c r="F4172" s="8" t="s">
        <v>22</v>
      </c>
      <c r="G4172" s="2">
        <v>98</v>
      </c>
      <c r="H4172" t="s">
        <v>4568</v>
      </c>
      <c r="J4172" s="9" t="s">
        <v>4838</v>
      </c>
      <c r="K4172" t="s">
        <v>4847</v>
      </c>
      <c r="L4172" s="2">
        <v>1</v>
      </c>
      <c r="M4172" s="24" t="s">
        <v>5971</v>
      </c>
      <c r="N4172" s="2" t="s">
        <v>23</v>
      </c>
      <c r="O4172" s="18" t="s">
        <v>3197</v>
      </c>
      <c r="P4172" s="18" t="s">
        <v>0</v>
      </c>
      <c r="Q4172" s="6" t="s">
        <v>4475</v>
      </c>
      <c r="T4172" s="23">
        <v>46232</v>
      </c>
      <c r="U4172" s="23">
        <v>46322</v>
      </c>
      <c r="X4172" s="20">
        <v>2300</v>
      </c>
      <c r="Z4172" s="6" t="s">
        <v>5978</v>
      </c>
      <c r="AA4172" s="14">
        <f t="shared" si="554"/>
        <v>5.9999999999999995E-4</v>
      </c>
      <c r="AB4172">
        <v>1.38</v>
      </c>
      <c r="AC4172">
        <v>1.4352</v>
      </c>
    </row>
    <row r="4173" spans="1:29" x14ac:dyDescent="0.3">
      <c r="A4173">
        <v>151238</v>
      </c>
      <c r="B4173" s="25" t="s">
        <v>5984</v>
      </c>
      <c r="C4173" t="s">
        <v>20</v>
      </c>
      <c r="D4173" t="s">
        <v>21</v>
      </c>
      <c r="E4173">
        <v>2222222</v>
      </c>
      <c r="F4173" s="8" t="s">
        <v>22</v>
      </c>
      <c r="G4173" s="2">
        <v>98</v>
      </c>
      <c r="H4173" t="s">
        <v>4569</v>
      </c>
      <c r="J4173" s="9" t="s">
        <v>4864</v>
      </c>
      <c r="K4173" t="s">
        <v>4965</v>
      </c>
      <c r="L4173" s="2">
        <v>1</v>
      </c>
      <c r="M4173" s="24" t="s">
        <v>5971</v>
      </c>
      <c r="N4173" s="2" t="s">
        <v>23</v>
      </c>
      <c r="O4173" s="18" t="s">
        <v>3198</v>
      </c>
      <c r="P4173" s="18" t="s">
        <v>0</v>
      </c>
      <c r="Q4173" s="6" t="s">
        <v>4475</v>
      </c>
      <c r="T4173" s="23">
        <v>46149</v>
      </c>
      <c r="U4173" s="23">
        <v>46513</v>
      </c>
      <c r="X4173" s="20">
        <v>5000</v>
      </c>
      <c r="Z4173" s="6" t="s">
        <v>5978</v>
      </c>
      <c r="AA4173" s="14">
        <f t="shared" si="554"/>
        <v>5.9999999999999995E-4</v>
      </c>
      <c r="AB4173">
        <v>2.5357439999999998</v>
      </c>
      <c r="AC4173">
        <v>2.63717376</v>
      </c>
    </row>
    <row r="4174" spans="1:29" x14ac:dyDescent="0.3">
      <c r="A4174">
        <v>126458</v>
      </c>
      <c r="B4174" s="25" t="s">
        <v>5984</v>
      </c>
      <c r="C4174" t="s">
        <v>20</v>
      </c>
      <c r="D4174" t="s">
        <v>21</v>
      </c>
      <c r="E4174">
        <v>2222222</v>
      </c>
      <c r="F4174" s="8" t="s">
        <v>22</v>
      </c>
      <c r="G4174" s="2">
        <v>98</v>
      </c>
      <c r="H4174" t="s">
        <v>4570</v>
      </c>
      <c r="J4174" s="9" t="s">
        <v>5061</v>
      </c>
      <c r="K4174" t="s">
        <v>5018</v>
      </c>
      <c r="L4174" s="2">
        <v>1</v>
      </c>
      <c r="M4174" s="24" t="s">
        <v>5971</v>
      </c>
      <c r="N4174" s="2" t="s">
        <v>23</v>
      </c>
      <c r="O4174" s="18" t="s">
        <v>1663</v>
      </c>
      <c r="P4174" s="18" t="s">
        <v>0</v>
      </c>
      <c r="Q4174" s="6" t="s">
        <v>4475</v>
      </c>
      <c r="T4174" s="23">
        <v>44619</v>
      </c>
      <c r="U4174" s="23">
        <v>45351</v>
      </c>
      <c r="X4174" s="20">
        <v>2470</v>
      </c>
      <c r="Z4174" s="6" t="s">
        <v>5978</v>
      </c>
      <c r="AA4174" s="15">
        <f>+(0.42/1000)</f>
        <v>4.1999999999999996E-4</v>
      </c>
      <c r="AB4174">
        <v>0.68382719999999997</v>
      </c>
      <c r="AC4174">
        <v>0.71118028799999999</v>
      </c>
    </row>
    <row r="4175" spans="1:29" x14ac:dyDescent="0.3">
      <c r="A4175">
        <v>148360</v>
      </c>
      <c r="B4175" s="25" t="s">
        <v>5984</v>
      </c>
      <c r="C4175" t="s">
        <v>20</v>
      </c>
      <c r="D4175" t="s">
        <v>21</v>
      </c>
      <c r="E4175">
        <v>2222222</v>
      </c>
      <c r="F4175" s="8" t="s">
        <v>22</v>
      </c>
      <c r="G4175" s="2">
        <v>98</v>
      </c>
      <c r="H4175" t="s">
        <v>4570</v>
      </c>
      <c r="J4175" s="9" t="s">
        <v>5050</v>
      </c>
      <c r="K4175" t="s">
        <v>5033</v>
      </c>
      <c r="L4175" s="2">
        <v>1</v>
      </c>
      <c r="M4175" s="24" t="s">
        <v>5971</v>
      </c>
      <c r="N4175" s="2" t="s">
        <v>23</v>
      </c>
      <c r="O4175" s="18" t="s">
        <v>3199</v>
      </c>
      <c r="P4175" s="18" t="s">
        <v>3781</v>
      </c>
      <c r="Q4175" s="6" t="s">
        <v>4475</v>
      </c>
      <c r="T4175" s="23">
        <v>45954</v>
      </c>
      <c r="U4175" s="23">
        <v>46319</v>
      </c>
      <c r="X4175" s="20">
        <v>1000</v>
      </c>
      <c r="Z4175" s="6" t="s">
        <v>5978</v>
      </c>
      <c r="AA4175" s="14">
        <f>+(0.6/1000)</f>
        <v>5.9999999999999995E-4</v>
      </c>
      <c r="AB4175">
        <v>0.15991799999999998</v>
      </c>
      <c r="AC4175">
        <v>0.16631471999999997</v>
      </c>
    </row>
    <row r="4176" spans="1:29" x14ac:dyDescent="0.3">
      <c r="A4176">
        <v>125991</v>
      </c>
      <c r="B4176" s="25" t="s">
        <v>5984</v>
      </c>
      <c r="C4176" t="s">
        <v>20</v>
      </c>
      <c r="D4176" t="s">
        <v>21</v>
      </c>
      <c r="E4176">
        <v>2222222</v>
      </c>
      <c r="F4176" s="8" t="s">
        <v>22</v>
      </c>
      <c r="G4176" s="2">
        <v>98</v>
      </c>
      <c r="H4176" t="s">
        <v>4571</v>
      </c>
      <c r="J4176" s="9" t="s">
        <v>5091</v>
      </c>
      <c r="K4176" t="s">
        <v>4924</v>
      </c>
      <c r="L4176" s="2">
        <v>1</v>
      </c>
      <c r="M4176" s="24" t="s">
        <v>5971</v>
      </c>
      <c r="N4176" s="2" t="s">
        <v>23</v>
      </c>
      <c r="O4176" s="18" t="s">
        <v>505</v>
      </c>
      <c r="P4176" s="18" t="s">
        <v>3781</v>
      </c>
      <c r="Q4176" s="6" t="s">
        <v>4475</v>
      </c>
      <c r="T4176" s="23">
        <v>44596</v>
      </c>
      <c r="U4176" s="23">
        <v>45694</v>
      </c>
      <c r="X4176" s="20">
        <v>5000</v>
      </c>
      <c r="Z4176" s="6" t="s">
        <v>5978</v>
      </c>
      <c r="AA4176" s="15">
        <f>+(0.42/1000)</f>
        <v>4.1999999999999996E-4</v>
      </c>
      <c r="AB4176">
        <v>0.57695399999999997</v>
      </c>
      <c r="AC4176">
        <v>0.60003216000000004</v>
      </c>
    </row>
    <row r="4177" spans="1:29" x14ac:dyDescent="0.3">
      <c r="A4177">
        <v>131068</v>
      </c>
      <c r="B4177" s="25" t="s">
        <v>5984</v>
      </c>
      <c r="C4177" t="s">
        <v>20</v>
      </c>
      <c r="D4177" t="s">
        <v>21</v>
      </c>
      <c r="E4177">
        <v>2222222</v>
      </c>
      <c r="F4177" s="8" t="s">
        <v>22</v>
      </c>
      <c r="G4177" s="2">
        <v>98</v>
      </c>
      <c r="H4177" t="s">
        <v>4571</v>
      </c>
      <c r="J4177" s="9" t="s">
        <v>4826</v>
      </c>
      <c r="K4177" t="s">
        <v>5371</v>
      </c>
      <c r="L4177" s="2">
        <v>1</v>
      </c>
      <c r="M4177" s="24" t="s">
        <v>5971</v>
      </c>
      <c r="N4177" s="2" t="s">
        <v>23</v>
      </c>
      <c r="O4177" s="18" t="s">
        <v>311</v>
      </c>
      <c r="P4177" s="18" t="s">
        <v>0</v>
      </c>
      <c r="Q4177" s="6" t="s">
        <v>4475</v>
      </c>
      <c r="T4177" s="23">
        <v>44872</v>
      </c>
      <c r="U4177" s="23">
        <v>45971</v>
      </c>
      <c r="X4177" s="20">
        <v>5000</v>
      </c>
      <c r="Z4177" s="6" t="s">
        <v>5978</v>
      </c>
      <c r="AA4177" s="13">
        <f t="shared" ref="AA4177:AA4182" si="555">+(0.56/1000)</f>
        <v>5.6000000000000006E-4</v>
      </c>
      <c r="AB4177">
        <v>1.5983408000000001</v>
      </c>
      <c r="AC4177">
        <v>1.6622744320000002</v>
      </c>
    </row>
    <row r="4178" spans="1:29" x14ac:dyDescent="0.3">
      <c r="A4178">
        <v>135394</v>
      </c>
      <c r="B4178" s="25" t="s">
        <v>5984</v>
      </c>
      <c r="C4178" t="s">
        <v>20</v>
      </c>
      <c r="D4178" t="s">
        <v>21</v>
      </c>
      <c r="E4178">
        <v>2222222</v>
      </c>
      <c r="F4178" s="8" t="s">
        <v>22</v>
      </c>
      <c r="G4178" s="2">
        <v>98</v>
      </c>
      <c r="H4178" t="s">
        <v>4571</v>
      </c>
      <c r="J4178" s="9" t="s">
        <v>4826</v>
      </c>
      <c r="K4178" t="s">
        <v>5371</v>
      </c>
      <c r="L4178" s="2">
        <v>1</v>
      </c>
      <c r="M4178" s="24" t="s">
        <v>5971</v>
      </c>
      <c r="N4178" s="2" t="s">
        <v>23</v>
      </c>
      <c r="O4178" s="18" t="s">
        <v>311</v>
      </c>
      <c r="P4178" s="18" t="s">
        <v>0</v>
      </c>
      <c r="Q4178" s="6" t="s">
        <v>4475</v>
      </c>
      <c r="T4178" s="23">
        <v>45110</v>
      </c>
      <c r="U4178" s="23">
        <v>46205</v>
      </c>
      <c r="X4178" s="20">
        <v>4000</v>
      </c>
      <c r="Z4178" s="6" t="s">
        <v>5978</v>
      </c>
      <c r="AA4178" s="13">
        <f t="shared" si="555"/>
        <v>5.6000000000000006E-4</v>
      </c>
      <c r="AB4178">
        <v>1.7343032</v>
      </c>
      <c r="AC4178">
        <v>1.8036753280000002</v>
      </c>
    </row>
    <row r="4179" spans="1:29" x14ac:dyDescent="0.3">
      <c r="A4179">
        <v>136925</v>
      </c>
      <c r="B4179" s="25" t="s">
        <v>5984</v>
      </c>
      <c r="C4179" t="s">
        <v>20</v>
      </c>
      <c r="D4179" t="s">
        <v>21</v>
      </c>
      <c r="E4179">
        <v>2222222</v>
      </c>
      <c r="F4179" s="8" t="s">
        <v>22</v>
      </c>
      <c r="G4179" s="2">
        <v>98</v>
      </c>
      <c r="H4179" t="s">
        <v>4571</v>
      </c>
      <c r="J4179" s="9" t="s">
        <v>5091</v>
      </c>
      <c r="K4179" t="s">
        <v>4924</v>
      </c>
      <c r="L4179" s="2">
        <v>1</v>
      </c>
      <c r="M4179" s="24" t="s">
        <v>5971</v>
      </c>
      <c r="N4179" s="2" t="s">
        <v>23</v>
      </c>
      <c r="O4179" s="18" t="s">
        <v>505</v>
      </c>
      <c r="P4179" s="18" t="s">
        <v>3781</v>
      </c>
      <c r="Q4179" s="6" t="s">
        <v>4475</v>
      </c>
      <c r="T4179" s="23">
        <v>45197</v>
      </c>
      <c r="U4179" s="23">
        <v>46299</v>
      </c>
      <c r="X4179" s="20">
        <v>4000</v>
      </c>
      <c r="Z4179" s="6" t="s">
        <v>5978</v>
      </c>
      <c r="AA4179" s="13">
        <f t="shared" si="555"/>
        <v>5.6000000000000006E-4</v>
      </c>
      <c r="AB4179">
        <v>1.7726632</v>
      </c>
      <c r="AC4179">
        <v>1.8435697280000001</v>
      </c>
    </row>
    <row r="4180" spans="1:29" x14ac:dyDescent="0.3">
      <c r="A4180">
        <v>138094</v>
      </c>
      <c r="B4180" s="25" t="s">
        <v>5984</v>
      </c>
      <c r="C4180" t="s">
        <v>20</v>
      </c>
      <c r="D4180" t="s">
        <v>21</v>
      </c>
      <c r="E4180">
        <v>2222222</v>
      </c>
      <c r="F4180" s="8" t="s">
        <v>22</v>
      </c>
      <c r="G4180" s="2">
        <v>98</v>
      </c>
      <c r="H4180" t="s">
        <v>4571</v>
      </c>
      <c r="J4180" s="9" t="s">
        <v>4892</v>
      </c>
      <c r="K4180" t="s">
        <v>4926</v>
      </c>
      <c r="L4180" s="2">
        <v>1</v>
      </c>
      <c r="M4180" s="24" t="s">
        <v>5971</v>
      </c>
      <c r="N4180" s="2" t="s">
        <v>23</v>
      </c>
      <c r="O4180" s="18" t="s">
        <v>3200</v>
      </c>
      <c r="P4180" s="18" t="s">
        <v>3781</v>
      </c>
      <c r="Q4180" s="6" t="s">
        <v>4475</v>
      </c>
      <c r="T4180" s="23">
        <v>45278</v>
      </c>
      <c r="U4180" s="23">
        <v>47104</v>
      </c>
      <c r="X4180" s="20">
        <v>65000</v>
      </c>
      <c r="Z4180" s="6" t="s">
        <v>5978</v>
      </c>
      <c r="AA4180" s="13">
        <f t="shared" si="555"/>
        <v>5.6000000000000006E-4</v>
      </c>
      <c r="AB4180">
        <v>20.2114528</v>
      </c>
      <c r="AC4180">
        <v>21.019910912</v>
      </c>
    </row>
    <row r="4181" spans="1:29" x14ac:dyDescent="0.3">
      <c r="A4181">
        <v>139177</v>
      </c>
      <c r="B4181" s="25" t="s">
        <v>5984</v>
      </c>
      <c r="C4181" t="s">
        <v>20</v>
      </c>
      <c r="D4181" t="s">
        <v>21</v>
      </c>
      <c r="E4181">
        <v>2222222</v>
      </c>
      <c r="F4181" s="8" t="s">
        <v>22</v>
      </c>
      <c r="G4181" s="2">
        <v>98</v>
      </c>
      <c r="H4181" t="s">
        <v>4571</v>
      </c>
      <c r="J4181" s="9" t="s">
        <v>5878</v>
      </c>
      <c r="K4181" t="s">
        <v>5560</v>
      </c>
      <c r="L4181" s="2">
        <v>1</v>
      </c>
      <c r="M4181" s="24" t="s">
        <v>5971</v>
      </c>
      <c r="N4181" s="2" t="s">
        <v>23</v>
      </c>
      <c r="O4181" s="18" t="s">
        <v>2560</v>
      </c>
      <c r="P4181" s="18" t="s">
        <v>3781</v>
      </c>
      <c r="Q4181" s="6" t="s">
        <v>4475</v>
      </c>
      <c r="T4181" s="23">
        <v>45319</v>
      </c>
      <c r="U4181" s="23">
        <v>46322</v>
      </c>
      <c r="X4181" s="20">
        <v>5000</v>
      </c>
      <c r="Z4181" s="6" t="s">
        <v>5978</v>
      </c>
      <c r="AA4181" s="13">
        <f t="shared" si="555"/>
        <v>5.6000000000000006E-4</v>
      </c>
      <c r="AB4181">
        <v>0.31735760000000007</v>
      </c>
      <c r="AC4181">
        <v>0.33005190400000006</v>
      </c>
    </row>
    <row r="4182" spans="1:29" x14ac:dyDescent="0.3">
      <c r="A4182">
        <v>139731</v>
      </c>
      <c r="B4182" s="25" t="s">
        <v>5984</v>
      </c>
      <c r="C4182" t="s">
        <v>20</v>
      </c>
      <c r="D4182" t="s">
        <v>21</v>
      </c>
      <c r="E4182">
        <v>2222222</v>
      </c>
      <c r="F4182" s="8" t="s">
        <v>22</v>
      </c>
      <c r="G4182" s="2">
        <v>98</v>
      </c>
      <c r="H4182" t="s">
        <v>4571</v>
      </c>
      <c r="J4182" s="9" t="s">
        <v>4826</v>
      </c>
      <c r="K4182" t="s">
        <v>5212</v>
      </c>
      <c r="L4182" s="2">
        <v>1</v>
      </c>
      <c r="M4182" s="24" t="s">
        <v>5971</v>
      </c>
      <c r="N4182" s="2" t="s">
        <v>23</v>
      </c>
      <c r="O4182" s="18" t="s">
        <v>3201</v>
      </c>
      <c r="P4182" s="18" t="s">
        <v>0</v>
      </c>
      <c r="Q4182" s="6" t="s">
        <v>4475</v>
      </c>
      <c r="T4182" s="23">
        <v>45354</v>
      </c>
      <c r="U4182" s="23">
        <v>47544</v>
      </c>
      <c r="X4182" s="20">
        <v>20000</v>
      </c>
      <c r="Z4182" s="6" t="s">
        <v>5978</v>
      </c>
      <c r="AA4182" s="13">
        <f t="shared" si="555"/>
        <v>5.6000000000000006E-4</v>
      </c>
      <c r="AB4182">
        <v>8.0604104000000003</v>
      </c>
      <c r="AC4182">
        <v>8.3828268160000015</v>
      </c>
    </row>
    <row r="4183" spans="1:29" x14ac:dyDescent="0.3">
      <c r="A4183">
        <v>142480</v>
      </c>
      <c r="B4183" s="25" t="s">
        <v>5984</v>
      </c>
      <c r="C4183" t="s">
        <v>20</v>
      </c>
      <c r="D4183" t="s">
        <v>21</v>
      </c>
      <c r="E4183">
        <v>2222222</v>
      </c>
      <c r="F4183" s="8" t="s">
        <v>22</v>
      </c>
      <c r="G4183" s="2">
        <v>98</v>
      </c>
      <c r="H4183" t="s">
        <v>4571</v>
      </c>
      <c r="J4183" s="9" t="s">
        <v>5622</v>
      </c>
      <c r="K4183" t="s">
        <v>4993</v>
      </c>
      <c r="L4183" s="2">
        <v>1</v>
      </c>
      <c r="M4183" s="24" t="s">
        <v>5971</v>
      </c>
      <c r="N4183" s="2" t="s">
        <v>23</v>
      </c>
      <c r="O4183" s="18" t="s">
        <v>3202</v>
      </c>
      <c r="P4183" s="18" t="s">
        <v>3781</v>
      </c>
      <c r="Q4183" s="6" t="s">
        <v>4475</v>
      </c>
      <c r="T4183" s="23">
        <v>45524</v>
      </c>
      <c r="U4183" s="23">
        <v>46618</v>
      </c>
      <c r="X4183" s="20">
        <v>4920</v>
      </c>
      <c r="Z4183" s="6" t="s">
        <v>5978</v>
      </c>
      <c r="AA4183" s="14">
        <f t="shared" ref="AA4183:AA4196" si="556">+(0.6/1000)</f>
        <v>5.9999999999999995E-4</v>
      </c>
      <c r="AB4183">
        <v>0.90179399999999987</v>
      </c>
      <c r="AC4183">
        <v>0.93786575999999988</v>
      </c>
    </row>
    <row r="4184" spans="1:29" x14ac:dyDescent="0.3">
      <c r="A4184">
        <v>146532</v>
      </c>
      <c r="B4184" s="25" t="s">
        <v>5984</v>
      </c>
      <c r="C4184" t="s">
        <v>20</v>
      </c>
      <c r="D4184" t="s">
        <v>21</v>
      </c>
      <c r="E4184">
        <v>2222222</v>
      </c>
      <c r="F4184" s="8" t="s">
        <v>22</v>
      </c>
      <c r="G4184" s="2">
        <v>98</v>
      </c>
      <c r="H4184" t="s">
        <v>4571</v>
      </c>
      <c r="J4184" s="9" t="s">
        <v>5370</v>
      </c>
      <c r="K4184" t="s">
        <v>4875</v>
      </c>
      <c r="L4184" s="2">
        <v>1</v>
      </c>
      <c r="M4184" s="24" t="s">
        <v>5971</v>
      </c>
      <c r="N4184" s="2" t="s">
        <v>23</v>
      </c>
      <c r="O4184" s="18" t="s">
        <v>3203</v>
      </c>
      <c r="P4184" s="18" t="s">
        <v>0</v>
      </c>
      <c r="Q4184" s="6" t="s">
        <v>4475</v>
      </c>
      <c r="T4184" s="23">
        <v>45824</v>
      </c>
      <c r="U4184" s="23">
        <v>47285</v>
      </c>
      <c r="X4184" s="20">
        <v>5000</v>
      </c>
      <c r="Z4184" s="6" t="s">
        <v>5978</v>
      </c>
      <c r="AA4184" s="14">
        <f t="shared" si="556"/>
        <v>5.9999999999999995E-4</v>
      </c>
      <c r="AB4184">
        <v>2.3882219999999998</v>
      </c>
      <c r="AC4184">
        <v>2.4837508800000001</v>
      </c>
    </row>
    <row r="4185" spans="1:29" x14ac:dyDescent="0.3">
      <c r="A4185">
        <v>146837</v>
      </c>
      <c r="B4185" s="25" t="s">
        <v>5984</v>
      </c>
      <c r="C4185" t="s">
        <v>20</v>
      </c>
      <c r="D4185" t="s">
        <v>21</v>
      </c>
      <c r="E4185">
        <v>2222222</v>
      </c>
      <c r="F4185" s="8" t="s">
        <v>22</v>
      </c>
      <c r="G4185" s="2">
        <v>98</v>
      </c>
      <c r="H4185" t="s">
        <v>4571</v>
      </c>
      <c r="J4185" s="9" t="s">
        <v>4951</v>
      </c>
      <c r="K4185" t="s">
        <v>4844</v>
      </c>
      <c r="L4185" s="2">
        <v>1</v>
      </c>
      <c r="M4185" s="24" t="s">
        <v>5971</v>
      </c>
      <c r="N4185" s="2" t="s">
        <v>23</v>
      </c>
      <c r="O4185" s="18" t="s">
        <v>3204</v>
      </c>
      <c r="P4185" s="18" t="s">
        <v>0</v>
      </c>
      <c r="Q4185" s="6" t="s">
        <v>4475</v>
      </c>
      <c r="T4185" s="23">
        <v>45847</v>
      </c>
      <c r="U4185" s="23">
        <v>47307</v>
      </c>
      <c r="X4185" s="20">
        <v>5000</v>
      </c>
      <c r="Z4185" s="6" t="s">
        <v>5978</v>
      </c>
      <c r="AA4185" s="14">
        <f t="shared" si="556"/>
        <v>5.9999999999999995E-4</v>
      </c>
      <c r="AB4185">
        <v>2.4386099999999997</v>
      </c>
      <c r="AC4185">
        <v>2.5361543999999996</v>
      </c>
    </row>
    <row r="4186" spans="1:29" x14ac:dyDescent="0.3">
      <c r="A4186">
        <v>149564</v>
      </c>
      <c r="B4186" s="25" t="s">
        <v>5984</v>
      </c>
      <c r="C4186" t="s">
        <v>20</v>
      </c>
      <c r="D4186" t="s">
        <v>21</v>
      </c>
      <c r="E4186">
        <v>2222222</v>
      </c>
      <c r="F4186" s="8" t="s">
        <v>22</v>
      </c>
      <c r="G4186" s="2">
        <v>98</v>
      </c>
      <c r="H4186" t="s">
        <v>4571</v>
      </c>
      <c r="J4186" s="9" t="s">
        <v>4997</v>
      </c>
      <c r="K4186" t="s">
        <v>4928</v>
      </c>
      <c r="L4186" s="2">
        <v>1</v>
      </c>
      <c r="M4186" s="24" t="s">
        <v>5971</v>
      </c>
      <c r="N4186" s="2" t="s">
        <v>23</v>
      </c>
      <c r="O4186" s="18" t="s">
        <v>3205</v>
      </c>
      <c r="P4186" s="18" t="s">
        <v>3781</v>
      </c>
      <c r="Q4186" s="6" t="s">
        <v>4475</v>
      </c>
      <c r="T4186" s="23">
        <v>46034</v>
      </c>
      <c r="U4186" s="23">
        <v>47129</v>
      </c>
      <c r="X4186" s="20">
        <v>3500</v>
      </c>
      <c r="Z4186" s="6" t="s">
        <v>5978</v>
      </c>
      <c r="AA4186" s="14">
        <f t="shared" si="556"/>
        <v>5.9999999999999995E-4</v>
      </c>
      <c r="AB4186">
        <v>1.8178079999999996</v>
      </c>
      <c r="AC4186">
        <v>1.8905203199999996</v>
      </c>
    </row>
    <row r="4187" spans="1:29" x14ac:dyDescent="0.3">
      <c r="A4187">
        <v>151148</v>
      </c>
      <c r="B4187" s="25" t="s">
        <v>5984</v>
      </c>
      <c r="C4187" t="s">
        <v>20</v>
      </c>
      <c r="D4187" t="s">
        <v>21</v>
      </c>
      <c r="E4187">
        <v>2222222</v>
      </c>
      <c r="F4187" s="8" t="s">
        <v>22</v>
      </c>
      <c r="G4187" s="2">
        <v>98</v>
      </c>
      <c r="H4187" t="s">
        <v>4571</v>
      </c>
      <c r="J4187" s="9" t="s">
        <v>5879</v>
      </c>
      <c r="K4187" t="s">
        <v>4980</v>
      </c>
      <c r="L4187" s="2">
        <v>1</v>
      </c>
      <c r="M4187" s="24" t="s">
        <v>5971</v>
      </c>
      <c r="N4187" s="2" t="s">
        <v>23</v>
      </c>
      <c r="O4187" s="18" t="s">
        <v>1200</v>
      </c>
      <c r="P4187" s="18" t="s">
        <v>0</v>
      </c>
      <c r="Q4187" s="6" t="s">
        <v>4475</v>
      </c>
      <c r="T4187" s="23">
        <v>46141</v>
      </c>
      <c r="U4187" s="23">
        <v>46689</v>
      </c>
      <c r="X4187" s="20">
        <v>2400</v>
      </c>
      <c r="Z4187" s="6" t="s">
        <v>5978</v>
      </c>
      <c r="AA4187" s="14">
        <f t="shared" si="556"/>
        <v>5.9999999999999995E-4</v>
      </c>
      <c r="AB4187">
        <v>1.224756</v>
      </c>
      <c r="AC4187">
        <v>1.2737462399999999</v>
      </c>
    </row>
    <row r="4188" spans="1:29" x14ac:dyDescent="0.3">
      <c r="A4188">
        <v>151320</v>
      </c>
      <c r="B4188" s="25" t="s">
        <v>5984</v>
      </c>
      <c r="C4188" t="s">
        <v>20</v>
      </c>
      <c r="D4188" t="s">
        <v>21</v>
      </c>
      <c r="E4188">
        <v>2222222</v>
      </c>
      <c r="F4188" s="8" t="s">
        <v>22</v>
      </c>
      <c r="G4188" s="2">
        <v>98</v>
      </c>
      <c r="H4188" t="s">
        <v>4571</v>
      </c>
      <c r="J4188" s="9" t="s">
        <v>5419</v>
      </c>
      <c r="K4188" t="s">
        <v>4966</v>
      </c>
      <c r="L4188" s="2">
        <v>1</v>
      </c>
      <c r="M4188" s="24" t="s">
        <v>5971</v>
      </c>
      <c r="N4188" s="2" t="s">
        <v>23</v>
      </c>
      <c r="O4188" s="18" t="s">
        <v>558</v>
      </c>
      <c r="P4188" s="18" t="s">
        <v>0</v>
      </c>
      <c r="Q4188" s="6" t="s">
        <v>4475</v>
      </c>
      <c r="T4188" s="23">
        <v>46155</v>
      </c>
      <c r="U4188" s="23">
        <v>47070</v>
      </c>
      <c r="X4188" s="20">
        <v>4000</v>
      </c>
      <c r="Z4188" s="6" t="s">
        <v>5978</v>
      </c>
      <c r="AA4188" s="14">
        <f t="shared" si="556"/>
        <v>5.9999999999999995E-4</v>
      </c>
      <c r="AB4188">
        <v>2.2690079999999999</v>
      </c>
      <c r="AC4188">
        <v>2.3597683200000001</v>
      </c>
    </row>
    <row r="4189" spans="1:29" x14ac:dyDescent="0.3">
      <c r="A4189">
        <v>151731</v>
      </c>
      <c r="B4189" s="25" t="s">
        <v>5984</v>
      </c>
      <c r="C4189" t="s">
        <v>20</v>
      </c>
      <c r="D4189" t="s">
        <v>21</v>
      </c>
      <c r="E4189">
        <v>2222222</v>
      </c>
      <c r="F4189" s="8" t="s">
        <v>22</v>
      </c>
      <c r="G4189" s="2">
        <v>98</v>
      </c>
      <c r="H4189" t="s">
        <v>4571</v>
      </c>
      <c r="J4189" s="9" t="s">
        <v>4897</v>
      </c>
      <c r="K4189" t="s">
        <v>5075</v>
      </c>
      <c r="L4189" s="2">
        <v>1</v>
      </c>
      <c r="M4189" s="24" t="s">
        <v>5971</v>
      </c>
      <c r="N4189" s="2" t="s">
        <v>23</v>
      </c>
      <c r="O4189" s="18" t="s">
        <v>3206</v>
      </c>
      <c r="P4189" s="18" t="s">
        <v>3781</v>
      </c>
      <c r="Q4189" s="6" t="s">
        <v>4475</v>
      </c>
      <c r="T4189" s="23">
        <v>46183</v>
      </c>
      <c r="U4189" s="23">
        <v>46273</v>
      </c>
      <c r="X4189" s="20">
        <v>900</v>
      </c>
      <c r="Z4189" s="6" t="s">
        <v>5978</v>
      </c>
      <c r="AA4189" s="14">
        <f t="shared" si="556"/>
        <v>5.9999999999999995E-4</v>
      </c>
      <c r="AB4189">
        <v>0.53999999999999992</v>
      </c>
      <c r="AC4189">
        <v>0.56159999999999999</v>
      </c>
    </row>
    <row r="4190" spans="1:29" x14ac:dyDescent="0.3">
      <c r="A4190">
        <v>151819</v>
      </c>
      <c r="B4190" s="25" t="s">
        <v>5984</v>
      </c>
      <c r="C4190" t="s">
        <v>20</v>
      </c>
      <c r="D4190" t="s">
        <v>21</v>
      </c>
      <c r="E4190">
        <v>2222222</v>
      </c>
      <c r="F4190" s="8" t="s">
        <v>22</v>
      </c>
      <c r="G4190" s="2">
        <v>98</v>
      </c>
      <c r="H4190" t="s">
        <v>4571</v>
      </c>
      <c r="J4190" s="9" t="s">
        <v>4951</v>
      </c>
      <c r="K4190" t="s">
        <v>4844</v>
      </c>
      <c r="L4190" s="2">
        <v>1</v>
      </c>
      <c r="M4190" s="24" t="s">
        <v>5971</v>
      </c>
      <c r="N4190" s="2" t="s">
        <v>23</v>
      </c>
      <c r="O4190" s="18" t="s">
        <v>3204</v>
      </c>
      <c r="P4190" s="18" t="s">
        <v>0</v>
      </c>
      <c r="Q4190" s="6" t="s">
        <v>4475</v>
      </c>
      <c r="T4190" s="23">
        <v>46189</v>
      </c>
      <c r="U4190" s="23">
        <v>47285</v>
      </c>
      <c r="X4190" s="20">
        <v>2350</v>
      </c>
      <c r="Z4190" s="6" t="s">
        <v>5978</v>
      </c>
      <c r="AA4190" s="14">
        <f t="shared" si="556"/>
        <v>5.9999999999999995E-4</v>
      </c>
      <c r="AB4190">
        <v>1.3795379999999999</v>
      </c>
      <c r="AC4190">
        <v>1.43471952</v>
      </c>
    </row>
    <row r="4191" spans="1:29" x14ac:dyDescent="0.3">
      <c r="A4191">
        <v>147197</v>
      </c>
      <c r="B4191" s="25" t="s">
        <v>5984</v>
      </c>
      <c r="C4191" t="s">
        <v>20</v>
      </c>
      <c r="D4191" t="s">
        <v>21</v>
      </c>
      <c r="E4191">
        <v>2222222</v>
      </c>
      <c r="F4191" s="8" t="s">
        <v>22</v>
      </c>
      <c r="G4191" s="2">
        <v>98</v>
      </c>
      <c r="H4191" t="s">
        <v>4572</v>
      </c>
      <c r="J4191" s="9" t="s">
        <v>5035</v>
      </c>
      <c r="K4191" t="s">
        <v>4857</v>
      </c>
      <c r="L4191" s="2">
        <v>1</v>
      </c>
      <c r="M4191" s="24" t="s">
        <v>5971</v>
      </c>
      <c r="N4191" s="2" t="s">
        <v>23</v>
      </c>
      <c r="O4191" s="18" t="s">
        <v>3207</v>
      </c>
      <c r="P4191" s="18" t="s">
        <v>0</v>
      </c>
      <c r="Q4191" s="6" t="s">
        <v>4475</v>
      </c>
      <c r="T4191" s="23">
        <v>45870</v>
      </c>
      <c r="U4191" s="23">
        <v>46239</v>
      </c>
      <c r="X4191" s="20">
        <v>4000</v>
      </c>
      <c r="Z4191" s="6" t="s">
        <v>5978</v>
      </c>
      <c r="AA4191" s="14">
        <f t="shared" si="556"/>
        <v>5.9999999999999995E-4</v>
      </c>
      <c r="AB4191">
        <v>0.21486</v>
      </c>
      <c r="AC4191">
        <v>0.2234544</v>
      </c>
    </row>
    <row r="4192" spans="1:29" x14ac:dyDescent="0.3">
      <c r="A4192">
        <v>150746</v>
      </c>
      <c r="B4192" s="25" t="s">
        <v>5984</v>
      </c>
      <c r="C4192" t="s">
        <v>20</v>
      </c>
      <c r="D4192" t="s">
        <v>21</v>
      </c>
      <c r="E4192">
        <v>2222222</v>
      </c>
      <c r="F4192" s="8" t="s">
        <v>22</v>
      </c>
      <c r="G4192" s="2">
        <v>98</v>
      </c>
      <c r="H4192" t="s">
        <v>4573</v>
      </c>
      <c r="J4192" s="9" t="s">
        <v>5271</v>
      </c>
      <c r="K4192" t="s">
        <v>4848</v>
      </c>
      <c r="L4192" s="2">
        <v>1</v>
      </c>
      <c r="M4192" s="24" t="s">
        <v>5971</v>
      </c>
      <c r="N4192" s="2" t="s">
        <v>23</v>
      </c>
      <c r="O4192" s="18" t="s">
        <v>571</v>
      </c>
      <c r="P4192" s="18" t="s">
        <v>0</v>
      </c>
      <c r="Q4192" s="6" t="s">
        <v>4475</v>
      </c>
      <c r="T4192" s="23">
        <v>46112</v>
      </c>
      <c r="U4192" s="23">
        <v>46665</v>
      </c>
      <c r="X4192" s="20">
        <v>1550</v>
      </c>
      <c r="Z4192" s="6" t="s">
        <v>5978</v>
      </c>
      <c r="AA4192" s="14">
        <f t="shared" si="556"/>
        <v>5.9999999999999995E-4</v>
      </c>
      <c r="AB4192">
        <v>0.79097999999999991</v>
      </c>
      <c r="AC4192">
        <v>0.82261919999999988</v>
      </c>
    </row>
    <row r="4193" spans="1:29" x14ac:dyDescent="0.3">
      <c r="A4193">
        <v>145319</v>
      </c>
      <c r="B4193" s="25" t="s">
        <v>5984</v>
      </c>
      <c r="C4193" t="s">
        <v>20</v>
      </c>
      <c r="D4193" t="s">
        <v>21</v>
      </c>
      <c r="E4193">
        <v>2222222</v>
      </c>
      <c r="F4193" s="8" t="s">
        <v>22</v>
      </c>
      <c r="G4193" s="2">
        <v>98</v>
      </c>
      <c r="H4193" t="s">
        <v>4574</v>
      </c>
      <c r="J4193" s="9" t="s">
        <v>5096</v>
      </c>
      <c r="K4193" t="s">
        <v>5880</v>
      </c>
      <c r="L4193" s="2">
        <v>1</v>
      </c>
      <c r="M4193" s="24" t="s">
        <v>5971</v>
      </c>
      <c r="N4193" s="2" t="s">
        <v>23</v>
      </c>
      <c r="O4193" s="18" t="s">
        <v>130</v>
      </c>
      <c r="P4193" s="18" t="s">
        <v>3781</v>
      </c>
      <c r="Q4193" s="6" t="s">
        <v>4475</v>
      </c>
      <c r="T4193" s="23">
        <v>45745</v>
      </c>
      <c r="U4193" s="23">
        <v>49400</v>
      </c>
      <c r="X4193" s="20">
        <v>40000</v>
      </c>
      <c r="Z4193" s="6" t="s">
        <v>5978</v>
      </c>
      <c r="AA4193" s="14">
        <f t="shared" si="556"/>
        <v>5.9999999999999995E-4</v>
      </c>
      <c r="AB4193">
        <v>22.421531999999999</v>
      </c>
      <c r="AC4193">
        <v>23.318393279999999</v>
      </c>
    </row>
    <row r="4194" spans="1:29" x14ac:dyDescent="0.3">
      <c r="A4194">
        <v>149147</v>
      </c>
      <c r="B4194" s="25" t="s">
        <v>5984</v>
      </c>
      <c r="C4194" t="s">
        <v>20</v>
      </c>
      <c r="D4194" t="s">
        <v>21</v>
      </c>
      <c r="E4194">
        <v>2222222</v>
      </c>
      <c r="F4194" s="8" t="s">
        <v>22</v>
      </c>
      <c r="G4194" s="2">
        <v>98</v>
      </c>
      <c r="H4194" t="s">
        <v>4574</v>
      </c>
      <c r="J4194" s="9" t="s">
        <v>4904</v>
      </c>
      <c r="K4194" t="s">
        <v>5092</v>
      </c>
      <c r="L4194" s="2">
        <v>1</v>
      </c>
      <c r="M4194" s="24" t="s">
        <v>5971</v>
      </c>
      <c r="N4194" s="2" t="s">
        <v>23</v>
      </c>
      <c r="O4194" s="18" t="s">
        <v>3208</v>
      </c>
      <c r="P4194" s="18" t="s">
        <v>3781</v>
      </c>
      <c r="Q4194" s="6" t="s">
        <v>4475</v>
      </c>
      <c r="T4194" s="23">
        <v>46006</v>
      </c>
      <c r="U4194" s="23">
        <v>47466</v>
      </c>
      <c r="X4194" s="20">
        <v>5000</v>
      </c>
      <c r="Z4194" s="6" t="s">
        <v>5978</v>
      </c>
      <c r="AA4194" s="14">
        <f t="shared" si="556"/>
        <v>5.9999999999999995E-4</v>
      </c>
      <c r="AB4194">
        <v>2.6827320000000001</v>
      </c>
      <c r="AC4194">
        <v>2.7900412800000001</v>
      </c>
    </row>
    <row r="4195" spans="1:29" x14ac:dyDescent="0.3">
      <c r="A4195">
        <v>150900</v>
      </c>
      <c r="B4195" s="25" t="s">
        <v>5984</v>
      </c>
      <c r="C4195" t="s">
        <v>20</v>
      </c>
      <c r="D4195" t="s">
        <v>21</v>
      </c>
      <c r="E4195">
        <v>2222222</v>
      </c>
      <c r="F4195" s="8" t="s">
        <v>22</v>
      </c>
      <c r="G4195" s="2">
        <v>98</v>
      </c>
      <c r="H4195" t="s">
        <v>4574</v>
      </c>
      <c r="J4195" s="9" t="s">
        <v>4914</v>
      </c>
      <c r="K4195" t="s">
        <v>5206</v>
      </c>
      <c r="L4195" s="2">
        <v>1</v>
      </c>
      <c r="M4195" s="24" t="s">
        <v>5971</v>
      </c>
      <c r="N4195" s="2" t="s">
        <v>23</v>
      </c>
      <c r="O4195" s="18" t="s">
        <v>3209</v>
      </c>
      <c r="P4195" s="18" t="s">
        <v>3781</v>
      </c>
      <c r="Q4195" s="6" t="s">
        <v>4475</v>
      </c>
      <c r="T4195" s="23">
        <v>46125</v>
      </c>
      <c r="U4195" s="23">
        <v>47586</v>
      </c>
      <c r="X4195" s="20">
        <v>5000</v>
      </c>
      <c r="Z4195" s="6" t="s">
        <v>5978</v>
      </c>
      <c r="AA4195" s="14">
        <f t="shared" si="556"/>
        <v>5.9999999999999995E-4</v>
      </c>
      <c r="AB4195">
        <v>2.8689779999999998</v>
      </c>
      <c r="AC4195">
        <v>2.9837371199999998</v>
      </c>
    </row>
    <row r="4196" spans="1:29" x14ac:dyDescent="0.3">
      <c r="A4196">
        <v>151867</v>
      </c>
      <c r="B4196" s="25" t="s">
        <v>5984</v>
      </c>
      <c r="C4196" t="s">
        <v>20</v>
      </c>
      <c r="D4196" t="s">
        <v>21</v>
      </c>
      <c r="E4196">
        <v>2222222</v>
      </c>
      <c r="F4196" s="8" t="s">
        <v>22</v>
      </c>
      <c r="G4196" s="2">
        <v>98</v>
      </c>
      <c r="H4196" t="s">
        <v>4574</v>
      </c>
      <c r="J4196" s="9" t="s">
        <v>4815</v>
      </c>
      <c r="K4196" t="s">
        <v>5784</v>
      </c>
      <c r="L4196" s="2">
        <v>1</v>
      </c>
      <c r="M4196" s="24" t="s">
        <v>5971</v>
      </c>
      <c r="N4196" s="2" t="s">
        <v>23</v>
      </c>
      <c r="O4196" s="18" t="s">
        <v>3210</v>
      </c>
      <c r="P4196" s="18" t="s">
        <v>0</v>
      </c>
      <c r="Q4196" s="6" t="s">
        <v>4475</v>
      </c>
      <c r="T4196" s="23">
        <v>46192</v>
      </c>
      <c r="U4196" s="23">
        <v>46923</v>
      </c>
      <c r="X4196" s="20">
        <v>3500</v>
      </c>
      <c r="Z4196" s="6" t="s">
        <v>5978</v>
      </c>
      <c r="AA4196" s="14">
        <f t="shared" si="556"/>
        <v>5.9999999999999995E-4</v>
      </c>
      <c r="AB4196">
        <v>2.0256780000000001</v>
      </c>
      <c r="AC4196">
        <v>2.10670512</v>
      </c>
    </row>
    <row r="4197" spans="1:29" x14ac:dyDescent="0.3">
      <c r="A4197">
        <v>120298</v>
      </c>
      <c r="B4197" s="25" t="s">
        <v>5984</v>
      </c>
      <c r="C4197" t="s">
        <v>20</v>
      </c>
      <c r="D4197" t="s">
        <v>21</v>
      </c>
      <c r="E4197">
        <v>2222222</v>
      </c>
      <c r="F4197" s="8" t="s">
        <v>22</v>
      </c>
      <c r="G4197" s="2">
        <v>98</v>
      </c>
      <c r="H4197" t="s">
        <v>4575</v>
      </c>
      <c r="J4197" s="9" t="s">
        <v>4945</v>
      </c>
      <c r="K4197" t="s">
        <v>4875</v>
      </c>
      <c r="L4197" s="2">
        <v>1</v>
      </c>
      <c r="M4197" s="24" t="s">
        <v>5971</v>
      </c>
      <c r="N4197" s="2" t="s">
        <v>23</v>
      </c>
      <c r="O4197" s="18" t="s">
        <v>3211</v>
      </c>
      <c r="P4197" s="18" t="s">
        <v>0</v>
      </c>
      <c r="Q4197" s="6" t="s">
        <v>4475</v>
      </c>
      <c r="T4197" s="23">
        <v>44313</v>
      </c>
      <c r="U4197" s="23">
        <v>44861</v>
      </c>
      <c r="X4197" s="20">
        <v>1820</v>
      </c>
      <c r="Z4197" s="6" t="s">
        <v>5978</v>
      </c>
      <c r="AA4197" s="15">
        <f t="shared" ref="AA4197:AA4199" si="557">+(0.42/1000)</f>
        <v>4.1999999999999996E-4</v>
      </c>
      <c r="AB4197">
        <v>0.53499179999999991</v>
      </c>
      <c r="AC4197">
        <v>0.55639147199999994</v>
      </c>
    </row>
    <row r="4198" spans="1:29" x14ac:dyDescent="0.3">
      <c r="A4198">
        <v>125657</v>
      </c>
      <c r="B4198" s="25" t="s">
        <v>5984</v>
      </c>
      <c r="C4198" t="s">
        <v>20</v>
      </c>
      <c r="D4198" t="s">
        <v>21</v>
      </c>
      <c r="E4198">
        <v>2222222</v>
      </c>
      <c r="F4198" s="8" t="s">
        <v>22</v>
      </c>
      <c r="G4198" s="2">
        <v>98</v>
      </c>
      <c r="H4198" t="s">
        <v>4575</v>
      </c>
      <c r="J4198" s="9" t="s">
        <v>5303</v>
      </c>
      <c r="K4198" t="s">
        <v>5064</v>
      </c>
      <c r="L4198" s="2">
        <v>1</v>
      </c>
      <c r="M4198" s="24" t="s">
        <v>5971</v>
      </c>
      <c r="N4198" s="2" t="s">
        <v>23</v>
      </c>
      <c r="O4198" s="18" t="s">
        <v>3212</v>
      </c>
      <c r="P4198" s="18" t="s">
        <v>0</v>
      </c>
      <c r="Q4198" s="6" t="s">
        <v>4475</v>
      </c>
      <c r="T4198" s="23">
        <v>44581</v>
      </c>
      <c r="U4198" s="23">
        <v>46406</v>
      </c>
      <c r="X4198" s="20">
        <v>8800</v>
      </c>
      <c r="Z4198" s="6" t="s">
        <v>5978</v>
      </c>
      <c r="AA4198" s="15">
        <f t="shared" si="557"/>
        <v>4.1999999999999996E-4</v>
      </c>
      <c r="AB4198">
        <v>0.51250499999999999</v>
      </c>
      <c r="AC4198">
        <v>0.53300519999999996</v>
      </c>
    </row>
    <row r="4199" spans="1:29" x14ac:dyDescent="0.3">
      <c r="A4199">
        <v>121930</v>
      </c>
      <c r="B4199" s="25" t="s">
        <v>5984</v>
      </c>
      <c r="C4199" t="s">
        <v>20</v>
      </c>
      <c r="D4199" t="s">
        <v>21</v>
      </c>
      <c r="E4199">
        <v>2222222</v>
      </c>
      <c r="F4199" s="8" t="s">
        <v>22</v>
      </c>
      <c r="G4199" s="2">
        <v>98</v>
      </c>
      <c r="H4199" t="s">
        <v>4576</v>
      </c>
      <c r="J4199" s="9" t="s">
        <v>5881</v>
      </c>
      <c r="K4199" t="s">
        <v>4861</v>
      </c>
      <c r="L4199" s="2">
        <v>1</v>
      </c>
      <c r="M4199" s="24" t="s">
        <v>5971</v>
      </c>
      <c r="N4199" s="2" t="s">
        <v>23</v>
      </c>
      <c r="O4199" s="18" t="s">
        <v>3213</v>
      </c>
      <c r="P4199" s="18" t="s">
        <v>3781</v>
      </c>
      <c r="Q4199" s="6" t="s">
        <v>4475</v>
      </c>
      <c r="T4199" s="23">
        <v>44400</v>
      </c>
      <c r="U4199" s="23">
        <v>46225</v>
      </c>
      <c r="X4199" s="20">
        <v>5000</v>
      </c>
      <c r="Z4199" s="6" t="s">
        <v>5978</v>
      </c>
      <c r="AA4199" s="15">
        <f t="shared" si="557"/>
        <v>4.1999999999999996E-4</v>
      </c>
      <c r="AB4199">
        <v>1.0825289999999999</v>
      </c>
      <c r="AC4199">
        <v>1.1258301599999998</v>
      </c>
    </row>
    <row r="4200" spans="1:29" x14ac:dyDescent="0.3">
      <c r="A4200">
        <v>146841</v>
      </c>
      <c r="B4200" s="25" t="s">
        <v>5984</v>
      </c>
      <c r="C4200" t="s">
        <v>20</v>
      </c>
      <c r="D4200" t="s">
        <v>21</v>
      </c>
      <c r="E4200">
        <v>2222222</v>
      </c>
      <c r="F4200" s="8" t="s">
        <v>22</v>
      </c>
      <c r="G4200" s="2">
        <v>98</v>
      </c>
      <c r="H4200" t="s">
        <v>4576</v>
      </c>
      <c r="J4200" s="9" t="s">
        <v>4838</v>
      </c>
      <c r="K4200" t="s">
        <v>5035</v>
      </c>
      <c r="L4200" s="2">
        <v>1</v>
      </c>
      <c r="M4200" s="24" t="s">
        <v>5971</v>
      </c>
      <c r="N4200" s="2" t="s">
        <v>23</v>
      </c>
      <c r="O4200" s="18" t="s">
        <v>3214</v>
      </c>
      <c r="P4200" s="18" t="s">
        <v>0</v>
      </c>
      <c r="Q4200" s="6" t="s">
        <v>4475</v>
      </c>
      <c r="T4200" s="23">
        <v>45847</v>
      </c>
      <c r="U4200" s="23">
        <v>47672</v>
      </c>
      <c r="X4200" s="20">
        <v>3950</v>
      </c>
      <c r="Z4200" s="6" t="s">
        <v>5978</v>
      </c>
      <c r="AA4200" s="14">
        <f t="shared" ref="AA4200:AA4201" si="558">+(0.6/1000)</f>
        <v>5.9999999999999995E-4</v>
      </c>
      <c r="AB4200">
        <v>2.0186939999999995</v>
      </c>
      <c r="AC4200">
        <v>2.0994417599999995</v>
      </c>
    </row>
    <row r="4201" spans="1:29" x14ac:dyDescent="0.3">
      <c r="A4201">
        <v>147053</v>
      </c>
      <c r="B4201" s="25" t="s">
        <v>5984</v>
      </c>
      <c r="C4201" t="s">
        <v>20</v>
      </c>
      <c r="D4201" t="s">
        <v>21</v>
      </c>
      <c r="E4201">
        <v>2222222</v>
      </c>
      <c r="F4201" s="8" t="s">
        <v>22</v>
      </c>
      <c r="G4201" s="2">
        <v>98</v>
      </c>
      <c r="H4201" t="s">
        <v>4576</v>
      </c>
      <c r="J4201" s="9" t="s">
        <v>4830</v>
      </c>
      <c r="K4201" t="s">
        <v>4926</v>
      </c>
      <c r="L4201" s="2">
        <v>1</v>
      </c>
      <c r="M4201" s="24" t="s">
        <v>5971</v>
      </c>
      <c r="N4201" s="2" t="s">
        <v>23</v>
      </c>
      <c r="O4201" s="18" t="s">
        <v>3215</v>
      </c>
      <c r="P4201" s="18" t="s">
        <v>3781</v>
      </c>
      <c r="Q4201" s="6" t="s">
        <v>4475</v>
      </c>
      <c r="T4201" s="23">
        <v>45861</v>
      </c>
      <c r="U4201" s="23">
        <v>47686</v>
      </c>
      <c r="X4201" s="20">
        <v>4600</v>
      </c>
      <c r="Z4201" s="6" t="s">
        <v>5978</v>
      </c>
      <c r="AA4201" s="14">
        <f t="shared" si="558"/>
        <v>5.9999999999999995E-4</v>
      </c>
      <c r="AB4201">
        <v>2.4228419999999997</v>
      </c>
      <c r="AC4201">
        <v>2.5197556799999998</v>
      </c>
    </row>
    <row r="4202" spans="1:29" x14ac:dyDescent="0.3">
      <c r="A4202">
        <v>127312</v>
      </c>
      <c r="B4202" s="25" t="s">
        <v>5984</v>
      </c>
      <c r="C4202" t="s">
        <v>20</v>
      </c>
      <c r="D4202" t="s">
        <v>21</v>
      </c>
      <c r="E4202">
        <v>2222222</v>
      </c>
      <c r="F4202" s="8" t="s">
        <v>22</v>
      </c>
      <c r="G4202" s="2">
        <v>98</v>
      </c>
      <c r="H4202" t="s">
        <v>4577</v>
      </c>
      <c r="J4202" s="9" t="s">
        <v>4951</v>
      </c>
      <c r="K4202" t="s">
        <v>5160</v>
      </c>
      <c r="L4202" s="2">
        <v>1</v>
      </c>
      <c r="M4202" s="24" t="s">
        <v>5971</v>
      </c>
      <c r="N4202" s="2" t="s">
        <v>23</v>
      </c>
      <c r="O4202" s="18" t="s">
        <v>3216</v>
      </c>
      <c r="P4202" s="18" t="s">
        <v>0</v>
      </c>
      <c r="Q4202" s="6" t="s">
        <v>4475</v>
      </c>
      <c r="T4202" s="23">
        <v>44665</v>
      </c>
      <c r="U4202" s="23">
        <v>45761</v>
      </c>
      <c r="X4202" s="20">
        <v>5000</v>
      </c>
      <c r="Z4202" s="6" t="s">
        <v>5978</v>
      </c>
      <c r="AA4202" s="15">
        <f>+(0.42/1000)</f>
        <v>4.1999999999999996E-4</v>
      </c>
      <c r="AB4202">
        <v>1.4015777999999999</v>
      </c>
      <c r="AC4202">
        <v>1.457640912</v>
      </c>
    </row>
    <row r="4203" spans="1:29" x14ac:dyDescent="0.3">
      <c r="A4203">
        <v>143302</v>
      </c>
      <c r="B4203" s="25" t="s">
        <v>5984</v>
      </c>
      <c r="C4203" t="s">
        <v>20</v>
      </c>
      <c r="D4203" t="s">
        <v>21</v>
      </c>
      <c r="E4203">
        <v>2222222</v>
      </c>
      <c r="F4203" s="8" t="s">
        <v>22</v>
      </c>
      <c r="G4203" s="2">
        <v>98</v>
      </c>
      <c r="H4203" t="s">
        <v>4577</v>
      </c>
      <c r="J4203" s="9" t="s">
        <v>5057</v>
      </c>
      <c r="K4203" t="s">
        <v>5148</v>
      </c>
      <c r="L4203" s="2">
        <v>1</v>
      </c>
      <c r="M4203" s="24" t="s">
        <v>5971</v>
      </c>
      <c r="N4203" s="2" t="s">
        <v>23</v>
      </c>
      <c r="O4203" s="18" t="s">
        <v>1346</v>
      </c>
      <c r="P4203" s="18" t="s">
        <v>3781</v>
      </c>
      <c r="Q4203" s="6" t="s">
        <v>4475</v>
      </c>
      <c r="T4203" s="23">
        <v>45581</v>
      </c>
      <c r="U4203" s="23">
        <v>46675</v>
      </c>
      <c r="X4203" s="20">
        <v>4000</v>
      </c>
      <c r="Z4203" s="6" t="s">
        <v>5978</v>
      </c>
      <c r="AA4203" s="14">
        <f t="shared" ref="AA4203:AA4204" si="559">+(0.6/1000)</f>
        <v>5.9999999999999995E-4</v>
      </c>
      <c r="AB4203">
        <v>1.1664839999999999</v>
      </c>
      <c r="AC4203">
        <v>1.2131433599999999</v>
      </c>
    </row>
    <row r="4204" spans="1:29" x14ac:dyDescent="0.3">
      <c r="A4204">
        <v>140767</v>
      </c>
      <c r="B4204" s="25" t="s">
        <v>5984</v>
      </c>
      <c r="C4204" t="s">
        <v>20</v>
      </c>
      <c r="D4204" t="s">
        <v>21</v>
      </c>
      <c r="E4204">
        <v>2222222</v>
      </c>
      <c r="F4204" s="8" t="s">
        <v>22</v>
      </c>
      <c r="G4204" s="2">
        <v>98</v>
      </c>
      <c r="H4204" t="s">
        <v>4578</v>
      </c>
      <c r="J4204" s="9" t="s">
        <v>5336</v>
      </c>
      <c r="K4204" t="s">
        <v>4870</v>
      </c>
      <c r="L4204" s="2">
        <v>1</v>
      </c>
      <c r="M4204" s="24" t="s">
        <v>5971</v>
      </c>
      <c r="N4204" s="2" t="s">
        <v>23</v>
      </c>
      <c r="O4204" s="18" t="s">
        <v>3217</v>
      </c>
      <c r="P4204" s="18" t="s">
        <v>0</v>
      </c>
      <c r="Q4204" s="6" t="s">
        <v>4475</v>
      </c>
      <c r="T4204" s="23">
        <v>45428</v>
      </c>
      <c r="U4204" s="23">
        <v>47253</v>
      </c>
      <c r="X4204" s="20">
        <v>16550</v>
      </c>
      <c r="Z4204" s="6" t="s">
        <v>5978</v>
      </c>
      <c r="AA4204" s="14">
        <f t="shared" si="559"/>
        <v>5.9999999999999995E-4</v>
      </c>
      <c r="AB4204">
        <v>8.9482199999999992</v>
      </c>
      <c r="AC4204">
        <v>9.306148799999999</v>
      </c>
    </row>
    <row r="4205" spans="1:29" x14ac:dyDescent="0.3">
      <c r="A4205">
        <v>92499</v>
      </c>
      <c r="B4205" s="25" t="s">
        <v>5984</v>
      </c>
      <c r="C4205" t="s">
        <v>20</v>
      </c>
      <c r="D4205" t="s">
        <v>21</v>
      </c>
      <c r="E4205">
        <v>2222222</v>
      </c>
      <c r="F4205" s="8" t="s">
        <v>22</v>
      </c>
      <c r="G4205" s="2">
        <v>98</v>
      </c>
      <c r="H4205" t="s">
        <v>4579</v>
      </c>
      <c r="J4205" s="9" t="s">
        <v>5033</v>
      </c>
      <c r="K4205" t="s">
        <v>4932</v>
      </c>
      <c r="L4205" s="2">
        <v>1</v>
      </c>
      <c r="M4205" s="24" t="s">
        <v>5971</v>
      </c>
      <c r="N4205" s="2" t="s">
        <v>23</v>
      </c>
      <c r="O4205" s="18" t="s">
        <v>3218</v>
      </c>
      <c r="P4205" s="18" t="s">
        <v>3781</v>
      </c>
      <c r="Q4205" s="6" t="s">
        <v>4475</v>
      </c>
      <c r="T4205" s="23">
        <v>43214</v>
      </c>
      <c r="U4205" s="23">
        <v>43252</v>
      </c>
      <c r="X4205" s="20">
        <v>1507.74</v>
      </c>
      <c r="Z4205" s="6" t="s">
        <v>5978</v>
      </c>
      <c r="AA4205" s="15">
        <f>+(0.42/1000)</f>
        <v>4.1999999999999996E-4</v>
      </c>
      <c r="AB4205">
        <v>0.6332508</v>
      </c>
      <c r="AC4205">
        <v>0.65858083200000006</v>
      </c>
    </row>
    <row r="4206" spans="1:29" x14ac:dyDescent="0.3">
      <c r="A4206">
        <v>144217</v>
      </c>
      <c r="B4206" s="25" t="s">
        <v>5984</v>
      </c>
      <c r="C4206" t="s">
        <v>20</v>
      </c>
      <c r="D4206" t="s">
        <v>21</v>
      </c>
      <c r="E4206">
        <v>2222222</v>
      </c>
      <c r="F4206" s="8" t="s">
        <v>22</v>
      </c>
      <c r="G4206" s="2">
        <v>98</v>
      </c>
      <c r="H4206" t="s">
        <v>4580</v>
      </c>
      <c r="J4206" s="9" t="s">
        <v>5007</v>
      </c>
      <c r="K4206" t="s">
        <v>4937</v>
      </c>
      <c r="L4206" s="2">
        <v>1</v>
      </c>
      <c r="M4206" s="24" t="s">
        <v>5971</v>
      </c>
      <c r="N4206" s="2" t="s">
        <v>23</v>
      </c>
      <c r="O4206" s="18" t="s">
        <v>3219</v>
      </c>
      <c r="P4206" s="18" t="s">
        <v>0</v>
      </c>
      <c r="Q4206" s="6" t="s">
        <v>4475</v>
      </c>
      <c r="T4206" s="23">
        <v>45650</v>
      </c>
      <c r="U4206" s="23">
        <v>46379</v>
      </c>
      <c r="X4206" s="20">
        <v>7000</v>
      </c>
      <c r="Z4206" s="6" t="s">
        <v>5978</v>
      </c>
      <c r="AA4206" s="14">
        <f t="shared" ref="AA4206:AA4210" si="560">+(0.6/1000)</f>
        <v>5.9999999999999995E-4</v>
      </c>
      <c r="AB4206">
        <v>0.97256399999999998</v>
      </c>
      <c r="AC4206">
        <v>1.0114665600000001</v>
      </c>
    </row>
    <row r="4207" spans="1:29" x14ac:dyDescent="0.3">
      <c r="A4207">
        <v>147601</v>
      </c>
      <c r="B4207" s="25" t="s">
        <v>5984</v>
      </c>
      <c r="C4207" t="s">
        <v>20</v>
      </c>
      <c r="D4207" t="s">
        <v>21</v>
      </c>
      <c r="E4207">
        <v>2222222</v>
      </c>
      <c r="F4207" s="8" t="s">
        <v>22</v>
      </c>
      <c r="G4207" s="2">
        <v>98</v>
      </c>
      <c r="H4207" t="s">
        <v>4580</v>
      </c>
      <c r="J4207" s="9" t="s">
        <v>4836</v>
      </c>
      <c r="K4207" t="s">
        <v>4980</v>
      </c>
      <c r="L4207" s="2">
        <v>1</v>
      </c>
      <c r="M4207" s="24" t="s">
        <v>5971</v>
      </c>
      <c r="N4207" s="2" t="s">
        <v>23</v>
      </c>
      <c r="O4207" s="18" t="s">
        <v>3220</v>
      </c>
      <c r="P4207" s="18" t="s">
        <v>3781</v>
      </c>
      <c r="Q4207" s="6" t="s">
        <v>4475</v>
      </c>
      <c r="T4207" s="23">
        <v>45901</v>
      </c>
      <c r="U4207" s="23">
        <v>46266</v>
      </c>
      <c r="X4207" s="20">
        <v>3200</v>
      </c>
      <c r="Z4207" s="6" t="s">
        <v>5978</v>
      </c>
      <c r="AA4207" s="14">
        <f t="shared" si="560"/>
        <v>5.9999999999999995E-4</v>
      </c>
      <c r="AB4207">
        <v>0.33591599999999999</v>
      </c>
      <c r="AC4207">
        <v>0.34935263999999999</v>
      </c>
    </row>
    <row r="4208" spans="1:29" x14ac:dyDescent="0.3">
      <c r="A4208">
        <v>148882</v>
      </c>
      <c r="B4208" s="25" t="s">
        <v>5984</v>
      </c>
      <c r="C4208" t="s">
        <v>20</v>
      </c>
      <c r="D4208" t="s">
        <v>21</v>
      </c>
      <c r="E4208">
        <v>2222222</v>
      </c>
      <c r="F4208" s="8" t="s">
        <v>22</v>
      </c>
      <c r="G4208" s="2">
        <v>98</v>
      </c>
      <c r="H4208" t="s">
        <v>4580</v>
      </c>
      <c r="J4208" s="9" t="s">
        <v>5771</v>
      </c>
      <c r="K4208" t="s">
        <v>4893</v>
      </c>
      <c r="L4208" s="2">
        <v>1</v>
      </c>
      <c r="M4208" s="24" t="s">
        <v>5971</v>
      </c>
      <c r="N4208" s="2" t="s">
        <v>23</v>
      </c>
      <c r="O4208" s="18" t="s">
        <v>693</v>
      </c>
      <c r="P4208" s="18" t="s">
        <v>3781</v>
      </c>
      <c r="Q4208" s="6" t="s">
        <v>4475</v>
      </c>
      <c r="T4208" s="23">
        <v>45990</v>
      </c>
      <c r="U4208" s="23">
        <v>47086</v>
      </c>
      <c r="X4208" s="20">
        <v>3500</v>
      </c>
      <c r="Z4208" s="6" t="s">
        <v>5978</v>
      </c>
      <c r="AA4208" s="14">
        <f t="shared" si="560"/>
        <v>5.9999999999999995E-4</v>
      </c>
      <c r="AB4208">
        <v>1.7204159999999999</v>
      </c>
      <c r="AC4208">
        <v>1.78923264</v>
      </c>
    </row>
    <row r="4209" spans="1:29" x14ac:dyDescent="0.3">
      <c r="A4209">
        <v>151106</v>
      </c>
      <c r="B4209" s="25" t="s">
        <v>5984</v>
      </c>
      <c r="C4209" t="s">
        <v>20</v>
      </c>
      <c r="D4209" t="s">
        <v>21</v>
      </c>
      <c r="E4209">
        <v>2222222</v>
      </c>
      <c r="F4209" s="8" t="s">
        <v>22</v>
      </c>
      <c r="G4209" s="2">
        <v>98</v>
      </c>
      <c r="H4209" t="s">
        <v>4580</v>
      </c>
      <c r="J4209" s="9" t="s">
        <v>5024</v>
      </c>
      <c r="K4209" t="s">
        <v>4878</v>
      </c>
      <c r="L4209" s="2">
        <v>1</v>
      </c>
      <c r="M4209" s="24" t="s">
        <v>5971</v>
      </c>
      <c r="N4209" s="2" t="s">
        <v>23</v>
      </c>
      <c r="O4209" s="18" t="s">
        <v>2338</v>
      </c>
      <c r="P4209" s="18" t="s">
        <v>0</v>
      </c>
      <c r="Q4209" s="6" t="s">
        <v>4475</v>
      </c>
      <c r="T4209" s="23">
        <v>46141</v>
      </c>
      <c r="U4209" s="23">
        <v>47973</v>
      </c>
      <c r="X4209" s="20">
        <v>5000</v>
      </c>
      <c r="Z4209" s="6" t="s">
        <v>5978</v>
      </c>
      <c r="AA4209" s="14">
        <f t="shared" si="560"/>
        <v>5.9999999999999995E-4</v>
      </c>
      <c r="AB4209">
        <v>2.900004</v>
      </c>
      <c r="AC4209">
        <v>3.01600416</v>
      </c>
    </row>
    <row r="4210" spans="1:29" x14ac:dyDescent="0.3">
      <c r="A4210">
        <v>151477</v>
      </c>
      <c r="B4210" s="25" t="s">
        <v>5984</v>
      </c>
      <c r="C4210" t="s">
        <v>20</v>
      </c>
      <c r="D4210" t="s">
        <v>21</v>
      </c>
      <c r="E4210">
        <v>2222222</v>
      </c>
      <c r="F4210" s="8" t="s">
        <v>22</v>
      </c>
      <c r="G4210" s="2">
        <v>98</v>
      </c>
      <c r="H4210" t="s">
        <v>4580</v>
      </c>
      <c r="J4210" s="9" t="s">
        <v>5124</v>
      </c>
      <c r="K4210" t="s">
        <v>4946</v>
      </c>
      <c r="L4210" s="2">
        <v>1</v>
      </c>
      <c r="M4210" s="24" t="s">
        <v>5971</v>
      </c>
      <c r="N4210" s="2" t="s">
        <v>23</v>
      </c>
      <c r="O4210" s="18" t="s">
        <v>3221</v>
      </c>
      <c r="P4210" s="18" t="s">
        <v>0</v>
      </c>
      <c r="Q4210" s="6" t="s">
        <v>4475</v>
      </c>
      <c r="T4210" s="23">
        <v>46168</v>
      </c>
      <c r="U4210" s="23">
        <v>46716</v>
      </c>
      <c r="X4210" s="20">
        <v>650</v>
      </c>
      <c r="Z4210" s="6" t="s">
        <v>5978</v>
      </c>
      <c r="AA4210" s="14">
        <f t="shared" si="560"/>
        <v>5.9999999999999995E-4</v>
      </c>
      <c r="AB4210">
        <v>0.35128799999999999</v>
      </c>
      <c r="AC4210">
        <v>0.36533952000000003</v>
      </c>
    </row>
    <row r="4211" spans="1:29" x14ac:dyDescent="0.3">
      <c r="A4211">
        <v>136895</v>
      </c>
      <c r="B4211" s="25" t="s">
        <v>5984</v>
      </c>
      <c r="C4211" t="s">
        <v>20</v>
      </c>
      <c r="D4211" t="s">
        <v>21</v>
      </c>
      <c r="E4211">
        <v>2222222</v>
      </c>
      <c r="F4211" s="8" t="s">
        <v>22</v>
      </c>
      <c r="G4211" s="2">
        <v>98</v>
      </c>
      <c r="H4211" t="s">
        <v>4581</v>
      </c>
      <c r="J4211" s="9" t="s">
        <v>5645</v>
      </c>
      <c r="K4211" t="s">
        <v>5882</v>
      </c>
      <c r="L4211" s="2">
        <v>1</v>
      </c>
      <c r="M4211" s="24" t="s">
        <v>5971</v>
      </c>
      <c r="N4211" s="2" t="s">
        <v>23</v>
      </c>
      <c r="O4211" s="18" t="s">
        <v>3222</v>
      </c>
      <c r="P4211" s="18" t="s">
        <v>3781</v>
      </c>
      <c r="Q4211" s="6" t="s">
        <v>4475</v>
      </c>
      <c r="T4211" s="23">
        <v>45198</v>
      </c>
      <c r="U4211" s="23">
        <v>46663</v>
      </c>
      <c r="X4211" s="20">
        <v>7000</v>
      </c>
      <c r="Z4211" s="6" t="s">
        <v>5978</v>
      </c>
      <c r="AA4211" s="13">
        <f t="shared" ref="AA4211:AA4212" si="561">+(0.56/1000)</f>
        <v>5.6000000000000006E-4</v>
      </c>
      <c r="AB4211">
        <v>1.5946000000000002</v>
      </c>
      <c r="AC4211">
        <v>1.6583840000000003</v>
      </c>
    </row>
    <row r="4212" spans="1:29" x14ac:dyDescent="0.3">
      <c r="A4212">
        <v>139074</v>
      </c>
      <c r="B4212" s="25" t="s">
        <v>5984</v>
      </c>
      <c r="C4212" t="s">
        <v>20</v>
      </c>
      <c r="D4212" t="s">
        <v>21</v>
      </c>
      <c r="E4212">
        <v>2222222</v>
      </c>
      <c r="F4212" s="8" t="s">
        <v>22</v>
      </c>
      <c r="G4212" s="2">
        <v>98</v>
      </c>
      <c r="H4212" t="s">
        <v>4582</v>
      </c>
      <c r="J4212" s="9" t="s">
        <v>4815</v>
      </c>
      <c r="K4212" t="s">
        <v>4852</v>
      </c>
      <c r="L4212" s="2">
        <v>1</v>
      </c>
      <c r="M4212" s="24" t="s">
        <v>5971</v>
      </c>
      <c r="N4212" s="2" t="s">
        <v>23</v>
      </c>
      <c r="O4212" s="18" t="s">
        <v>2970</v>
      </c>
      <c r="P4212" s="18" t="s">
        <v>0</v>
      </c>
      <c r="Q4212" s="6" t="s">
        <v>4475</v>
      </c>
      <c r="T4212" s="23">
        <v>45323</v>
      </c>
      <c r="U4212" s="23">
        <v>47240</v>
      </c>
      <c r="X4212" s="20">
        <v>15000</v>
      </c>
      <c r="Z4212" s="6" t="s">
        <v>5978</v>
      </c>
      <c r="AA4212" s="13">
        <f t="shared" si="561"/>
        <v>5.6000000000000006E-4</v>
      </c>
      <c r="AB4212">
        <v>5.5674584000000005</v>
      </c>
      <c r="AC4212">
        <v>5.790156736000001</v>
      </c>
    </row>
    <row r="4213" spans="1:29" x14ac:dyDescent="0.3">
      <c r="A4213">
        <v>149105</v>
      </c>
      <c r="B4213" s="25" t="s">
        <v>5984</v>
      </c>
      <c r="C4213" t="s">
        <v>20</v>
      </c>
      <c r="D4213" t="s">
        <v>21</v>
      </c>
      <c r="E4213">
        <v>2222222</v>
      </c>
      <c r="F4213" s="8" t="s">
        <v>22</v>
      </c>
      <c r="G4213" s="2">
        <v>98</v>
      </c>
      <c r="H4213" t="s">
        <v>4582</v>
      </c>
      <c r="J4213" s="9" t="s">
        <v>4815</v>
      </c>
      <c r="K4213" t="s">
        <v>4852</v>
      </c>
      <c r="L4213" s="2">
        <v>1</v>
      </c>
      <c r="M4213" s="24" t="s">
        <v>5971</v>
      </c>
      <c r="N4213" s="2" t="s">
        <v>23</v>
      </c>
      <c r="O4213" s="18" t="s">
        <v>2970</v>
      </c>
      <c r="P4213" s="18" t="s">
        <v>0</v>
      </c>
      <c r="Q4213" s="6" t="s">
        <v>4475</v>
      </c>
      <c r="T4213" s="23">
        <v>45999</v>
      </c>
      <c r="U4213" s="23">
        <v>47094</v>
      </c>
      <c r="X4213" s="20">
        <v>3000</v>
      </c>
      <c r="Z4213" s="6" t="s">
        <v>5978</v>
      </c>
      <c r="AA4213" s="14">
        <f>+(0.6/1000)</f>
        <v>5.9999999999999995E-4</v>
      </c>
      <c r="AB4213">
        <v>1.5167219999999999</v>
      </c>
      <c r="AC4213">
        <v>1.5773908800000001</v>
      </c>
    </row>
    <row r="4214" spans="1:29" x14ac:dyDescent="0.3">
      <c r="A4214">
        <v>131708</v>
      </c>
      <c r="B4214" s="25" t="s">
        <v>5984</v>
      </c>
      <c r="C4214" t="s">
        <v>20</v>
      </c>
      <c r="D4214" t="s">
        <v>21</v>
      </c>
      <c r="E4214">
        <v>2222222</v>
      </c>
      <c r="F4214" s="8" t="s">
        <v>22</v>
      </c>
      <c r="G4214" s="2">
        <v>98</v>
      </c>
      <c r="H4214" t="s">
        <v>4583</v>
      </c>
      <c r="J4214" s="9" t="s">
        <v>5453</v>
      </c>
      <c r="K4214" t="s">
        <v>5645</v>
      </c>
      <c r="L4214" s="2">
        <v>1</v>
      </c>
      <c r="M4214" s="24" t="s">
        <v>5971</v>
      </c>
      <c r="N4214" s="2" t="s">
        <v>23</v>
      </c>
      <c r="O4214" s="18" t="s">
        <v>3223</v>
      </c>
      <c r="P4214" s="18" t="s">
        <v>3781</v>
      </c>
      <c r="Q4214" s="6" t="s">
        <v>4475</v>
      </c>
      <c r="T4214" s="23">
        <v>44917</v>
      </c>
      <c r="U4214" s="23">
        <v>46377</v>
      </c>
      <c r="X4214" s="20">
        <v>10000</v>
      </c>
      <c r="Z4214" s="6" t="s">
        <v>5978</v>
      </c>
      <c r="AA4214" s="13">
        <f t="shared" ref="AA4214:AA4218" si="562">+(0.56/1000)</f>
        <v>5.6000000000000006E-4</v>
      </c>
      <c r="AB4214">
        <v>0.76266400000000012</v>
      </c>
      <c r="AC4214">
        <v>0.79317056000000019</v>
      </c>
    </row>
    <row r="4215" spans="1:29" x14ac:dyDescent="0.3">
      <c r="A4215">
        <v>139854</v>
      </c>
      <c r="B4215" s="25" t="s">
        <v>5984</v>
      </c>
      <c r="C4215" t="s">
        <v>20</v>
      </c>
      <c r="D4215" t="s">
        <v>21</v>
      </c>
      <c r="E4215">
        <v>2222222</v>
      </c>
      <c r="F4215" s="8" t="s">
        <v>22</v>
      </c>
      <c r="G4215" s="2">
        <v>98</v>
      </c>
      <c r="H4215" t="s">
        <v>4583</v>
      </c>
      <c r="J4215" s="9" t="s">
        <v>5112</v>
      </c>
      <c r="K4215" t="s">
        <v>4815</v>
      </c>
      <c r="L4215" s="2">
        <v>1</v>
      </c>
      <c r="M4215" s="24" t="s">
        <v>5971</v>
      </c>
      <c r="N4215" s="2" t="s">
        <v>23</v>
      </c>
      <c r="O4215" s="18" t="s">
        <v>3224</v>
      </c>
      <c r="P4215" s="18" t="s">
        <v>0</v>
      </c>
      <c r="Q4215" s="6" t="s">
        <v>4475</v>
      </c>
      <c r="T4215" s="23">
        <v>45352</v>
      </c>
      <c r="U4215" s="23">
        <v>46447</v>
      </c>
      <c r="X4215" s="20">
        <v>5000</v>
      </c>
      <c r="Z4215" s="6" t="s">
        <v>5978</v>
      </c>
      <c r="AA4215" s="13">
        <f t="shared" si="562"/>
        <v>5.6000000000000006E-4</v>
      </c>
      <c r="AB4215">
        <v>0.85667120000000008</v>
      </c>
      <c r="AC4215">
        <v>0.89093804800000009</v>
      </c>
    </row>
    <row r="4216" spans="1:29" x14ac:dyDescent="0.3">
      <c r="A4216">
        <v>140088</v>
      </c>
      <c r="B4216" s="25" t="s">
        <v>5984</v>
      </c>
      <c r="C4216" t="s">
        <v>20</v>
      </c>
      <c r="D4216" t="s">
        <v>21</v>
      </c>
      <c r="E4216">
        <v>2222222</v>
      </c>
      <c r="F4216" s="8" t="s">
        <v>22</v>
      </c>
      <c r="G4216" s="2">
        <v>98</v>
      </c>
      <c r="H4216" t="s">
        <v>4583</v>
      </c>
      <c r="J4216" s="9" t="s">
        <v>4911</v>
      </c>
      <c r="K4216" t="s">
        <v>5169</v>
      </c>
      <c r="L4216" s="2">
        <v>1</v>
      </c>
      <c r="M4216" s="24" t="s">
        <v>5971</v>
      </c>
      <c r="N4216" s="2" t="s">
        <v>23</v>
      </c>
      <c r="O4216" s="18" t="s">
        <v>1196</v>
      </c>
      <c r="P4216" s="18" t="s">
        <v>3781</v>
      </c>
      <c r="Q4216" s="6" t="s">
        <v>4475</v>
      </c>
      <c r="T4216" s="23">
        <v>45372</v>
      </c>
      <c r="U4216" s="23">
        <v>47927</v>
      </c>
      <c r="X4216" s="20">
        <v>35000</v>
      </c>
      <c r="Z4216" s="6" t="s">
        <v>5978</v>
      </c>
      <c r="AA4216" s="13">
        <f t="shared" si="562"/>
        <v>5.6000000000000006E-4</v>
      </c>
      <c r="AB4216">
        <v>13.039353600000002</v>
      </c>
      <c r="AC4216">
        <v>13.560927744000002</v>
      </c>
    </row>
    <row r="4217" spans="1:29" x14ac:dyDescent="0.3">
      <c r="A4217">
        <v>140147</v>
      </c>
      <c r="B4217" s="25" t="s">
        <v>5984</v>
      </c>
      <c r="C4217" t="s">
        <v>20</v>
      </c>
      <c r="D4217" t="s">
        <v>21</v>
      </c>
      <c r="E4217">
        <v>2222222</v>
      </c>
      <c r="F4217" s="8" t="s">
        <v>22</v>
      </c>
      <c r="G4217" s="2">
        <v>98</v>
      </c>
      <c r="H4217" t="s">
        <v>4583</v>
      </c>
      <c r="J4217" s="9" t="s">
        <v>4865</v>
      </c>
      <c r="K4217" t="s">
        <v>4856</v>
      </c>
      <c r="L4217" s="2">
        <v>1</v>
      </c>
      <c r="M4217" s="24" t="s">
        <v>5971</v>
      </c>
      <c r="N4217" s="2" t="s">
        <v>23</v>
      </c>
      <c r="O4217" s="18" t="s">
        <v>3225</v>
      </c>
      <c r="P4217" s="18" t="s">
        <v>0</v>
      </c>
      <c r="Q4217" s="6" t="s">
        <v>4475</v>
      </c>
      <c r="T4217" s="23">
        <v>45400</v>
      </c>
      <c r="U4217" s="23">
        <v>46495</v>
      </c>
      <c r="X4217" s="20">
        <v>100000</v>
      </c>
      <c r="Z4217" s="6" t="s">
        <v>5978</v>
      </c>
      <c r="AA4217" s="13">
        <f t="shared" si="562"/>
        <v>5.6000000000000006E-4</v>
      </c>
      <c r="AB4217">
        <v>10.288723200000002</v>
      </c>
      <c r="AC4217">
        <v>10.700272128000002</v>
      </c>
    </row>
    <row r="4218" spans="1:29" x14ac:dyDescent="0.3">
      <c r="A4218">
        <v>140208</v>
      </c>
      <c r="B4218" s="25" t="s">
        <v>5984</v>
      </c>
      <c r="C4218" t="s">
        <v>20</v>
      </c>
      <c r="D4218" t="s">
        <v>21</v>
      </c>
      <c r="E4218">
        <v>2222222</v>
      </c>
      <c r="F4218" s="8" t="s">
        <v>22</v>
      </c>
      <c r="G4218" s="2">
        <v>98</v>
      </c>
      <c r="H4218" t="s">
        <v>4583</v>
      </c>
      <c r="J4218" s="9" t="s">
        <v>4911</v>
      </c>
      <c r="K4218" t="s">
        <v>5301</v>
      </c>
      <c r="L4218" s="2">
        <v>1</v>
      </c>
      <c r="M4218" s="24" t="s">
        <v>5971</v>
      </c>
      <c r="N4218" s="2" t="s">
        <v>23</v>
      </c>
      <c r="O4218" s="18" t="s">
        <v>3226</v>
      </c>
      <c r="P4218" s="18" t="s">
        <v>3781</v>
      </c>
      <c r="Q4218" s="6" t="s">
        <v>4475</v>
      </c>
      <c r="T4218" s="23">
        <v>45372</v>
      </c>
      <c r="U4218" s="23">
        <v>46466</v>
      </c>
      <c r="X4218" s="20">
        <v>4000</v>
      </c>
      <c r="Z4218" s="6" t="s">
        <v>5978</v>
      </c>
      <c r="AA4218" s="13">
        <f t="shared" si="562"/>
        <v>5.6000000000000006E-4</v>
      </c>
      <c r="AB4218">
        <v>0.60753840000000014</v>
      </c>
      <c r="AC4218">
        <v>0.63183993600000021</v>
      </c>
    </row>
    <row r="4219" spans="1:29" x14ac:dyDescent="0.3">
      <c r="A4219">
        <v>141887</v>
      </c>
      <c r="B4219" s="25" t="s">
        <v>5984</v>
      </c>
      <c r="C4219" t="s">
        <v>20</v>
      </c>
      <c r="D4219" t="s">
        <v>21</v>
      </c>
      <c r="E4219">
        <v>2222222</v>
      </c>
      <c r="F4219" s="8" t="s">
        <v>22</v>
      </c>
      <c r="G4219" s="2">
        <v>98</v>
      </c>
      <c r="H4219" t="s">
        <v>4583</v>
      </c>
      <c r="J4219" s="9" t="s">
        <v>5112</v>
      </c>
      <c r="K4219" t="s">
        <v>4815</v>
      </c>
      <c r="L4219" s="2">
        <v>1</v>
      </c>
      <c r="M4219" s="24" t="s">
        <v>5971</v>
      </c>
      <c r="N4219" s="2" t="s">
        <v>23</v>
      </c>
      <c r="O4219" s="18" t="s">
        <v>3224</v>
      </c>
      <c r="P4219" s="18" t="s">
        <v>0</v>
      </c>
      <c r="Q4219" s="6" t="s">
        <v>4475</v>
      </c>
      <c r="T4219" s="23">
        <v>45483</v>
      </c>
      <c r="U4219" s="23">
        <v>46212</v>
      </c>
      <c r="X4219" s="20">
        <v>4000</v>
      </c>
      <c r="Z4219" s="6" t="s">
        <v>5978</v>
      </c>
      <c r="AA4219" s="14">
        <f t="shared" ref="AA4219:AA4244" si="563">+(0.6/1000)</f>
        <v>5.9999999999999995E-4</v>
      </c>
      <c r="AB4219">
        <v>0.23627999999999999</v>
      </c>
      <c r="AC4219">
        <v>0.24573120000000001</v>
      </c>
    </row>
    <row r="4220" spans="1:29" x14ac:dyDescent="0.3">
      <c r="A4220">
        <v>143071</v>
      </c>
      <c r="B4220" s="25" t="s">
        <v>5984</v>
      </c>
      <c r="C4220" t="s">
        <v>20</v>
      </c>
      <c r="D4220" t="s">
        <v>21</v>
      </c>
      <c r="E4220">
        <v>2222222</v>
      </c>
      <c r="F4220" s="8" t="s">
        <v>22</v>
      </c>
      <c r="G4220" s="2">
        <v>98</v>
      </c>
      <c r="H4220" t="s">
        <v>4583</v>
      </c>
      <c r="J4220" s="9" t="s">
        <v>4836</v>
      </c>
      <c r="K4220" t="s">
        <v>5165</v>
      </c>
      <c r="L4220" s="2">
        <v>1</v>
      </c>
      <c r="M4220" s="24" t="s">
        <v>5971</v>
      </c>
      <c r="N4220" s="2" t="s">
        <v>23</v>
      </c>
      <c r="O4220" s="18" t="s">
        <v>3227</v>
      </c>
      <c r="P4220" s="18" t="s">
        <v>3781</v>
      </c>
      <c r="Q4220" s="6" t="s">
        <v>4475</v>
      </c>
      <c r="T4220" s="23">
        <v>45565</v>
      </c>
      <c r="U4220" s="23">
        <v>46660</v>
      </c>
      <c r="X4220" s="20">
        <v>5000</v>
      </c>
      <c r="Z4220" s="6" t="s">
        <v>5978</v>
      </c>
      <c r="AA4220" s="14">
        <f t="shared" si="563"/>
        <v>5.9999999999999995E-4</v>
      </c>
      <c r="AB4220">
        <v>1.4594579999999997</v>
      </c>
      <c r="AC4220">
        <v>1.5178363199999998</v>
      </c>
    </row>
    <row r="4221" spans="1:29" x14ac:dyDescent="0.3">
      <c r="A4221">
        <v>143544</v>
      </c>
      <c r="B4221" s="25" t="s">
        <v>5984</v>
      </c>
      <c r="C4221" t="s">
        <v>20</v>
      </c>
      <c r="D4221" t="s">
        <v>21</v>
      </c>
      <c r="E4221">
        <v>2222222</v>
      </c>
      <c r="F4221" s="8" t="s">
        <v>22</v>
      </c>
      <c r="G4221" s="2">
        <v>98</v>
      </c>
      <c r="H4221" t="s">
        <v>4583</v>
      </c>
      <c r="J4221" s="9" t="s">
        <v>5371</v>
      </c>
      <c r="K4221" t="s">
        <v>5197</v>
      </c>
      <c r="L4221" s="2">
        <v>1</v>
      </c>
      <c r="M4221" s="24" t="s">
        <v>5971</v>
      </c>
      <c r="N4221" s="2" t="s">
        <v>23</v>
      </c>
      <c r="O4221" s="18" t="s">
        <v>1683</v>
      </c>
      <c r="P4221" s="18" t="s">
        <v>0</v>
      </c>
      <c r="Q4221" s="6" t="s">
        <v>4475</v>
      </c>
      <c r="T4221" s="23">
        <v>45608</v>
      </c>
      <c r="U4221" s="23">
        <v>47799</v>
      </c>
      <c r="X4221" s="20">
        <v>6600</v>
      </c>
      <c r="Z4221" s="6" t="s">
        <v>5978</v>
      </c>
      <c r="AA4221" s="14">
        <f t="shared" si="563"/>
        <v>5.9999999999999995E-4</v>
      </c>
      <c r="AB4221">
        <v>3.2279699999999996</v>
      </c>
      <c r="AC4221">
        <v>3.3570887999999997</v>
      </c>
    </row>
    <row r="4222" spans="1:29" x14ac:dyDescent="0.3">
      <c r="A4222">
        <v>144384</v>
      </c>
      <c r="B4222" s="25" t="s">
        <v>5984</v>
      </c>
      <c r="C4222" t="s">
        <v>20</v>
      </c>
      <c r="D4222" t="s">
        <v>21</v>
      </c>
      <c r="E4222">
        <v>2222222</v>
      </c>
      <c r="F4222" s="8" t="s">
        <v>22</v>
      </c>
      <c r="G4222" s="2">
        <v>98</v>
      </c>
      <c r="H4222" t="s">
        <v>4583</v>
      </c>
      <c r="J4222" s="9" t="s">
        <v>4967</v>
      </c>
      <c r="K4222" t="s">
        <v>4872</v>
      </c>
      <c r="L4222" s="2">
        <v>1</v>
      </c>
      <c r="M4222" s="24" t="s">
        <v>5971</v>
      </c>
      <c r="N4222" s="2" t="s">
        <v>23</v>
      </c>
      <c r="O4222" s="18" t="s">
        <v>1478</v>
      </c>
      <c r="P4222" s="18" t="s">
        <v>3781</v>
      </c>
      <c r="Q4222" s="6" t="s">
        <v>4475</v>
      </c>
      <c r="T4222" s="23">
        <v>45657</v>
      </c>
      <c r="U4222" s="23">
        <v>47482</v>
      </c>
      <c r="X4222" s="20">
        <v>3085</v>
      </c>
      <c r="Z4222" s="6" t="s">
        <v>5978</v>
      </c>
      <c r="AA4222" s="14">
        <f t="shared" si="563"/>
        <v>5.9999999999999995E-4</v>
      </c>
      <c r="AB4222">
        <v>1.5009899999999998</v>
      </c>
      <c r="AC4222">
        <v>1.5610295999999999</v>
      </c>
    </row>
    <row r="4223" spans="1:29" x14ac:dyDescent="0.3">
      <c r="A4223">
        <v>144412</v>
      </c>
      <c r="B4223" s="25" t="s">
        <v>5984</v>
      </c>
      <c r="C4223" t="s">
        <v>20</v>
      </c>
      <c r="D4223" t="s">
        <v>21</v>
      </c>
      <c r="E4223">
        <v>2222222</v>
      </c>
      <c r="F4223" s="8" t="s">
        <v>22</v>
      </c>
      <c r="G4223" s="2">
        <v>98</v>
      </c>
      <c r="H4223" t="s">
        <v>4583</v>
      </c>
      <c r="J4223" s="9" t="s">
        <v>5112</v>
      </c>
      <c r="K4223" t="s">
        <v>5528</v>
      </c>
      <c r="L4223" s="2">
        <v>1</v>
      </c>
      <c r="M4223" s="24" t="s">
        <v>5971</v>
      </c>
      <c r="N4223" s="2" t="s">
        <v>23</v>
      </c>
      <c r="O4223" s="18" t="s">
        <v>3228</v>
      </c>
      <c r="P4223" s="18" t="s">
        <v>0</v>
      </c>
      <c r="Q4223" s="6" t="s">
        <v>4475</v>
      </c>
      <c r="T4223" s="23">
        <v>45663</v>
      </c>
      <c r="U4223" s="23">
        <v>46392</v>
      </c>
      <c r="X4223" s="20">
        <v>2500</v>
      </c>
      <c r="Z4223" s="6" t="s">
        <v>5978</v>
      </c>
      <c r="AA4223" s="14">
        <f t="shared" si="563"/>
        <v>5.9999999999999995E-4</v>
      </c>
      <c r="AB4223">
        <v>0.42259199999999997</v>
      </c>
      <c r="AC4223">
        <v>0.43949568</v>
      </c>
    </row>
    <row r="4224" spans="1:29" x14ac:dyDescent="0.3">
      <c r="A4224">
        <v>144513</v>
      </c>
      <c r="B4224" s="25" t="s">
        <v>5984</v>
      </c>
      <c r="C4224" t="s">
        <v>20</v>
      </c>
      <c r="D4224" t="s">
        <v>21</v>
      </c>
      <c r="E4224">
        <v>2222222</v>
      </c>
      <c r="F4224" s="8" t="s">
        <v>22</v>
      </c>
      <c r="G4224" s="2">
        <v>98</v>
      </c>
      <c r="H4224" t="s">
        <v>4583</v>
      </c>
      <c r="J4224" s="9" t="s">
        <v>5883</v>
      </c>
      <c r="K4224" t="s">
        <v>5288</v>
      </c>
      <c r="L4224" s="2">
        <v>1</v>
      </c>
      <c r="M4224" s="24" t="s">
        <v>5971</v>
      </c>
      <c r="N4224" s="2" t="s">
        <v>23</v>
      </c>
      <c r="O4224" s="18" t="s">
        <v>3229</v>
      </c>
      <c r="P4224" s="18" t="s">
        <v>0</v>
      </c>
      <c r="Q4224" s="6" t="s">
        <v>4475</v>
      </c>
      <c r="T4224" s="23">
        <v>45673</v>
      </c>
      <c r="U4224" s="23">
        <v>47133</v>
      </c>
      <c r="X4224" s="20">
        <v>3550</v>
      </c>
      <c r="Z4224" s="6" t="s">
        <v>5978</v>
      </c>
      <c r="AA4224" s="14">
        <f t="shared" si="563"/>
        <v>5.9999999999999995E-4</v>
      </c>
      <c r="AB4224">
        <v>1.4656619999999998</v>
      </c>
      <c r="AC4224">
        <v>1.5242884799999998</v>
      </c>
    </row>
    <row r="4225" spans="1:29" x14ac:dyDescent="0.3">
      <c r="A4225">
        <v>146608</v>
      </c>
      <c r="B4225" s="25" t="s">
        <v>5984</v>
      </c>
      <c r="C4225" t="s">
        <v>20</v>
      </c>
      <c r="D4225" t="s">
        <v>21</v>
      </c>
      <c r="E4225">
        <v>2222222</v>
      </c>
      <c r="F4225" s="8" t="s">
        <v>22</v>
      </c>
      <c r="G4225" s="2">
        <v>98</v>
      </c>
      <c r="H4225" t="s">
        <v>4583</v>
      </c>
      <c r="J4225" s="9" t="s">
        <v>5282</v>
      </c>
      <c r="K4225" t="s">
        <v>5160</v>
      </c>
      <c r="L4225" s="2">
        <v>1</v>
      </c>
      <c r="M4225" s="24" t="s">
        <v>5971</v>
      </c>
      <c r="N4225" s="2" t="s">
        <v>23</v>
      </c>
      <c r="O4225" s="18" t="s">
        <v>3230</v>
      </c>
      <c r="P4225" s="18" t="s">
        <v>0</v>
      </c>
      <c r="Q4225" s="6" t="s">
        <v>4475</v>
      </c>
      <c r="T4225" s="23">
        <v>45835</v>
      </c>
      <c r="U4225" s="23">
        <v>46748</v>
      </c>
      <c r="X4225" s="20">
        <v>6000</v>
      </c>
      <c r="Z4225" s="6" t="s">
        <v>5978</v>
      </c>
      <c r="AA4225" s="14">
        <f t="shared" si="563"/>
        <v>5.9999999999999995E-4</v>
      </c>
      <c r="AB4225">
        <v>2.2157039999999997</v>
      </c>
      <c r="AC4225">
        <v>2.3043321599999995</v>
      </c>
    </row>
    <row r="4226" spans="1:29" x14ac:dyDescent="0.3">
      <c r="A4226">
        <v>146618</v>
      </c>
      <c r="B4226" s="25" t="s">
        <v>5984</v>
      </c>
      <c r="C4226" t="s">
        <v>20</v>
      </c>
      <c r="D4226" t="s">
        <v>21</v>
      </c>
      <c r="E4226">
        <v>2222222</v>
      </c>
      <c r="F4226" s="8" t="s">
        <v>22</v>
      </c>
      <c r="G4226" s="2">
        <v>98</v>
      </c>
      <c r="H4226" t="s">
        <v>4583</v>
      </c>
      <c r="J4226" s="9" t="s">
        <v>4892</v>
      </c>
      <c r="K4226" t="s">
        <v>4942</v>
      </c>
      <c r="L4226" s="2">
        <v>1</v>
      </c>
      <c r="M4226" s="24" t="s">
        <v>5971</v>
      </c>
      <c r="N4226" s="2" t="s">
        <v>23</v>
      </c>
      <c r="O4226" s="18" t="s">
        <v>3231</v>
      </c>
      <c r="P4226" s="18" t="s">
        <v>3781</v>
      </c>
      <c r="Q4226" s="6" t="s">
        <v>4475</v>
      </c>
      <c r="T4226" s="23">
        <v>45831</v>
      </c>
      <c r="U4226" s="23">
        <v>46927</v>
      </c>
      <c r="X4226" s="20">
        <v>5000</v>
      </c>
      <c r="Z4226" s="6" t="s">
        <v>5978</v>
      </c>
      <c r="AA4226" s="14">
        <f t="shared" si="563"/>
        <v>5.9999999999999995E-4</v>
      </c>
      <c r="AB4226">
        <v>2.0987099999999996</v>
      </c>
      <c r="AC4226">
        <v>2.1826583999999998</v>
      </c>
    </row>
    <row r="4227" spans="1:29" x14ac:dyDescent="0.3">
      <c r="A4227">
        <v>147668</v>
      </c>
      <c r="B4227" s="25" t="s">
        <v>5984</v>
      </c>
      <c r="C4227" t="s">
        <v>20</v>
      </c>
      <c r="D4227" t="s">
        <v>21</v>
      </c>
      <c r="E4227">
        <v>2222222</v>
      </c>
      <c r="F4227" s="8" t="s">
        <v>22</v>
      </c>
      <c r="G4227" s="2">
        <v>98</v>
      </c>
      <c r="H4227" t="s">
        <v>4583</v>
      </c>
      <c r="J4227" s="9" t="s">
        <v>5124</v>
      </c>
      <c r="K4227" t="s">
        <v>4983</v>
      </c>
      <c r="L4227" s="2">
        <v>1</v>
      </c>
      <c r="M4227" s="24" t="s">
        <v>5971</v>
      </c>
      <c r="N4227" s="2" t="s">
        <v>23</v>
      </c>
      <c r="O4227" s="18" t="s">
        <v>3232</v>
      </c>
      <c r="P4227" s="18" t="s">
        <v>0</v>
      </c>
      <c r="Q4227" s="6" t="s">
        <v>4475</v>
      </c>
      <c r="T4227" s="23">
        <v>45905</v>
      </c>
      <c r="U4227" s="23">
        <v>46270</v>
      </c>
      <c r="X4227" s="20">
        <v>5000</v>
      </c>
      <c r="Z4227" s="6" t="s">
        <v>5978</v>
      </c>
      <c r="AA4227" s="14">
        <f t="shared" si="563"/>
        <v>5.9999999999999995E-4</v>
      </c>
      <c r="AB4227">
        <v>0.53745599999999993</v>
      </c>
      <c r="AC4227">
        <v>0.55895423999999994</v>
      </c>
    </row>
    <row r="4228" spans="1:29" x14ac:dyDescent="0.3">
      <c r="A4228">
        <v>149106</v>
      </c>
      <c r="B4228" s="25" t="s">
        <v>5984</v>
      </c>
      <c r="C4228" t="s">
        <v>20</v>
      </c>
      <c r="D4228" t="s">
        <v>21</v>
      </c>
      <c r="E4228">
        <v>2222222</v>
      </c>
      <c r="F4228" s="8" t="s">
        <v>22</v>
      </c>
      <c r="G4228" s="2">
        <v>98</v>
      </c>
      <c r="H4228" t="s">
        <v>4583</v>
      </c>
      <c r="J4228" s="9" t="s">
        <v>4900</v>
      </c>
      <c r="K4228" t="s">
        <v>4983</v>
      </c>
      <c r="L4228" s="2">
        <v>1</v>
      </c>
      <c r="M4228" s="24" t="s">
        <v>5971</v>
      </c>
      <c r="N4228" s="2" t="s">
        <v>23</v>
      </c>
      <c r="O4228" s="18" t="s">
        <v>3233</v>
      </c>
      <c r="P4228" s="18" t="s">
        <v>0</v>
      </c>
      <c r="Q4228" s="6" t="s">
        <v>4475</v>
      </c>
      <c r="T4228" s="23">
        <v>45999</v>
      </c>
      <c r="U4228" s="23">
        <v>46728</v>
      </c>
      <c r="X4228" s="20">
        <v>2500</v>
      </c>
      <c r="Z4228" s="6" t="s">
        <v>5978</v>
      </c>
      <c r="AA4228" s="14">
        <f t="shared" si="563"/>
        <v>5.9999999999999995E-4</v>
      </c>
      <c r="AB4228">
        <v>1.1128319999999998</v>
      </c>
      <c r="AC4228">
        <v>1.1573452799999999</v>
      </c>
    </row>
    <row r="4229" spans="1:29" x14ac:dyDescent="0.3">
      <c r="A4229">
        <v>149111</v>
      </c>
      <c r="B4229" s="25" t="s">
        <v>5984</v>
      </c>
      <c r="C4229" t="s">
        <v>20</v>
      </c>
      <c r="D4229" t="s">
        <v>21</v>
      </c>
      <c r="E4229">
        <v>2222222</v>
      </c>
      <c r="F4229" s="8" t="s">
        <v>22</v>
      </c>
      <c r="G4229" s="2">
        <v>98</v>
      </c>
      <c r="H4229" t="s">
        <v>4583</v>
      </c>
      <c r="J4229" s="9" t="s">
        <v>4836</v>
      </c>
      <c r="K4229" t="s">
        <v>5066</v>
      </c>
      <c r="L4229" s="2">
        <v>1</v>
      </c>
      <c r="M4229" s="24" t="s">
        <v>5971</v>
      </c>
      <c r="N4229" s="2" t="s">
        <v>23</v>
      </c>
      <c r="O4229" s="18" t="s">
        <v>3227</v>
      </c>
      <c r="P4229" s="18" t="s">
        <v>3781</v>
      </c>
      <c r="Q4229" s="6" t="s">
        <v>4475</v>
      </c>
      <c r="T4229" s="23">
        <v>45999</v>
      </c>
      <c r="U4229" s="23">
        <v>46364</v>
      </c>
      <c r="X4229" s="20">
        <v>1000</v>
      </c>
      <c r="Z4229" s="6" t="s">
        <v>5978</v>
      </c>
      <c r="AA4229" s="14">
        <f t="shared" si="563"/>
        <v>5.9999999999999995E-4</v>
      </c>
      <c r="AB4229">
        <v>0.26203199999999999</v>
      </c>
      <c r="AC4229">
        <v>0.27251327999999997</v>
      </c>
    </row>
    <row r="4230" spans="1:29" x14ac:dyDescent="0.3">
      <c r="A4230">
        <v>149590</v>
      </c>
      <c r="B4230" s="25" t="s">
        <v>5984</v>
      </c>
      <c r="C4230" t="s">
        <v>20</v>
      </c>
      <c r="D4230" t="s">
        <v>21</v>
      </c>
      <c r="E4230">
        <v>2222222</v>
      </c>
      <c r="F4230" s="8" t="s">
        <v>22</v>
      </c>
      <c r="G4230" s="2">
        <v>98</v>
      </c>
      <c r="H4230" t="s">
        <v>4583</v>
      </c>
      <c r="J4230" s="9" t="s">
        <v>4911</v>
      </c>
      <c r="K4230" t="s">
        <v>5196</v>
      </c>
      <c r="L4230" s="2">
        <v>1</v>
      </c>
      <c r="M4230" s="24" t="s">
        <v>5971</v>
      </c>
      <c r="N4230" s="2" t="s">
        <v>23</v>
      </c>
      <c r="O4230" s="18" t="s">
        <v>3234</v>
      </c>
      <c r="P4230" s="18" t="s">
        <v>3781</v>
      </c>
      <c r="Q4230" s="6" t="s">
        <v>4475</v>
      </c>
      <c r="T4230" s="23">
        <v>46035</v>
      </c>
      <c r="U4230" s="23">
        <v>46947</v>
      </c>
      <c r="X4230" s="20">
        <v>5000</v>
      </c>
      <c r="Z4230" s="6" t="s">
        <v>5978</v>
      </c>
      <c r="AA4230" s="14">
        <f t="shared" si="563"/>
        <v>5.9999999999999995E-4</v>
      </c>
      <c r="AB4230">
        <v>2.4995939999999996</v>
      </c>
      <c r="AC4230">
        <v>2.5995777599999998</v>
      </c>
    </row>
    <row r="4231" spans="1:29" x14ac:dyDescent="0.3">
      <c r="A4231">
        <v>150217</v>
      </c>
      <c r="B4231" s="25" t="s">
        <v>5984</v>
      </c>
      <c r="C4231" t="s">
        <v>20</v>
      </c>
      <c r="D4231" t="s">
        <v>21</v>
      </c>
      <c r="E4231">
        <v>2222222</v>
      </c>
      <c r="F4231" s="8" t="s">
        <v>22</v>
      </c>
      <c r="G4231" s="2">
        <v>98</v>
      </c>
      <c r="H4231" t="s">
        <v>4583</v>
      </c>
      <c r="J4231" s="9" t="s">
        <v>4916</v>
      </c>
      <c r="K4231" t="s">
        <v>5075</v>
      </c>
      <c r="L4231" s="2">
        <v>1</v>
      </c>
      <c r="M4231" s="24" t="s">
        <v>5971</v>
      </c>
      <c r="N4231" s="2" t="s">
        <v>23</v>
      </c>
      <c r="O4231" s="18" t="s">
        <v>3235</v>
      </c>
      <c r="P4231" s="18" t="s">
        <v>3781</v>
      </c>
      <c r="Q4231" s="6" t="s">
        <v>4475</v>
      </c>
      <c r="T4231" s="23">
        <v>46079</v>
      </c>
      <c r="U4231" s="23">
        <v>47542</v>
      </c>
      <c r="X4231" s="20">
        <v>5000</v>
      </c>
      <c r="Z4231" s="6" t="s">
        <v>5978</v>
      </c>
      <c r="AA4231" s="14">
        <f t="shared" si="563"/>
        <v>5.9999999999999995E-4</v>
      </c>
      <c r="AB4231">
        <v>2.7787860000000002</v>
      </c>
      <c r="AC4231">
        <v>2.8899374400000002</v>
      </c>
    </row>
    <row r="4232" spans="1:29" x14ac:dyDescent="0.3">
      <c r="A4232">
        <v>150257</v>
      </c>
      <c r="B4232" s="25" t="s">
        <v>5984</v>
      </c>
      <c r="C4232" t="s">
        <v>20</v>
      </c>
      <c r="D4232" t="s">
        <v>21</v>
      </c>
      <c r="E4232">
        <v>2222222</v>
      </c>
      <c r="F4232" s="8" t="s">
        <v>22</v>
      </c>
      <c r="G4232" s="2">
        <v>98</v>
      </c>
      <c r="H4232" t="s">
        <v>4583</v>
      </c>
      <c r="J4232" s="9" t="s">
        <v>4901</v>
      </c>
      <c r="K4232" t="s">
        <v>4935</v>
      </c>
      <c r="L4232" s="2">
        <v>1</v>
      </c>
      <c r="M4232" s="24" t="s">
        <v>5971</v>
      </c>
      <c r="N4232" s="2" t="s">
        <v>23</v>
      </c>
      <c r="O4232" s="18" t="s">
        <v>3236</v>
      </c>
      <c r="P4232" s="18" t="s">
        <v>0</v>
      </c>
      <c r="Q4232" s="6" t="s">
        <v>4475</v>
      </c>
      <c r="T4232" s="23">
        <v>46082</v>
      </c>
      <c r="U4232" s="23">
        <v>47182</v>
      </c>
      <c r="X4232" s="20">
        <v>3580</v>
      </c>
      <c r="Z4232" s="6" t="s">
        <v>5978</v>
      </c>
      <c r="AA4232" s="14">
        <f t="shared" si="563"/>
        <v>5.9999999999999995E-4</v>
      </c>
      <c r="AB4232">
        <v>1.9593839999999998</v>
      </c>
      <c r="AC4232">
        <v>2.0377593599999999</v>
      </c>
    </row>
    <row r="4233" spans="1:29" x14ac:dyDescent="0.3">
      <c r="A4233">
        <v>150580</v>
      </c>
      <c r="B4233" s="25" t="s">
        <v>5984</v>
      </c>
      <c r="C4233" t="s">
        <v>20</v>
      </c>
      <c r="D4233" t="s">
        <v>21</v>
      </c>
      <c r="E4233">
        <v>2222222</v>
      </c>
      <c r="F4233" s="8" t="s">
        <v>22</v>
      </c>
      <c r="G4233" s="2">
        <v>98</v>
      </c>
      <c r="H4233" t="s">
        <v>4583</v>
      </c>
      <c r="J4233" s="9" t="s">
        <v>4900</v>
      </c>
      <c r="K4233" t="s">
        <v>4901</v>
      </c>
      <c r="L4233" s="2">
        <v>1</v>
      </c>
      <c r="M4233" s="24" t="s">
        <v>5971</v>
      </c>
      <c r="N4233" s="2" t="s">
        <v>23</v>
      </c>
      <c r="O4233" s="18" t="s">
        <v>3237</v>
      </c>
      <c r="P4233" s="18" t="s">
        <v>0</v>
      </c>
      <c r="Q4233" s="6" t="s">
        <v>4475</v>
      </c>
      <c r="T4233" s="23">
        <v>46101</v>
      </c>
      <c r="U4233" s="23">
        <v>47197</v>
      </c>
      <c r="X4233" s="20">
        <v>3000</v>
      </c>
      <c r="Z4233" s="6" t="s">
        <v>5978</v>
      </c>
      <c r="AA4233" s="14">
        <f t="shared" si="563"/>
        <v>5.9999999999999995E-4</v>
      </c>
      <c r="AB4233">
        <v>1.6419479999999997</v>
      </c>
      <c r="AC4233">
        <v>1.7076259199999997</v>
      </c>
    </row>
    <row r="4234" spans="1:29" x14ac:dyDescent="0.3">
      <c r="A4234">
        <v>151073</v>
      </c>
      <c r="B4234" s="25" t="s">
        <v>5984</v>
      </c>
      <c r="C4234" t="s">
        <v>20</v>
      </c>
      <c r="D4234" t="s">
        <v>21</v>
      </c>
      <c r="E4234">
        <v>2222222</v>
      </c>
      <c r="F4234" s="8" t="s">
        <v>22</v>
      </c>
      <c r="G4234" s="2">
        <v>98</v>
      </c>
      <c r="H4234" t="s">
        <v>4583</v>
      </c>
      <c r="J4234" s="9" t="s">
        <v>4967</v>
      </c>
      <c r="K4234" t="s">
        <v>4872</v>
      </c>
      <c r="L4234" s="2">
        <v>1</v>
      </c>
      <c r="M4234" s="24" t="s">
        <v>5971</v>
      </c>
      <c r="N4234" s="2" t="s">
        <v>23</v>
      </c>
      <c r="O4234" s="18" t="s">
        <v>2131</v>
      </c>
      <c r="P4234" s="18" t="s">
        <v>3781</v>
      </c>
      <c r="Q4234" s="6" t="s">
        <v>4475</v>
      </c>
      <c r="T4234" s="23">
        <v>46136</v>
      </c>
      <c r="U4234" s="23">
        <v>46501</v>
      </c>
      <c r="X4234" s="20">
        <v>5000</v>
      </c>
      <c r="Z4234" s="6" t="s">
        <v>5978</v>
      </c>
      <c r="AA4234" s="14">
        <f t="shared" si="563"/>
        <v>5.9999999999999995E-4</v>
      </c>
      <c r="AB4234">
        <v>0.44629799999999997</v>
      </c>
      <c r="AC4234">
        <v>0.46414991999999999</v>
      </c>
    </row>
    <row r="4235" spans="1:29" x14ac:dyDescent="0.3">
      <c r="A4235">
        <v>151454</v>
      </c>
      <c r="B4235" s="25" t="s">
        <v>5984</v>
      </c>
      <c r="C4235" t="s">
        <v>20</v>
      </c>
      <c r="D4235" t="s">
        <v>21</v>
      </c>
      <c r="E4235">
        <v>2222222</v>
      </c>
      <c r="F4235" s="8" t="s">
        <v>22</v>
      </c>
      <c r="G4235" s="2">
        <v>98</v>
      </c>
      <c r="H4235" t="s">
        <v>4583</v>
      </c>
      <c r="J4235" s="9" t="s">
        <v>4836</v>
      </c>
      <c r="K4235" t="s">
        <v>5165</v>
      </c>
      <c r="L4235" s="2">
        <v>1</v>
      </c>
      <c r="M4235" s="24" t="s">
        <v>5971</v>
      </c>
      <c r="N4235" s="2" t="s">
        <v>23</v>
      </c>
      <c r="O4235" s="18" t="s">
        <v>3238</v>
      </c>
      <c r="P4235" s="18" t="s">
        <v>3781</v>
      </c>
      <c r="Q4235" s="6" t="s">
        <v>4475</v>
      </c>
      <c r="T4235" s="23">
        <v>46164</v>
      </c>
      <c r="U4235" s="23">
        <v>46712</v>
      </c>
      <c r="X4235" s="20">
        <v>5000</v>
      </c>
      <c r="Z4235" s="6" t="s">
        <v>5978</v>
      </c>
      <c r="AA4235" s="14">
        <f t="shared" si="563"/>
        <v>5.9999999999999995E-4</v>
      </c>
      <c r="AB4235">
        <v>2.7042419999999994</v>
      </c>
      <c r="AC4235">
        <v>2.8124116799999994</v>
      </c>
    </row>
    <row r="4236" spans="1:29" x14ac:dyDescent="0.3">
      <c r="A4236">
        <v>151604</v>
      </c>
      <c r="B4236" s="25" t="s">
        <v>5984</v>
      </c>
      <c r="C4236" t="s">
        <v>20</v>
      </c>
      <c r="D4236" t="s">
        <v>21</v>
      </c>
      <c r="E4236">
        <v>2222222</v>
      </c>
      <c r="F4236" s="8" t="s">
        <v>22</v>
      </c>
      <c r="G4236" s="2">
        <v>98</v>
      </c>
      <c r="H4236" t="s">
        <v>4583</v>
      </c>
      <c r="J4236" s="9" t="s">
        <v>4916</v>
      </c>
      <c r="K4236" t="s">
        <v>5075</v>
      </c>
      <c r="L4236" s="2">
        <v>1</v>
      </c>
      <c r="M4236" s="24" t="s">
        <v>5971</v>
      </c>
      <c r="N4236" s="2" t="s">
        <v>23</v>
      </c>
      <c r="O4236" s="18" t="s">
        <v>3235</v>
      </c>
      <c r="P4236" s="18" t="s">
        <v>3781</v>
      </c>
      <c r="Q4236" s="6" t="s">
        <v>4475</v>
      </c>
      <c r="T4236" s="23">
        <v>46175</v>
      </c>
      <c r="U4236" s="23">
        <v>47271</v>
      </c>
      <c r="X4236" s="20">
        <v>4000</v>
      </c>
      <c r="Z4236" s="6" t="s">
        <v>5978</v>
      </c>
      <c r="AA4236" s="14">
        <f t="shared" si="563"/>
        <v>5.9999999999999995E-4</v>
      </c>
      <c r="AB4236">
        <v>2.3481540000000001</v>
      </c>
      <c r="AC4236">
        <v>2.4420801600000002</v>
      </c>
    </row>
    <row r="4237" spans="1:29" x14ac:dyDescent="0.3">
      <c r="A4237">
        <v>151722</v>
      </c>
      <c r="B4237" s="25" t="s">
        <v>5984</v>
      </c>
      <c r="C4237" t="s">
        <v>20</v>
      </c>
      <c r="D4237" t="s">
        <v>21</v>
      </c>
      <c r="E4237">
        <v>2222222</v>
      </c>
      <c r="F4237" s="8" t="s">
        <v>22</v>
      </c>
      <c r="G4237" s="2">
        <v>98</v>
      </c>
      <c r="H4237" t="s">
        <v>4583</v>
      </c>
      <c r="J4237" s="9" t="s">
        <v>5652</v>
      </c>
      <c r="K4237" t="s">
        <v>5427</v>
      </c>
      <c r="L4237" s="2">
        <v>1</v>
      </c>
      <c r="M4237" s="24" t="s">
        <v>5971</v>
      </c>
      <c r="N4237" s="2" t="s">
        <v>23</v>
      </c>
      <c r="O4237" s="18" t="s">
        <v>3239</v>
      </c>
      <c r="P4237" s="18" t="s">
        <v>3781</v>
      </c>
      <c r="Q4237" s="6" t="s">
        <v>4475</v>
      </c>
      <c r="T4237" s="23">
        <v>46182</v>
      </c>
      <c r="U4237" s="23">
        <v>46272</v>
      </c>
      <c r="X4237" s="20">
        <v>230</v>
      </c>
      <c r="Z4237" s="6" t="s">
        <v>5978</v>
      </c>
      <c r="AA4237" s="14">
        <f t="shared" si="563"/>
        <v>5.9999999999999995E-4</v>
      </c>
      <c r="AB4237">
        <v>0.13799999999999998</v>
      </c>
      <c r="AC4237">
        <v>0.14351999999999998</v>
      </c>
    </row>
    <row r="4238" spans="1:29" x14ac:dyDescent="0.3">
      <c r="A4238">
        <v>151785</v>
      </c>
      <c r="B4238" s="25" t="s">
        <v>5984</v>
      </c>
      <c r="C4238" t="s">
        <v>20</v>
      </c>
      <c r="D4238" t="s">
        <v>21</v>
      </c>
      <c r="E4238">
        <v>2222222</v>
      </c>
      <c r="F4238" s="8" t="s">
        <v>22</v>
      </c>
      <c r="G4238" s="2">
        <v>98</v>
      </c>
      <c r="H4238" t="s">
        <v>4583</v>
      </c>
      <c r="J4238" s="9" t="s">
        <v>4901</v>
      </c>
      <c r="K4238" t="s">
        <v>4935</v>
      </c>
      <c r="L4238" s="2">
        <v>1</v>
      </c>
      <c r="M4238" s="24" t="s">
        <v>5971</v>
      </c>
      <c r="N4238" s="2" t="s">
        <v>23</v>
      </c>
      <c r="O4238" s="18" t="s">
        <v>3236</v>
      </c>
      <c r="P4238" s="18" t="s">
        <v>0</v>
      </c>
      <c r="Q4238" s="6" t="s">
        <v>4475</v>
      </c>
      <c r="T4238" s="23">
        <v>46188</v>
      </c>
      <c r="U4238" s="23">
        <v>47649</v>
      </c>
      <c r="X4238" s="20">
        <v>4400</v>
      </c>
      <c r="Z4238" s="6" t="s">
        <v>5978</v>
      </c>
      <c r="AA4238" s="14">
        <f t="shared" si="563"/>
        <v>5.9999999999999995E-4</v>
      </c>
      <c r="AB4238">
        <v>2.601702</v>
      </c>
      <c r="AC4238">
        <v>2.7057700800000002</v>
      </c>
    </row>
    <row r="4239" spans="1:29" x14ac:dyDescent="0.3">
      <c r="A4239">
        <v>151832</v>
      </c>
      <c r="B4239" s="25" t="s">
        <v>5984</v>
      </c>
      <c r="C4239" t="s">
        <v>20</v>
      </c>
      <c r="D4239" t="s">
        <v>21</v>
      </c>
      <c r="E4239">
        <v>2222222</v>
      </c>
      <c r="F4239" s="8" t="s">
        <v>22</v>
      </c>
      <c r="G4239" s="2">
        <v>98</v>
      </c>
      <c r="H4239" t="s">
        <v>4583</v>
      </c>
      <c r="J4239" s="9" t="s">
        <v>4911</v>
      </c>
      <c r="K4239" t="s">
        <v>5196</v>
      </c>
      <c r="L4239" s="2">
        <v>1</v>
      </c>
      <c r="M4239" s="24" t="s">
        <v>5971</v>
      </c>
      <c r="N4239" s="2" t="s">
        <v>23</v>
      </c>
      <c r="O4239" s="18" t="s">
        <v>3234</v>
      </c>
      <c r="P4239" s="18" t="s">
        <v>3781</v>
      </c>
      <c r="Q4239" s="6" t="s">
        <v>4475</v>
      </c>
      <c r="T4239" s="23">
        <v>46192</v>
      </c>
      <c r="U4239" s="23">
        <v>48749</v>
      </c>
      <c r="X4239" s="20">
        <v>45000</v>
      </c>
      <c r="Z4239" s="6" t="s">
        <v>5978</v>
      </c>
      <c r="AA4239" s="14">
        <f t="shared" si="563"/>
        <v>5.9999999999999995E-4</v>
      </c>
      <c r="AB4239">
        <v>26.790965999999997</v>
      </c>
      <c r="AC4239">
        <v>27.862604639999997</v>
      </c>
    </row>
    <row r="4240" spans="1:29" x14ac:dyDescent="0.3">
      <c r="A4240">
        <v>147824</v>
      </c>
      <c r="B4240" s="25" t="s">
        <v>5984</v>
      </c>
      <c r="C4240" t="s">
        <v>20</v>
      </c>
      <c r="D4240" t="s">
        <v>21</v>
      </c>
      <c r="E4240">
        <v>2222222</v>
      </c>
      <c r="F4240" s="8" t="s">
        <v>22</v>
      </c>
      <c r="G4240" s="2">
        <v>98</v>
      </c>
      <c r="H4240" t="s">
        <v>4584</v>
      </c>
      <c r="J4240" s="9" t="s">
        <v>4848</v>
      </c>
      <c r="K4240" t="s">
        <v>5480</v>
      </c>
      <c r="L4240" s="2">
        <v>1</v>
      </c>
      <c r="M4240" s="24" t="s">
        <v>5971</v>
      </c>
      <c r="N4240" s="2" t="s">
        <v>23</v>
      </c>
      <c r="O4240" s="18" t="s">
        <v>3240</v>
      </c>
      <c r="P4240" s="18" t="s">
        <v>0</v>
      </c>
      <c r="Q4240" s="6" t="s">
        <v>4475</v>
      </c>
      <c r="T4240" s="23">
        <v>45916</v>
      </c>
      <c r="U4240" s="23">
        <v>46281</v>
      </c>
      <c r="X4240" s="20">
        <v>1000</v>
      </c>
      <c r="Z4240" s="6" t="s">
        <v>5978</v>
      </c>
      <c r="AA4240" s="14">
        <f t="shared" si="563"/>
        <v>5.9999999999999995E-4</v>
      </c>
      <c r="AB4240">
        <v>0.10706399999999999</v>
      </c>
      <c r="AC4240">
        <v>0.11134656</v>
      </c>
    </row>
    <row r="4241" spans="1:29" x14ac:dyDescent="0.3">
      <c r="A4241">
        <v>147952</v>
      </c>
      <c r="B4241" s="25" t="s">
        <v>5984</v>
      </c>
      <c r="C4241" t="s">
        <v>20</v>
      </c>
      <c r="D4241" t="s">
        <v>21</v>
      </c>
      <c r="E4241">
        <v>2222222</v>
      </c>
      <c r="F4241" s="8" t="s">
        <v>22</v>
      </c>
      <c r="G4241" s="2">
        <v>98</v>
      </c>
      <c r="H4241" t="s">
        <v>4584</v>
      </c>
      <c r="J4241" s="9" t="s">
        <v>4826</v>
      </c>
      <c r="K4241" t="s">
        <v>4875</v>
      </c>
      <c r="L4241" s="2">
        <v>1</v>
      </c>
      <c r="M4241" s="24" t="s">
        <v>5971</v>
      </c>
      <c r="N4241" s="2" t="s">
        <v>23</v>
      </c>
      <c r="O4241" s="18" t="s">
        <v>3241</v>
      </c>
      <c r="P4241" s="18" t="s">
        <v>0</v>
      </c>
      <c r="Q4241" s="6" t="s">
        <v>4475</v>
      </c>
      <c r="T4241" s="23">
        <v>45937</v>
      </c>
      <c r="U4241" s="23">
        <v>49588</v>
      </c>
      <c r="X4241" s="20">
        <v>100000</v>
      </c>
      <c r="Z4241" s="6" t="s">
        <v>5978</v>
      </c>
      <c r="AA4241" s="14">
        <f t="shared" si="563"/>
        <v>5.9999999999999995E-4</v>
      </c>
      <c r="AB4241">
        <v>57.542783999999997</v>
      </c>
      <c r="AC4241">
        <v>59.844495359999996</v>
      </c>
    </row>
    <row r="4242" spans="1:29" x14ac:dyDescent="0.3">
      <c r="A4242">
        <v>150622</v>
      </c>
      <c r="B4242" s="25" t="s">
        <v>5984</v>
      </c>
      <c r="C4242" t="s">
        <v>20</v>
      </c>
      <c r="D4242" t="s">
        <v>21</v>
      </c>
      <c r="E4242">
        <v>2222222</v>
      </c>
      <c r="F4242" s="8" t="s">
        <v>22</v>
      </c>
      <c r="G4242" s="2">
        <v>98</v>
      </c>
      <c r="H4242" t="s">
        <v>4584</v>
      </c>
      <c r="J4242" s="9" t="s">
        <v>4836</v>
      </c>
      <c r="K4242" t="s">
        <v>4516</v>
      </c>
      <c r="L4242" s="2">
        <v>1</v>
      </c>
      <c r="M4242" s="24" t="s">
        <v>5971</v>
      </c>
      <c r="N4242" s="2" t="s">
        <v>23</v>
      </c>
      <c r="O4242" s="18" t="s">
        <v>858</v>
      </c>
      <c r="P4242" s="18" t="s">
        <v>3781</v>
      </c>
      <c r="Q4242" s="6" t="s">
        <v>4475</v>
      </c>
      <c r="T4242" s="23">
        <v>46105</v>
      </c>
      <c r="U4242" s="23">
        <v>46744</v>
      </c>
      <c r="X4242" s="20">
        <v>2170</v>
      </c>
      <c r="Z4242" s="6" t="s">
        <v>5978</v>
      </c>
      <c r="AA4242" s="14">
        <f t="shared" si="563"/>
        <v>5.9999999999999995E-4</v>
      </c>
      <c r="AB4242">
        <v>1.0827</v>
      </c>
      <c r="AC4242">
        <v>1.1260080000000001</v>
      </c>
    </row>
    <row r="4243" spans="1:29" x14ac:dyDescent="0.3">
      <c r="A4243">
        <v>144999</v>
      </c>
      <c r="B4243" s="25" t="s">
        <v>5984</v>
      </c>
      <c r="C4243" t="s">
        <v>20</v>
      </c>
      <c r="D4243" t="s">
        <v>21</v>
      </c>
      <c r="E4243">
        <v>2222222</v>
      </c>
      <c r="F4243" s="8" t="s">
        <v>22</v>
      </c>
      <c r="G4243" s="2">
        <v>98</v>
      </c>
      <c r="H4243" t="s">
        <v>4585</v>
      </c>
      <c r="J4243" s="9" t="s">
        <v>4967</v>
      </c>
      <c r="K4243" t="s">
        <v>4911</v>
      </c>
      <c r="L4243" s="2">
        <v>1</v>
      </c>
      <c r="M4243" s="24" t="s">
        <v>5971</v>
      </c>
      <c r="N4243" s="2" t="s">
        <v>23</v>
      </c>
      <c r="O4243" s="18" t="s">
        <v>3242</v>
      </c>
      <c r="P4243" s="18" t="s">
        <v>3781</v>
      </c>
      <c r="Q4243" s="6" t="s">
        <v>4475</v>
      </c>
      <c r="T4243" s="23">
        <v>45705</v>
      </c>
      <c r="U4243" s="23">
        <v>47533</v>
      </c>
      <c r="X4243" s="20">
        <v>5000</v>
      </c>
      <c r="Z4243" s="6" t="s">
        <v>5978</v>
      </c>
      <c r="AA4243" s="14">
        <f t="shared" si="563"/>
        <v>5.9999999999999995E-4</v>
      </c>
      <c r="AB4243">
        <v>2.3788859999999996</v>
      </c>
      <c r="AC4243">
        <v>2.4740414399999997</v>
      </c>
    </row>
    <row r="4244" spans="1:29" x14ac:dyDescent="0.3">
      <c r="A4244">
        <v>151648</v>
      </c>
      <c r="B4244" s="25" t="s">
        <v>5984</v>
      </c>
      <c r="C4244" t="s">
        <v>20</v>
      </c>
      <c r="D4244" t="s">
        <v>21</v>
      </c>
      <c r="E4244">
        <v>2222222</v>
      </c>
      <c r="F4244" s="8" t="s">
        <v>22</v>
      </c>
      <c r="G4244" s="2">
        <v>98</v>
      </c>
      <c r="H4244" t="s">
        <v>4586</v>
      </c>
      <c r="J4244" s="9" t="s">
        <v>5234</v>
      </c>
      <c r="K4244" t="s">
        <v>5374</v>
      </c>
      <c r="L4244" s="2">
        <v>1</v>
      </c>
      <c r="M4244" s="24" t="s">
        <v>5971</v>
      </c>
      <c r="N4244" s="2" t="s">
        <v>23</v>
      </c>
      <c r="O4244" s="18" t="s">
        <v>1762</v>
      </c>
      <c r="P4244" s="18" t="s">
        <v>0</v>
      </c>
      <c r="Q4244" s="6" t="s">
        <v>4475</v>
      </c>
      <c r="T4244" s="23">
        <v>46177</v>
      </c>
      <c r="U4244" s="23">
        <v>46542</v>
      </c>
      <c r="X4244" s="20">
        <v>3100</v>
      </c>
      <c r="Z4244" s="6" t="s">
        <v>5978</v>
      </c>
      <c r="AA4244" s="14">
        <f t="shared" si="563"/>
        <v>5.9999999999999995E-4</v>
      </c>
      <c r="AB4244">
        <v>1.716504</v>
      </c>
      <c r="AC4244">
        <v>1.7851641600000001</v>
      </c>
    </row>
    <row r="4245" spans="1:29" x14ac:dyDescent="0.3">
      <c r="A4245">
        <v>79478</v>
      </c>
      <c r="B4245" s="25" t="s">
        <v>5984</v>
      </c>
      <c r="C4245" t="s">
        <v>20</v>
      </c>
      <c r="D4245" t="s">
        <v>21</v>
      </c>
      <c r="E4245">
        <v>2222222</v>
      </c>
      <c r="F4245" s="8" t="s">
        <v>22</v>
      </c>
      <c r="G4245" s="2">
        <v>98</v>
      </c>
      <c r="H4245" t="s">
        <v>4587</v>
      </c>
      <c r="J4245" s="9" t="s">
        <v>5800</v>
      </c>
      <c r="K4245" t="s">
        <v>5064</v>
      </c>
      <c r="L4245" s="2">
        <v>1</v>
      </c>
      <c r="M4245" s="24" t="s">
        <v>5971</v>
      </c>
      <c r="N4245" s="2" t="s">
        <v>23</v>
      </c>
      <c r="O4245" s="18" t="s">
        <v>3243</v>
      </c>
      <c r="P4245" s="18" t="s">
        <v>0</v>
      </c>
      <c r="Q4245" s="6" t="s">
        <v>4475</v>
      </c>
      <c r="T4245" s="23">
        <v>42769</v>
      </c>
      <c r="U4245" s="23">
        <v>46480</v>
      </c>
      <c r="X4245" s="20">
        <v>14956</v>
      </c>
      <c r="Z4245" s="6" t="s">
        <v>5978</v>
      </c>
      <c r="AA4245" s="15">
        <f t="shared" ref="AA4245:AA4246" si="564">+(0.42/1000)</f>
        <v>4.1999999999999996E-4</v>
      </c>
      <c r="AB4245">
        <v>1.1059481999999998</v>
      </c>
      <c r="AC4245">
        <v>1.1501861279999999</v>
      </c>
    </row>
    <row r="4246" spans="1:29" x14ac:dyDescent="0.3">
      <c r="A4246">
        <v>109485</v>
      </c>
      <c r="B4246" s="25" t="s">
        <v>5984</v>
      </c>
      <c r="C4246" t="s">
        <v>20</v>
      </c>
      <c r="D4246" t="s">
        <v>21</v>
      </c>
      <c r="E4246">
        <v>2222222</v>
      </c>
      <c r="F4246" s="8" t="s">
        <v>22</v>
      </c>
      <c r="G4246" s="2">
        <v>98</v>
      </c>
      <c r="H4246" t="s">
        <v>4587</v>
      </c>
      <c r="J4246" s="9" t="s">
        <v>4830</v>
      </c>
      <c r="K4246" t="s">
        <v>5074</v>
      </c>
      <c r="L4246" s="2">
        <v>1</v>
      </c>
      <c r="M4246" s="24" t="s">
        <v>5971</v>
      </c>
      <c r="N4246" s="2" t="s">
        <v>23</v>
      </c>
      <c r="O4246" s="18" t="s">
        <v>3244</v>
      </c>
      <c r="P4246" s="18" t="s">
        <v>3781</v>
      </c>
      <c r="Q4246" s="6" t="s">
        <v>4475</v>
      </c>
      <c r="T4246" s="23">
        <v>43833</v>
      </c>
      <c r="U4246" s="23">
        <v>46463</v>
      </c>
      <c r="X4246" s="20">
        <v>15000</v>
      </c>
      <c r="Z4246" s="6" t="s">
        <v>5978</v>
      </c>
      <c r="AA4246" s="15">
        <f t="shared" si="564"/>
        <v>4.1999999999999996E-4</v>
      </c>
      <c r="AB4246">
        <v>0.82288919999999988</v>
      </c>
      <c r="AC4246">
        <v>0.85580476799999994</v>
      </c>
    </row>
    <row r="4247" spans="1:29" x14ac:dyDescent="0.3">
      <c r="A4247">
        <v>138678</v>
      </c>
      <c r="B4247" s="25" t="s">
        <v>5984</v>
      </c>
      <c r="C4247" t="s">
        <v>20</v>
      </c>
      <c r="D4247" t="s">
        <v>21</v>
      </c>
      <c r="E4247">
        <v>2222222</v>
      </c>
      <c r="F4247" s="8" t="s">
        <v>22</v>
      </c>
      <c r="G4247" s="2">
        <v>98</v>
      </c>
      <c r="H4247" t="s">
        <v>4587</v>
      </c>
      <c r="J4247" s="9" t="s">
        <v>4836</v>
      </c>
      <c r="K4247" t="s">
        <v>4980</v>
      </c>
      <c r="L4247" s="2">
        <v>1</v>
      </c>
      <c r="M4247" s="24" t="s">
        <v>5971</v>
      </c>
      <c r="N4247" s="2" t="s">
        <v>23</v>
      </c>
      <c r="O4247" s="18" t="s">
        <v>3245</v>
      </c>
      <c r="P4247" s="18" t="s">
        <v>3781</v>
      </c>
      <c r="Q4247" s="6" t="s">
        <v>4475</v>
      </c>
      <c r="T4247" s="23">
        <v>45290</v>
      </c>
      <c r="U4247" s="23">
        <v>46385</v>
      </c>
      <c r="X4247" s="20">
        <v>5000</v>
      </c>
      <c r="Z4247" s="6" t="s">
        <v>5978</v>
      </c>
      <c r="AA4247" s="13">
        <f t="shared" ref="AA4247:AA4249" si="565">+(0.56/1000)</f>
        <v>5.6000000000000006E-4</v>
      </c>
      <c r="AB4247">
        <v>0.46522560000000002</v>
      </c>
      <c r="AC4247">
        <v>0.48383462400000005</v>
      </c>
    </row>
    <row r="4248" spans="1:29" x14ac:dyDescent="0.3">
      <c r="A4248">
        <v>139210</v>
      </c>
      <c r="B4248" s="25" t="s">
        <v>5984</v>
      </c>
      <c r="C4248" t="s">
        <v>20</v>
      </c>
      <c r="D4248" t="s">
        <v>21</v>
      </c>
      <c r="E4248">
        <v>2222222</v>
      </c>
      <c r="F4248" s="8" t="s">
        <v>22</v>
      </c>
      <c r="G4248" s="2">
        <v>98</v>
      </c>
      <c r="H4248" t="s">
        <v>4587</v>
      </c>
      <c r="J4248" s="9" t="s">
        <v>5147</v>
      </c>
      <c r="K4248" t="s">
        <v>5560</v>
      </c>
      <c r="L4248" s="2">
        <v>1</v>
      </c>
      <c r="M4248" s="24" t="s">
        <v>5971</v>
      </c>
      <c r="N4248" s="2" t="s">
        <v>23</v>
      </c>
      <c r="O4248" s="18" t="s">
        <v>3246</v>
      </c>
      <c r="P4248" s="18" t="s">
        <v>3781</v>
      </c>
      <c r="Q4248" s="6" t="s">
        <v>4475</v>
      </c>
      <c r="T4248" s="23">
        <v>45320</v>
      </c>
      <c r="U4248" s="23">
        <v>46780</v>
      </c>
      <c r="X4248" s="20">
        <v>4250</v>
      </c>
      <c r="Z4248" s="6" t="s">
        <v>5978</v>
      </c>
      <c r="AA4248" s="13">
        <f t="shared" si="565"/>
        <v>5.6000000000000006E-4</v>
      </c>
      <c r="AB4248">
        <v>1.1077808000000002</v>
      </c>
      <c r="AC4248">
        <v>1.1520920320000003</v>
      </c>
    </row>
    <row r="4249" spans="1:29" x14ac:dyDescent="0.3">
      <c r="A4249">
        <v>139387</v>
      </c>
      <c r="B4249" s="25" t="s">
        <v>5984</v>
      </c>
      <c r="C4249" t="s">
        <v>20</v>
      </c>
      <c r="D4249" t="s">
        <v>21</v>
      </c>
      <c r="E4249">
        <v>2222222</v>
      </c>
      <c r="F4249" s="8" t="s">
        <v>22</v>
      </c>
      <c r="G4249" s="2">
        <v>98</v>
      </c>
      <c r="H4249" t="s">
        <v>4587</v>
      </c>
      <c r="J4249" s="9" t="s">
        <v>4970</v>
      </c>
      <c r="K4249" t="s">
        <v>4925</v>
      </c>
      <c r="L4249" s="2">
        <v>1</v>
      </c>
      <c r="M4249" s="24" t="s">
        <v>5971</v>
      </c>
      <c r="N4249" s="2" t="s">
        <v>23</v>
      </c>
      <c r="O4249" s="18" t="s">
        <v>3247</v>
      </c>
      <c r="P4249" s="18" t="s">
        <v>3781</v>
      </c>
      <c r="Q4249" s="6" t="s">
        <v>4475</v>
      </c>
      <c r="T4249" s="23">
        <v>45372</v>
      </c>
      <c r="U4249" s="23">
        <v>47562</v>
      </c>
      <c r="X4249" s="20">
        <v>15000</v>
      </c>
      <c r="Z4249" s="6" t="s">
        <v>5978</v>
      </c>
      <c r="AA4249" s="13">
        <f t="shared" si="565"/>
        <v>5.6000000000000006E-4</v>
      </c>
      <c r="AB4249">
        <v>8.0415328000000006</v>
      </c>
      <c r="AC4249">
        <v>8.3631941120000004</v>
      </c>
    </row>
    <row r="4250" spans="1:29" x14ac:dyDescent="0.3">
      <c r="A4250">
        <v>142668</v>
      </c>
      <c r="B4250" s="25" t="s">
        <v>5984</v>
      </c>
      <c r="C4250" t="s">
        <v>20</v>
      </c>
      <c r="D4250" t="s">
        <v>21</v>
      </c>
      <c r="E4250">
        <v>2222222</v>
      </c>
      <c r="F4250" s="8" t="s">
        <v>22</v>
      </c>
      <c r="G4250" s="2">
        <v>98</v>
      </c>
      <c r="H4250" t="s">
        <v>4587</v>
      </c>
      <c r="J4250" s="9" t="s">
        <v>5419</v>
      </c>
      <c r="K4250" t="s">
        <v>5392</v>
      </c>
      <c r="L4250" s="2">
        <v>1</v>
      </c>
      <c r="M4250" s="24" t="s">
        <v>5971</v>
      </c>
      <c r="N4250" s="2" t="s">
        <v>23</v>
      </c>
      <c r="O4250" s="18" t="s">
        <v>3248</v>
      </c>
      <c r="P4250" s="18" t="s">
        <v>0</v>
      </c>
      <c r="Q4250" s="6" t="s">
        <v>4475</v>
      </c>
      <c r="T4250" s="23">
        <v>45537</v>
      </c>
      <c r="U4250" s="23">
        <v>46998</v>
      </c>
      <c r="X4250" s="20">
        <v>5000</v>
      </c>
      <c r="Z4250" s="6" t="s">
        <v>5978</v>
      </c>
      <c r="AA4250" s="14">
        <f t="shared" ref="AA4250:AA4280" si="566">+(0.6/1000)</f>
        <v>5.9999999999999995E-4</v>
      </c>
      <c r="AB4250">
        <v>1.9015679999999999</v>
      </c>
      <c r="AC4250">
        <v>1.9776307200000001</v>
      </c>
    </row>
    <row r="4251" spans="1:29" x14ac:dyDescent="0.3">
      <c r="A4251">
        <v>143128</v>
      </c>
      <c r="B4251" s="25" t="s">
        <v>5984</v>
      </c>
      <c r="C4251" t="s">
        <v>20</v>
      </c>
      <c r="D4251" t="s">
        <v>21</v>
      </c>
      <c r="E4251">
        <v>2222222</v>
      </c>
      <c r="F4251" s="8" t="s">
        <v>22</v>
      </c>
      <c r="G4251" s="2">
        <v>98</v>
      </c>
      <c r="H4251" t="s">
        <v>4587</v>
      </c>
      <c r="J4251" s="9" t="s">
        <v>4836</v>
      </c>
      <c r="K4251" t="s">
        <v>4832</v>
      </c>
      <c r="L4251" s="2">
        <v>1</v>
      </c>
      <c r="M4251" s="24" t="s">
        <v>5971</v>
      </c>
      <c r="N4251" s="2" t="s">
        <v>23</v>
      </c>
      <c r="O4251" s="18" t="s">
        <v>3249</v>
      </c>
      <c r="P4251" s="18" t="s">
        <v>3781</v>
      </c>
      <c r="Q4251" s="6" t="s">
        <v>4475</v>
      </c>
      <c r="T4251" s="23">
        <v>45567</v>
      </c>
      <c r="U4251" s="23">
        <v>49310</v>
      </c>
      <c r="X4251" s="20">
        <v>17750</v>
      </c>
      <c r="Z4251" s="6" t="s">
        <v>5978</v>
      </c>
      <c r="AA4251" s="14">
        <f t="shared" si="566"/>
        <v>5.9999999999999995E-4</v>
      </c>
      <c r="AB4251">
        <v>9.948366</v>
      </c>
      <c r="AC4251">
        <v>10.346300640000001</v>
      </c>
    </row>
    <row r="4252" spans="1:29" x14ac:dyDescent="0.3">
      <c r="A4252">
        <v>143340</v>
      </c>
      <c r="B4252" s="25" t="s">
        <v>5984</v>
      </c>
      <c r="C4252" t="s">
        <v>20</v>
      </c>
      <c r="D4252" t="s">
        <v>21</v>
      </c>
      <c r="E4252">
        <v>2222222</v>
      </c>
      <c r="F4252" s="8" t="s">
        <v>22</v>
      </c>
      <c r="G4252" s="2">
        <v>98</v>
      </c>
      <c r="H4252" t="s">
        <v>4587</v>
      </c>
      <c r="J4252" s="9" t="s">
        <v>4978</v>
      </c>
      <c r="K4252" t="s">
        <v>4848</v>
      </c>
      <c r="L4252" s="2">
        <v>1</v>
      </c>
      <c r="M4252" s="24" t="s">
        <v>5971</v>
      </c>
      <c r="N4252" s="2" t="s">
        <v>23</v>
      </c>
      <c r="O4252" s="18" t="s">
        <v>1305</v>
      </c>
      <c r="P4252" s="18" t="s">
        <v>0</v>
      </c>
      <c r="Q4252" s="6" t="s">
        <v>4475</v>
      </c>
      <c r="T4252" s="23">
        <v>45584</v>
      </c>
      <c r="U4252" s="23">
        <v>46495</v>
      </c>
      <c r="X4252" s="20">
        <v>2570</v>
      </c>
      <c r="Z4252" s="6" t="s">
        <v>5978</v>
      </c>
      <c r="AA4252" s="14">
        <f t="shared" si="566"/>
        <v>5.9999999999999995E-4</v>
      </c>
      <c r="AB4252">
        <v>0.54068999999999989</v>
      </c>
      <c r="AC4252">
        <v>0.56231759999999986</v>
      </c>
    </row>
    <row r="4253" spans="1:29" x14ac:dyDescent="0.3">
      <c r="A4253">
        <v>143420</v>
      </c>
      <c r="B4253" s="25" t="s">
        <v>5984</v>
      </c>
      <c r="C4253" t="s">
        <v>20</v>
      </c>
      <c r="D4253" t="s">
        <v>21</v>
      </c>
      <c r="E4253">
        <v>2222222</v>
      </c>
      <c r="F4253" s="8" t="s">
        <v>22</v>
      </c>
      <c r="G4253" s="2">
        <v>98</v>
      </c>
      <c r="H4253" t="s">
        <v>4587</v>
      </c>
      <c r="J4253" s="9" t="s">
        <v>4845</v>
      </c>
      <c r="K4253" t="s">
        <v>5310</v>
      </c>
      <c r="L4253" s="2">
        <v>1</v>
      </c>
      <c r="M4253" s="24" t="s">
        <v>5971</v>
      </c>
      <c r="N4253" s="2" t="s">
        <v>23</v>
      </c>
      <c r="O4253" s="18" t="s">
        <v>3250</v>
      </c>
      <c r="P4253" s="18" t="s">
        <v>3781</v>
      </c>
      <c r="Q4253" s="6" t="s">
        <v>4475</v>
      </c>
      <c r="T4253" s="23">
        <v>45589</v>
      </c>
      <c r="U4253" s="23">
        <v>46500</v>
      </c>
      <c r="X4253" s="20">
        <v>4000</v>
      </c>
      <c r="Z4253" s="6" t="s">
        <v>5978</v>
      </c>
      <c r="AA4253" s="14">
        <f t="shared" si="566"/>
        <v>5.9999999999999995E-4</v>
      </c>
      <c r="AB4253">
        <v>0.84167399999999992</v>
      </c>
      <c r="AC4253">
        <v>0.87534095999999995</v>
      </c>
    </row>
    <row r="4254" spans="1:29" x14ac:dyDescent="0.3">
      <c r="A4254">
        <v>143729</v>
      </c>
      <c r="B4254" s="25" t="s">
        <v>5984</v>
      </c>
      <c r="C4254" t="s">
        <v>20</v>
      </c>
      <c r="D4254" t="s">
        <v>21</v>
      </c>
      <c r="E4254">
        <v>2222222</v>
      </c>
      <c r="F4254" s="8" t="s">
        <v>22</v>
      </c>
      <c r="G4254" s="2">
        <v>98</v>
      </c>
      <c r="H4254" t="s">
        <v>4587</v>
      </c>
      <c r="J4254" s="9" t="s">
        <v>4852</v>
      </c>
      <c r="K4254" t="s">
        <v>4966</v>
      </c>
      <c r="L4254" s="2">
        <v>1</v>
      </c>
      <c r="M4254" s="24" t="s">
        <v>5971</v>
      </c>
      <c r="N4254" s="2" t="s">
        <v>23</v>
      </c>
      <c r="O4254" s="18" t="s">
        <v>3251</v>
      </c>
      <c r="P4254" s="18" t="s">
        <v>0</v>
      </c>
      <c r="Q4254" s="6" t="s">
        <v>4475</v>
      </c>
      <c r="T4254" s="23">
        <v>45612</v>
      </c>
      <c r="U4254" s="23">
        <v>46707</v>
      </c>
      <c r="X4254" s="20">
        <v>5000</v>
      </c>
      <c r="Z4254" s="6" t="s">
        <v>5978</v>
      </c>
      <c r="AA4254" s="14">
        <f t="shared" si="566"/>
        <v>5.9999999999999995E-4</v>
      </c>
      <c r="AB4254">
        <v>1.5445019999999998</v>
      </c>
      <c r="AC4254">
        <v>1.6062820799999999</v>
      </c>
    </row>
    <row r="4255" spans="1:29" x14ac:dyDescent="0.3">
      <c r="A4255">
        <v>144439</v>
      </c>
      <c r="B4255" s="25" t="s">
        <v>5984</v>
      </c>
      <c r="C4255" t="s">
        <v>20</v>
      </c>
      <c r="D4255" t="s">
        <v>21</v>
      </c>
      <c r="E4255">
        <v>2222222</v>
      </c>
      <c r="F4255" s="8" t="s">
        <v>22</v>
      </c>
      <c r="G4255" s="2">
        <v>98</v>
      </c>
      <c r="H4255" t="s">
        <v>4587</v>
      </c>
      <c r="J4255" s="9" t="s">
        <v>4836</v>
      </c>
      <c r="K4255" t="s">
        <v>4516</v>
      </c>
      <c r="L4255" s="2">
        <v>1</v>
      </c>
      <c r="M4255" s="24" t="s">
        <v>5971</v>
      </c>
      <c r="N4255" s="2" t="s">
        <v>23</v>
      </c>
      <c r="O4255" s="18" t="s">
        <v>3252</v>
      </c>
      <c r="P4255" s="18" t="s">
        <v>3781</v>
      </c>
      <c r="Q4255" s="6" t="s">
        <v>4475</v>
      </c>
      <c r="T4255" s="23">
        <v>45664</v>
      </c>
      <c r="U4255" s="23">
        <v>47124</v>
      </c>
      <c r="X4255" s="20">
        <v>4920</v>
      </c>
      <c r="Z4255" s="6" t="s">
        <v>5978</v>
      </c>
      <c r="AA4255" s="14">
        <f t="shared" si="566"/>
        <v>5.9999999999999995E-4</v>
      </c>
      <c r="AB4255">
        <v>2.0813819999999996</v>
      </c>
      <c r="AC4255">
        <v>2.1646372799999996</v>
      </c>
    </row>
    <row r="4256" spans="1:29" x14ac:dyDescent="0.3">
      <c r="A4256">
        <v>145252</v>
      </c>
      <c r="B4256" s="25" t="s">
        <v>5984</v>
      </c>
      <c r="C4256" t="s">
        <v>20</v>
      </c>
      <c r="D4256" t="s">
        <v>21</v>
      </c>
      <c r="E4256">
        <v>2222222</v>
      </c>
      <c r="F4256" s="8" t="s">
        <v>22</v>
      </c>
      <c r="G4256" s="2">
        <v>98</v>
      </c>
      <c r="H4256" t="s">
        <v>4587</v>
      </c>
      <c r="J4256" s="9" t="s">
        <v>4929</v>
      </c>
      <c r="K4256" t="s">
        <v>4852</v>
      </c>
      <c r="L4256" s="2">
        <v>1</v>
      </c>
      <c r="M4256" s="24" t="s">
        <v>5971</v>
      </c>
      <c r="N4256" s="2" t="s">
        <v>23</v>
      </c>
      <c r="O4256" s="18" t="s">
        <v>1984</v>
      </c>
      <c r="P4256" s="18" t="s">
        <v>0</v>
      </c>
      <c r="Q4256" s="6" t="s">
        <v>4475</v>
      </c>
      <c r="T4256" s="23">
        <v>45727</v>
      </c>
      <c r="U4256" s="23">
        <v>46456</v>
      </c>
      <c r="X4256" s="20">
        <v>3000</v>
      </c>
      <c r="Z4256" s="6" t="s">
        <v>5978</v>
      </c>
      <c r="AA4256" s="14">
        <f t="shared" si="566"/>
        <v>5.9999999999999995E-4</v>
      </c>
      <c r="AB4256">
        <v>0.66928799999999999</v>
      </c>
      <c r="AC4256">
        <v>0.69605952000000004</v>
      </c>
    </row>
    <row r="4257" spans="1:29" x14ac:dyDescent="0.3">
      <c r="A4257">
        <v>145286</v>
      </c>
      <c r="B4257" s="25" t="s">
        <v>5984</v>
      </c>
      <c r="C4257" t="s">
        <v>20</v>
      </c>
      <c r="D4257" t="s">
        <v>21</v>
      </c>
      <c r="E4257">
        <v>2222222</v>
      </c>
      <c r="F4257" s="8" t="s">
        <v>22</v>
      </c>
      <c r="G4257" s="2">
        <v>98</v>
      </c>
      <c r="H4257" t="s">
        <v>4587</v>
      </c>
      <c r="J4257" s="9" t="s">
        <v>5055</v>
      </c>
      <c r="K4257" t="s">
        <v>4942</v>
      </c>
      <c r="L4257" s="2">
        <v>1</v>
      </c>
      <c r="M4257" s="24" t="s">
        <v>5971</v>
      </c>
      <c r="N4257" s="2" t="s">
        <v>23</v>
      </c>
      <c r="O4257" s="18" t="s">
        <v>3253</v>
      </c>
      <c r="P4257" s="18" t="s">
        <v>3781</v>
      </c>
      <c r="Q4257" s="6" t="s">
        <v>4475</v>
      </c>
      <c r="T4257" s="23">
        <v>45730</v>
      </c>
      <c r="U4257" s="23">
        <v>46825</v>
      </c>
      <c r="X4257" s="20">
        <v>25000</v>
      </c>
      <c r="Z4257" s="6" t="s">
        <v>5978</v>
      </c>
      <c r="AA4257" s="14">
        <f t="shared" si="566"/>
        <v>5.9999999999999995E-4</v>
      </c>
      <c r="AB4257">
        <v>8.9700479999999985</v>
      </c>
      <c r="AC4257">
        <v>9.3288499199999979</v>
      </c>
    </row>
    <row r="4258" spans="1:29" x14ac:dyDescent="0.3">
      <c r="A4258">
        <v>145577</v>
      </c>
      <c r="B4258" s="25" t="s">
        <v>5984</v>
      </c>
      <c r="C4258" t="s">
        <v>20</v>
      </c>
      <c r="D4258" t="s">
        <v>21</v>
      </c>
      <c r="E4258">
        <v>2222222</v>
      </c>
      <c r="F4258" s="8" t="s">
        <v>22</v>
      </c>
      <c r="G4258" s="2">
        <v>98</v>
      </c>
      <c r="H4258" t="s">
        <v>4587</v>
      </c>
      <c r="J4258" s="9" t="s">
        <v>4911</v>
      </c>
      <c r="K4258" t="s">
        <v>5884</v>
      </c>
      <c r="L4258" s="2">
        <v>1</v>
      </c>
      <c r="M4258" s="24" t="s">
        <v>5971</v>
      </c>
      <c r="N4258" s="2" t="s">
        <v>23</v>
      </c>
      <c r="O4258" s="18" t="s">
        <v>1970</v>
      </c>
      <c r="P4258" s="18" t="s">
        <v>3781</v>
      </c>
      <c r="Q4258" s="6" t="s">
        <v>4475</v>
      </c>
      <c r="T4258" s="23">
        <v>45748</v>
      </c>
      <c r="U4258" s="23">
        <v>46478</v>
      </c>
      <c r="X4258" s="20">
        <v>5000</v>
      </c>
      <c r="Z4258" s="6" t="s">
        <v>5978</v>
      </c>
      <c r="AA4258" s="14">
        <f t="shared" si="566"/>
        <v>5.9999999999999995E-4</v>
      </c>
      <c r="AB4258">
        <v>1.2542519999999999</v>
      </c>
      <c r="AC4258">
        <v>1.3044220799999999</v>
      </c>
    </row>
    <row r="4259" spans="1:29" x14ac:dyDescent="0.3">
      <c r="A4259">
        <v>145614</v>
      </c>
      <c r="B4259" s="25" t="s">
        <v>5984</v>
      </c>
      <c r="C4259" t="s">
        <v>20</v>
      </c>
      <c r="D4259" t="s">
        <v>21</v>
      </c>
      <c r="E4259">
        <v>2222222</v>
      </c>
      <c r="F4259" s="8" t="s">
        <v>22</v>
      </c>
      <c r="G4259" s="2">
        <v>98</v>
      </c>
      <c r="H4259" t="s">
        <v>4587</v>
      </c>
      <c r="J4259" s="9" t="s">
        <v>4864</v>
      </c>
      <c r="K4259" t="s">
        <v>5064</v>
      </c>
      <c r="L4259" s="2">
        <v>1</v>
      </c>
      <c r="M4259" s="24" t="s">
        <v>5971</v>
      </c>
      <c r="N4259" s="2" t="s">
        <v>23</v>
      </c>
      <c r="O4259" s="18" t="s">
        <v>3254</v>
      </c>
      <c r="P4259" s="18" t="s">
        <v>0</v>
      </c>
      <c r="Q4259" s="6" t="s">
        <v>4475</v>
      </c>
      <c r="T4259" s="23">
        <v>45759</v>
      </c>
      <c r="U4259" s="23">
        <v>47220</v>
      </c>
      <c r="X4259" s="20">
        <v>5000</v>
      </c>
      <c r="Z4259" s="6" t="s">
        <v>5978</v>
      </c>
      <c r="AA4259" s="14">
        <f t="shared" si="566"/>
        <v>5.9999999999999995E-4</v>
      </c>
      <c r="AB4259">
        <v>2.2833479999999997</v>
      </c>
      <c r="AC4259">
        <v>2.37468192</v>
      </c>
    </row>
    <row r="4260" spans="1:29" x14ac:dyDescent="0.3">
      <c r="A4260">
        <v>147252</v>
      </c>
      <c r="B4260" s="25" t="s">
        <v>5984</v>
      </c>
      <c r="C4260" t="s">
        <v>20</v>
      </c>
      <c r="D4260" t="s">
        <v>21</v>
      </c>
      <c r="E4260">
        <v>2222222</v>
      </c>
      <c r="F4260" s="8" t="s">
        <v>22</v>
      </c>
      <c r="G4260" s="2">
        <v>98</v>
      </c>
      <c r="H4260" t="s">
        <v>4587</v>
      </c>
      <c r="J4260" s="9" t="s">
        <v>5058</v>
      </c>
      <c r="K4260" t="s">
        <v>5035</v>
      </c>
      <c r="L4260" s="2">
        <v>1</v>
      </c>
      <c r="M4260" s="24" t="s">
        <v>5971</v>
      </c>
      <c r="N4260" s="2" t="s">
        <v>23</v>
      </c>
      <c r="O4260" s="18" t="s">
        <v>3255</v>
      </c>
      <c r="P4260" s="18" t="s">
        <v>0</v>
      </c>
      <c r="Q4260" s="6" t="s">
        <v>4475</v>
      </c>
      <c r="T4260" s="23">
        <v>45875</v>
      </c>
      <c r="U4260" s="23">
        <v>46970</v>
      </c>
      <c r="X4260" s="20">
        <v>4000</v>
      </c>
      <c r="Z4260" s="6" t="s">
        <v>5978</v>
      </c>
      <c r="AA4260" s="14">
        <f t="shared" si="566"/>
        <v>5.9999999999999995E-4</v>
      </c>
      <c r="AB4260">
        <v>1.7907659999999999</v>
      </c>
      <c r="AC4260">
        <v>1.8623966399999998</v>
      </c>
    </row>
    <row r="4261" spans="1:29" x14ac:dyDescent="0.3">
      <c r="A4261">
        <v>147566</v>
      </c>
      <c r="B4261" s="25" t="s">
        <v>5984</v>
      </c>
      <c r="C4261" t="s">
        <v>20</v>
      </c>
      <c r="D4261" t="s">
        <v>21</v>
      </c>
      <c r="E4261">
        <v>2222222</v>
      </c>
      <c r="F4261" s="8" t="s">
        <v>22</v>
      </c>
      <c r="G4261" s="2">
        <v>98</v>
      </c>
      <c r="H4261" t="s">
        <v>4587</v>
      </c>
      <c r="J4261" s="9" t="s">
        <v>5112</v>
      </c>
      <c r="K4261" t="s">
        <v>4950</v>
      </c>
      <c r="L4261" s="2">
        <v>1</v>
      </c>
      <c r="M4261" s="24" t="s">
        <v>5971</v>
      </c>
      <c r="N4261" s="2" t="s">
        <v>23</v>
      </c>
      <c r="O4261" s="18" t="s">
        <v>1223</v>
      </c>
      <c r="P4261" s="18" t="s">
        <v>0</v>
      </c>
      <c r="Q4261" s="6" t="s">
        <v>4475</v>
      </c>
      <c r="T4261" s="23">
        <v>45898</v>
      </c>
      <c r="U4261" s="23">
        <v>49553</v>
      </c>
      <c r="X4261" s="20">
        <v>19200</v>
      </c>
      <c r="Z4261" s="6" t="s">
        <v>5978</v>
      </c>
      <c r="AA4261" s="14">
        <f t="shared" si="566"/>
        <v>5.9999999999999995E-4</v>
      </c>
      <c r="AB4261">
        <v>11.100966</v>
      </c>
      <c r="AC4261">
        <v>11.54500464</v>
      </c>
    </row>
    <row r="4262" spans="1:29" x14ac:dyDescent="0.3">
      <c r="A4262">
        <v>147738</v>
      </c>
      <c r="B4262" s="25" t="s">
        <v>5984</v>
      </c>
      <c r="C4262" t="s">
        <v>20</v>
      </c>
      <c r="D4262" t="s">
        <v>21</v>
      </c>
      <c r="E4262">
        <v>2222222</v>
      </c>
      <c r="F4262" s="8" t="s">
        <v>22</v>
      </c>
      <c r="G4262" s="2">
        <v>98</v>
      </c>
      <c r="H4262" t="s">
        <v>4587</v>
      </c>
      <c r="J4262" s="9" t="s">
        <v>4845</v>
      </c>
      <c r="K4262" t="s">
        <v>5310</v>
      </c>
      <c r="L4262" s="2">
        <v>1</v>
      </c>
      <c r="M4262" s="24" t="s">
        <v>5971</v>
      </c>
      <c r="N4262" s="2" t="s">
        <v>23</v>
      </c>
      <c r="O4262" s="18" t="s">
        <v>3250</v>
      </c>
      <c r="P4262" s="18" t="s">
        <v>3781</v>
      </c>
      <c r="Q4262" s="6" t="s">
        <v>4475</v>
      </c>
      <c r="T4262" s="23">
        <v>45909</v>
      </c>
      <c r="U4262" s="23">
        <v>47370</v>
      </c>
      <c r="X4262" s="20">
        <v>3500</v>
      </c>
      <c r="Z4262" s="6" t="s">
        <v>5978</v>
      </c>
      <c r="AA4262" s="14">
        <f t="shared" si="566"/>
        <v>5.9999999999999995E-4</v>
      </c>
      <c r="AB4262">
        <v>1.7771699999999997</v>
      </c>
      <c r="AC4262">
        <v>1.8482567999999997</v>
      </c>
    </row>
    <row r="4263" spans="1:29" x14ac:dyDescent="0.3">
      <c r="A4263">
        <v>147936</v>
      </c>
      <c r="B4263" s="25" t="s">
        <v>5984</v>
      </c>
      <c r="C4263" t="s">
        <v>20</v>
      </c>
      <c r="D4263" t="s">
        <v>21</v>
      </c>
      <c r="E4263">
        <v>2222222</v>
      </c>
      <c r="F4263" s="8" t="s">
        <v>22</v>
      </c>
      <c r="G4263" s="2">
        <v>98</v>
      </c>
      <c r="H4263" t="s">
        <v>4587</v>
      </c>
      <c r="J4263" s="9" t="s">
        <v>5281</v>
      </c>
      <c r="K4263" t="s">
        <v>5638</v>
      </c>
      <c r="L4263" s="2">
        <v>1</v>
      </c>
      <c r="M4263" s="24" t="s">
        <v>5971</v>
      </c>
      <c r="N4263" s="2" t="s">
        <v>23</v>
      </c>
      <c r="O4263" s="18" t="s">
        <v>3256</v>
      </c>
      <c r="P4263" s="18" t="s">
        <v>0</v>
      </c>
      <c r="Q4263" s="6" t="s">
        <v>4475</v>
      </c>
      <c r="T4263" s="23">
        <v>45929</v>
      </c>
      <c r="U4263" s="23">
        <v>47755</v>
      </c>
      <c r="X4263" s="20">
        <v>8500</v>
      </c>
      <c r="Z4263" s="6" t="s">
        <v>5978</v>
      </c>
      <c r="AA4263" s="14">
        <f t="shared" si="566"/>
        <v>5.9999999999999995E-4</v>
      </c>
      <c r="AB4263">
        <v>4.4767979999999996</v>
      </c>
      <c r="AC4263">
        <v>4.6558699199999998</v>
      </c>
    </row>
    <row r="4264" spans="1:29" x14ac:dyDescent="0.3">
      <c r="A4264">
        <v>148714</v>
      </c>
      <c r="B4264" s="25" t="s">
        <v>5984</v>
      </c>
      <c r="C4264" t="s">
        <v>20</v>
      </c>
      <c r="D4264" t="s">
        <v>21</v>
      </c>
      <c r="E4264">
        <v>2222222</v>
      </c>
      <c r="F4264" s="8" t="s">
        <v>22</v>
      </c>
      <c r="G4264" s="2">
        <v>98</v>
      </c>
      <c r="H4264" t="s">
        <v>4587</v>
      </c>
      <c r="J4264" s="9" t="s">
        <v>4826</v>
      </c>
      <c r="K4264" t="s">
        <v>4937</v>
      </c>
      <c r="L4264" s="2">
        <v>1</v>
      </c>
      <c r="M4264" s="24" t="s">
        <v>5971</v>
      </c>
      <c r="N4264" s="2" t="s">
        <v>23</v>
      </c>
      <c r="O4264" s="18" t="s">
        <v>2450</v>
      </c>
      <c r="P4264" s="18" t="s">
        <v>0</v>
      </c>
      <c r="Q4264" s="6" t="s">
        <v>4475</v>
      </c>
      <c r="T4264" s="23">
        <v>45981</v>
      </c>
      <c r="U4264" s="23">
        <v>47807</v>
      </c>
      <c r="X4264" s="20">
        <v>8500</v>
      </c>
      <c r="Z4264" s="6" t="s">
        <v>5978</v>
      </c>
      <c r="AA4264" s="14">
        <f t="shared" si="566"/>
        <v>5.9999999999999995E-4</v>
      </c>
      <c r="AB4264">
        <v>4.6065360000000002</v>
      </c>
      <c r="AC4264">
        <v>4.7907974400000004</v>
      </c>
    </row>
    <row r="4265" spans="1:29" x14ac:dyDescent="0.3">
      <c r="A4265">
        <v>150443</v>
      </c>
      <c r="B4265" s="25" t="s">
        <v>5984</v>
      </c>
      <c r="C4265" t="s">
        <v>20</v>
      </c>
      <c r="D4265" t="s">
        <v>21</v>
      </c>
      <c r="E4265">
        <v>2222222</v>
      </c>
      <c r="F4265" s="8" t="s">
        <v>22</v>
      </c>
      <c r="G4265" s="2">
        <v>98</v>
      </c>
      <c r="H4265" t="s">
        <v>4587</v>
      </c>
      <c r="J4265" s="9" t="s">
        <v>4908</v>
      </c>
      <c r="K4265" t="s">
        <v>5064</v>
      </c>
      <c r="L4265" s="2">
        <v>1</v>
      </c>
      <c r="M4265" s="24" t="s">
        <v>5971</v>
      </c>
      <c r="N4265" s="2" t="s">
        <v>23</v>
      </c>
      <c r="O4265" s="18" t="s">
        <v>3257</v>
      </c>
      <c r="P4265" s="18" t="s">
        <v>0</v>
      </c>
      <c r="Q4265" s="6" t="s">
        <v>4475</v>
      </c>
      <c r="T4265" s="23">
        <v>46094</v>
      </c>
      <c r="U4265" s="23">
        <v>47554</v>
      </c>
      <c r="X4265" s="20">
        <v>5000</v>
      </c>
      <c r="Z4265" s="6" t="s">
        <v>5978</v>
      </c>
      <c r="AA4265" s="14">
        <f t="shared" si="566"/>
        <v>5.9999999999999995E-4</v>
      </c>
      <c r="AB4265">
        <v>2.8234439999999998</v>
      </c>
      <c r="AC4265">
        <v>2.9363817599999997</v>
      </c>
    </row>
    <row r="4266" spans="1:29" x14ac:dyDescent="0.3">
      <c r="A4266">
        <v>150537</v>
      </c>
      <c r="B4266" s="25" t="s">
        <v>5984</v>
      </c>
      <c r="C4266" t="s">
        <v>20</v>
      </c>
      <c r="D4266" t="s">
        <v>21</v>
      </c>
      <c r="E4266">
        <v>2222222</v>
      </c>
      <c r="F4266" s="8" t="s">
        <v>22</v>
      </c>
      <c r="G4266" s="2">
        <v>98</v>
      </c>
      <c r="H4266" t="s">
        <v>4587</v>
      </c>
      <c r="J4266" s="9" t="s">
        <v>5277</v>
      </c>
      <c r="K4266" t="s">
        <v>5165</v>
      </c>
      <c r="L4266" s="2">
        <v>1</v>
      </c>
      <c r="M4266" s="24" t="s">
        <v>5971</v>
      </c>
      <c r="N4266" s="2" t="s">
        <v>23</v>
      </c>
      <c r="O4266" s="18" t="s">
        <v>3258</v>
      </c>
      <c r="P4266" s="18" t="s">
        <v>3781</v>
      </c>
      <c r="Q4266" s="6" t="s">
        <v>4475</v>
      </c>
      <c r="T4266" s="23">
        <v>46100</v>
      </c>
      <c r="U4266" s="23">
        <v>46465</v>
      </c>
      <c r="X4266" s="20">
        <v>3000</v>
      </c>
      <c r="Z4266" s="6" t="s">
        <v>5978</v>
      </c>
      <c r="AA4266" s="14">
        <f t="shared" si="566"/>
        <v>5.9999999999999995E-4</v>
      </c>
      <c r="AB4266">
        <v>1.23333</v>
      </c>
      <c r="AC4266">
        <v>1.2826632</v>
      </c>
    </row>
    <row r="4267" spans="1:29" x14ac:dyDescent="0.3">
      <c r="A4267">
        <v>150754</v>
      </c>
      <c r="B4267" s="25" t="s">
        <v>5984</v>
      </c>
      <c r="C4267" t="s">
        <v>20</v>
      </c>
      <c r="D4267" t="s">
        <v>21</v>
      </c>
      <c r="E4267">
        <v>2222222</v>
      </c>
      <c r="F4267" s="8" t="s">
        <v>22</v>
      </c>
      <c r="G4267" s="2">
        <v>98</v>
      </c>
      <c r="H4267" t="s">
        <v>4587</v>
      </c>
      <c r="J4267" s="9" t="s">
        <v>4836</v>
      </c>
      <c r="K4267" t="s">
        <v>4832</v>
      </c>
      <c r="L4267" s="2">
        <v>1</v>
      </c>
      <c r="M4267" s="24" t="s">
        <v>5971</v>
      </c>
      <c r="N4267" s="2" t="s">
        <v>23</v>
      </c>
      <c r="O4267" s="18" t="s">
        <v>3249</v>
      </c>
      <c r="P4267" s="18" t="s">
        <v>3781</v>
      </c>
      <c r="Q4267" s="6" t="s">
        <v>4475</v>
      </c>
      <c r="T4267" s="23">
        <v>46113</v>
      </c>
      <c r="U4267" s="23">
        <v>46204</v>
      </c>
      <c r="X4267" s="20">
        <v>2310</v>
      </c>
      <c r="Z4267" s="6" t="s">
        <v>5978</v>
      </c>
      <c r="AA4267" s="14">
        <f t="shared" si="566"/>
        <v>5.9999999999999995E-4</v>
      </c>
      <c r="AB4267">
        <v>1.3859999999999999</v>
      </c>
      <c r="AC4267">
        <v>1.4414400000000001</v>
      </c>
    </row>
    <row r="4268" spans="1:29" x14ac:dyDescent="0.3">
      <c r="A4268">
        <v>151000</v>
      </c>
      <c r="B4268" s="25" t="s">
        <v>5984</v>
      </c>
      <c r="C4268" t="s">
        <v>20</v>
      </c>
      <c r="D4268" t="s">
        <v>21</v>
      </c>
      <c r="E4268">
        <v>2222222</v>
      </c>
      <c r="F4268" s="8" t="s">
        <v>22</v>
      </c>
      <c r="G4268" s="2">
        <v>98</v>
      </c>
      <c r="H4268" t="s">
        <v>4587</v>
      </c>
      <c r="J4268" s="9" t="s">
        <v>5419</v>
      </c>
      <c r="K4268" t="s">
        <v>5392</v>
      </c>
      <c r="L4268" s="2">
        <v>1</v>
      </c>
      <c r="M4268" s="24" t="s">
        <v>5971</v>
      </c>
      <c r="N4268" s="2" t="s">
        <v>23</v>
      </c>
      <c r="O4268" s="18" t="s">
        <v>3248</v>
      </c>
      <c r="P4268" s="18" t="s">
        <v>0</v>
      </c>
      <c r="Q4268" s="6" t="s">
        <v>4475</v>
      </c>
      <c r="T4268" s="23">
        <v>46132</v>
      </c>
      <c r="U4268" s="23">
        <v>47228</v>
      </c>
      <c r="X4268" s="20">
        <v>4000</v>
      </c>
      <c r="Z4268" s="6" t="s">
        <v>5978</v>
      </c>
      <c r="AA4268" s="14">
        <f t="shared" si="566"/>
        <v>5.9999999999999995E-4</v>
      </c>
      <c r="AB4268">
        <v>2.2433699999999996</v>
      </c>
      <c r="AC4268">
        <v>2.3331047999999996</v>
      </c>
    </row>
    <row r="4269" spans="1:29" x14ac:dyDescent="0.3">
      <c r="A4269">
        <v>151104</v>
      </c>
      <c r="B4269" s="25" t="s">
        <v>5984</v>
      </c>
      <c r="C4269" t="s">
        <v>20</v>
      </c>
      <c r="D4269" t="s">
        <v>21</v>
      </c>
      <c r="E4269">
        <v>2222222</v>
      </c>
      <c r="F4269" s="8" t="s">
        <v>22</v>
      </c>
      <c r="G4269" s="2">
        <v>98</v>
      </c>
      <c r="H4269" t="s">
        <v>4587</v>
      </c>
      <c r="J4269" s="9" t="s">
        <v>4909</v>
      </c>
      <c r="K4269" t="s">
        <v>4859</v>
      </c>
      <c r="L4269" s="2">
        <v>1</v>
      </c>
      <c r="M4269" s="24" t="s">
        <v>5971</v>
      </c>
      <c r="N4269" s="2" t="s">
        <v>23</v>
      </c>
      <c r="O4269" s="18" t="s">
        <v>3259</v>
      </c>
      <c r="P4269" s="18" t="s">
        <v>3781</v>
      </c>
      <c r="Q4269" s="6" t="s">
        <v>4475</v>
      </c>
      <c r="T4269" s="23">
        <v>46139</v>
      </c>
      <c r="U4269" s="23">
        <v>46504</v>
      </c>
      <c r="X4269" s="20">
        <v>1000</v>
      </c>
      <c r="Z4269" s="6" t="s">
        <v>5978</v>
      </c>
      <c r="AA4269" s="14">
        <f t="shared" si="566"/>
        <v>5.9999999999999995E-4</v>
      </c>
      <c r="AB4269">
        <v>0.50702399999999992</v>
      </c>
      <c r="AC4269">
        <v>0.52730495999999993</v>
      </c>
    </row>
    <row r="4270" spans="1:29" x14ac:dyDescent="0.3">
      <c r="A4270">
        <v>151343</v>
      </c>
      <c r="B4270" s="25" t="s">
        <v>5984</v>
      </c>
      <c r="C4270" t="s">
        <v>20</v>
      </c>
      <c r="D4270" t="s">
        <v>21</v>
      </c>
      <c r="E4270">
        <v>2222222</v>
      </c>
      <c r="F4270" s="8" t="s">
        <v>22</v>
      </c>
      <c r="G4270" s="2">
        <v>98</v>
      </c>
      <c r="H4270" t="s">
        <v>4587</v>
      </c>
      <c r="J4270" s="9" t="s">
        <v>4836</v>
      </c>
      <c r="K4270" t="s">
        <v>5252</v>
      </c>
      <c r="L4270" s="2">
        <v>1</v>
      </c>
      <c r="M4270" s="24" t="s">
        <v>5971</v>
      </c>
      <c r="N4270" s="2" t="s">
        <v>23</v>
      </c>
      <c r="O4270" s="18" t="s">
        <v>3260</v>
      </c>
      <c r="P4270" s="18" t="s">
        <v>3781</v>
      </c>
      <c r="Q4270" s="6" t="s">
        <v>4475</v>
      </c>
      <c r="T4270" s="23">
        <v>46157</v>
      </c>
      <c r="U4270" s="23">
        <v>46887</v>
      </c>
      <c r="X4270" s="20">
        <v>1100</v>
      </c>
      <c r="Z4270" s="6" t="s">
        <v>5978</v>
      </c>
      <c r="AA4270" s="14">
        <f t="shared" si="566"/>
        <v>5.9999999999999995E-4</v>
      </c>
      <c r="AB4270">
        <v>0.612954</v>
      </c>
      <c r="AC4270">
        <v>0.63747216000000007</v>
      </c>
    </row>
    <row r="4271" spans="1:29" x14ac:dyDescent="0.3">
      <c r="A4271">
        <v>151364</v>
      </c>
      <c r="B4271" s="25" t="s">
        <v>5984</v>
      </c>
      <c r="C4271" t="s">
        <v>20</v>
      </c>
      <c r="D4271" t="s">
        <v>21</v>
      </c>
      <c r="E4271">
        <v>2222222</v>
      </c>
      <c r="F4271" s="8" t="s">
        <v>22</v>
      </c>
      <c r="G4271" s="2">
        <v>98</v>
      </c>
      <c r="H4271" t="s">
        <v>4587</v>
      </c>
      <c r="J4271" s="9" t="s">
        <v>5240</v>
      </c>
      <c r="K4271" t="s">
        <v>5174</v>
      </c>
      <c r="L4271" s="2">
        <v>1</v>
      </c>
      <c r="M4271" s="24" t="s">
        <v>5971</v>
      </c>
      <c r="N4271" s="2" t="s">
        <v>23</v>
      </c>
      <c r="O4271" s="18" t="s">
        <v>3261</v>
      </c>
      <c r="P4271" s="18" t="s">
        <v>0</v>
      </c>
      <c r="Q4271" s="6" t="s">
        <v>4475</v>
      </c>
      <c r="T4271" s="23">
        <v>46159</v>
      </c>
      <c r="U4271" s="23">
        <v>46523</v>
      </c>
      <c r="X4271" s="20">
        <v>1150</v>
      </c>
      <c r="Z4271" s="6" t="s">
        <v>5978</v>
      </c>
      <c r="AA4271" s="14">
        <f t="shared" si="566"/>
        <v>5.9999999999999995E-4</v>
      </c>
      <c r="AB4271">
        <v>0.58277999999999996</v>
      </c>
      <c r="AC4271">
        <v>0.60609119999999994</v>
      </c>
    </row>
    <row r="4272" spans="1:29" x14ac:dyDescent="0.3">
      <c r="A4272">
        <v>142478</v>
      </c>
      <c r="B4272" s="25" t="s">
        <v>5984</v>
      </c>
      <c r="C4272" t="s">
        <v>20</v>
      </c>
      <c r="D4272" t="s">
        <v>21</v>
      </c>
      <c r="E4272">
        <v>2222222</v>
      </c>
      <c r="F4272" s="8" t="s">
        <v>22</v>
      </c>
      <c r="G4272" s="2">
        <v>98</v>
      </c>
      <c r="H4272" t="s">
        <v>4588</v>
      </c>
      <c r="J4272" s="9" t="s">
        <v>5566</v>
      </c>
      <c r="K4272" t="s">
        <v>4875</v>
      </c>
      <c r="L4272" s="2">
        <v>1</v>
      </c>
      <c r="M4272" s="24" t="s">
        <v>5971</v>
      </c>
      <c r="N4272" s="2" t="s">
        <v>23</v>
      </c>
      <c r="O4272" s="18" t="s">
        <v>3262</v>
      </c>
      <c r="P4272" s="18" t="s">
        <v>0</v>
      </c>
      <c r="Q4272" s="6" t="s">
        <v>4475</v>
      </c>
      <c r="T4272" s="23">
        <v>45523</v>
      </c>
      <c r="U4272" s="23">
        <v>46983</v>
      </c>
      <c r="X4272" s="20">
        <v>5000</v>
      </c>
      <c r="Z4272" s="6" t="s">
        <v>5978</v>
      </c>
      <c r="AA4272" s="14">
        <f t="shared" si="566"/>
        <v>5.9999999999999995E-4</v>
      </c>
      <c r="AB4272">
        <v>1.901106</v>
      </c>
      <c r="AC4272">
        <v>1.9771502400000001</v>
      </c>
    </row>
    <row r="4273" spans="1:29" x14ac:dyDescent="0.3">
      <c r="A4273">
        <v>144871</v>
      </c>
      <c r="B4273" s="25" t="s">
        <v>5984</v>
      </c>
      <c r="C4273" t="s">
        <v>20</v>
      </c>
      <c r="D4273" t="s">
        <v>21</v>
      </c>
      <c r="E4273">
        <v>2222222</v>
      </c>
      <c r="F4273" s="8" t="s">
        <v>22</v>
      </c>
      <c r="G4273" s="2">
        <v>98</v>
      </c>
      <c r="H4273" t="s">
        <v>4589</v>
      </c>
      <c r="J4273" s="9" t="s">
        <v>4911</v>
      </c>
      <c r="K4273" t="s">
        <v>5885</v>
      </c>
      <c r="L4273" s="2">
        <v>1</v>
      </c>
      <c r="M4273" s="24" t="s">
        <v>5971</v>
      </c>
      <c r="N4273" s="2" t="s">
        <v>23</v>
      </c>
      <c r="O4273" s="18" t="s">
        <v>3263</v>
      </c>
      <c r="P4273" s="18" t="s">
        <v>3781</v>
      </c>
      <c r="Q4273" s="6" t="s">
        <v>4475</v>
      </c>
      <c r="T4273" s="23">
        <v>45693</v>
      </c>
      <c r="U4273" s="23">
        <v>47156</v>
      </c>
      <c r="X4273" s="20">
        <v>5000</v>
      </c>
      <c r="Z4273" s="6" t="s">
        <v>5978</v>
      </c>
      <c r="AA4273" s="14">
        <f t="shared" si="566"/>
        <v>5.9999999999999995E-4</v>
      </c>
      <c r="AB4273">
        <v>2.1752400000000001</v>
      </c>
      <c r="AC4273">
        <v>2.2622496000000001</v>
      </c>
    </row>
    <row r="4274" spans="1:29" x14ac:dyDescent="0.3">
      <c r="A4274">
        <v>148461</v>
      </c>
      <c r="B4274" s="25" t="s">
        <v>5984</v>
      </c>
      <c r="C4274" t="s">
        <v>20</v>
      </c>
      <c r="D4274" t="s">
        <v>21</v>
      </c>
      <c r="E4274">
        <v>2222222</v>
      </c>
      <c r="F4274" s="8" t="s">
        <v>22</v>
      </c>
      <c r="G4274" s="2">
        <v>98</v>
      </c>
      <c r="H4274" t="s">
        <v>4589</v>
      </c>
      <c r="J4274" s="9" t="s">
        <v>4917</v>
      </c>
      <c r="K4274" t="s">
        <v>5217</v>
      </c>
      <c r="L4274" s="2">
        <v>1</v>
      </c>
      <c r="M4274" s="24" t="s">
        <v>5971</v>
      </c>
      <c r="N4274" s="2" t="s">
        <v>23</v>
      </c>
      <c r="O4274" s="18" t="s">
        <v>3264</v>
      </c>
      <c r="P4274" s="18" t="s">
        <v>3781</v>
      </c>
      <c r="Q4274" s="6" t="s">
        <v>4475</v>
      </c>
      <c r="T4274" s="23">
        <v>45966</v>
      </c>
      <c r="U4274" s="23">
        <v>47427</v>
      </c>
      <c r="X4274" s="20">
        <v>5000</v>
      </c>
      <c r="Z4274" s="6" t="s">
        <v>5978</v>
      </c>
      <c r="AA4274" s="14">
        <f t="shared" si="566"/>
        <v>5.9999999999999995E-4</v>
      </c>
      <c r="AB4274">
        <v>2.6360219999999996</v>
      </c>
      <c r="AC4274">
        <v>2.7414628799999998</v>
      </c>
    </row>
    <row r="4275" spans="1:29" x14ac:dyDescent="0.3">
      <c r="A4275">
        <v>151327</v>
      </c>
      <c r="B4275" s="25" t="s">
        <v>5984</v>
      </c>
      <c r="C4275" t="s">
        <v>20</v>
      </c>
      <c r="D4275" t="s">
        <v>21</v>
      </c>
      <c r="E4275">
        <v>2222222</v>
      </c>
      <c r="F4275" s="8" t="s">
        <v>22</v>
      </c>
      <c r="G4275" s="2">
        <v>98</v>
      </c>
      <c r="H4275" t="s">
        <v>4589</v>
      </c>
      <c r="J4275" s="9" t="s">
        <v>4911</v>
      </c>
      <c r="K4275" t="s">
        <v>5885</v>
      </c>
      <c r="L4275" s="2">
        <v>1</v>
      </c>
      <c r="M4275" s="24" t="s">
        <v>5971</v>
      </c>
      <c r="N4275" s="2" t="s">
        <v>23</v>
      </c>
      <c r="O4275" s="18" t="s">
        <v>3263</v>
      </c>
      <c r="P4275" s="18" t="s">
        <v>3781</v>
      </c>
      <c r="Q4275" s="6" t="s">
        <v>4475</v>
      </c>
      <c r="T4275" s="23">
        <v>46156</v>
      </c>
      <c r="U4275" s="23">
        <v>46246</v>
      </c>
      <c r="X4275" s="20">
        <v>500</v>
      </c>
      <c r="Z4275" s="6" t="s">
        <v>5978</v>
      </c>
      <c r="AA4275" s="14">
        <f t="shared" si="566"/>
        <v>5.9999999999999995E-4</v>
      </c>
      <c r="AB4275">
        <v>0.3</v>
      </c>
      <c r="AC4275">
        <v>0.312</v>
      </c>
    </row>
    <row r="4276" spans="1:29" x14ac:dyDescent="0.3">
      <c r="A4276">
        <v>149643</v>
      </c>
      <c r="B4276" s="25" t="s">
        <v>5984</v>
      </c>
      <c r="C4276" t="s">
        <v>20</v>
      </c>
      <c r="D4276" t="s">
        <v>21</v>
      </c>
      <c r="E4276">
        <v>2222222</v>
      </c>
      <c r="F4276" s="8" t="s">
        <v>22</v>
      </c>
      <c r="G4276" s="2">
        <v>98</v>
      </c>
      <c r="H4276" t="s">
        <v>4590</v>
      </c>
      <c r="J4276" s="9" t="s">
        <v>4826</v>
      </c>
      <c r="K4276" t="s">
        <v>4846</v>
      </c>
      <c r="L4276" s="2">
        <v>1</v>
      </c>
      <c r="M4276" s="24" t="s">
        <v>5971</v>
      </c>
      <c r="N4276" s="2" t="s">
        <v>23</v>
      </c>
      <c r="O4276" s="18" t="s">
        <v>3265</v>
      </c>
      <c r="P4276" s="18" t="s">
        <v>0</v>
      </c>
      <c r="Q4276" s="6" t="s">
        <v>4475</v>
      </c>
      <c r="T4276" s="23">
        <v>46045</v>
      </c>
      <c r="U4276" s="23">
        <v>49696</v>
      </c>
      <c r="X4276" s="20">
        <v>152000</v>
      </c>
      <c r="Z4276" s="6" t="s">
        <v>5978</v>
      </c>
      <c r="AA4276" s="14">
        <f t="shared" si="566"/>
        <v>5.9999999999999995E-4</v>
      </c>
      <c r="AB4276">
        <v>88.705025999999989</v>
      </c>
      <c r="AC4276">
        <v>92.253227039999999</v>
      </c>
    </row>
    <row r="4277" spans="1:29" x14ac:dyDescent="0.3">
      <c r="A4277">
        <v>149734</v>
      </c>
      <c r="B4277" s="25" t="s">
        <v>5984</v>
      </c>
      <c r="C4277" t="s">
        <v>20</v>
      </c>
      <c r="D4277" t="s">
        <v>21</v>
      </c>
      <c r="E4277">
        <v>2222222</v>
      </c>
      <c r="F4277" s="8" t="s">
        <v>22</v>
      </c>
      <c r="G4277" s="2">
        <v>98</v>
      </c>
      <c r="H4277" t="s">
        <v>4590</v>
      </c>
      <c r="J4277" s="9" t="s">
        <v>4852</v>
      </c>
      <c r="K4277" t="s">
        <v>5007</v>
      </c>
      <c r="L4277" s="2">
        <v>1</v>
      </c>
      <c r="M4277" s="24" t="s">
        <v>5971</v>
      </c>
      <c r="N4277" s="2" t="s">
        <v>23</v>
      </c>
      <c r="O4277" s="18" t="s">
        <v>3266</v>
      </c>
      <c r="P4277" s="18" t="s">
        <v>0</v>
      </c>
      <c r="Q4277" s="6" t="s">
        <v>4475</v>
      </c>
      <c r="T4277" s="23">
        <v>46045</v>
      </c>
      <c r="U4277" s="23">
        <v>46410</v>
      </c>
      <c r="X4277" s="20">
        <v>1000</v>
      </c>
      <c r="Z4277" s="6" t="s">
        <v>5978</v>
      </c>
      <c r="AA4277" s="14">
        <f t="shared" si="566"/>
        <v>5.9999999999999995E-4</v>
      </c>
      <c r="AB4277">
        <v>0.312114</v>
      </c>
      <c r="AC4277">
        <v>0.32459856000000004</v>
      </c>
    </row>
    <row r="4278" spans="1:29" x14ac:dyDescent="0.3">
      <c r="A4278">
        <v>151953</v>
      </c>
      <c r="B4278" s="25" t="s">
        <v>5984</v>
      </c>
      <c r="C4278" t="s">
        <v>20</v>
      </c>
      <c r="D4278" t="s">
        <v>21</v>
      </c>
      <c r="E4278">
        <v>2222222</v>
      </c>
      <c r="F4278" s="8" t="s">
        <v>22</v>
      </c>
      <c r="G4278" s="2">
        <v>98</v>
      </c>
      <c r="H4278" t="s">
        <v>4590</v>
      </c>
      <c r="J4278" s="9" t="s">
        <v>4826</v>
      </c>
      <c r="K4278" t="s">
        <v>5024</v>
      </c>
      <c r="L4278" s="2">
        <v>1</v>
      </c>
      <c r="M4278" s="24" t="s">
        <v>5971</v>
      </c>
      <c r="N4278" s="2" t="s">
        <v>23</v>
      </c>
      <c r="O4278" s="18" t="s">
        <v>2267</v>
      </c>
      <c r="P4278" s="18" t="s">
        <v>0</v>
      </c>
      <c r="Q4278" s="6" t="s">
        <v>4475</v>
      </c>
      <c r="T4278" s="23">
        <v>46201</v>
      </c>
      <c r="U4278" s="23">
        <v>46291</v>
      </c>
      <c r="X4278" s="20">
        <v>935</v>
      </c>
      <c r="Z4278" s="6" t="s">
        <v>5978</v>
      </c>
      <c r="AA4278" s="14">
        <f t="shared" si="566"/>
        <v>5.9999999999999995E-4</v>
      </c>
      <c r="AB4278">
        <v>0.56099999999999994</v>
      </c>
      <c r="AC4278">
        <v>0.58343999999999996</v>
      </c>
    </row>
    <row r="4279" spans="1:29" x14ac:dyDescent="0.3">
      <c r="A4279">
        <v>152328</v>
      </c>
      <c r="B4279" s="25" t="s">
        <v>5984</v>
      </c>
      <c r="C4279" t="s">
        <v>20</v>
      </c>
      <c r="D4279" t="s">
        <v>21</v>
      </c>
      <c r="E4279">
        <v>2222222</v>
      </c>
      <c r="F4279" s="8" t="s">
        <v>22</v>
      </c>
      <c r="G4279" s="2">
        <v>98</v>
      </c>
      <c r="H4279" t="s">
        <v>4590</v>
      </c>
      <c r="J4279" s="9" t="s">
        <v>4826</v>
      </c>
      <c r="K4279" t="s">
        <v>4846</v>
      </c>
      <c r="L4279" s="2">
        <v>1</v>
      </c>
      <c r="M4279" s="24" t="s">
        <v>5971</v>
      </c>
      <c r="N4279" s="2" t="s">
        <v>23</v>
      </c>
      <c r="O4279" s="18" t="s">
        <v>3265</v>
      </c>
      <c r="P4279" s="18" t="s">
        <v>0</v>
      </c>
      <c r="Q4279" s="6" t="s">
        <v>4475</v>
      </c>
      <c r="T4279" s="23">
        <v>46230</v>
      </c>
      <c r="U4279" s="23">
        <v>46320</v>
      </c>
      <c r="X4279" s="20">
        <v>4610</v>
      </c>
      <c r="Z4279" s="6" t="s">
        <v>5978</v>
      </c>
      <c r="AA4279" s="14">
        <f t="shared" si="566"/>
        <v>5.9999999999999995E-4</v>
      </c>
      <c r="AB4279">
        <v>2.7659999999999996</v>
      </c>
      <c r="AC4279">
        <v>2.8766399999999996</v>
      </c>
    </row>
    <row r="4280" spans="1:29" x14ac:dyDescent="0.3">
      <c r="A4280">
        <v>147317</v>
      </c>
      <c r="B4280" s="25" t="s">
        <v>5984</v>
      </c>
      <c r="C4280" t="s">
        <v>20</v>
      </c>
      <c r="D4280" t="s">
        <v>21</v>
      </c>
      <c r="E4280">
        <v>2222222</v>
      </c>
      <c r="F4280" s="8" t="s">
        <v>22</v>
      </c>
      <c r="G4280" s="2">
        <v>98</v>
      </c>
      <c r="H4280" t="s">
        <v>4591</v>
      </c>
      <c r="J4280" s="9" t="s">
        <v>5194</v>
      </c>
      <c r="K4280" t="s">
        <v>4991</v>
      </c>
      <c r="L4280" s="2">
        <v>1</v>
      </c>
      <c r="M4280" s="24" t="s">
        <v>5971</v>
      </c>
      <c r="N4280" s="2" t="s">
        <v>23</v>
      </c>
      <c r="O4280" s="18" t="s">
        <v>3267</v>
      </c>
      <c r="P4280" s="18" t="s">
        <v>3781</v>
      </c>
      <c r="Q4280" s="6" t="s">
        <v>4475</v>
      </c>
      <c r="T4280" s="23">
        <v>45881</v>
      </c>
      <c r="U4280" s="23">
        <v>46610</v>
      </c>
      <c r="X4280" s="20">
        <v>3000</v>
      </c>
      <c r="Z4280" s="6" t="s">
        <v>5978</v>
      </c>
      <c r="AA4280" s="14">
        <f t="shared" si="566"/>
        <v>5.9999999999999995E-4</v>
      </c>
      <c r="AB4280">
        <v>1.1230199999999999</v>
      </c>
      <c r="AC4280">
        <v>1.1679408</v>
      </c>
    </row>
    <row r="4281" spans="1:29" x14ac:dyDescent="0.3">
      <c r="A4281">
        <v>138524</v>
      </c>
      <c r="B4281" s="25" t="s">
        <v>5984</v>
      </c>
      <c r="C4281" t="s">
        <v>20</v>
      </c>
      <c r="D4281" t="s">
        <v>21</v>
      </c>
      <c r="E4281">
        <v>2222222</v>
      </c>
      <c r="F4281" s="8" t="s">
        <v>22</v>
      </c>
      <c r="G4281" s="2">
        <v>98</v>
      </c>
      <c r="H4281" t="s">
        <v>4592</v>
      </c>
      <c r="J4281" s="9" t="s">
        <v>4900</v>
      </c>
      <c r="K4281" t="s">
        <v>4946</v>
      </c>
      <c r="L4281" s="2">
        <v>1</v>
      </c>
      <c r="M4281" s="24" t="s">
        <v>5971</v>
      </c>
      <c r="N4281" s="2" t="s">
        <v>23</v>
      </c>
      <c r="O4281" s="18" t="s">
        <v>1995</v>
      </c>
      <c r="P4281" s="18" t="s">
        <v>0</v>
      </c>
      <c r="Q4281" s="6" t="s">
        <v>4475</v>
      </c>
      <c r="T4281" s="23">
        <v>45281</v>
      </c>
      <c r="U4281" s="23">
        <v>46376</v>
      </c>
      <c r="X4281" s="20">
        <v>3120</v>
      </c>
      <c r="Z4281" s="6" t="s">
        <v>5978</v>
      </c>
      <c r="AA4281" s="13">
        <f>+(0.56/1000)</f>
        <v>5.6000000000000006E-4</v>
      </c>
      <c r="AB4281">
        <v>0.42188720000000007</v>
      </c>
      <c r="AC4281">
        <v>0.43876268800000007</v>
      </c>
    </row>
    <row r="4282" spans="1:29" x14ac:dyDescent="0.3">
      <c r="A4282">
        <v>149057</v>
      </c>
      <c r="B4282" s="25" t="s">
        <v>5984</v>
      </c>
      <c r="C4282" t="s">
        <v>20</v>
      </c>
      <c r="D4282" t="s">
        <v>21</v>
      </c>
      <c r="E4282">
        <v>2222222</v>
      </c>
      <c r="F4282" s="8" t="s">
        <v>22</v>
      </c>
      <c r="G4282" s="2">
        <v>98</v>
      </c>
      <c r="H4282" t="s">
        <v>4593</v>
      </c>
      <c r="J4282" s="9" t="s">
        <v>4836</v>
      </c>
      <c r="K4282" t="s">
        <v>4829</v>
      </c>
      <c r="L4282" s="2">
        <v>1</v>
      </c>
      <c r="M4282" s="24" t="s">
        <v>5971</v>
      </c>
      <c r="N4282" s="2" t="s">
        <v>23</v>
      </c>
      <c r="O4282" s="18" t="s">
        <v>953</v>
      </c>
      <c r="P4282" s="18" t="s">
        <v>3781</v>
      </c>
      <c r="Q4282" s="6" t="s">
        <v>4475</v>
      </c>
      <c r="T4282" s="23">
        <v>45995</v>
      </c>
      <c r="U4282" s="23">
        <v>47090</v>
      </c>
      <c r="X4282" s="20">
        <v>3880</v>
      </c>
      <c r="Z4282" s="6" t="s">
        <v>5978</v>
      </c>
      <c r="AA4282" s="14">
        <f t="shared" ref="AA4282:AA4283" si="567">+(0.6/1000)</f>
        <v>5.9999999999999995E-4</v>
      </c>
      <c r="AB4282">
        <v>1.9616099999999999</v>
      </c>
      <c r="AC4282">
        <v>2.0400744</v>
      </c>
    </row>
    <row r="4283" spans="1:29" x14ac:dyDescent="0.3">
      <c r="A4283">
        <v>151274</v>
      </c>
      <c r="B4283" s="25" t="s">
        <v>5984</v>
      </c>
      <c r="C4283" t="s">
        <v>20</v>
      </c>
      <c r="D4283" t="s">
        <v>21</v>
      </c>
      <c r="E4283">
        <v>2222222</v>
      </c>
      <c r="F4283" s="8" t="s">
        <v>22</v>
      </c>
      <c r="G4283" s="2">
        <v>98</v>
      </c>
      <c r="H4283" t="s">
        <v>4594</v>
      </c>
      <c r="J4283" s="9" t="s">
        <v>5316</v>
      </c>
      <c r="K4283" t="s">
        <v>5159</v>
      </c>
      <c r="L4283" s="2">
        <v>1</v>
      </c>
      <c r="M4283" s="24" t="s">
        <v>5971</v>
      </c>
      <c r="N4283" s="2" t="s">
        <v>23</v>
      </c>
      <c r="O4283" s="18" t="s">
        <v>1261</v>
      </c>
      <c r="P4283" s="18" t="s">
        <v>0</v>
      </c>
      <c r="Q4283" s="6" t="s">
        <v>4475</v>
      </c>
      <c r="T4283" s="23">
        <v>46153</v>
      </c>
      <c r="U4283" s="23">
        <v>46883</v>
      </c>
      <c r="X4283" s="20">
        <v>3420</v>
      </c>
      <c r="Z4283" s="6" t="s">
        <v>5978</v>
      </c>
      <c r="AA4283" s="14">
        <f t="shared" si="567"/>
        <v>5.9999999999999995E-4</v>
      </c>
      <c r="AB4283">
        <v>1.9057379999999999</v>
      </c>
      <c r="AC4283">
        <v>1.98196752</v>
      </c>
    </row>
    <row r="4284" spans="1:29" x14ac:dyDescent="0.3">
      <c r="A4284">
        <v>5106</v>
      </c>
      <c r="B4284" s="25" t="s">
        <v>5984</v>
      </c>
      <c r="C4284" t="s">
        <v>20</v>
      </c>
      <c r="D4284" t="s">
        <v>21</v>
      </c>
      <c r="E4284">
        <v>2222222</v>
      </c>
      <c r="F4284" s="8" t="s">
        <v>22</v>
      </c>
      <c r="G4284" s="2">
        <v>98</v>
      </c>
      <c r="H4284" t="s">
        <v>4595</v>
      </c>
      <c r="J4284" s="9" t="s">
        <v>5098</v>
      </c>
      <c r="K4284" t="s">
        <v>5103</v>
      </c>
      <c r="L4284" s="2">
        <v>1</v>
      </c>
      <c r="M4284" s="24" t="s">
        <v>5971</v>
      </c>
      <c r="N4284" s="2" t="s">
        <v>23</v>
      </c>
      <c r="O4284" s="18" t="s">
        <v>883</v>
      </c>
      <c r="P4284" s="18" t="s">
        <v>3781</v>
      </c>
      <c r="Q4284" s="6" t="s">
        <v>4475</v>
      </c>
      <c r="T4284" s="23">
        <v>40956</v>
      </c>
      <c r="U4284" s="23">
        <v>41687</v>
      </c>
      <c r="X4284" s="20">
        <v>2200</v>
      </c>
      <c r="Z4284" s="6" t="s">
        <v>5978</v>
      </c>
      <c r="AA4284" s="16">
        <f>+(0.36/1000)</f>
        <v>3.5999999999999997E-4</v>
      </c>
      <c r="AB4284">
        <v>0.64829879999999995</v>
      </c>
      <c r="AC4284">
        <v>0.67423075199999993</v>
      </c>
    </row>
    <row r="4285" spans="1:29" x14ac:dyDescent="0.3">
      <c r="A4285">
        <v>114755</v>
      </c>
      <c r="B4285" s="25" t="s">
        <v>5984</v>
      </c>
      <c r="C4285" t="s">
        <v>20</v>
      </c>
      <c r="D4285" t="s">
        <v>21</v>
      </c>
      <c r="E4285">
        <v>2222222</v>
      </c>
      <c r="F4285" s="8" t="s">
        <v>22</v>
      </c>
      <c r="G4285" s="2">
        <v>98</v>
      </c>
      <c r="H4285" t="s">
        <v>4595</v>
      </c>
      <c r="J4285" s="9" t="s">
        <v>5112</v>
      </c>
      <c r="K4285" t="s">
        <v>4966</v>
      </c>
      <c r="L4285" s="2">
        <v>1</v>
      </c>
      <c r="M4285" s="24" t="s">
        <v>5971</v>
      </c>
      <c r="N4285" s="2" t="s">
        <v>23</v>
      </c>
      <c r="O4285" s="18" t="s">
        <v>3268</v>
      </c>
      <c r="P4285" s="18" t="s">
        <v>0</v>
      </c>
      <c r="Q4285" s="6" t="s">
        <v>4475</v>
      </c>
      <c r="T4285" s="23">
        <v>44068</v>
      </c>
      <c r="U4285" s="23">
        <v>46258</v>
      </c>
      <c r="X4285" s="20">
        <v>17100</v>
      </c>
      <c r="Z4285" s="6" t="s">
        <v>5978</v>
      </c>
      <c r="AA4285" s="15">
        <f t="shared" ref="AA4285:AA4287" si="568">+(0.42/1000)</f>
        <v>4.1999999999999996E-4</v>
      </c>
      <c r="AB4285">
        <v>0.30243779999999998</v>
      </c>
      <c r="AC4285">
        <v>0.31453531200000001</v>
      </c>
    </row>
    <row r="4286" spans="1:29" x14ac:dyDescent="0.3">
      <c r="A4286">
        <v>124602</v>
      </c>
      <c r="B4286" s="25" t="s">
        <v>5984</v>
      </c>
      <c r="C4286" t="s">
        <v>20</v>
      </c>
      <c r="D4286" t="s">
        <v>21</v>
      </c>
      <c r="E4286">
        <v>2222222</v>
      </c>
      <c r="F4286" s="8" t="s">
        <v>22</v>
      </c>
      <c r="G4286" s="2">
        <v>98</v>
      </c>
      <c r="H4286" t="s">
        <v>4595</v>
      </c>
      <c r="J4286" s="9" t="s">
        <v>5138</v>
      </c>
      <c r="K4286" t="s">
        <v>5074</v>
      </c>
      <c r="L4286" s="2">
        <v>1</v>
      </c>
      <c r="M4286" s="24" t="s">
        <v>5971</v>
      </c>
      <c r="N4286" s="2" t="s">
        <v>23</v>
      </c>
      <c r="O4286" s="18" t="s">
        <v>3269</v>
      </c>
      <c r="P4286" s="18" t="s">
        <v>3781</v>
      </c>
      <c r="Q4286" s="6" t="s">
        <v>4475</v>
      </c>
      <c r="T4286" s="23">
        <v>44526</v>
      </c>
      <c r="U4286" s="23">
        <v>48192</v>
      </c>
      <c r="X4286" s="20">
        <v>25000</v>
      </c>
      <c r="Z4286" s="6" t="s">
        <v>5978</v>
      </c>
      <c r="AA4286" s="15">
        <f t="shared" si="568"/>
        <v>4.1999999999999996E-4</v>
      </c>
      <c r="AB4286">
        <v>10.1961636</v>
      </c>
      <c r="AC4286">
        <v>10.604010144</v>
      </c>
    </row>
    <row r="4287" spans="1:29" x14ac:dyDescent="0.3">
      <c r="A4287">
        <v>128165</v>
      </c>
      <c r="B4287" s="25" t="s">
        <v>5984</v>
      </c>
      <c r="C4287" t="s">
        <v>20</v>
      </c>
      <c r="D4287" t="s">
        <v>21</v>
      </c>
      <c r="E4287">
        <v>2222222</v>
      </c>
      <c r="F4287" s="8" t="s">
        <v>22</v>
      </c>
      <c r="G4287" s="2">
        <v>98</v>
      </c>
      <c r="H4287" t="s">
        <v>4595</v>
      </c>
      <c r="J4287" s="9" t="s">
        <v>4852</v>
      </c>
      <c r="K4287" t="s">
        <v>5135</v>
      </c>
      <c r="L4287" s="2">
        <v>1</v>
      </c>
      <c r="M4287" s="24" t="s">
        <v>5971</v>
      </c>
      <c r="N4287" s="2" t="s">
        <v>23</v>
      </c>
      <c r="O4287" s="18" t="s">
        <v>3270</v>
      </c>
      <c r="P4287" s="18" t="s">
        <v>0</v>
      </c>
      <c r="Q4287" s="6" t="s">
        <v>4475</v>
      </c>
      <c r="T4287" s="23">
        <v>44712</v>
      </c>
      <c r="U4287" s="23">
        <v>46537</v>
      </c>
      <c r="X4287" s="20">
        <v>8500</v>
      </c>
      <c r="Z4287" s="6" t="s">
        <v>5978</v>
      </c>
      <c r="AA4287" s="15">
        <f t="shared" si="568"/>
        <v>4.1999999999999996E-4</v>
      </c>
      <c r="AB4287">
        <v>0.86418359999999994</v>
      </c>
      <c r="AC4287">
        <v>0.898750944</v>
      </c>
    </row>
    <row r="4288" spans="1:29" x14ac:dyDescent="0.3">
      <c r="A4288">
        <v>136687</v>
      </c>
      <c r="B4288" s="25" t="s">
        <v>5984</v>
      </c>
      <c r="C4288" t="s">
        <v>20</v>
      </c>
      <c r="D4288" t="s">
        <v>21</v>
      </c>
      <c r="E4288">
        <v>2222222</v>
      </c>
      <c r="F4288" s="8" t="s">
        <v>22</v>
      </c>
      <c r="G4288" s="2">
        <v>98</v>
      </c>
      <c r="H4288" t="s">
        <v>4595</v>
      </c>
      <c r="J4288" s="9" t="s">
        <v>4852</v>
      </c>
      <c r="K4288" t="s">
        <v>5023</v>
      </c>
      <c r="L4288" s="2">
        <v>1</v>
      </c>
      <c r="M4288" s="24" t="s">
        <v>5971</v>
      </c>
      <c r="N4288" s="2" t="s">
        <v>23</v>
      </c>
      <c r="O4288" s="18" t="s">
        <v>3271</v>
      </c>
      <c r="P4288" s="18" t="s">
        <v>0</v>
      </c>
      <c r="Q4288" s="6" t="s">
        <v>4475</v>
      </c>
      <c r="T4288" s="23">
        <v>45184</v>
      </c>
      <c r="U4288" s="23">
        <v>46096</v>
      </c>
      <c r="X4288" s="20">
        <v>850</v>
      </c>
      <c r="Z4288" s="6" t="s">
        <v>5978</v>
      </c>
      <c r="AA4288" s="13">
        <f t="shared" ref="AA4288:AA4289" si="569">+(0.56/1000)</f>
        <v>5.6000000000000006E-4</v>
      </c>
      <c r="AB4288">
        <v>0.42434000000000005</v>
      </c>
      <c r="AC4288">
        <v>0.44131360000000008</v>
      </c>
    </row>
    <row r="4289" spans="1:29" x14ac:dyDescent="0.3">
      <c r="A4289">
        <v>140005</v>
      </c>
      <c r="B4289" s="25" t="s">
        <v>5984</v>
      </c>
      <c r="C4289" t="s">
        <v>20</v>
      </c>
      <c r="D4289" t="s">
        <v>21</v>
      </c>
      <c r="E4289">
        <v>2222222</v>
      </c>
      <c r="F4289" s="8" t="s">
        <v>22</v>
      </c>
      <c r="G4289" s="2">
        <v>98</v>
      </c>
      <c r="H4289" t="s">
        <v>4595</v>
      </c>
      <c r="J4289" s="9" t="s">
        <v>4836</v>
      </c>
      <c r="K4289" t="s">
        <v>4854</v>
      </c>
      <c r="L4289" s="2">
        <v>1</v>
      </c>
      <c r="M4289" s="24" t="s">
        <v>5971</v>
      </c>
      <c r="N4289" s="2" t="s">
        <v>23</v>
      </c>
      <c r="O4289" s="18" t="s">
        <v>3272</v>
      </c>
      <c r="P4289" s="18" t="s">
        <v>3781</v>
      </c>
      <c r="Q4289" s="6" t="s">
        <v>4475</v>
      </c>
      <c r="T4289" s="23">
        <v>45359</v>
      </c>
      <c r="U4289" s="23">
        <v>46819</v>
      </c>
      <c r="X4289" s="20">
        <v>3600</v>
      </c>
      <c r="Z4289" s="6" t="s">
        <v>5978</v>
      </c>
      <c r="AA4289" s="13">
        <f t="shared" si="569"/>
        <v>5.6000000000000006E-4</v>
      </c>
      <c r="AB4289">
        <v>1.0286416</v>
      </c>
      <c r="AC4289">
        <v>1.0697872640000001</v>
      </c>
    </row>
    <row r="4290" spans="1:29" x14ac:dyDescent="0.3">
      <c r="A4290">
        <v>141648</v>
      </c>
      <c r="B4290" s="25" t="s">
        <v>5984</v>
      </c>
      <c r="C4290" t="s">
        <v>20</v>
      </c>
      <c r="D4290" t="s">
        <v>21</v>
      </c>
      <c r="E4290">
        <v>2222222</v>
      </c>
      <c r="F4290" s="8" t="s">
        <v>22</v>
      </c>
      <c r="G4290" s="2">
        <v>98</v>
      </c>
      <c r="H4290" t="s">
        <v>4595</v>
      </c>
      <c r="J4290" s="9" t="s">
        <v>4836</v>
      </c>
      <c r="K4290" t="s">
        <v>5490</v>
      </c>
      <c r="L4290" s="2">
        <v>1</v>
      </c>
      <c r="M4290" s="24" t="s">
        <v>5971</v>
      </c>
      <c r="N4290" s="2" t="s">
        <v>23</v>
      </c>
      <c r="O4290" s="18" t="s">
        <v>2874</v>
      </c>
      <c r="P4290" s="18" t="s">
        <v>3781</v>
      </c>
      <c r="Q4290" s="6" t="s">
        <v>4475</v>
      </c>
      <c r="T4290" s="23">
        <v>45468</v>
      </c>
      <c r="U4290" s="23">
        <v>46290</v>
      </c>
      <c r="X4290" s="20">
        <v>3170</v>
      </c>
      <c r="Z4290" s="6" t="s">
        <v>5978</v>
      </c>
      <c r="AA4290" s="14">
        <f t="shared" ref="AA4290:AA4312" si="570">+(0.6/1000)</f>
        <v>5.9999999999999995E-4</v>
      </c>
      <c r="AB4290">
        <v>0.31382999999999994</v>
      </c>
      <c r="AC4290">
        <v>0.32638319999999993</v>
      </c>
    </row>
    <row r="4291" spans="1:29" x14ac:dyDescent="0.3">
      <c r="A4291">
        <v>142031</v>
      </c>
      <c r="B4291" s="25" t="s">
        <v>5984</v>
      </c>
      <c r="C4291" t="s">
        <v>20</v>
      </c>
      <c r="D4291" t="s">
        <v>21</v>
      </c>
      <c r="E4291">
        <v>2222222</v>
      </c>
      <c r="F4291" s="8" t="s">
        <v>22</v>
      </c>
      <c r="G4291" s="2">
        <v>98</v>
      </c>
      <c r="H4291" t="s">
        <v>4595</v>
      </c>
      <c r="J4291" s="9" t="s">
        <v>4852</v>
      </c>
      <c r="K4291" t="s">
        <v>4827</v>
      </c>
      <c r="L4291" s="2">
        <v>1</v>
      </c>
      <c r="M4291" s="24" t="s">
        <v>5971</v>
      </c>
      <c r="N4291" s="2" t="s">
        <v>23</v>
      </c>
      <c r="O4291" s="18" t="s">
        <v>3273</v>
      </c>
      <c r="P4291" s="18" t="s">
        <v>0</v>
      </c>
      <c r="Q4291" s="6" t="s">
        <v>4475</v>
      </c>
      <c r="T4291" s="23">
        <v>45492</v>
      </c>
      <c r="U4291" s="23">
        <v>46221</v>
      </c>
      <c r="X4291" s="20">
        <v>2075</v>
      </c>
      <c r="Z4291" s="6" t="s">
        <v>5978</v>
      </c>
      <c r="AA4291" s="14">
        <f t="shared" si="570"/>
        <v>5.9999999999999995E-4</v>
      </c>
      <c r="AB4291">
        <v>1.0916039999999998</v>
      </c>
      <c r="AC4291">
        <v>1.1352681599999999</v>
      </c>
    </row>
    <row r="4292" spans="1:29" x14ac:dyDescent="0.3">
      <c r="A4292">
        <v>142297</v>
      </c>
      <c r="B4292" s="25" t="s">
        <v>5984</v>
      </c>
      <c r="C4292" t="s">
        <v>20</v>
      </c>
      <c r="D4292" t="s">
        <v>21</v>
      </c>
      <c r="E4292">
        <v>2222222</v>
      </c>
      <c r="F4292" s="8" t="s">
        <v>22</v>
      </c>
      <c r="G4292" s="2">
        <v>98</v>
      </c>
      <c r="H4292" t="s">
        <v>4595</v>
      </c>
      <c r="J4292" s="9" t="s">
        <v>4871</v>
      </c>
      <c r="K4292" t="s">
        <v>4870</v>
      </c>
      <c r="L4292" s="2">
        <v>1</v>
      </c>
      <c r="M4292" s="24" t="s">
        <v>5971</v>
      </c>
      <c r="N4292" s="2" t="s">
        <v>23</v>
      </c>
      <c r="O4292" s="18" t="s">
        <v>3274</v>
      </c>
      <c r="P4292" s="18" t="s">
        <v>0</v>
      </c>
      <c r="Q4292" s="6" t="s">
        <v>4475</v>
      </c>
      <c r="T4292" s="23">
        <v>45510</v>
      </c>
      <c r="U4292" s="23">
        <v>46239</v>
      </c>
      <c r="X4292" s="20">
        <v>3000</v>
      </c>
      <c r="Z4292" s="6" t="s">
        <v>5978</v>
      </c>
      <c r="AA4292" s="14">
        <f t="shared" si="570"/>
        <v>5.9999999999999995E-4</v>
      </c>
      <c r="AB4292">
        <v>8.8367999999999988E-2</v>
      </c>
      <c r="AC4292">
        <v>9.1902719999999993E-2</v>
      </c>
    </row>
    <row r="4293" spans="1:29" x14ac:dyDescent="0.3">
      <c r="A4293">
        <v>143383</v>
      </c>
      <c r="B4293" s="25" t="s">
        <v>5984</v>
      </c>
      <c r="C4293" t="s">
        <v>20</v>
      </c>
      <c r="D4293" t="s">
        <v>21</v>
      </c>
      <c r="E4293">
        <v>2222222</v>
      </c>
      <c r="F4293" s="8" t="s">
        <v>22</v>
      </c>
      <c r="G4293" s="2">
        <v>98</v>
      </c>
      <c r="H4293" t="s">
        <v>4595</v>
      </c>
      <c r="J4293" s="9" t="s">
        <v>4929</v>
      </c>
      <c r="K4293" t="s">
        <v>4983</v>
      </c>
      <c r="L4293" s="2">
        <v>1</v>
      </c>
      <c r="M4293" s="24" t="s">
        <v>5971</v>
      </c>
      <c r="N4293" s="2" t="s">
        <v>23</v>
      </c>
      <c r="O4293" s="18" t="s">
        <v>3275</v>
      </c>
      <c r="P4293" s="18" t="s">
        <v>0</v>
      </c>
      <c r="Q4293" s="6" t="s">
        <v>4475</v>
      </c>
      <c r="T4293" s="23">
        <v>45586</v>
      </c>
      <c r="U4293" s="23">
        <v>46407</v>
      </c>
      <c r="X4293" s="20">
        <v>4960</v>
      </c>
      <c r="Z4293" s="6" t="s">
        <v>5978</v>
      </c>
      <c r="AA4293" s="14">
        <f t="shared" si="570"/>
        <v>5.9999999999999995E-4</v>
      </c>
      <c r="AB4293">
        <v>0.82860599999999995</v>
      </c>
      <c r="AC4293">
        <v>0.86175024</v>
      </c>
    </row>
    <row r="4294" spans="1:29" x14ac:dyDescent="0.3">
      <c r="A4294">
        <v>145404</v>
      </c>
      <c r="B4294" s="25" t="s">
        <v>5984</v>
      </c>
      <c r="C4294" t="s">
        <v>20</v>
      </c>
      <c r="D4294" t="s">
        <v>21</v>
      </c>
      <c r="E4294">
        <v>2222222</v>
      </c>
      <c r="F4294" s="8" t="s">
        <v>22</v>
      </c>
      <c r="G4294" s="2">
        <v>98</v>
      </c>
      <c r="H4294" t="s">
        <v>4595</v>
      </c>
      <c r="J4294" s="9" t="s">
        <v>4815</v>
      </c>
      <c r="K4294" t="s">
        <v>4964</v>
      </c>
      <c r="L4294" s="2">
        <v>1</v>
      </c>
      <c r="M4294" s="24" t="s">
        <v>5971</v>
      </c>
      <c r="N4294" s="2" t="s">
        <v>23</v>
      </c>
      <c r="O4294" s="18" t="s">
        <v>1284</v>
      </c>
      <c r="P4294" s="18" t="s">
        <v>0</v>
      </c>
      <c r="Q4294" s="6" t="s">
        <v>4475</v>
      </c>
      <c r="T4294" s="23">
        <v>45735</v>
      </c>
      <c r="U4294" s="23">
        <v>46831</v>
      </c>
      <c r="X4294" s="20">
        <v>3000</v>
      </c>
      <c r="Z4294" s="6" t="s">
        <v>5978</v>
      </c>
      <c r="AA4294" s="14">
        <f t="shared" si="570"/>
        <v>5.9999999999999995E-4</v>
      </c>
      <c r="AB4294">
        <v>1.112028</v>
      </c>
      <c r="AC4294">
        <v>1.1565091199999999</v>
      </c>
    </row>
    <row r="4295" spans="1:29" x14ac:dyDescent="0.3">
      <c r="A4295">
        <v>145446</v>
      </c>
      <c r="B4295" s="25" t="s">
        <v>5984</v>
      </c>
      <c r="C4295" t="s">
        <v>20</v>
      </c>
      <c r="D4295" t="s">
        <v>21</v>
      </c>
      <c r="E4295">
        <v>2222222</v>
      </c>
      <c r="F4295" s="8" t="s">
        <v>22</v>
      </c>
      <c r="G4295" s="2">
        <v>98</v>
      </c>
      <c r="H4295" t="s">
        <v>4595</v>
      </c>
      <c r="J4295" s="9" t="s">
        <v>4917</v>
      </c>
      <c r="K4295" t="s">
        <v>4836</v>
      </c>
      <c r="L4295" s="2">
        <v>1</v>
      </c>
      <c r="M4295" s="24" t="s">
        <v>5971</v>
      </c>
      <c r="N4295" s="2" t="s">
        <v>23</v>
      </c>
      <c r="O4295" s="18" t="s">
        <v>1055</v>
      </c>
      <c r="P4295" s="18" t="s">
        <v>3781</v>
      </c>
      <c r="Q4295" s="6" t="s">
        <v>4475</v>
      </c>
      <c r="T4295" s="23">
        <v>45737</v>
      </c>
      <c r="U4295" s="23">
        <v>47562</v>
      </c>
      <c r="X4295" s="20">
        <v>5000</v>
      </c>
      <c r="Z4295" s="6" t="s">
        <v>5978</v>
      </c>
      <c r="AA4295" s="14">
        <f t="shared" si="570"/>
        <v>5.9999999999999995E-4</v>
      </c>
      <c r="AB4295">
        <v>2.3933819999999995</v>
      </c>
      <c r="AC4295">
        <v>2.4891172799999994</v>
      </c>
    </row>
    <row r="4296" spans="1:29" x14ac:dyDescent="0.3">
      <c r="A4296">
        <v>146695</v>
      </c>
      <c r="B4296" s="25" t="s">
        <v>5984</v>
      </c>
      <c r="C4296" t="s">
        <v>20</v>
      </c>
      <c r="D4296" t="s">
        <v>21</v>
      </c>
      <c r="E4296">
        <v>2222222</v>
      </c>
      <c r="F4296" s="8" t="s">
        <v>22</v>
      </c>
      <c r="G4296" s="2">
        <v>98</v>
      </c>
      <c r="H4296" t="s">
        <v>4595</v>
      </c>
      <c r="J4296" s="9" t="s">
        <v>5103</v>
      </c>
      <c r="K4296" t="s">
        <v>4924</v>
      </c>
      <c r="L4296" s="2">
        <v>1</v>
      </c>
      <c r="M4296" s="24" t="s">
        <v>5971</v>
      </c>
      <c r="N4296" s="2" t="s">
        <v>23</v>
      </c>
      <c r="O4296" s="18" t="s">
        <v>2675</v>
      </c>
      <c r="P4296" s="18" t="s">
        <v>3781</v>
      </c>
      <c r="Q4296" s="6" t="s">
        <v>4475</v>
      </c>
      <c r="T4296" s="23">
        <v>45837</v>
      </c>
      <c r="U4296" s="23">
        <v>49495</v>
      </c>
      <c r="X4296" s="20">
        <v>13000</v>
      </c>
      <c r="Z4296" s="6" t="s">
        <v>5978</v>
      </c>
      <c r="AA4296" s="14">
        <f t="shared" si="570"/>
        <v>5.9999999999999995E-4</v>
      </c>
      <c r="AB4296">
        <v>7.409808</v>
      </c>
      <c r="AC4296">
        <v>7.7062003199999998</v>
      </c>
    </row>
    <row r="4297" spans="1:29" x14ac:dyDescent="0.3">
      <c r="A4297">
        <v>147740</v>
      </c>
      <c r="B4297" s="25" t="s">
        <v>5984</v>
      </c>
      <c r="C4297" t="s">
        <v>20</v>
      </c>
      <c r="D4297" t="s">
        <v>21</v>
      </c>
      <c r="E4297">
        <v>2222222</v>
      </c>
      <c r="F4297" s="8" t="s">
        <v>22</v>
      </c>
      <c r="G4297" s="2">
        <v>98</v>
      </c>
      <c r="H4297" t="s">
        <v>4595</v>
      </c>
      <c r="J4297" s="9" t="s">
        <v>4830</v>
      </c>
      <c r="K4297" t="s">
        <v>5310</v>
      </c>
      <c r="L4297" s="2">
        <v>1</v>
      </c>
      <c r="M4297" s="24" t="s">
        <v>5971</v>
      </c>
      <c r="N4297" s="2" t="s">
        <v>23</v>
      </c>
      <c r="O4297" s="18" t="s">
        <v>3276</v>
      </c>
      <c r="P4297" s="18" t="s">
        <v>3781</v>
      </c>
      <c r="Q4297" s="6" t="s">
        <v>4475</v>
      </c>
      <c r="T4297" s="23">
        <v>45911</v>
      </c>
      <c r="U4297" s="23">
        <v>47372</v>
      </c>
      <c r="X4297" s="20">
        <v>5000</v>
      </c>
      <c r="Z4297" s="6" t="s">
        <v>5978</v>
      </c>
      <c r="AA4297" s="14">
        <f t="shared" si="570"/>
        <v>5.9999999999999995E-4</v>
      </c>
      <c r="AB4297">
        <v>2.5388099999999998</v>
      </c>
      <c r="AC4297">
        <v>2.6403623999999999</v>
      </c>
    </row>
    <row r="4298" spans="1:29" x14ac:dyDescent="0.3">
      <c r="A4298">
        <v>148398</v>
      </c>
      <c r="B4298" s="25" t="s">
        <v>5984</v>
      </c>
      <c r="C4298" t="s">
        <v>20</v>
      </c>
      <c r="D4298" t="s">
        <v>21</v>
      </c>
      <c r="E4298">
        <v>2222222</v>
      </c>
      <c r="F4298" s="8" t="s">
        <v>22</v>
      </c>
      <c r="G4298" s="2">
        <v>98</v>
      </c>
      <c r="H4298" t="s">
        <v>4595</v>
      </c>
      <c r="J4298" s="9" t="s">
        <v>5011</v>
      </c>
      <c r="K4298" t="s">
        <v>4884</v>
      </c>
      <c r="L4298" s="2">
        <v>1</v>
      </c>
      <c r="M4298" s="24" t="s">
        <v>5971</v>
      </c>
      <c r="N4298" s="2" t="s">
        <v>23</v>
      </c>
      <c r="O4298" s="18" t="s">
        <v>3277</v>
      </c>
      <c r="P4298" s="18" t="s">
        <v>3781</v>
      </c>
      <c r="Q4298" s="6" t="s">
        <v>4475</v>
      </c>
      <c r="T4298" s="23">
        <v>45958</v>
      </c>
      <c r="U4298" s="23">
        <v>46323</v>
      </c>
      <c r="X4298" s="20">
        <v>1000</v>
      </c>
      <c r="Z4298" s="6" t="s">
        <v>5978</v>
      </c>
      <c r="AA4298" s="14">
        <f t="shared" si="570"/>
        <v>5.9999999999999995E-4</v>
      </c>
      <c r="AB4298">
        <v>0.15934799999999999</v>
      </c>
      <c r="AC4298">
        <v>0.16572191999999999</v>
      </c>
    </row>
    <row r="4299" spans="1:29" x14ac:dyDescent="0.3">
      <c r="A4299">
        <v>148483</v>
      </c>
      <c r="B4299" s="25" t="s">
        <v>5984</v>
      </c>
      <c r="C4299" t="s">
        <v>20</v>
      </c>
      <c r="D4299" t="s">
        <v>21</v>
      </c>
      <c r="E4299">
        <v>2222222</v>
      </c>
      <c r="F4299" s="8" t="s">
        <v>22</v>
      </c>
      <c r="G4299" s="2">
        <v>98</v>
      </c>
      <c r="H4299" t="s">
        <v>4595</v>
      </c>
      <c r="J4299" s="9" t="s">
        <v>5017</v>
      </c>
      <c r="K4299" t="s">
        <v>5075</v>
      </c>
      <c r="L4299" s="2">
        <v>1</v>
      </c>
      <c r="M4299" s="24" t="s">
        <v>5971</v>
      </c>
      <c r="N4299" s="2" t="s">
        <v>23</v>
      </c>
      <c r="O4299" s="18" t="s">
        <v>3278</v>
      </c>
      <c r="P4299" s="18" t="s">
        <v>3781</v>
      </c>
      <c r="Q4299" s="6" t="s">
        <v>4475</v>
      </c>
      <c r="T4299" s="23">
        <v>45804</v>
      </c>
      <c r="U4299" s="23">
        <v>47248</v>
      </c>
      <c r="X4299" s="20">
        <v>10000</v>
      </c>
      <c r="Z4299" s="6" t="s">
        <v>5978</v>
      </c>
      <c r="AA4299" s="14">
        <f t="shared" si="570"/>
        <v>5.9999999999999995E-4</v>
      </c>
      <c r="AB4299">
        <v>4.5752219999999992</v>
      </c>
      <c r="AC4299">
        <v>4.7582308799999993</v>
      </c>
    </row>
    <row r="4300" spans="1:29" x14ac:dyDescent="0.3">
      <c r="A4300">
        <v>149040</v>
      </c>
      <c r="B4300" s="25" t="s">
        <v>5984</v>
      </c>
      <c r="C4300" t="s">
        <v>20</v>
      </c>
      <c r="D4300" t="s">
        <v>21</v>
      </c>
      <c r="E4300">
        <v>2222222</v>
      </c>
      <c r="F4300" s="8" t="s">
        <v>22</v>
      </c>
      <c r="G4300" s="2">
        <v>98</v>
      </c>
      <c r="H4300" t="s">
        <v>4595</v>
      </c>
      <c r="J4300" s="9" t="s">
        <v>4871</v>
      </c>
      <c r="K4300" t="s">
        <v>4870</v>
      </c>
      <c r="L4300" s="2">
        <v>1</v>
      </c>
      <c r="M4300" s="24" t="s">
        <v>5971</v>
      </c>
      <c r="N4300" s="2" t="s">
        <v>23</v>
      </c>
      <c r="O4300" s="18" t="s">
        <v>3274</v>
      </c>
      <c r="P4300" s="18" t="s">
        <v>0</v>
      </c>
      <c r="Q4300" s="6" t="s">
        <v>4475</v>
      </c>
      <c r="T4300" s="23">
        <v>45995</v>
      </c>
      <c r="U4300" s="23">
        <v>47460</v>
      </c>
      <c r="X4300" s="20">
        <v>5000</v>
      </c>
      <c r="Z4300" s="6" t="s">
        <v>5978</v>
      </c>
      <c r="AA4300" s="14">
        <f t="shared" si="570"/>
        <v>5.9999999999999995E-4</v>
      </c>
      <c r="AB4300">
        <v>2.6827320000000001</v>
      </c>
      <c r="AC4300">
        <v>2.7900412800000001</v>
      </c>
    </row>
    <row r="4301" spans="1:29" x14ac:dyDescent="0.3">
      <c r="A4301">
        <v>149602</v>
      </c>
      <c r="B4301" s="25" t="s">
        <v>5984</v>
      </c>
      <c r="C4301" t="s">
        <v>20</v>
      </c>
      <c r="D4301" t="s">
        <v>21</v>
      </c>
      <c r="E4301">
        <v>2222222</v>
      </c>
      <c r="F4301" s="8" t="s">
        <v>22</v>
      </c>
      <c r="G4301" s="2">
        <v>98</v>
      </c>
      <c r="H4301" t="s">
        <v>4595</v>
      </c>
      <c r="J4301" s="9" t="s">
        <v>5160</v>
      </c>
      <c r="K4301" t="s">
        <v>5291</v>
      </c>
      <c r="L4301" s="2">
        <v>1</v>
      </c>
      <c r="M4301" s="24" t="s">
        <v>5971</v>
      </c>
      <c r="N4301" s="2" t="s">
        <v>23</v>
      </c>
      <c r="O4301" s="18" t="s">
        <v>3279</v>
      </c>
      <c r="P4301" s="18" t="s">
        <v>0</v>
      </c>
      <c r="Q4301" s="6" t="s">
        <v>4475</v>
      </c>
      <c r="T4301" s="23">
        <v>46036</v>
      </c>
      <c r="U4301" s="23">
        <v>46247</v>
      </c>
      <c r="X4301" s="20">
        <v>800</v>
      </c>
      <c r="Z4301" s="6" t="s">
        <v>5978</v>
      </c>
      <c r="AA4301" s="14">
        <f t="shared" si="570"/>
        <v>5.9999999999999995E-4</v>
      </c>
      <c r="AB4301">
        <v>7.0991999999999986E-2</v>
      </c>
      <c r="AC4301">
        <v>7.3831679999999983E-2</v>
      </c>
    </row>
    <row r="4302" spans="1:29" x14ac:dyDescent="0.3">
      <c r="A4302">
        <v>149924</v>
      </c>
      <c r="B4302" s="25" t="s">
        <v>5984</v>
      </c>
      <c r="C4302" t="s">
        <v>20</v>
      </c>
      <c r="D4302" t="s">
        <v>21</v>
      </c>
      <c r="E4302">
        <v>2222222</v>
      </c>
      <c r="F4302" s="8" t="s">
        <v>22</v>
      </c>
      <c r="G4302" s="2">
        <v>98</v>
      </c>
      <c r="H4302" t="s">
        <v>4595</v>
      </c>
      <c r="J4302" s="9" t="s">
        <v>4917</v>
      </c>
      <c r="K4302" t="s">
        <v>4836</v>
      </c>
      <c r="L4302" s="2">
        <v>1</v>
      </c>
      <c r="M4302" s="24" t="s">
        <v>5971</v>
      </c>
      <c r="N4302" s="2" t="s">
        <v>23</v>
      </c>
      <c r="O4302" s="18" t="s">
        <v>1055</v>
      </c>
      <c r="P4302" s="18" t="s">
        <v>3781</v>
      </c>
      <c r="Q4302" s="6" t="s">
        <v>4475</v>
      </c>
      <c r="T4302" s="23">
        <v>46058</v>
      </c>
      <c r="U4302" s="23">
        <v>46667</v>
      </c>
      <c r="X4302" s="20">
        <v>2500</v>
      </c>
      <c r="Z4302" s="6" t="s">
        <v>5978</v>
      </c>
      <c r="AA4302" s="14">
        <f t="shared" si="570"/>
        <v>5.9999999999999995E-4</v>
      </c>
      <c r="AB4302">
        <v>0.91340399999999988</v>
      </c>
      <c r="AC4302">
        <v>0.94994015999999992</v>
      </c>
    </row>
    <row r="4303" spans="1:29" x14ac:dyDescent="0.3">
      <c r="A4303">
        <v>150312</v>
      </c>
      <c r="B4303" s="25" t="s">
        <v>5984</v>
      </c>
      <c r="C4303" t="s">
        <v>20</v>
      </c>
      <c r="D4303" t="s">
        <v>21</v>
      </c>
      <c r="E4303">
        <v>2222222</v>
      </c>
      <c r="F4303" s="8" t="s">
        <v>22</v>
      </c>
      <c r="G4303" s="2">
        <v>98</v>
      </c>
      <c r="H4303" t="s">
        <v>4595</v>
      </c>
      <c r="J4303" s="9" t="s">
        <v>5525</v>
      </c>
      <c r="K4303" t="s">
        <v>4924</v>
      </c>
      <c r="L4303" s="2">
        <v>1</v>
      </c>
      <c r="M4303" s="24" t="s">
        <v>5971</v>
      </c>
      <c r="N4303" s="2" t="s">
        <v>23</v>
      </c>
      <c r="O4303" s="18" t="s">
        <v>3280</v>
      </c>
      <c r="P4303" s="18" t="s">
        <v>3781</v>
      </c>
      <c r="Q4303" s="6" t="s">
        <v>4475</v>
      </c>
      <c r="T4303" s="23">
        <v>46099</v>
      </c>
      <c r="U4303" s="23">
        <v>47194</v>
      </c>
      <c r="X4303" s="20">
        <v>7200</v>
      </c>
      <c r="Z4303" s="6" t="s">
        <v>5978</v>
      </c>
      <c r="AA4303" s="14">
        <f t="shared" si="570"/>
        <v>5.9999999999999995E-4</v>
      </c>
      <c r="AB4303">
        <v>3.9241079999999999</v>
      </c>
      <c r="AC4303">
        <v>4.0810723199999996</v>
      </c>
    </row>
    <row r="4304" spans="1:29" x14ac:dyDescent="0.3">
      <c r="A4304">
        <v>150769</v>
      </c>
      <c r="B4304" s="25" t="s">
        <v>5984</v>
      </c>
      <c r="C4304" t="s">
        <v>20</v>
      </c>
      <c r="D4304" t="s">
        <v>21</v>
      </c>
      <c r="E4304">
        <v>2222222</v>
      </c>
      <c r="F4304" s="8" t="s">
        <v>22</v>
      </c>
      <c r="G4304" s="2">
        <v>98</v>
      </c>
      <c r="H4304" t="s">
        <v>4595</v>
      </c>
      <c r="J4304" s="9" t="s">
        <v>4836</v>
      </c>
      <c r="K4304" t="s">
        <v>4829</v>
      </c>
      <c r="L4304" s="2">
        <v>1</v>
      </c>
      <c r="M4304" s="24" t="s">
        <v>5971</v>
      </c>
      <c r="N4304" s="2" t="s">
        <v>23</v>
      </c>
      <c r="O4304" s="18" t="s">
        <v>3281</v>
      </c>
      <c r="P4304" s="18" t="s">
        <v>3781</v>
      </c>
      <c r="Q4304" s="6" t="s">
        <v>4475</v>
      </c>
      <c r="T4304" s="23">
        <v>46127</v>
      </c>
      <c r="U4304" s="23">
        <v>47588</v>
      </c>
      <c r="X4304" s="20">
        <v>5220</v>
      </c>
      <c r="Z4304" s="6" t="s">
        <v>5978</v>
      </c>
      <c r="AA4304" s="14">
        <f t="shared" si="570"/>
        <v>5.9999999999999995E-4</v>
      </c>
      <c r="AB4304">
        <v>2.983428</v>
      </c>
      <c r="AC4304">
        <v>3.1027651199999999</v>
      </c>
    </row>
    <row r="4305" spans="1:29" x14ac:dyDescent="0.3">
      <c r="A4305">
        <v>151013</v>
      </c>
      <c r="B4305" s="25" t="s">
        <v>5984</v>
      </c>
      <c r="C4305" t="s">
        <v>20</v>
      </c>
      <c r="D4305" t="s">
        <v>21</v>
      </c>
      <c r="E4305">
        <v>2222222</v>
      </c>
      <c r="F4305" s="8" t="s">
        <v>22</v>
      </c>
      <c r="G4305" s="2">
        <v>98</v>
      </c>
      <c r="H4305" t="s">
        <v>4595</v>
      </c>
      <c r="J4305" s="9" t="s">
        <v>4892</v>
      </c>
      <c r="K4305" t="s">
        <v>5056</v>
      </c>
      <c r="L4305" s="2">
        <v>1</v>
      </c>
      <c r="M4305" s="24" t="s">
        <v>5971</v>
      </c>
      <c r="N4305" s="2" t="s">
        <v>23</v>
      </c>
      <c r="O4305" s="18" t="s">
        <v>2253</v>
      </c>
      <c r="P4305" s="18" t="s">
        <v>3781</v>
      </c>
      <c r="Q4305" s="6" t="s">
        <v>4475</v>
      </c>
      <c r="T4305" s="23">
        <v>46142</v>
      </c>
      <c r="U4305" s="23">
        <v>49796</v>
      </c>
      <c r="X4305" s="20">
        <v>27250</v>
      </c>
      <c r="Z4305" s="6" t="s">
        <v>5978</v>
      </c>
      <c r="AA4305" s="14">
        <f t="shared" si="570"/>
        <v>5.9999999999999995E-4</v>
      </c>
      <c r="AB4305">
        <v>16.203965999999998</v>
      </c>
      <c r="AC4305">
        <v>16.85212464</v>
      </c>
    </row>
    <row r="4306" spans="1:29" x14ac:dyDescent="0.3">
      <c r="A4306">
        <v>151239</v>
      </c>
      <c r="B4306" s="25" t="s">
        <v>5984</v>
      </c>
      <c r="C4306" t="s">
        <v>20</v>
      </c>
      <c r="D4306" t="s">
        <v>21</v>
      </c>
      <c r="E4306">
        <v>2222222</v>
      </c>
      <c r="F4306" s="8" t="s">
        <v>22</v>
      </c>
      <c r="G4306" s="2">
        <v>98</v>
      </c>
      <c r="H4306" t="s">
        <v>4595</v>
      </c>
      <c r="J4306" s="9" t="s">
        <v>4836</v>
      </c>
      <c r="K4306" t="s">
        <v>4829</v>
      </c>
      <c r="L4306" s="2">
        <v>1</v>
      </c>
      <c r="M4306" s="24" t="s">
        <v>5971</v>
      </c>
      <c r="N4306" s="2" t="s">
        <v>23</v>
      </c>
      <c r="O4306" s="18" t="s">
        <v>3281</v>
      </c>
      <c r="P4306" s="18" t="s">
        <v>3781</v>
      </c>
      <c r="Q4306" s="6" t="s">
        <v>4475</v>
      </c>
      <c r="T4306" s="23">
        <v>46149</v>
      </c>
      <c r="U4306" s="23">
        <v>47609</v>
      </c>
      <c r="X4306" s="20">
        <v>5000</v>
      </c>
      <c r="Z4306" s="6" t="s">
        <v>5978</v>
      </c>
      <c r="AA4306" s="14">
        <f t="shared" si="570"/>
        <v>5.9999999999999995E-4</v>
      </c>
      <c r="AB4306">
        <v>2.9123100000000002</v>
      </c>
      <c r="AC4306">
        <v>3.0288024000000004</v>
      </c>
    </row>
    <row r="4307" spans="1:29" x14ac:dyDescent="0.3">
      <c r="A4307">
        <v>151592</v>
      </c>
      <c r="B4307" s="25" t="s">
        <v>5984</v>
      </c>
      <c r="C4307" t="s">
        <v>20</v>
      </c>
      <c r="D4307" t="s">
        <v>21</v>
      </c>
      <c r="E4307">
        <v>2222222</v>
      </c>
      <c r="F4307" s="8" t="s">
        <v>22</v>
      </c>
      <c r="G4307" s="2">
        <v>98</v>
      </c>
      <c r="H4307" t="s">
        <v>4595</v>
      </c>
      <c r="J4307" s="9" t="s">
        <v>4917</v>
      </c>
      <c r="K4307" t="s">
        <v>4836</v>
      </c>
      <c r="L4307" s="2">
        <v>1</v>
      </c>
      <c r="M4307" s="24" t="s">
        <v>5971</v>
      </c>
      <c r="N4307" s="2" t="s">
        <v>23</v>
      </c>
      <c r="O4307" s="18" t="s">
        <v>1055</v>
      </c>
      <c r="P4307" s="18" t="s">
        <v>3781</v>
      </c>
      <c r="Q4307" s="6" t="s">
        <v>4475</v>
      </c>
      <c r="T4307" s="23">
        <v>46174</v>
      </c>
      <c r="U4307" s="23">
        <v>46264</v>
      </c>
      <c r="X4307" s="20">
        <v>600</v>
      </c>
      <c r="Z4307" s="6" t="s">
        <v>5978</v>
      </c>
      <c r="AA4307" s="14">
        <f t="shared" si="570"/>
        <v>5.9999999999999995E-4</v>
      </c>
      <c r="AB4307">
        <v>0.36</v>
      </c>
      <c r="AC4307">
        <v>0.37440000000000001</v>
      </c>
    </row>
    <row r="4308" spans="1:29" x14ac:dyDescent="0.3">
      <c r="A4308">
        <v>151630</v>
      </c>
      <c r="B4308" s="25" t="s">
        <v>5984</v>
      </c>
      <c r="C4308" t="s">
        <v>20</v>
      </c>
      <c r="D4308" t="s">
        <v>21</v>
      </c>
      <c r="E4308">
        <v>2222222</v>
      </c>
      <c r="F4308" s="8" t="s">
        <v>22</v>
      </c>
      <c r="G4308" s="2">
        <v>98</v>
      </c>
      <c r="H4308" t="s">
        <v>4595</v>
      </c>
      <c r="J4308" s="9" t="s">
        <v>4830</v>
      </c>
      <c r="K4308" t="s">
        <v>5310</v>
      </c>
      <c r="L4308" s="2">
        <v>1</v>
      </c>
      <c r="M4308" s="24" t="s">
        <v>5971</v>
      </c>
      <c r="N4308" s="2" t="s">
        <v>23</v>
      </c>
      <c r="O4308" s="18" t="s">
        <v>3276</v>
      </c>
      <c r="P4308" s="18" t="s">
        <v>3781</v>
      </c>
      <c r="Q4308" s="6" t="s">
        <v>4475</v>
      </c>
      <c r="T4308" s="23">
        <v>46176</v>
      </c>
      <c r="U4308" s="23">
        <v>47272</v>
      </c>
      <c r="X4308" s="20">
        <v>1500</v>
      </c>
      <c r="Z4308" s="6" t="s">
        <v>5978</v>
      </c>
      <c r="AA4308" s="14">
        <f t="shared" si="570"/>
        <v>5.9999999999999995E-4</v>
      </c>
      <c r="AB4308">
        <v>0.88055399999999984</v>
      </c>
      <c r="AC4308">
        <v>0.91577615999999984</v>
      </c>
    </row>
    <row r="4309" spans="1:29" x14ac:dyDescent="0.3">
      <c r="A4309">
        <v>151649</v>
      </c>
      <c r="B4309" s="25" t="s">
        <v>5984</v>
      </c>
      <c r="C4309" t="s">
        <v>20</v>
      </c>
      <c r="D4309" t="s">
        <v>21</v>
      </c>
      <c r="E4309">
        <v>2222222</v>
      </c>
      <c r="F4309" s="8" t="s">
        <v>22</v>
      </c>
      <c r="G4309" s="2">
        <v>98</v>
      </c>
      <c r="H4309" t="s">
        <v>4595</v>
      </c>
      <c r="J4309" s="9" t="s">
        <v>4916</v>
      </c>
      <c r="K4309" t="s">
        <v>5081</v>
      </c>
      <c r="L4309" s="2">
        <v>1</v>
      </c>
      <c r="M4309" s="24" t="s">
        <v>5971</v>
      </c>
      <c r="N4309" s="2" t="s">
        <v>23</v>
      </c>
      <c r="O4309" s="18" t="s">
        <v>3282</v>
      </c>
      <c r="P4309" s="18" t="s">
        <v>3781</v>
      </c>
      <c r="Q4309" s="6" t="s">
        <v>4475</v>
      </c>
      <c r="T4309" s="23">
        <v>46178</v>
      </c>
      <c r="U4309" s="23">
        <v>46268</v>
      </c>
      <c r="X4309" s="20">
        <v>5000</v>
      </c>
      <c r="Z4309" s="6" t="s">
        <v>5978</v>
      </c>
      <c r="AA4309" s="14">
        <f t="shared" si="570"/>
        <v>5.9999999999999995E-4</v>
      </c>
      <c r="AB4309">
        <v>2.9999999999999996</v>
      </c>
      <c r="AC4309">
        <v>3.1199999999999997</v>
      </c>
    </row>
    <row r="4310" spans="1:29" x14ac:dyDescent="0.3">
      <c r="A4310">
        <v>151650</v>
      </c>
      <c r="B4310" s="25" t="s">
        <v>5984</v>
      </c>
      <c r="C4310" t="s">
        <v>20</v>
      </c>
      <c r="D4310" t="s">
        <v>21</v>
      </c>
      <c r="E4310">
        <v>2222222</v>
      </c>
      <c r="F4310" s="8" t="s">
        <v>22</v>
      </c>
      <c r="G4310" s="2">
        <v>98</v>
      </c>
      <c r="H4310" t="s">
        <v>4595</v>
      </c>
      <c r="J4310" s="9" t="s">
        <v>4916</v>
      </c>
      <c r="K4310" t="s">
        <v>5081</v>
      </c>
      <c r="L4310" s="2">
        <v>1</v>
      </c>
      <c r="M4310" s="24" t="s">
        <v>5971</v>
      </c>
      <c r="N4310" s="2" t="s">
        <v>23</v>
      </c>
      <c r="O4310" s="18" t="s">
        <v>3282</v>
      </c>
      <c r="P4310" s="18" t="s">
        <v>3781</v>
      </c>
      <c r="Q4310" s="6" t="s">
        <v>4475</v>
      </c>
      <c r="T4310" s="23">
        <v>46178</v>
      </c>
      <c r="U4310" s="23">
        <v>46268</v>
      </c>
      <c r="X4310" s="20">
        <v>3760</v>
      </c>
      <c r="Z4310" s="6" t="s">
        <v>5978</v>
      </c>
      <c r="AA4310" s="14">
        <f t="shared" si="570"/>
        <v>5.9999999999999995E-4</v>
      </c>
      <c r="AB4310">
        <v>2.2559999999999998</v>
      </c>
      <c r="AC4310">
        <v>2.3462399999999999</v>
      </c>
    </row>
    <row r="4311" spans="1:29" x14ac:dyDescent="0.3">
      <c r="A4311">
        <v>152197</v>
      </c>
      <c r="B4311" s="25" t="s">
        <v>5984</v>
      </c>
      <c r="C4311" t="s">
        <v>20</v>
      </c>
      <c r="D4311" t="s">
        <v>21</v>
      </c>
      <c r="E4311">
        <v>2222222</v>
      </c>
      <c r="F4311" s="8" t="s">
        <v>22</v>
      </c>
      <c r="G4311" s="2">
        <v>98</v>
      </c>
      <c r="H4311" t="s">
        <v>4595</v>
      </c>
      <c r="J4311" s="9" t="s">
        <v>4900</v>
      </c>
      <c r="K4311" t="s">
        <v>4901</v>
      </c>
      <c r="L4311" s="2">
        <v>1</v>
      </c>
      <c r="M4311" s="24" t="s">
        <v>5971</v>
      </c>
      <c r="N4311" s="2" t="s">
        <v>23</v>
      </c>
      <c r="O4311" s="18" t="s">
        <v>3283</v>
      </c>
      <c r="P4311" s="18" t="s">
        <v>0</v>
      </c>
      <c r="Q4311" s="6" t="s">
        <v>4475</v>
      </c>
      <c r="T4311" s="23">
        <v>46218</v>
      </c>
      <c r="U4311" s="23">
        <v>46583</v>
      </c>
      <c r="X4311" s="20">
        <v>800</v>
      </c>
      <c r="Z4311" s="6" t="s">
        <v>5978</v>
      </c>
      <c r="AA4311" s="14">
        <f t="shared" si="570"/>
        <v>5.9999999999999995E-4</v>
      </c>
      <c r="AB4311">
        <v>0.48</v>
      </c>
      <c r="AC4311">
        <v>0.49919999999999998</v>
      </c>
    </row>
    <row r="4312" spans="1:29" x14ac:dyDescent="0.3">
      <c r="A4312">
        <v>152250</v>
      </c>
      <c r="B4312" s="25" t="s">
        <v>5984</v>
      </c>
      <c r="C4312" t="s">
        <v>20</v>
      </c>
      <c r="D4312" t="s">
        <v>21</v>
      </c>
      <c r="E4312">
        <v>2222222</v>
      </c>
      <c r="F4312" s="8" t="s">
        <v>22</v>
      </c>
      <c r="G4312" s="2">
        <v>98</v>
      </c>
      <c r="H4312" t="s">
        <v>4595</v>
      </c>
      <c r="J4312" s="9" t="s">
        <v>5160</v>
      </c>
      <c r="K4312" t="s">
        <v>5291</v>
      </c>
      <c r="L4312" s="2">
        <v>1</v>
      </c>
      <c r="M4312" s="24" t="s">
        <v>5971</v>
      </c>
      <c r="N4312" s="2" t="s">
        <v>23</v>
      </c>
      <c r="O4312" s="18" t="s">
        <v>3279</v>
      </c>
      <c r="P4312" s="18" t="s">
        <v>0</v>
      </c>
      <c r="Q4312" s="6" t="s">
        <v>4475</v>
      </c>
      <c r="T4312" s="23">
        <v>46223</v>
      </c>
      <c r="U4312" s="23">
        <v>46345</v>
      </c>
      <c r="X4312" s="20">
        <v>500</v>
      </c>
      <c r="Z4312" s="6" t="s">
        <v>5978</v>
      </c>
      <c r="AA4312" s="14">
        <f t="shared" si="570"/>
        <v>5.9999999999999995E-4</v>
      </c>
      <c r="AB4312">
        <v>0.3</v>
      </c>
      <c r="AC4312">
        <v>0.312</v>
      </c>
    </row>
    <row r="4313" spans="1:29" x14ac:dyDescent="0.3">
      <c r="A4313">
        <v>140406</v>
      </c>
      <c r="B4313" s="25" t="s">
        <v>5984</v>
      </c>
      <c r="C4313" t="s">
        <v>20</v>
      </c>
      <c r="D4313" t="s">
        <v>21</v>
      </c>
      <c r="E4313">
        <v>2222222</v>
      </c>
      <c r="F4313" s="8" t="s">
        <v>22</v>
      </c>
      <c r="G4313" s="2">
        <v>98</v>
      </c>
      <c r="H4313" t="s">
        <v>4596</v>
      </c>
      <c r="J4313" s="9" t="s">
        <v>5096</v>
      </c>
      <c r="K4313" t="s">
        <v>5310</v>
      </c>
      <c r="L4313" s="2">
        <v>1</v>
      </c>
      <c r="M4313" s="24" t="s">
        <v>5971</v>
      </c>
      <c r="N4313" s="2" t="s">
        <v>23</v>
      </c>
      <c r="O4313" s="18" t="s">
        <v>3284</v>
      </c>
      <c r="P4313" s="18" t="s">
        <v>3781</v>
      </c>
      <c r="Q4313" s="6" t="s">
        <v>4475</v>
      </c>
      <c r="T4313" s="23">
        <v>45385</v>
      </c>
      <c r="U4313" s="23">
        <v>46298</v>
      </c>
      <c r="X4313" s="20">
        <v>2300</v>
      </c>
      <c r="Z4313" s="6" t="s">
        <v>5978</v>
      </c>
      <c r="AA4313" s="13">
        <f>+(0.56/1000)</f>
        <v>5.6000000000000006E-4</v>
      </c>
      <c r="AB4313">
        <v>0.15696800000000002</v>
      </c>
      <c r="AC4313">
        <v>0.16324672000000004</v>
      </c>
    </row>
    <row r="4314" spans="1:29" x14ac:dyDescent="0.3">
      <c r="A4314">
        <v>146057</v>
      </c>
      <c r="B4314" s="25" t="s">
        <v>5984</v>
      </c>
      <c r="C4314" t="s">
        <v>20</v>
      </c>
      <c r="D4314" t="s">
        <v>21</v>
      </c>
      <c r="E4314">
        <v>2222222</v>
      </c>
      <c r="F4314" s="8" t="s">
        <v>22</v>
      </c>
      <c r="G4314" s="2">
        <v>98</v>
      </c>
      <c r="H4314" t="s">
        <v>4596</v>
      </c>
      <c r="J4314" s="9" t="s">
        <v>4836</v>
      </c>
      <c r="K4314" t="s">
        <v>4932</v>
      </c>
      <c r="L4314" s="2">
        <v>1</v>
      </c>
      <c r="M4314" s="24" t="s">
        <v>5971</v>
      </c>
      <c r="N4314" s="2" t="s">
        <v>23</v>
      </c>
      <c r="O4314" s="18" t="s">
        <v>3285</v>
      </c>
      <c r="P4314" s="18" t="s">
        <v>3781</v>
      </c>
      <c r="Q4314" s="6" t="s">
        <v>4475</v>
      </c>
      <c r="T4314" s="23">
        <v>45838</v>
      </c>
      <c r="U4314" s="23">
        <v>49490</v>
      </c>
      <c r="X4314" s="20">
        <v>100000</v>
      </c>
      <c r="Z4314" s="6" t="s">
        <v>5978</v>
      </c>
      <c r="AA4314" s="14">
        <f t="shared" ref="AA4314:AA4316" si="571">+(0.6/1000)</f>
        <v>5.9999999999999995E-4</v>
      </c>
      <c r="AB4314">
        <v>56.42286</v>
      </c>
      <c r="AC4314">
        <v>58.679774399999999</v>
      </c>
    </row>
    <row r="4315" spans="1:29" x14ac:dyDescent="0.3">
      <c r="A4315">
        <v>146779</v>
      </c>
      <c r="B4315" s="25" t="s">
        <v>5984</v>
      </c>
      <c r="C4315" t="s">
        <v>20</v>
      </c>
      <c r="D4315" t="s">
        <v>21</v>
      </c>
      <c r="E4315">
        <v>2222222</v>
      </c>
      <c r="F4315" s="8" t="s">
        <v>22</v>
      </c>
      <c r="G4315" s="2">
        <v>98</v>
      </c>
      <c r="H4315" t="s">
        <v>4596</v>
      </c>
      <c r="J4315" s="9" t="s">
        <v>5096</v>
      </c>
      <c r="K4315" t="s">
        <v>5310</v>
      </c>
      <c r="L4315" s="2">
        <v>1</v>
      </c>
      <c r="M4315" s="24" t="s">
        <v>5971</v>
      </c>
      <c r="N4315" s="2" t="s">
        <v>23</v>
      </c>
      <c r="O4315" s="18" t="s">
        <v>3284</v>
      </c>
      <c r="P4315" s="18" t="s">
        <v>3781</v>
      </c>
      <c r="Q4315" s="6" t="s">
        <v>4475</v>
      </c>
      <c r="T4315" s="23">
        <v>45842</v>
      </c>
      <c r="U4315" s="23">
        <v>47302</v>
      </c>
      <c r="X4315" s="20">
        <v>3000</v>
      </c>
      <c r="Z4315" s="6" t="s">
        <v>5978</v>
      </c>
      <c r="AA4315" s="14">
        <f t="shared" si="571"/>
        <v>5.9999999999999995E-4</v>
      </c>
      <c r="AB4315">
        <v>1.4631540000000001</v>
      </c>
      <c r="AC4315">
        <v>1.5216801600000001</v>
      </c>
    </row>
    <row r="4316" spans="1:29" x14ac:dyDescent="0.3">
      <c r="A4316">
        <v>147266</v>
      </c>
      <c r="B4316" s="25" t="s">
        <v>5984</v>
      </c>
      <c r="C4316" t="s">
        <v>20</v>
      </c>
      <c r="D4316" t="s">
        <v>21</v>
      </c>
      <c r="E4316">
        <v>2222222</v>
      </c>
      <c r="F4316" s="8" t="s">
        <v>22</v>
      </c>
      <c r="G4316" s="2">
        <v>98</v>
      </c>
      <c r="H4316" t="s">
        <v>4596</v>
      </c>
      <c r="J4316" s="9" t="s">
        <v>5243</v>
      </c>
      <c r="K4316" t="s">
        <v>5035</v>
      </c>
      <c r="L4316" s="2">
        <v>1</v>
      </c>
      <c r="M4316" s="24" t="s">
        <v>5971</v>
      </c>
      <c r="N4316" s="2" t="s">
        <v>23</v>
      </c>
      <c r="O4316" s="18" t="s">
        <v>3286</v>
      </c>
      <c r="P4316" s="18" t="s">
        <v>0</v>
      </c>
      <c r="Q4316" s="6" t="s">
        <v>4475</v>
      </c>
      <c r="T4316" s="23">
        <v>45882</v>
      </c>
      <c r="U4316" s="23">
        <v>48803</v>
      </c>
      <c r="X4316" s="20">
        <v>23000</v>
      </c>
      <c r="Z4316" s="6" t="s">
        <v>5978</v>
      </c>
      <c r="AA4316" s="14">
        <f t="shared" si="571"/>
        <v>5.9999999999999995E-4</v>
      </c>
      <c r="AB4316">
        <v>12.934728</v>
      </c>
      <c r="AC4316">
        <v>13.45211712</v>
      </c>
    </row>
    <row r="4317" spans="1:29" x14ac:dyDescent="0.3">
      <c r="A4317">
        <v>131079</v>
      </c>
      <c r="B4317" s="25" t="s">
        <v>5984</v>
      </c>
      <c r="C4317" t="s">
        <v>20</v>
      </c>
      <c r="D4317" t="s">
        <v>21</v>
      </c>
      <c r="E4317">
        <v>2222222</v>
      </c>
      <c r="F4317" s="8" t="s">
        <v>22</v>
      </c>
      <c r="G4317" s="2">
        <v>98</v>
      </c>
      <c r="H4317" t="s">
        <v>4597</v>
      </c>
      <c r="J4317" s="9" t="s">
        <v>4826</v>
      </c>
      <c r="K4317" t="s">
        <v>4953</v>
      </c>
      <c r="L4317" s="2">
        <v>1</v>
      </c>
      <c r="M4317" s="24" t="s">
        <v>5971</v>
      </c>
      <c r="N4317" s="2" t="s">
        <v>23</v>
      </c>
      <c r="O4317" s="18" t="s">
        <v>3287</v>
      </c>
      <c r="P4317" s="18" t="s">
        <v>0</v>
      </c>
      <c r="Q4317" s="6" t="s">
        <v>4475</v>
      </c>
      <c r="T4317" s="23">
        <v>44876</v>
      </c>
      <c r="U4317" s="23">
        <v>47068</v>
      </c>
      <c r="X4317" s="20">
        <v>10500</v>
      </c>
      <c r="Z4317" s="6" t="s">
        <v>5978</v>
      </c>
      <c r="AA4317" s="13">
        <f t="shared" ref="AA4317:AA4319" si="572">+(0.56/1000)</f>
        <v>5.6000000000000006E-4</v>
      </c>
      <c r="AB4317">
        <v>2.9729168000000001</v>
      </c>
      <c r="AC4317">
        <v>3.0918334720000002</v>
      </c>
    </row>
    <row r="4318" spans="1:29" x14ac:dyDescent="0.3">
      <c r="A4318">
        <v>136479</v>
      </c>
      <c r="B4318" s="25" t="s">
        <v>5984</v>
      </c>
      <c r="C4318" t="s">
        <v>20</v>
      </c>
      <c r="D4318" t="s">
        <v>21</v>
      </c>
      <c r="E4318">
        <v>2222222</v>
      </c>
      <c r="F4318" s="8" t="s">
        <v>22</v>
      </c>
      <c r="G4318" s="2">
        <v>98</v>
      </c>
      <c r="H4318" t="s">
        <v>4597</v>
      </c>
      <c r="J4318" s="9" t="s">
        <v>4826</v>
      </c>
      <c r="K4318" t="s">
        <v>5270</v>
      </c>
      <c r="L4318" s="2">
        <v>1</v>
      </c>
      <c r="M4318" s="24" t="s">
        <v>5971</v>
      </c>
      <c r="N4318" s="2" t="s">
        <v>23</v>
      </c>
      <c r="O4318" s="18" t="s">
        <v>3288</v>
      </c>
      <c r="P4318" s="18" t="s">
        <v>0</v>
      </c>
      <c r="Q4318" s="6" t="s">
        <v>4475</v>
      </c>
      <c r="T4318" s="23">
        <v>45183</v>
      </c>
      <c r="U4318" s="23">
        <v>47375</v>
      </c>
      <c r="X4318" s="20">
        <v>10000</v>
      </c>
      <c r="Z4318" s="6" t="s">
        <v>5978</v>
      </c>
      <c r="AA4318" s="13">
        <f t="shared" si="572"/>
        <v>5.6000000000000006E-4</v>
      </c>
      <c r="AB4318">
        <v>3.6122184000000006</v>
      </c>
      <c r="AC4318">
        <v>3.7567071360000006</v>
      </c>
    </row>
    <row r="4319" spans="1:29" x14ac:dyDescent="0.3">
      <c r="A4319">
        <v>137048</v>
      </c>
      <c r="B4319" s="25" t="s">
        <v>5984</v>
      </c>
      <c r="C4319" t="s">
        <v>20</v>
      </c>
      <c r="D4319" t="s">
        <v>21</v>
      </c>
      <c r="E4319">
        <v>2222222</v>
      </c>
      <c r="F4319" s="8" t="s">
        <v>22</v>
      </c>
      <c r="G4319" s="2">
        <v>98</v>
      </c>
      <c r="H4319" t="s">
        <v>4597</v>
      </c>
      <c r="J4319" s="9" t="s">
        <v>4955</v>
      </c>
      <c r="K4319" t="s">
        <v>4845</v>
      </c>
      <c r="L4319" s="2">
        <v>1</v>
      </c>
      <c r="M4319" s="24" t="s">
        <v>5971</v>
      </c>
      <c r="N4319" s="2" t="s">
        <v>23</v>
      </c>
      <c r="O4319" s="18" t="s">
        <v>3289</v>
      </c>
      <c r="P4319" s="18" t="s">
        <v>3781</v>
      </c>
      <c r="Q4319" s="6" t="s">
        <v>4475</v>
      </c>
      <c r="T4319" s="23">
        <v>45211</v>
      </c>
      <c r="U4319" s="23">
        <v>46671</v>
      </c>
      <c r="X4319" s="20">
        <v>10000</v>
      </c>
      <c r="Z4319" s="6" t="s">
        <v>5978</v>
      </c>
      <c r="AA4319" s="13">
        <f t="shared" si="572"/>
        <v>5.6000000000000006E-4</v>
      </c>
      <c r="AB4319">
        <v>2.1363328000000004</v>
      </c>
      <c r="AC4319">
        <v>2.2217861120000006</v>
      </c>
    </row>
    <row r="4320" spans="1:29" x14ac:dyDescent="0.3">
      <c r="A4320">
        <v>144698</v>
      </c>
      <c r="B4320" s="25" t="s">
        <v>5984</v>
      </c>
      <c r="C4320" t="s">
        <v>20</v>
      </c>
      <c r="D4320" t="s">
        <v>21</v>
      </c>
      <c r="E4320">
        <v>2222222</v>
      </c>
      <c r="F4320" s="8" t="s">
        <v>22</v>
      </c>
      <c r="G4320" s="2">
        <v>98</v>
      </c>
      <c r="H4320" t="s">
        <v>4597</v>
      </c>
      <c r="J4320" s="9" t="s">
        <v>4836</v>
      </c>
      <c r="K4320" t="s">
        <v>4932</v>
      </c>
      <c r="L4320" s="2">
        <v>1</v>
      </c>
      <c r="M4320" s="24" t="s">
        <v>5971</v>
      </c>
      <c r="N4320" s="2" t="s">
        <v>23</v>
      </c>
      <c r="O4320" s="18" t="s">
        <v>3290</v>
      </c>
      <c r="P4320" s="18" t="s">
        <v>3781</v>
      </c>
      <c r="Q4320" s="6" t="s">
        <v>4475</v>
      </c>
      <c r="T4320" s="23">
        <v>45688</v>
      </c>
      <c r="U4320" s="23">
        <v>48246</v>
      </c>
      <c r="X4320" s="20">
        <v>20000</v>
      </c>
      <c r="Z4320" s="6" t="s">
        <v>5978</v>
      </c>
      <c r="AA4320" s="14">
        <f t="shared" ref="AA4320:AA4323" si="573">+(0.6/1000)</f>
        <v>5.9999999999999995E-4</v>
      </c>
      <c r="AB4320">
        <v>10.527587999999998</v>
      </c>
      <c r="AC4320">
        <v>10.948691519999999</v>
      </c>
    </row>
    <row r="4321" spans="1:29" x14ac:dyDescent="0.3">
      <c r="A4321">
        <v>149215</v>
      </c>
      <c r="B4321" s="25" t="s">
        <v>5984</v>
      </c>
      <c r="C4321" t="s">
        <v>20</v>
      </c>
      <c r="D4321" t="s">
        <v>21</v>
      </c>
      <c r="E4321">
        <v>2222222</v>
      </c>
      <c r="F4321" s="8" t="s">
        <v>22</v>
      </c>
      <c r="G4321" s="2">
        <v>98</v>
      </c>
      <c r="H4321" t="s">
        <v>4597</v>
      </c>
      <c r="J4321" s="9" t="s">
        <v>4950</v>
      </c>
      <c r="K4321" t="s">
        <v>4870</v>
      </c>
      <c r="L4321" s="2">
        <v>1</v>
      </c>
      <c r="M4321" s="24" t="s">
        <v>5971</v>
      </c>
      <c r="N4321" s="2" t="s">
        <v>23</v>
      </c>
      <c r="O4321" s="18" t="s">
        <v>3291</v>
      </c>
      <c r="P4321" s="18" t="s">
        <v>0</v>
      </c>
      <c r="Q4321" s="6" t="s">
        <v>4475</v>
      </c>
      <c r="T4321" s="23">
        <v>46037</v>
      </c>
      <c r="U4321" s="23">
        <v>49688</v>
      </c>
      <c r="X4321" s="20">
        <v>30000</v>
      </c>
      <c r="Z4321" s="6" t="s">
        <v>5978</v>
      </c>
      <c r="AA4321" s="14">
        <f t="shared" si="573"/>
        <v>5.9999999999999995E-4</v>
      </c>
      <c r="AB4321">
        <v>17.580359999999999</v>
      </c>
      <c r="AC4321">
        <v>18.283574399999999</v>
      </c>
    </row>
    <row r="4322" spans="1:29" x14ac:dyDescent="0.3">
      <c r="A4322">
        <v>150046</v>
      </c>
      <c r="B4322" s="25" t="s">
        <v>5984</v>
      </c>
      <c r="C4322" t="s">
        <v>20</v>
      </c>
      <c r="D4322" t="s">
        <v>21</v>
      </c>
      <c r="E4322">
        <v>2222222</v>
      </c>
      <c r="F4322" s="8" t="s">
        <v>22</v>
      </c>
      <c r="G4322" s="2">
        <v>98</v>
      </c>
      <c r="H4322" t="s">
        <v>4597</v>
      </c>
      <c r="J4322" s="9" t="s">
        <v>4852</v>
      </c>
      <c r="K4322" t="s">
        <v>4982</v>
      </c>
      <c r="L4322" s="2">
        <v>1</v>
      </c>
      <c r="M4322" s="24" t="s">
        <v>5971</v>
      </c>
      <c r="N4322" s="2" t="s">
        <v>23</v>
      </c>
      <c r="O4322" s="18" t="s">
        <v>1724</v>
      </c>
      <c r="P4322" s="18" t="s">
        <v>0</v>
      </c>
      <c r="Q4322" s="6" t="s">
        <v>4475</v>
      </c>
      <c r="T4322" s="23">
        <v>46067</v>
      </c>
      <c r="U4322" s="23">
        <v>47542</v>
      </c>
      <c r="X4322" s="20">
        <v>4000</v>
      </c>
      <c r="Z4322" s="6" t="s">
        <v>5978</v>
      </c>
      <c r="AA4322" s="14">
        <f t="shared" si="573"/>
        <v>5.9999999999999995E-4</v>
      </c>
      <c r="AB4322">
        <v>2.223042</v>
      </c>
      <c r="AC4322">
        <v>2.3119636799999999</v>
      </c>
    </row>
    <row r="4323" spans="1:29" x14ac:dyDescent="0.3">
      <c r="A4323">
        <v>144227</v>
      </c>
      <c r="B4323" s="25" t="s">
        <v>5984</v>
      </c>
      <c r="C4323" t="s">
        <v>20</v>
      </c>
      <c r="D4323" t="s">
        <v>21</v>
      </c>
      <c r="E4323">
        <v>2222222</v>
      </c>
      <c r="F4323" s="8" t="s">
        <v>22</v>
      </c>
      <c r="G4323" s="2">
        <v>98</v>
      </c>
      <c r="H4323" t="s">
        <v>4598</v>
      </c>
      <c r="J4323" s="9" t="s">
        <v>4815</v>
      </c>
      <c r="K4323" t="s">
        <v>5089</v>
      </c>
      <c r="L4323" s="2">
        <v>1</v>
      </c>
      <c r="M4323" s="24" t="s">
        <v>5971</v>
      </c>
      <c r="N4323" s="2" t="s">
        <v>23</v>
      </c>
      <c r="O4323" s="18" t="s">
        <v>3292</v>
      </c>
      <c r="P4323" s="18" t="s">
        <v>0</v>
      </c>
      <c r="Q4323" s="6" t="s">
        <v>4475</v>
      </c>
      <c r="T4323" s="23">
        <v>45646</v>
      </c>
      <c r="U4323" s="23">
        <v>46740</v>
      </c>
      <c r="X4323" s="20">
        <v>4000</v>
      </c>
      <c r="Z4323" s="6" t="s">
        <v>5978</v>
      </c>
      <c r="AA4323" s="14">
        <f t="shared" si="573"/>
        <v>5.9999999999999995E-4</v>
      </c>
      <c r="AB4323">
        <v>1.28454</v>
      </c>
      <c r="AC4323">
        <v>1.3359216</v>
      </c>
    </row>
    <row r="4324" spans="1:29" x14ac:dyDescent="0.3">
      <c r="A4324">
        <v>51323</v>
      </c>
      <c r="B4324" s="25" t="s">
        <v>5984</v>
      </c>
      <c r="C4324" t="s">
        <v>20</v>
      </c>
      <c r="D4324" t="s">
        <v>21</v>
      </c>
      <c r="E4324">
        <v>2222222</v>
      </c>
      <c r="F4324" s="8" t="s">
        <v>22</v>
      </c>
      <c r="G4324" s="2">
        <v>98</v>
      </c>
      <c r="H4324" t="s">
        <v>4599</v>
      </c>
      <c r="J4324" s="9" t="s">
        <v>4988</v>
      </c>
      <c r="K4324" t="s">
        <v>4875</v>
      </c>
      <c r="L4324" s="2">
        <v>1</v>
      </c>
      <c r="M4324" s="24" t="s">
        <v>5971</v>
      </c>
      <c r="N4324" s="2" t="s">
        <v>23</v>
      </c>
      <c r="O4324" s="18" t="s">
        <v>3293</v>
      </c>
      <c r="P4324" s="18" t="s">
        <v>0</v>
      </c>
      <c r="Q4324" s="6" t="s">
        <v>4475</v>
      </c>
      <c r="T4324" s="23">
        <v>40837</v>
      </c>
      <c r="U4324" s="23">
        <v>42664</v>
      </c>
      <c r="X4324" s="20">
        <v>3000</v>
      </c>
      <c r="Z4324" s="6" t="s">
        <v>5978</v>
      </c>
      <c r="AA4324" s="16">
        <f>+(0.36/1000)</f>
        <v>3.5999999999999997E-4</v>
      </c>
      <c r="AB4324">
        <v>0.39989519999999995</v>
      </c>
      <c r="AC4324">
        <v>0.41589100799999995</v>
      </c>
    </row>
    <row r="4325" spans="1:29" x14ac:dyDescent="0.3">
      <c r="A4325">
        <v>128405</v>
      </c>
      <c r="B4325" s="25" t="s">
        <v>5984</v>
      </c>
      <c r="C4325" t="s">
        <v>20</v>
      </c>
      <c r="D4325" t="s">
        <v>21</v>
      </c>
      <c r="E4325">
        <v>2222222</v>
      </c>
      <c r="F4325" s="8" t="s">
        <v>22</v>
      </c>
      <c r="G4325" s="2">
        <v>98</v>
      </c>
      <c r="H4325" t="s">
        <v>4599</v>
      </c>
      <c r="J4325" s="9" t="s">
        <v>4911</v>
      </c>
      <c r="K4325" t="s">
        <v>5517</v>
      </c>
      <c r="L4325" s="2">
        <v>1</v>
      </c>
      <c r="M4325" s="24" t="s">
        <v>5971</v>
      </c>
      <c r="N4325" s="2" t="s">
        <v>23</v>
      </c>
      <c r="O4325" s="18" t="s">
        <v>222</v>
      </c>
      <c r="P4325" s="18" t="s">
        <v>3781</v>
      </c>
      <c r="Q4325" s="6" t="s">
        <v>4475</v>
      </c>
      <c r="T4325" s="23">
        <v>44728</v>
      </c>
      <c r="U4325" s="23">
        <v>46646</v>
      </c>
      <c r="X4325" s="20">
        <v>10000</v>
      </c>
      <c r="Z4325" s="6" t="s">
        <v>5978</v>
      </c>
      <c r="AA4325" s="15">
        <f>+(0.42/1000)</f>
        <v>4.1999999999999996E-4</v>
      </c>
      <c r="AB4325">
        <v>1.2723731999999999</v>
      </c>
      <c r="AC4325">
        <v>1.3232681279999998</v>
      </c>
    </row>
    <row r="4326" spans="1:29" x14ac:dyDescent="0.3">
      <c r="A4326">
        <v>151097</v>
      </c>
      <c r="B4326" s="25" t="s">
        <v>5984</v>
      </c>
      <c r="C4326" t="s">
        <v>20</v>
      </c>
      <c r="D4326" t="s">
        <v>21</v>
      </c>
      <c r="E4326">
        <v>2222222</v>
      </c>
      <c r="F4326" s="8" t="s">
        <v>22</v>
      </c>
      <c r="G4326" s="2">
        <v>98</v>
      </c>
      <c r="H4326" t="s">
        <v>4599</v>
      </c>
      <c r="J4326" s="9" t="s">
        <v>5150</v>
      </c>
      <c r="K4326" t="s">
        <v>5282</v>
      </c>
      <c r="L4326" s="2">
        <v>1</v>
      </c>
      <c r="M4326" s="24" t="s">
        <v>5971</v>
      </c>
      <c r="N4326" s="2" t="s">
        <v>23</v>
      </c>
      <c r="O4326" s="18" t="s">
        <v>3294</v>
      </c>
      <c r="P4326" s="18" t="s">
        <v>0</v>
      </c>
      <c r="Q4326" s="6" t="s">
        <v>4475</v>
      </c>
      <c r="T4326" s="23">
        <v>46155</v>
      </c>
      <c r="U4326" s="23">
        <v>48346</v>
      </c>
      <c r="X4326" s="20">
        <v>15500</v>
      </c>
      <c r="Z4326" s="6" t="s">
        <v>5978</v>
      </c>
      <c r="AA4326" s="14">
        <f t="shared" ref="AA4326:AA4327" si="574">+(0.6/1000)</f>
        <v>5.9999999999999995E-4</v>
      </c>
      <c r="AB4326">
        <v>9.1412040000000001</v>
      </c>
      <c r="AC4326">
        <v>9.5068521600000011</v>
      </c>
    </row>
    <row r="4327" spans="1:29" x14ac:dyDescent="0.3">
      <c r="A4327">
        <v>151835</v>
      </c>
      <c r="B4327" s="25" t="s">
        <v>5984</v>
      </c>
      <c r="C4327" t="s">
        <v>20</v>
      </c>
      <c r="D4327" t="s">
        <v>21</v>
      </c>
      <c r="E4327">
        <v>2222222</v>
      </c>
      <c r="F4327" s="8" t="s">
        <v>22</v>
      </c>
      <c r="G4327" s="2">
        <v>98</v>
      </c>
      <c r="H4327" t="s">
        <v>4599</v>
      </c>
      <c r="J4327" s="9" t="s">
        <v>4903</v>
      </c>
      <c r="K4327" t="s">
        <v>4893</v>
      </c>
      <c r="L4327" s="2">
        <v>1</v>
      </c>
      <c r="M4327" s="24" t="s">
        <v>5971</v>
      </c>
      <c r="N4327" s="2" t="s">
        <v>23</v>
      </c>
      <c r="O4327" s="18" t="s">
        <v>3295</v>
      </c>
      <c r="P4327" s="18" t="s">
        <v>3781</v>
      </c>
      <c r="Q4327" s="6" t="s">
        <v>4475</v>
      </c>
      <c r="T4327" s="23">
        <v>46190</v>
      </c>
      <c r="U4327" s="23">
        <v>47469</v>
      </c>
      <c r="X4327" s="20">
        <v>3660</v>
      </c>
      <c r="Z4327" s="6" t="s">
        <v>5978</v>
      </c>
      <c r="AA4327" s="14">
        <f t="shared" si="574"/>
        <v>5.9999999999999995E-4</v>
      </c>
      <c r="AB4327">
        <v>2.1549719999999999</v>
      </c>
      <c r="AC4327">
        <v>2.2411708799999999</v>
      </c>
    </row>
    <row r="4328" spans="1:29" x14ac:dyDescent="0.3">
      <c r="A4328">
        <v>130672</v>
      </c>
      <c r="B4328" s="25" t="s">
        <v>5984</v>
      </c>
      <c r="C4328" t="s">
        <v>20</v>
      </c>
      <c r="D4328" t="s">
        <v>21</v>
      </c>
      <c r="E4328">
        <v>2222222</v>
      </c>
      <c r="F4328" s="8" t="s">
        <v>22</v>
      </c>
      <c r="G4328" s="2">
        <v>98</v>
      </c>
      <c r="H4328" t="s">
        <v>4600</v>
      </c>
      <c r="J4328" s="9" t="s">
        <v>5048</v>
      </c>
      <c r="K4328" t="s">
        <v>5170</v>
      </c>
      <c r="L4328" s="2">
        <v>1</v>
      </c>
      <c r="M4328" s="24" t="s">
        <v>5971</v>
      </c>
      <c r="N4328" s="2" t="s">
        <v>23</v>
      </c>
      <c r="O4328" s="18" t="s">
        <v>3296</v>
      </c>
      <c r="P4328" s="18" t="s">
        <v>3781</v>
      </c>
      <c r="Q4328" s="6" t="s">
        <v>4475</v>
      </c>
      <c r="T4328" s="23">
        <v>44886</v>
      </c>
      <c r="U4328" s="23">
        <v>46347</v>
      </c>
      <c r="X4328" s="20">
        <v>12000</v>
      </c>
      <c r="Z4328" s="6" t="s">
        <v>5978</v>
      </c>
      <c r="AA4328" s="13">
        <f t="shared" ref="AA4328:AA4329" si="575">+(0.56/1000)</f>
        <v>5.6000000000000006E-4</v>
      </c>
      <c r="AB4328">
        <v>4.300828000000001</v>
      </c>
      <c r="AC4328">
        <v>4.472861120000001</v>
      </c>
    </row>
    <row r="4329" spans="1:29" x14ac:dyDescent="0.3">
      <c r="A4329">
        <v>132941</v>
      </c>
      <c r="B4329" s="25" t="s">
        <v>5984</v>
      </c>
      <c r="C4329" t="s">
        <v>20</v>
      </c>
      <c r="D4329" t="s">
        <v>21</v>
      </c>
      <c r="E4329">
        <v>2222222</v>
      </c>
      <c r="F4329" s="8" t="s">
        <v>22</v>
      </c>
      <c r="G4329" s="2">
        <v>98</v>
      </c>
      <c r="H4329" t="s">
        <v>4600</v>
      </c>
      <c r="J4329" s="9" t="s">
        <v>5571</v>
      </c>
      <c r="K4329" t="s">
        <v>5111</v>
      </c>
      <c r="L4329" s="2">
        <v>1</v>
      </c>
      <c r="M4329" s="24" t="s">
        <v>5971</v>
      </c>
      <c r="N4329" s="2" t="s">
        <v>23</v>
      </c>
      <c r="O4329" s="18" t="s">
        <v>3297</v>
      </c>
      <c r="P4329" s="18" t="s">
        <v>0</v>
      </c>
      <c r="Q4329" s="6" t="s">
        <v>4475</v>
      </c>
      <c r="T4329" s="23">
        <v>44979</v>
      </c>
      <c r="U4329" s="23">
        <v>46807</v>
      </c>
      <c r="X4329" s="20">
        <v>8000</v>
      </c>
      <c r="Z4329" s="6" t="s">
        <v>5978</v>
      </c>
      <c r="AA4329" s="13">
        <f t="shared" si="575"/>
        <v>5.6000000000000006E-4</v>
      </c>
      <c r="AB4329">
        <v>1.8274144000000001</v>
      </c>
      <c r="AC4329">
        <v>1.9005109760000001</v>
      </c>
    </row>
    <row r="4330" spans="1:29" x14ac:dyDescent="0.3">
      <c r="A4330">
        <v>149957</v>
      </c>
      <c r="B4330" s="25" t="s">
        <v>5984</v>
      </c>
      <c r="C4330" t="s">
        <v>20</v>
      </c>
      <c r="D4330" t="s">
        <v>21</v>
      </c>
      <c r="E4330">
        <v>2222222</v>
      </c>
      <c r="F4330" s="8" t="s">
        <v>22</v>
      </c>
      <c r="G4330" s="2">
        <v>98</v>
      </c>
      <c r="H4330" t="s">
        <v>4600</v>
      </c>
      <c r="J4330" s="9" t="s">
        <v>5784</v>
      </c>
      <c r="K4330" t="s">
        <v>5010</v>
      </c>
      <c r="L4330" s="2">
        <v>1</v>
      </c>
      <c r="M4330" s="24" t="s">
        <v>5971</v>
      </c>
      <c r="N4330" s="2" t="s">
        <v>23</v>
      </c>
      <c r="O4330" s="18" t="s">
        <v>3298</v>
      </c>
      <c r="P4330" s="18" t="s">
        <v>0</v>
      </c>
      <c r="Q4330" s="6" t="s">
        <v>4475</v>
      </c>
      <c r="T4330" s="23">
        <v>46078</v>
      </c>
      <c r="U4330" s="23">
        <v>47906</v>
      </c>
      <c r="X4330" s="20">
        <v>6000</v>
      </c>
      <c r="Z4330" s="6" t="s">
        <v>5978</v>
      </c>
      <c r="AA4330" s="14">
        <f>+(0.6/1000)</f>
        <v>5.9999999999999995E-4</v>
      </c>
      <c r="AB4330">
        <v>3.3871679999999995</v>
      </c>
      <c r="AC4330">
        <v>3.5226547199999998</v>
      </c>
    </row>
    <row r="4331" spans="1:29" x14ac:dyDescent="0.3">
      <c r="A4331">
        <v>138416</v>
      </c>
      <c r="B4331" s="25" t="s">
        <v>5984</v>
      </c>
      <c r="C4331" t="s">
        <v>20</v>
      </c>
      <c r="D4331" t="s">
        <v>21</v>
      </c>
      <c r="E4331">
        <v>2222222</v>
      </c>
      <c r="F4331" s="8" t="s">
        <v>22</v>
      </c>
      <c r="G4331" s="2">
        <v>98</v>
      </c>
      <c r="H4331" t="s">
        <v>4601</v>
      </c>
      <c r="J4331" s="9" t="s">
        <v>5886</v>
      </c>
      <c r="K4331" t="s">
        <v>5622</v>
      </c>
      <c r="L4331" s="2">
        <v>1</v>
      </c>
      <c r="M4331" s="24" t="s">
        <v>5971</v>
      </c>
      <c r="N4331" s="2" t="s">
        <v>23</v>
      </c>
      <c r="O4331" s="18" t="s">
        <v>2402</v>
      </c>
      <c r="P4331" s="18" t="s">
        <v>3781</v>
      </c>
      <c r="Q4331" s="6" t="s">
        <v>4475</v>
      </c>
      <c r="T4331" s="23">
        <v>45274</v>
      </c>
      <c r="U4331" s="23">
        <v>46369</v>
      </c>
      <c r="X4331" s="20">
        <v>4500</v>
      </c>
      <c r="Z4331" s="6" t="s">
        <v>5978</v>
      </c>
      <c r="AA4331" s="13">
        <f>+(0.56/1000)</f>
        <v>5.6000000000000006E-4</v>
      </c>
      <c r="AB4331">
        <v>0.44127440000000007</v>
      </c>
      <c r="AC4331">
        <v>0.45892537600000011</v>
      </c>
    </row>
    <row r="4332" spans="1:29" x14ac:dyDescent="0.3">
      <c r="A4332">
        <v>148649</v>
      </c>
      <c r="B4332" s="25" t="s">
        <v>5984</v>
      </c>
      <c r="C4332" t="s">
        <v>20</v>
      </c>
      <c r="D4332" t="s">
        <v>21</v>
      </c>
      <c r="E4332">
        <v>2222222</v>
      </c>
      <c r="F4332" s="8" t="s">
        <v>22</v>
      </c>
      <c r="G4332" s="2">
        <v>98</v>
      </c>
      <c r="H4332" t="s">
        <v>4602</v>
      </c>
      <c r="J4332" s="9" t="s">
        <v>5019</v>
      </c>
      <c r="K4332" t="s">
        <v>5887</v>
      </c>
      <c r="L4332" s="2">
        <v>1</v>
      </c>
      <c r="M4332" s="24" t="s">
        <v>5971</v>
      </c>
      <c r="N4332" s="2" t="s">
        <v>23</v>
      </c>
      <c r="O4332" s="18" t="s">
        <v>3299</v>
      </c>
      <c r="P4332" s="18" t="s">
        <v>3781</v>
      </c>
      <c r="Q4332" s="6" t="s">
        <v>4475</v>
      </c>
      <c r="T4332" s="23">
        <v>45970</v>
      </c>
      <c r="U4332" s="23">
        <v>47066</v>
      </c>
      <c r="X4332" s="20">
        <v>4000</v>
      </c>
      <c r="Z4332" s="6" t="s">
        <v>5978</v>
      </c>
      <c r="AA4332" s="14">
        <f>+(0.6/1000)</f>
        <v>5.9999999999999995E-4</v>
      </c>
      <c r="AB4332">
        <v>1.9662599999999997</v>
      </c>
      <c r="AC4332">
        <v>2.0449103999999996</v>
      </c>
    </row>
    <row r="4333" spans="1:29" x14ac:dyDescent="0.3">
      <c r="A4333">
        <v>86359</v>
      </c>
      <c r="B4333" s="25" t="s">
        <v>5984</v>
      </c>
      <c r="C4333" t="s">
        <v>20</v>
      </c>
      <c r="D4333" t="s">
        <v>21</v>
      </c>
      <c r="E4333">
        <v>2222222</v>
      </c>
      <c r="F4333" s="8" t="s">
        <v>22</v>
      </c>
      <c r="G4333" s="2">
        <v>98</v>
      </c>
      <c r="H4333" t="s">
        <v>4603</v>
      </c>
      <c r="J4333" s="9" t="s">
        <v>5858</v>
      </c>
      <c r="K4333" t="s">
        <v>5888</v>
      </c>
      <c r="L4333" s="2">
        <v>1</v>
      </c>
      <c r="M4333" s="24" t="s">
        <v>5971</v>
      </c>
      <c r="N4333" s="2" t="s">
        <v>23</v>
      </c>
      <c r="O4333" s="18" t="s">
        <v>2430</v>
      </c>
      <c r="P4333" s="18" t="s">
        <v>3781</v>
      </c>
      <c r="Q4333" s="6" t="s">
        <v>4475</v>
      </c>
      <c r="T4333" s="23">
        <v>43027</v>
      </c>
      <c r="U4333" s="23">
        <v>44489</v>
      </c>
      <c r="X4333" s="20">
        <v>10000</v>
      </c>
      <c r="Z4333" s="6" t="s">
        <v>5978</v>
      </c>
      <c r="AA4333" s="15">
        <f t="shared" ref="AA4333:AA4335" si="576">+(0.42/1000)</f>
        <v>4.1999999999999996E-4</v>
      </c>
      <c r="AB4333">
        <v>3.1758467999999995</v>
      </c>
      <c r="AC4333">
        <v>3.3028806719999997</v>
      </c>
    </row>
    <row r="4334" spans="1:29" x14ac:dyDescent="0.3">
      <c r="A4334">
        <v>94940</v>
      </c>
      <c r="B4334" s="25" t="s">
        <v>5984</v>
      </c>
      <c r="C4334" t="s">
        <v>20</v>
      </c>
      <c r="D4334" t="s">
        <v>21</v>
      </c>
      <c r="E4334">
        <v>2222222</v>
      </c>
      <c r="F4334" s="8" t="s">
        <v>22</v>
      </c>
      <c r="G4334" s="2">
        <v>98</v>
      </c>
      <c r="H4334" t="s">
        <v>4603</v>
      </c>
      <c r="J4334" s="9" t="s">
        <v>5032</v>
      </c>
      <c r="K4334" t="s">
        <v>4863</v>
      </c>
      <c r="L4334" s="2">
        <v>1</v>
      </c>
      <c r="M4334" s="24" t="s">
        <v>5971</v>
      </c>
      <c r="N4334" s="2" t="s">
        <v>23</v>
      </c>
      <c r="O4334" s="18" t="s">
        <v>3300</v>
      </c>
      <c r="P4334" s="18" t="s">
        <v>0</v>
      </c>
      <c r="Q4334" s="6" t="s">
        <v>4475</v>
      </c>
      <c r="T4334" s="23">
        <v>43281</v>
      </c>
      <c r="U4334" s="23">
        <v>44389</v>
      </c>
      <c r="X4334" s="20">
        <v>2456</v>
      </c>
      <c r="Z4334" s="6" t="s">
        <v>5978</v>
      </c>
      <c r="AA4334" s="15">
        <f t="shared" si="576"/>
        <v>4.1999999999999996E-4</v>
      </c>
      <c r="AB4334">
        <v>1.03152</v>
      </c>
      <c r="AC4334">
        <v>1.0727808000000001</v>
      </c>
    </row>
    <row r="4335" spans="1:29" x14ac:dyDescent="0.3">
      <c r="A4335">
        <v>101741</v>
      </c>
      <c r="B4335" s="25" t="s">
        <v>5984</v>
      </c>
      <c r="C4335" t="s">
        <v>20</v>
      </c>
      <c r="D4335" t="s">
        <v>21</v>
      </c>
      <c r="E4335">
        <v>2222222</v>
      </c>
      <c r="F4335" s="8" t="s">
        <v>22</v>
      </c>
      <c r="G4335" s="2">
        <v>98</v>
      </c>
      <c r="H4335" t="s">
        <v>4603</v>
      </c>
      <c r="J4335" s="9" t="s">
        <v>5858</v>
      </c>
      <c r="K4335" t="s">
        <v>5888</v>
      </c>
      <c r="L4335" s="2">
        <v>1</v>
      </c>
      <c r="M4335" s="24" t="s">
        <v>5971</v>
      </c>
      <c r="N4335" s="2" t="s">
        <v>23</v>
      </c>
      <c r="O4335" s="18" t="s">
        <v>2430</v>
      </c>
      <c r="P4335" s="18" t="s">
        <v>3781</v>
      </c>
      <c r="Q4335" s="6" t="s">
        <v>4475</v>
      </c>
      <c r="T4335" s="23">
        <v>43483</v>
      </c>
      <c r="U4335" s="23">
        <v>44029</v>
      </c>
      <c r="X4335" s="20">
        <v>2000</v>
      </c>
      <c r="Z4335" s="6" t="s">
        <v>5978</v>
      </c>
      <c r="AA4335" s="15">
        <f t="shared" si="576"/>
        <v>4.1999999999999996E-4</v>
      </c>
      <c r="AB4335">
        <v>0.8097515999999999</v>
      </c>
      <c r="AC4335">
        <v>0.8421416639999999</v>
      </c>
    </row>
    <row r="4336" spans="1:29" x14ac:dyDescent="0.3">
      <c r="A4336">
        <v>135422</v>
      </c>
      <c r="B4336" s="25" t="s">
        <v>5984</v>
      </c>
      <c r="C4336" t="s">
        <v>20</v>
      </c>
      <c r="D4336" t="s">
        <v>21</v>
      </c>
      <c r="E4336">
        <v>2222222</v>
      </c>
      <c r="F4336" s="8" t="s">
        <v>22</v>
      </c>
      <c r="G4336" s="2">
        <v>98</v>
      </c>
      <c r="H4336" t="s">
        <v>4603</v>
      </c>
      <c r="J4336" s="9" t="s">
        <v>4988</v>
      </c>
      <c r="K4336" t="s">
        <v>4902</v>
      </c>
      <c r="L4336" s="2">
        <v>1</v>
      </c>
      <c r="M4336" s="24" t="s">
        <v>5971</v>
      </c>
      <c r="N4336" s="2" t="s">
        <v>23</v>
      </c>
      <c r="O4336" s="18" t="s">
        <v>3301</v>
      </c>
      <c r="P4336" s="18" t="s">
        <v>0</v>
      </c>
      <c r="Q4336" s="6" t="s">
        <v>4475</v>
      </c>
      <c r="T4336" s="23">
        <v>45112</v>
      </c>
      <c r="U4336" s="23">
        <v>46207</v>
      </c>
      <c r="X4336" s="20">
        <v>3000</v>
      </c>
      <c r="Z4336" s="6" t="s">
        <v>5978</v>
      </c>
      <c r="AA4336" s="13">
        <f t="shared" ref="AA4336:AA4337" si="577">+(0.56/1000)</f>
        <v>5.6000000000000006E-4</v>
      </c>
      <c r="AB4336">
        <v>1.3415696000000001</v>
      </c>
      <c r="AC4336">
        <v>1.3952323840000003</v>
      </c>
    </row>
    <row r="4337" spans="1:29" x14ac:dyDescent="0.3">
      <c r="A4337">
        <v>140518</v>
      </c>
      <c r="B4337" s="25" t="s">
        <v>5984</v>
      </c>
      <c r="C4337" t="s">
        <v>20</v>
      </c>
      <c r="D4337" t="s">
        <v>21</v>
      </c>
      <c r="E4337">
        <v>2222222</v>
      </c>
      <c r="F4337" s="8" t="s">
        <v>22</v>
      </c>
      <c r="G4337" s="2">
        <v>98</v>
      </c>
      <c r="H4337" t="s">
        <v>4603</v>
      </c>
      <c r="J4337" s="9" t="s">
        <v>4836</v>
      </c>
      <c r="K4337" t="s">
        <v>4910</v>
      </c>
      <c r="L4337" s="2">
        <v>1</v>
      </c>
      <c r="M4337" s="24" t="s">
        <v>5971</v>
      </c>
      <c r="N4337" s="2" t="s">
        <v>23</v>
      </c>
      <c r="O4337" s="18" t="s">
        <v>1931</v>
      </c>
      <c r="P4337" s="18" t="s">
        <v>3781</v>
      </c>
      <c r="Q4337" s="6" t="s">
        <v>4475</v>
      </c>
      <c r="T4337" s="23">
        <v>45393</v>
      </c>
      <c r="U4337" s="23">
        <v>47310</v>
      </c>
      <c r="X4337" s="20">
        <v>5500</v>
      </c>
      <c r="Z4337" s="6" t="s">
        <v>5978</v>
      </c>
      <c r="AA4337" s="13">
        <f t="shared" si="577"/>
        <v>5.6000000000000006E-4</v>
      </c>
      <c r="AB4337">
        <v>2.1004928000000005</v>
      </c>
      <c r="AC4337">
        <v>2.1845125120000004</v>
      </c>
    </row>
    <row r="4338" spans="1:29" x14ac:dyDescent="0.3">
      <c r="A4338">
        <v>141276</v>
      </c>
      <c r="B4338" s="25" t="s">
        <v>5984</v>
      </c>
      <c r="C4338" t="s">
        <v>20</v>
      </c>
      <c r="D4338" t="s">
        <v>21</v>
      </c>
      <c r="E4338">
        <v>2222222</v>
      </c>
      <c r="F4338" s="8" t="s">
        <v>22</v>
      </c>
      <c r="G4338" s="2">
        <v>98</v>
      </c>
      <c r="H4338" t="s">
        <v>4603</v>
      </c>
      <c r="J4338" s="9" t="s">
        <v>4836</v>
      </c>
      <c r="K4338" t="s">
        <v>5103</v>
      </c>
      <c r="L4338" s="2">
        <v>1</v>
      </c>
      <c r="M4338" s="24" t="s">
        <v>5971</v>
      </c>
      <c r="N4338" s="2" t="s">
        <v>23</v>
      </c>
      <c r="O4338" s="18" t="s">
        <v>3302</v>
      </c>
      <c r="P4338" s="18" t="s">
        <v>3781</v>
      </c>
      <c r="Q4338" s="6" t="s">
        <v>4475</v>
      </c>
      <c r="T4338" s="23">
        <v>45443</v>
      </c>
      <c r="U4338" s="23">
        <v>46539</v>
      </c>
      <c r="X4338" s="20">
        <v>10000</v>
      </c>
      <c r="Z4338" s="6" t="s">
        <v>5978</v>
      </c>
      <c r="AA4338" s="14">
        <f t="shared" ref="AA4338:AA4345" si="578">+(0.6/1000)</f>
        <v>5.9999999999999995E-4</v>
      </c>
      <c r="AB4338">
        <v>2.1297119999999996</v>
      </c>
      <c r="AC4338">
        <v>2.2149004799999998</v>
      </c>
    </row>
    <row r="4339" spans="1:29" x14ac:dyDescent="0.3">
      <c r="A4339">
        <v>151149</v>
      </c>
      <c r="B4339" s="25" t="s">
        <v>5984</v>
      </c>
      <c r="C4339" t="s">
        <v>20</v>
      </c>
      <c r="D4339" t="s">
        <v>21</v>
      </c>
      <c r="E4339">
        <v>2222222</v>
      </c>
      <c r="F4339" s="8" t="s">
        <v>22</v>
      </c>
      <c r="G4339" s="2">
        <v>98</v>
      </c>
      <c r="H4339" t="s">
        <v>4603</v>
      </c>
      <c r="J4339" s="9" t="s">
        <v>5157</v>
      </c>
      <c r="K4339" t="s">
        <v>4910</v>
      </c>
      <c r="L4339" s="2">
        <v>1</v>
      </c>
      <c r="M4339" s="24" t="s">
        <v>5971</v>
      </c>
      <c r="N4339" s="2" t="s">
        <v>23</v>
      </c>
      <c r="O4339" s="18" t="s">
        <v>3303</v>
      </c>
      <c r="P4339" s="18" t="s">
        <v>3781</v>
      </c>
      <c r="Q4339" s="6" t="s">
        <v>4475</v>
      </c>
      <c r="T4339" s="23">
        <v>46141</v>
      </c>
      <c r="U4339" s="23">
        <v>46506</v>
      </c>
      <c r="X4339" s="20">
        <v>2410</v>
      </c>
      <c r="Z4339" s="6" t="s">
        <v>5978</v>
      </c>
      <c r="AA4339" s="14">
        <f t="shared" si="578"/>
        <v>5.9999999999999995E-4</v>
      </c>
      <c r="AB4339">
        <v>1.2190079999999999</v>
      </c>
      <c r="AC4339">
        <v>1.2677683199999998</v>
      </c>
    </row>
    <row r="4340" spans="1:29" x14ac:dyDescent="0.3">
      <c r="A4340">
        <v>151162</v>
      </c>
      <c r="B4340" s="25" t="s">
        <v>5984</v>
      </c>
      <c r="C4340" t="s">
        <v>20</v>
      </c>
      <c r="D4340" t="s">
        <v>21</v>
      </c>
      <c r="E4340">
        <v>2222222</v>
      </c>
      <c r="F4340" s="8" t="s">
        <v>22</v>
      </c>
      <c r="G4340" s="2">
        <v>98</v>
      </c>
      <c r="H4340" t="s">
        <v>4603</v>
      </c>
      <c r="J4340" s="9" t="s">
        <v>4826</v>
      </c>
      <c r="K4340" t="s">
        <v>5889</v>
      </c>
      <c r="L4340" s="2">
        <v>1</v>
      </c>
      <c r="M4340" s="24" t="s">
        <v>5971</v>
      </c>
      <c r="N4340" s="2" t="s">
        <v>23</v>
      </c>
      <c r="O4340" s="18" t="s">
        <v>3304</v>
      </c>
      <c r="P4340" s="18" t="s">
        <v>0</v>
      </c>
      <c r="Q4340" s="6" t="s">
        <v>4475</v>
      </c>
      <c r="T4340" s="23">
        <v>46178</v>
      </c>
      <c r="U4340" s="23">
        <v>51048</v>
      </c>
      <c r="X4340" s="20">
        <v>53300</v>
      </c>
      <c r="Z4340" s="6" t="s">
        <v>5978</v>
      </c>
      <c r="AA4340" s="14">
        <f t="shared" si="578"/>
        <v>5.9999999999999995E-4</v>
      </c>
      <c r="AB4340">
        <v>31.878269999999997</v>
      </c>
      <c r="AC4340">
        <v>33.1534008</v>
      </c>
    </row>
    <row r="4341" spans="1:29" x14ac:dyDescent="0.3">
      <c r="A4341">
        <v>151784</v>
      </c>
      <c r="B4341" s="25" t="s">
        <v>5984</v>
      </c>
      <c r="C4341" t="s">
        <v>20</v>
      </c>
      <c r="D4341" t="s">
        <v>21</v>
      </c>
      <c r="E4341">
        <v>2222222</v>
      </c>
      <c r="F4341" s="8" t="s">
        <v>22</v>
      </c>
      <c r="G4341" s="2">
        <v>98</v>
      </c>
      <c r="H4341" t="s">
        <v>4603</v>
      </c>
      <c r="J4341" s="9" t="s">
        <v>4182</v>
      </c>
      <c r="K4341" t="s">
        <v>5241</v>
      </c>
      <c r="L4341" s="2">
        <v>1</v>
      </c>
      <c r="M4341" s="24" t="s">
        <v>5971</v>
      </c>
      <c r="N4341" s="2" t="s">
        <v>23</v>
      </c>
      <c r="O4341" s="18" t="s">
        <v>3305</v>
      </c>
      <c r="P4341" s="18" t="s">
        <v>0</v>
      </c>
      <c r="Q4341" s="6" t="s">
        <v>4475</v>
      </c>
      <c r="T4341" s="23">
        <v>46188</v>
      </c>
      <c r="U4341" s="23">
        <v>46371</v>
      </c>
      <c r="X4341" s="20">
        <v>600</v>
      </c>
      <c r="Z4341" s="6" t="s">
        <v>5978</v>
      </c>
      <c r="AA4341" s="14">
        <f t="shared" si="578"/>
        <v>5.9999999999999995E-4</v>
      </c>
      <c r="AB4341">
        <v>0.30204599999999998</v>
      </c>
      <c r="AC4341">
        <v>0.31412783999999999</v>
      </c>
    </row>
    <row r="4342" spans="1:29" x14ac:dyDescent="0.3">
      <c r="A4342">
        <v>151865</v>
      </c>
      <c r="B4342" s="25" t="s">
        <v>5984</v>
      </c>
      <c r="C4342" t="s">
        <v>20</v>
      </c>
      <c r="D4342" t="s">
        <v>21</v>
      </c>
      <c r="E4342">
        <v>2222222</v>
      </c>
      <c r="F4342" s="8" t="s">
        <v>22</v>
      </c>
      <c r="G4342" s="2">
        <v>98</v>
      </c>
      <c r="H4342" t="s">
        <v>4603</v>
      </c>
      <c r="J4342" s="9" t="s">
        <v>5083</v>
      </c>
      <c r="K4342" t="s">
        <v>5033</v>
      </c>
      <c r="L4342" s="2">
        <v>1</v>
      </c>
      <c r="M4342" s="24" t="s">
        <v>5971</v>
      </c>
      <c r="N4342" s="2" t="s">
        <v>23</v>
      </c>
      <c r="O4342" s="18" t="s">
        <v>3306</v>
      </c>
      <c r="P4342" s="18" t="s">
        <v>3781</v>
      </c>
      <c r="Q4342" s="6" t="s">
        <v>4475</v>
      </c>
      <c r="T4342" s="23">
        <v>46192</v>
      </c>
      <c r="U4342" s="23">
        <v>47288</v>
      </c>
      <c r="X4342" s="20">
        <v>4730</v>
      </c>
      <c r="Z4342" s="6" t="s">
        <v>5978</v>
      </c>
      <c r="AA4342" s="14">
        <f t="shared" si="578"/>
        <v>5.9999999999999995E-4</v>
      </c>
      <c r="AB4342">
        <v>2.7776159999999996</v>
      </c>
      <c r="AC4342">
        <v>2.8887206399999998</v>
      </c>
    </row>
    <row r="4343" spans="1:29" x14ac:dyDescent="0.3">
      <c r="A4343">
        <v>152342</v>
      </c>
      <c r="B4343" s="25" t="s">
        <v>5984</v>
      </c>
      <c r="C4343" t="s">
        <v>20</v>
      </c>
      <c r="D4343" t="s">
        <v>21</v>
      </c>
      <c r="E4343">
        <v>2222222</v>
      </c>
      <c r="F4343" s="8" t="s">
        <v>22</v>
      </c>
      <c r="G4343" s="2">
        <v>98</v>
      </c>
      <c r="H4343" t="s">
        <v>4603</v>
      </c>
      <c r="J4343" s="9" t="s">
        <v>5280</v>
      </c>
      <c r="K4343" t="s">
        <v>5057</v>
      </c>
      <c r="L4343" s="2">
        <v>1</v>
      </c>
      <c r="M4343" s="24" t="s">
        <v>5971</v>
      </c>
      <c r="N4343" s="2" t="s">
        <v>23</v>
      </c>
      <c r="O4343" s="18" t="s">
        <v>1412</v>
      </c>
      <c r="P4343" s="18" t="s">
        <v>3781</v>
      </c>
      <c r="Q4343" s="6" t="s">
        <v>4475</v>
      </c>
      <c r="T4343" s="23">
        <v>46231</v>
      </c>
      <c r="U4343" s="23">
        <v>46961</v>
      </c>
      <c r="X4343" s="20">
        <v>1800</v>
      </c>
      <c r="Z4343" s="6" t="s">
        <v>5978</v>
      </c>
      <c r="AA4343" s="14">
        <f t="shared" si="578"/>
        <v>5.9999999999999995E-4</v>
      </c>
      <c r="AB4343">
        <v>1.0799999999999998</v>
      </c>
      <c r="AC4343">
        <v>1.1232</v>
      </c>
    </row>
    <row r="4344" spans="1:29" x14ac:dyDescent="0.3">
      <c r="A4344">
        <v>148013</v>
      </c>
      <c r="B4344" s="25" t="s">
        <v>5984</v>
      </c>
      <c r="C4344" t="s">
        <v>20</v>
      </c>
      <c r="D4344" t="s">
        <v>21</v>
      </c>
      <c r="E4344">
        <v>2222222</v>
      </c>
      <c r="F4344" s="8" t="s">
        <v>22</v>
      </c>
      <c r="G4344" s="2">
        <v>98</v>
      </c>
      <c r="H4344" t="s">
        <v>4604</v>
      </c>
      <c r="J4344" s="9" t="s">
        <v>4970</v>
      </c>
      <c r="K4344" t="s">
        <v>4960</v>
      </c>
      <c r="L4344" s="2">
        <v>1</v>
      </c>
      <c r="M4344" s="24" t="s">
        <v>5971</v>
      </c>
      <c r="N4344" s="2" t="s">
        <v>23</v>
      </c>
      <c r="O4344" s="18" t="s">
        <v>2155</v>
      </c>
      <c r="P4344" s="18" t="s">
        <v>3781</v>
      </c>
      <c r="Q4344" s="6" t="s">
        <v>4475</v>
      </c>
      <c r="T4344" s="23">
        <v>45929</v>
      </c>
      <c r="U4344" s="23">
        <v>47390</v>
      </c>
      <c r="X4344" s="20">
        <v>5000</v>
      </c>
      <c r="Z4344" s="6" t="s">
        <v>5978</v>
      </c>
      <c r="AA4344" s="14">
        <f t="shared" si="578"/>
        <v>5.9999999999999995E-4</v>
      </c>
      <c r="AB4344">
        <v>2.588454</v>
      </c>
      <c r="AC4344">
        <v>2.6919921600000003</v>
      </c>
    </row>
    <row r="4345" spans="1:29" x14ac:dyDescent="0.3">
      <c r="A4345">
        <v>152131</v>
      </c>
      <c r="B4345" s="25" t="s">
        <v>5984</v>
      </c>
      <c r="C4345" t="s">
        <v>20</v>
      </c>
      <c r="D4345" t="s">
        <v>21</v>
      </c>
      <c r="E4345">
        <v>2222222</v>
      </c>
      <c r="F4345" s="8" t="s">
        <v>22</v>
      </c>
      <c r="G4345" s="2">
        <v>98</v>
      </c>
      <c r="H4345" t="s">
        <v>4605</v>
      </c>
      <c r="J4345" s="9" t="s">
        <v>4900</v>
      </c>
      <c r="K4345" t="s">
        <v>4964</v>
      </c>
      <c r="L4345" s="2">
        <v>1</v>
      </c>
      <c r="M4345" s="24" t="s">
        <v>5971</v>
      </c>
      <c r="N4345" s="2" t="s">
        <v>23</v>
      </c>
      <c r="O4345" s="18" t="s">
        <v>2064</v>
      </c>
      <c r="P4345" s="18" t="s">
        <v>0</v>
      </c>
      <c r="Q4345" s="6" t="s">
        <v>4475</v>
      </c>
      <c r="T4345" s="23">
        <v>46220</v>
      </c>
      <c r="U4345" s="23">
        <v>49872</v>
      </c>
      <c r="X4345" s="20">
        <v>12800</v>
      </c>
      <c r="Z4345" s="6" t="s">
        <v>5978</v>
      </c>
      <c r="AA4345" s="14">
        <f t="shared" si="578"/>
        <v>5.9999999999999995E-4</v>
      </c>
      <c r="AB4345">
        <v>7.68</v>
      </c>
      <c r="AC4345">
        <v>7.9871999999999996</v>
      </c>
    </row>
    <row r="4346" spans="1:29" x14ac:dyDescent="0.3">
      <c r="A4346">
        <v>112889</v>
      </c>
      <c r="B4346" s="25" t="s">
        <v>5984</v>
      </c>
      <c r="C4346" t="s">
        <v>20</v>
      </c>
      <c r="D4346" t="s">
        <v>21</v>
      </c>
      <c r="E4346">
        <v>2222222</v>
      </c>
      <c r="F4346" s="8" t="s">
        <v>22</v>
      </c>
      <c r="G4346" s="2">
        <v>98</v>
      </c>
      <c r="H4346" t="s">
        <v>4606</v>
      </c>
      <c r="J4346" s="9" t="s">
        <v>5890</v>
      </c>
      <c r="K4346" t="s">
        <v>5174</v>
      </c>
      <c r="L4346" s="2">
        <v>1</v>
      </c>
      <c r="M4346" s="24" t="s">
        <v>5971</v>
      </c>
      <c r="N4346" s="2" t="s">
        <v>23</v>
      </c>
      <c r="O4346" s="18" t="s">
        <v>3307</v>
      </c>
      <c r="P4346" s="18" t="s">
        <v>0</v>
      </c>
      <c r="Q4346" s="6" t="s">
        <v>4475</v>
      </c>
      <c r="T4346" s="23">
        <v>43991</v>
      </c>
      <c r="U4346" s="23">
        <v>46547</v>
      </c>
      <c r="X4346" s="20">
        <v>9070</v>
      </c>
      <c r="Z4346" s="6" t="s">
        <v>5978</v>
      </c>
      <c r="AA4346" s="15">
        <f>+(0.42/1000)</f>
        <v>4.1999999999999996E-4</v>
      </c>
      <c r="AB4346">
        <v>0.70277339999999988</v>
      </c>
      <c r="AC4346">
        <v>0.73088433599999991</v>
      </c>
    </row>
    <row r="4347" spans="1:29" x14ac:dyDescent="0.3">
      <c r="A4347">
        <v>132768</v>
      </c>
      <c r="B4347" s="25" t="s">
        <v>5984</v>
      </c>
      <c r="C4347" t="s">
        <v>20</v>
      </c>
      <c r="D4347" t="s">
        <v>21</v>
      </c>
      <c r="E4347">
        <v>2222222</v>
      </c>
      <c r="F4347" s="8" t="s">
        <v>22</v>
      </c>
      <c r="G4347" s="2">
        <v>98</v>
      </c>
      <c r="H4347" t="s">
        <v>4606</v>
      </c>
      <c r="J4347" s="9" t="s">
        <v>4826</v>
      </c>
      <c r="K4347" t="s">
        <v>5191</v>
      </c>
      <c r="L4347" s="2">
        <v>1</v>
      </c>
      <c r="M4347" s="24" t="s">
        <v>5971</v>
      </c>
      <c r="N4347" s="2" t="s">
        <v>23</v>
      </c>
      <c r="O4347" s="18" t="s">
        <v>3308</v>
      </c>
      <c r="P4347" s="18" t="s">
        <v>0</v>
      </c>
      <c r="Q4347" s="6" t="s">
        <v>4475</v>
      </c>
      <c r="T4347" s="23">
        <v>44957</v>
      </c>
      <c r="U4347" s="23">
        <v>46785</v>
      </c>
      <c r="X4347" s="20">
        <v>9250</v>
      </c>
      <c r="Z4347" s="6" t="s">
        <v>5978</v>
      </c>
      <c r="AA4347" s="13">
        <f t="shared" ref="AA4347:AA4353" si="579">+(0.56/1000)</f>
        <v>5.6000000000000006E-4</v>
      </c>
      <c r="AB4347">
        <v>2.6790176000000003</v>
      </c>
      <c r="AC4347">
        <v>2.7861783040000003</v>
      </c>
    </row>
    <row r="4348" spans="1:29" x14ac:dyDescent="0.3">
      <c r="A4348">
        <v>135676</v>
      </c>
      <c r="B4348" s="25" t="s">
        <v>5984</v>
      </c>
      <c r="C4348" t="s">
        <v>20</v>
      </c>
      <c r="D4348" t="s">
        <v>21</v>
      </c>
      <c r="E4348">
        <v>2222222</v>
      </c>
      <c r="F4348" s="8" t="s">
        <v>22</v>
      </c>
      <c r="G4348" s="2">
        <v>98</v>
      </c>
      <c r="H4348" t="s">
        <v>4606</v>
      </c>
      <c r="J4348" s="9" t="s">
        <v>4970</v>
      </c>
      <c r="K4348" t="s">
        <v>5057</v>
      </c>
      <c r="L4348" s="2">
        <v>1</v>
      </c>
      <c r="M4348" s="24" t="s">
        <v>5971</v>
      </c>
      <c r="N4348" s="2" t="s">
        <v>23</v>
      </c>
      <c r="O4348" s="18" t="s">
        <v>3309</v>
      </c>
      <c r="P4348" s="18" t="s">
        <v>3781</v>
      </c>
      <c r="Q4348" s="6" t="s">
        <v>4475</v>
      </c>
      <c r="T4348" s="23">
        <v>45126</v>
      </c>
      <c r="U4348" s="23">
        <v>46586</v>
      </c>
      <c r="X4348" s="20">
        <v>4535</v>
      </c>
      <c r="Z4348" s="6" t="s">
        <v>5978</v>
      </c>
      <c r="AA4348" s="13">
        <f t="shared" si="579"/>
        <v>5.6000000000000006E-4</v>
      </c>
      <c r="AB4348">
        <v>0.82758480000000001</v>
      </c>
      <c r="AC4348">
        <v>0.86068819200000002</v>
      </c>
    </row>
    <row r="4349" spans="1:29" x14ac:dyDescent="0.3">
      <c r="A4349">
        <v>136956</v>
      </c>
      <c r="B4349" s="25" t="s">
        <v>5984</v>
      </c>
      <c r="C4349" t="s">
        <v>20</v>
      </c>
      <c r="D4349" t="s">
        <v>21</v>
      </c>
      <c r="E4349">
        <v>2222222</v>
      </c>
      <c r="F4349" s="8" t="s">
        <v>22</v>
      </c>
      <c r="G4349" s="2">
        <v>98</v>
      </c>
      <c r="H4349" t="s">
        <v>4606</v>
      </c>
      <c r="J4349" s="9" t="s">
        <v>5891</v>
      </c>
      <c r="K4349" t="s">
        <v>4983</v>
      </c>
      <c r="L4349" s="2">
        <v>1</v>
      </c>
      <c r="M4349" s="24" t="s">
        <v>5971</v>
      </c>
      <c r="N4349" s="2" t="s">
        <v>23</v>
      </c>
      <c r="O4349" s="18" t="s">
        <v>3310</v>
      </c>
      <c r="P4349" s="18" t="s">
        <v>0</v>
      </c>
      <c r="Q4349" s="6" t="s">
        <v>4475</v>
      </c>
      <c r="T4349" s="23">
        <v>45198</v>
      </c>
      <c r="U4349" s="23">
        <v>46661</v>
      </c>
      <c r="X4349" s="20">
        <v>5000</v>
      </c>
      <c r="Z4349" s="6" t="s">
        <v>5978</v>
      </c>
      <c r="AA4349" s="13">
        <f t="shared" si="579"/>
        <v>5.6000000000000006E-4</v>
      </c>
      <c r="AB4349">
        <v>1.1125352000000002</v>
      </c>
      <c r="AC4349">
        <v>1.1570366080000003</v>
      </c>
    </row>
    <row r="4350" spans="1:29" x14ac:dyDescent="0.3">
      <c r="A4350">
        <v>137376</v>
      </c>
      <c r="B4350" s="25" t="s">
        <v>5984</v>
      </c>
      <c r="C4350" t="s">
        <v>20</v>
      </c>
      <c r="D4350" t="s">
        <v>21</v>
      </c>
      <c r="E4350">
        <v>2222222</v>
      </c>
      <c r="F4350" s="8" t="s">
        <v>22</v>
      </c>
      <c r="G4350" s="2">
        <v>98</v>
      </c>
      <c r="H4350" t="s">
        <v>4606</v>
      </c>
      <c r="J4350" s="9" t="s">
        <v>5388</v>
      </c>
      <c r="K4350" t="s">
        <v>4924</v>
      </c>
      <c r="L4350" s="2">
        <v>1</v>
      </c>
      <c r="M4350" s="24" t="s">
        <v>5971</v>
      </c>
      <c r="N4350" s="2" t="s">
        <v>23</v>
      </c>
      <c r="O4350" s="18" t="s">
        <v>3311</v>
      </c>
      <c r="P4350" s="18" t="s">
        <v>3781</v>
      </c>
      <c r="Q4350" s="6" t="s">
        <v>4475</v>
      </c>
      <c r="T4350" s="23">
        <v>45219</v>
      </c>
      <c r="U4350" s="23">
        <v>46679</v>
      </c>
      <c r="X4350" s="20">
        <v>5000</v>
      </c>
      <c r="Z4350" s="6" t="s">
        <v>5978</v>
      </c>
      <c r="AA4350" s="13">
        <f t="shared" si="579"/>
        <v>5.6000000000000006E-4</v>
      </c>
      <c r="AB4350">
        <v>1.1125352000000002</v>
      </c>
      <c r="AC4350">
        <v>1.1570366080000003</v>
      </c>
    </row>
    <row r="4351" spans="1:29" x14ac:dyDescent="0.3">
      <c r="A4351">
        <v>138178</v>
      </c>
      <c r="B4351" s="25" t="s">
        <v>5984</v>
      </c>
      <c r="C4351" t="s">
        <v>20</v>
      </c>
      <c r="D4351" t="s">
        <v>21</v>
      </c>
      <c r="E4351">
        <v>2222222</v>
      </c>
      <c r="F4351" s="8" t="s">
        <v>22</v>
      </c>
      <c r="G4351" s="2">
        <v>98</v>
      </c>
      <c r="H4351" t="s">
        <v>4606</v>
      </c>
      <c r="J4351" s="9" t="s">
        <v>4939</v>
      </c>
      <c r="K4351" t="s">
        <v>5480</v>
      </c>
      <c r="L4351" s="2">
        <v>1</v>
      </c>
      <c r="M4351" s="24" t="s">
        <v>5971</v>
      </c>
      <c r="N4351" s="2" t="s">
        <v>23</v>
      </c>
      <c r="O4351" s="18" t="s">
        <v>3312</v>
      </c>
      <c r="P4351" s="18" t="s">
        <v>0</v>
      </c>
      <c r="Q4351" s="6" t="s">
        <v>4475</v>
      </c>
      <c r="T4351" s="23">
        <v>45264</v>
      </c>
      <c r="U4351" s="23">
        <v>46724</v>
      </c>
      <c r="X4351" s="20">
        <v>2080</v>
      </c>
      <c r="Z4351" s="6" t="s">
        <v>5978</v>
      </c>
      <c r="AA4351" s="13">
        <f t="shared" si="579"/>
        <v>5.6000000000000006E-4</v>
      </c>
      <c r="AB4351">
        <v>0.51653280000000001</v>
      </c>
      <c r="AC4351">
        <v>0.537194112</v>
      </c>
    </row>
    <row r="4352" spans="1:29" x14ac:dyDescent="0.3">
      <c r="A4352">
        <v>139705</v>
      </c>
      <c r="B4352" s="25" t="s">
        <v>5984</v>
      </c>
      <c r="C4352" t="s">
        <v>20</v>
      </c>
      <c r="D4352" t="s">
        <v>21</v>
      </c>
      <c r="E4352">
        <v>2222222</v>
      </c>
      <c r="F4352" s="8" t="s">
        <v>22</v>
      </c>
      <c r="G4352" s="2">
        <v>98</v>
      </c>
      <c r="H4352" t="s">
        <v>4606</v>
      </c>
      <c r="J4352" s="9" t="s">
        <v>4970</v>
      </c>
      <c r="K4352" t="s">
        <v>5057</v>
      </c>
      <c r="L4352" s="2">
        <v>1</v>
      </c>
      <c r="M4352" s="24" t="s">
        <v>5971</v>
      </c>
      <c r="N4352" s="2" t="s">
        <v>23</v>
      </c>
      <c r="O4352" s="18" t="s">
        <v>3309</v>
      </c>
      <c r="P4352" s="18" t="s">
        <v>3781</v>
      </c>
      <c r="Q4352" s="6" t="s">
        <v>4475</v>
      </c>
      <c r="T4352" s="23">
        <v>45345</v>
      </c>
      <c r="U4352" s="23">
        <v>46442</v>
      </c>
      <c r="X4352" s="20">
        <v>2500</v>
      </c>
      <c r="Z4352" s="6" t="s">
        <v>5978</v>
      </c>
      <c r="AA4352" s="13">
        <f t="shared" si="579"/>
        <v>5.6000000000000006E-4</v>
      </c>
      <c r="AB4352">
        <v>0.38044160000000005</v>
      </c>
      <c r="AC4352">
        <v>0.39565926400000007</v>
      </c>
    </row>
    <row r="4353" spans="1:29" x14ac:dyDescent="0.3">
      <c r="A4353">
        <v>140029</v>
      </c>
      <c r="B4353" s="25" t="s">
        <v>5984</v>
      </c>
      <c r="C4353" t="s">
        <v>20</v>
      </c>
      <c r="D4353" t="s">
        <v>21</v>
      </c>
      <c r="E4353">
        <v>2222222</v>
      </c>
      <c r="F4353" s="8" t="s">
        <v>22</v>
      </c>
      <c r="G4353" s="2">
        <v>98</v>
      </c>
      <c r="H4353" t="s">
        <v>4606</v>
      </c>
      <c r="J4353" s="9" t="s">
        <v>4871</v>
      </c>
      <c r="K4353" t="s">
        <v>4856</v>
      </c>
      <c r="L4353" s="2">
        <v>1</v>
      </c>
      <c r="M4353" s="24" t="s">
        <v>5971</v>
      </c>
      <c r="N4353" s="2" t="s">
        <v>23</v>
      </c>
      <c r="O4353" s="18" t="s">
        <v>3313</v>
      </c>
      <c r="P4353" s="18" t="s">
        <v>0</v>
      </c>
      <c r="Q4353" s="6" t="s">
        <v>4475</v>
      </c>
      <c r="T4353" s="23">
        <v>45370</v>
      </c>
      <c r="U4353" s="23">
        <v>47560</v>
      </c>
      <c r="X4353" s="20">
        <v>12400</v>
      </c>
      <c r="Z4353" s="6" t="s">
        <v>5978</v>
      </c>
      <c r="AA4353" s="13">
        <f t="shared" si="579"/>
        <v>5.6000000000000006E-4</v>
      </c>
      <c r="AB4353">
        <v>4.9974344000000004</v>
      </c>
      <c r="AC4353">
        <v>5.1973317760000004</v>
      </c>
    </row>
    <row r="4354" spans="1:29" x14ac:dyDescent="0.3">
      <c r="A4354">
        <v>140886</v>
      </c>
      <c r="B4354" s="25" t="s">
        <v>5984</v>
      </c>
      <c r="C4354" t="s">
        <v>20</v>
      </c>
      <c r="D4354" t="s">
        <v>21</v>
      </c>
      <c r="E4354">
        <v>2222222</v>
      </c>
      <c r="F4354" s="8" t="s">
        <v>22</v>
      </c>
      <c r="G4354" s="2">
        <v>98</v>
      </c>
      <c r="H4354" t="s">
        <v>4606</v>
      </c>
      <c r="J4354" s="9" t="s">
        <v>4815</v>
      </c>
      <c r="K4354" t="s">
        <v>5010</v>
      </c>
      <c r="L4354" s="2">
        <v>1</v>
      </c>
      <c r="M4354" s="24" t="s">
        <v>5971</v>
      </c>
      <c r="N4354" s="2" t="s">
        <v>23</v>
      </c>
      <c r="O4354" s="18" t="s">
        <v>3314</v>
      </c>
      <c r="P4354" s="18" t="s">
        <v>0</v>
      </c>
      <c r="Q4354" s="6" t="s">
        <v>4475</v>
      </c>
      <c r="T4354" s="23">
        <v>45418</v>
      </c>
      <c r="U4354" s="23">
        <v>46512</v>
      </c>
      <c r="X4354" s="20">
        <v>2000</v>
      </c>
      <c r="Z4354" s="6" t="s">
        <v>5978</v>
      </c>
      <c r="AA4354" s="14">
        <f t="shared" ref="AA4354:AA4404" si="580">+(0.6/1000)</f>
        <v>5.9999999999999995E-4</v>
      </c>
      <c r="AB4354">
        <v>0.40458599999999995</v>
      </c>
      <c r="AC4354">
        <v>0.42076943999999994</v>
      </c>
    </row>
    <row r="4355" spans="1:29" x14ac:dyDescent="0.3">
      <c r="A4355">
        <v>142025</v>
      </c>
      <c r="B4355" s="25" t="s">
        <v>5984</v>
      </c>
      <c r="C4355" t="s">
        <v>20</v>
      </c>
      <c r="D4355" t="s">
        <v>21</v>
      </c>
      <c r="E4355">
        <v>2222222</v>
      </c>
      <c r="F4355" s="8" t="s">
        <v>22</v>
      </c>
      <c r="G4355" s="2">
        <v>98</v>
      </c>
      <c r="H4355" t="s">
        <v>4606</v>
      </c>
      <c r="J4355" s="9" t="s">
        <v>5152</v>
      </c>
      <c r="K4355" t="s">
        <v>5019</v>
      </c>
      <c r="L4355" s="2">
        <v>1</v>
      </c>
      <c r="M4355" s="24" t="s">
        <v>5971</v>
      </c>
      <c r="N4355" s="2" t="s">
        <v>23</v>
      </c>
      <c r="O4355" s="18" t="s">
        <v>3315</v>
      </c>
      <c r="P4355" s="18" t="s">
        <v>3781</v>
      </c>
      <c r="Q4355" s="6" t="s">
        <v>4475</v>
      </c>
      <c r="T4355" s="23">
        <v>45491</v>
      </c>
      <c r="U4355" s="23">
        <v>46951</v>
      </c>
      <c r="X4355" s="20">
        <v>1315</v>
      </c>
      <c r="Z4355" s="6" t="s">
        <v>5978</v>
      </c>
      <c r="AA4355" s="14">
        <f t="shared" si="580"/>
        <v>5.9999999999999995E-4</v>
      </c>
      <c r="AB4355">
        <v>0.45335399999999998</v>
      </c>
      <c r="AC4355">
        <v>0.47148815999999999</v>
      </c>
    </row>
    <row r="4356" spans="1:29" x14ac:dyDescent="0.3">
      <c r="A4356">
        <v>142033</v>
      </c>
      <c r="B4356" s="25" t="s">
        <v>5984</v>
      </c>
      <c r="C4356" t="s">
        <v>20</v>
      </c>
      <c r="D4356" t="s">
        <v>21</v>
      </c>
      <c r="E4356">
        <v>2222222</v>
      </c>
      <c r="F4356" s="8" t="s">
        <v>22</v>
      </c>
      <c r="G4356" s="2">
        <v>98</v>
      </c>
      <c r="H4356" t="s">
        <v>4606</v>
      </c>
      <c r="J4356" s="9" t="s">
        <v>5240</v>
      </c>
      <c r="K4356" t="s">
        <v>4949</v>
      </c>
      <c r="L4356" s="2">
        <v>1</v>
      </c>
      <c r="M4356" s="24" t="s">
        <v>5971</v>
      </c>
      <c r="N4356" s="2" t="s">
        <v>23</v>
      </c>
      <c r="O4356" s="18" t="s">
        <v>2490</v>
      </c>
      <c r="P4356" s="18" t="s">
        <v>0</v>
      </c>
      <c r="Q4356" s="6" t="s">
        <v>4475</v>
      </c>
      <c r="T4356" s="23">
        <v>45491</v>
      </c>
      <c r="U4356" s="23">
        <v>46951</v>
      </c>
      <c r="X4356" s="20">
        <v>5000</v>
      </c>
      <c r="Z4356" s="6" t="s">
        <v>5978</v>
      </c>
      <c r="AA4356" s="14">
        <f t="shared" si="580"/>
        <v>5.9999999999999995E-4</v>
      </c>
      <c r="AB4356">
        <v>1.781892</v>
      </c>
      <c r="AC4356">
        <v>1.8531676800000001</v>
      </c>
    </row>
    <row r="4357" spans="1:29" x14ac:dyDescent="0.3">
      <c r="A4357">
        <v>142491</v>
      </c>
      <c r="B4357" s="25" t="s">
        <v>5984</v>
      </c>
      <c r="C4357" t="s">
        <v>20</v>
      </c>
      <c r="D4357" t="s">
        <v>21</v>
      </c>
      <c r="E4357">
        <v>2222222</v>
      </c>
      <c r="F4357" s="8" t="s">
        <v>22</v>
      </c>
      <c r="G4357" s="2">
        <v>98</v>
      </c>
      <c r="H4357" t="s">
        <v>4606</v>
      </c>
      <c r="J4357" s="9" t="s">
        <v>4900</v>
      </c>
      <c r="K4357" t="s">
        <v>4901</v>
      </c>
      <c r="L4357" s="2">
        <v>1</v>
      </c>
      <c r="M4357" s="24" t="s">
        <v>5971</v>
      </c>
      <c r="N4357" s="2" t="s">
        <v>23</v>
      </c>
      <c r="O4357" s="18" t="s">
        <v>3316</v>
      </c>
      <c r="P4357" s="18" t="s">
        <v>0</v>
      </c>
      <c r="Q4357" s="6" t="s">
        <v>4475</v>
      </c>
      <c r="T4357" s="23">
        <v>45524</v>
      </c>
      <c r="U4357" s="23">
        <v>46437</v>
      </c>
      <c r="X4357" s="20">
        <v>5000</v>
      </c>
      <c r="Z4357" s="6" t="s">
        <v>5978</v>
      </c>
      <c r="AA4357" s="14">
        <f t="shared" si="580"/>
        <v>5.9999999999999995E-4</v>
      </c>
      <c r="AB4357">
        <v>0.83090999999999993</v>
      </c>
      <c r="AC4357">
        <v>0.86414639999999998</v>
      </c>
    </row>
    <row r="4358" spans="1:29" x14ac:dyDescent="0.3">
      <c r="A4358">
        <v>143115</v>
      </c>
      <c r="B4358" s="25" t="s">
        <v>5984</v>
      </c>
      <c r="C4358" t="s">
        <v>20</v>
      </c>
      <c r="D4358" t="s">
        <v>21</v>
      </c>
      <c r="E4358">
        <v>2222222</v>
      </c>
      <c r="F4358" s="8" t="s">
        <v>22</v>
      </c>
      <c r="G4358" s="2">
        <v>98</v>
      </c>
      <c r="H4358" t="s">
        <v>4606</v>
      </c>
      <c r="J4358" s="9" t="s">
        <v>5373</v>
      </c>
      <c r="K4358" t="s">
        <v>4924</v>
      </c>
      <c r="L4358" s="2">
        <v>1</v>
      </c>
      <c r="M4358" s="24" t="s">
        <v>5971</v>
      </c>
      <c r="N4358" s="2" t="s">
        <v>23</v>
      </c>
      <c r="O4358" s="18" t="s">
        <v>3317</v>
      </c>
      <c r="P4358" s="18" t="s">
        <v>3781</v>
      </c>
      <c r="Q4358" s="6" t="s">
        <v>4475</v>
      </c>
      <c r="T4358" s="23">
        <v>45567</v>
      </c>
      <c r="U4358" s="23">
        <v>46661</v>
      </c>
      <c r="X4358" s="20">
        <v>4250</v>
      </c>
      <c r="Z4358" s="6" t="s">
        <v>5978</v>
      </c>
      <c r="AA4358" s="14">
        <f t="shared" si="580"/>
        <v>5.9999999999999995E-4</v>
      </c>
      <c r="AB4358">
        <v>1.2393540000000001</v>
      </c>
      <c r="AC4358">
        <v>1.2889281600000002</v>
      </c>
    </row>
    <row r="4359" spans="1:29" x14ac:dyDescent="0.3">
      <c r="A4359">
        <v>143262</v>
      </c>
      <c r="B4359" s="25" t="s">
        <v>5984</v>
      </c>
      <c r="C4359" t="s">
        <v>20</v>
      </c>
      <c r="D4359" t="s">
        <v>21</v>
      </c>
      <c r="E4359">
        <v>2222222</v>
      </c>
      <c r="F4359" s="8" t="s">
        <v>22</v>
      </c>
      <c r="G4359" s="2">
        <v>98</v>
      </c>
      <c r="H4359" t="s">
        <v>4606</v>
      </c>
      <c r="J4359" s="9" t="s">
        <v>5232</v>
      </c>
      <c r="K4359" t="s">
        <v>5074</v>
      </c>
      <c r="L4359" s="2">
        <v>1</v>
      </c>
      <c r="M4359" s="24" t="s">
        <v>5971</v>
      </c>
      <c r="N4359" s="2" t="s">
        <v>23</v>
      </c>
      <c r="O4359" s="18" t="s">
        <v>3318</v>
      </c>
      <c r="P4359" s="18" t="s">
        <v>3781</v>
      </c>
      <c r="Q4359" s="6" t="s">
        <v>4475</v>
      </c>
      <c r="T4359" s="23">
        <v>45579</v>
      </c>
      <c r="U4359" s="23">
        <v>46400</v>
      </c>
      <c r="X4359" s="20">
        <v>3745</v>
      </c>
      <c r="Z4359" s="6" t="s">
        <v>5978</v>
      </c>
      <c r="AA4359" s="14">
        <f t="shared" si="580"/>
        <v>5.9999999999999995E-4</v>
      </c>
      <c r="AB4359">
        <v>0.62158199999999997</v>
      </c>
      <c r="AC4359">
        <v>0.64644528000000001</v>
      </c>
    </row>
    <row r="4360" spans="1:29" x14ac:dyDescent="0.3">
      <c r="A4360">
        <v>144156</v>
      </c>
      <c r="B4360" s="25" t="s">
        <v>5984</v>
      </c>
      <c r="C4360" t="s">
        <v>20</v>
      </c>
      <c r="D4360" t="s">
        <v>21</v>
      </c>
      <c r="E4360">
        <v>2222222</v>
      </c>
      <c r="F4360" s="8" t="s">
        <v>22</v>
      </c>
      <c r="G4360" s="2">
        <v>98</v>
      </c>
      <c r="H4360" t="s">
        <v>4606</v>
      </c>
      <c r="J4360" s="9" t="s">
        <v>5038</v>
      </c>
      <c r="K4360" t="s">
        <v>5892</v>
      </c>
      <c r="L4360" s="2">
        <v>1</v>
      </c>
      <c r="M4360" s="24" t="s">
        <v>5971</v>
      </c>
      <c r="N4360" s="2" t="s">
        <v>23</v>
      </c>
      <c r="O4360" s="18" t="s">
        <v>343</v>
      </c>
      <c r="P4360" s="18" t="s">
        <v>3781</v>
      </c>
      <c r="Q4360" s="6" t="s">
        <v>4475</v>
      </c>
      <c r="T4360" s="23">
        <v>45642</v>
      </c>
      <c r="U4360" s="23">
        <v>46371</v>
      </c>
      <c r="X4360" s="20">
        <v>3100</v>
      </c>
      <c r="Z4360" s="6" t="s">
        <v>5978</v>
      </c>
      <c r="AA4360" s="14">
        <f t="shared" si="580"/>
        <v>5.9999999999999995E-4</v>
      </c>
      <c r="AB4360">
        <v>0.44012999999999991</v>
      </c>
      <c r="AC4360">
        <v>0.4577351999999999</v>
      </c>
    </row>
    <row r="4361" spans="1:29" x14ac:dyDescent="0.3">
      <c r="A4361">
        <v>144425</v>
      </c>
      <c r="B4361" s="25" t="s">
        <v>5984</v>
      </c>
      <c r="C4361" t="s">
        <v>20</v>
      </c>
      <c r="D4361" t="s">
        <v>21</v>
      </c>
      <c r="E4361">
        <v>2222222</v>
      </c>
      <c r="F4361" s="8" t="s">
        <v>22</v>
      </c>
      <c r="G4361" s="2">
        <v>98</v>
      </c>
      <c r="H4361" t="s">
        <v>4606</v>
      </c>
      <c r="J4361" s="9" t="s">
        <v>4182</v>
      </c>
      <c r="K4361" t="s">
        <v>5078</v>
      </c>
      <c r="L4361" s="2">
        <v>1</v>
      </c>
      <c r="M4361" s="24" t="s">
        <v>5971</v>
      </c>
      <c r="N4361" s="2" t="s">
        <v>23</v>
      </c>
      <c r="O4361" s="18" t="s">
        <v>3319</v>
      </c>
      <c r="P4361" s="18" t="s">
        <v>0</v>
      </c>
      <c r="Q4361" s="6" t="s">
        <v>4475</v>
      </c>
      <c r="T4361" s="23">
        <v>45663</v>
      </c>
      <c r="U4361" s="23">
        <v>47488</v>
      </c>
      <c r="X4361" s="20">
        <v>5000</v>
      </c>
      <c r="Z4361" s="6" t="s">
        <v>5978</v>
      </c>
      <c r="AA4361" s="14">
        <f t="shared" si="580"/>
        <v>5.9999999999999995E-4</v>
      </c>
      <c r="AB4361">
        <v>2.3067299999999999</v>
      </c>
      <c r="AC4361">
        <v>2.3989992</v>
      </c>
    </row>
    <row r="4362" spans="1:29" x14ac:dyDescent="0.3">
      <c r="A4362">
        <v>145576</v>
      </c>
      <c r="B4362" s="25" t="s">
        <v>5984</v>
      </c>
      <c r="C4362" t="s">
        <v>20</v>
      </c>
      <c r="D4362" t="s">
        <v>21</v>
      </c>
      <c r="E4362">
        <v>2222222</v>
      </c>
      <c r="F4362" s="8" t="s">
        <v>22</v>
      </c>
      <c r="G4362" s="2">
        <v>98</v>
      </c>
      <c r="H4362" t="s">
        <v>4606</v>
      </c>
      <c r="J4362" s="9" t="s">
        <v>5057</v>
      </c>
      <c r="K4362" t="s">
        <v>4926</v>
      </c>
      <c r="L4362" s="2">
        <v>1</v>
      </c>
      <c r="M4362" s="24" t="s">
        <v>5971</v>
      </c>
      <c r="N4362" s="2" t="s">
        <v>23</v>
      </c>
      <c r="O4362" s="18" t="s">
        <v>3320</v>
      </c>
      <c r="P4362" s="18" t="s">
        <v>3781</v>
      </c>
      <c r="Q4362" s="6" t="s">
        <v>4475</v>
      </c>
      <c r="T4362" s="23">
        <v>45748</v>
      </c>
      <c r="U4362" s="23">
        <v>46844</v>
      </c>
      <c r="X4362" s="20">
        <v>3440</v>
      </c>
      <c r="Z4362" s="6" t="s">
        <v>5978</v>
      </c>
      <c r="AA4362" s="14">
        <f t="shared" si="580"/>
        <v>5.9999999999999995E-4</v>
      </c>
      <c r="AB4362">
        <v>1.6781879999999998</v>
      </c>
      <c r="AC4362">
        <v>1.7453155199999999</v>
      </c>
    </row>
    <row r="4363" spans="1:29" x14ac:dyDescent="0.3">
      <c r="A4363">
        <v>145678</v>
      </c>
      <c r="B4363" s="25" t="s">
        <v>5984</v>
      </c>
      <c r="C4363" t="s">
        <v>20</v>
      </c>
      <c r="D4363" t="s">
        <v>21</v>
      </c>
      <c r="E4363">
        <v>2222222</v>
      </c>
      <c r="F4363" s="8" t="s">
        <v>22</v>
      </c>
      <c r="G4363" s="2">
        <v>98</v>
      </c>
      <c r="H4363" t="s">
        <v>4606</v>
      </c>
      <c r="J4363" s="9" t="s">
        <v>5055</v>
      </c>
      <c r="K4363" t="s">
        <v>4991</v>
      </c>
      <c r="L4363" s="2">
        <v>1</v>
      </c>
      <c r="M4363" s="24" t="s">
        <v>5971</v>
      </c>
      <c r="N4363" s="2" t="s">
        <v>23</v>
      </c>
      <c r="O4363" s="18" t="s">
        <v>3321</v>
      </c>
      <c r="P4363" s="18" t="s">
        <v>3781</v>
      </c>
      <c r="Q4363" s="6" t="s">
        <v>4475</v>
      </c>
      <c r="T4363" s="23">
        <v>45757</v>
      </c>
      <c r="U4363" s="23">
        <v>46853</v>
      </c>
      <c r="X4363" s="20">
        <v>6000</v>
      </c>
      <c r="Z4363" s="6" t="s">
        <v>5978</v>
      </c>
      <c r="AA4363" s="14">
        <f t="shared" si="580"/>
        <v>5.9999999999999995E-4</v>
      </c>
      <c r="AB4363">
        <v>2.2349219999999996</v>
      </c>
      <c r="AC4363">
        <v>2.3243188799999999</v>
      </c>
    </row>
    <row r="4364" spans="1:29" x14ac:dyDescent="0.3">
      <c r="A4364">
        <v>145898</v>
      </c>
      <c r="B4364" s="25" t="s">
        <v>5984</v>
      </c>
      <c r="C4364" t="s">
        <v>20</v>
      </c>
      <c r="D4364" t="s">
        <v>21</v>
      </c>
      <c r="E4364">
        <v>2222222</v>
      </c>
      <c r="F4364" s="8" t="s">
        <v>22</v>
      </c>
      <c r="G4364" s="2">
        <v>98</v>
      </c>
      <c r="H4364" t="s">
        <v>4606</v>
      </c>
      <c r="J4364" s="9" t="s">
        <v>5164</v>
      </c>
      <c r="K4364" t="s">
        <v>5494</v>
      </c>
      <c r="L4364" s="2">
        <v>1</v>
      </c>
      <c r="M4364" s="24" t="s">
        <v>5971</v>
      </c>
      <c r="N4364" s="2" t="s">
        <v>23</v>
      </c>
      <c r="O4364" s="18" t="s">
        <v>3322</v>
      </c>
      <c r="P4364" s="18" t="s">
        <v>3781</v>
      </c>
      <c r="Q4364" s="6" t="s">
        <v>4475</v>
      </c>
      <c r="T4364" s="23">
        <v>45772</v>
      </c>
      <c r="U4364" s="23">
        <v>46868</v>
      </c>
      <c r="X4364" s="20">
        <v>1500</v>
      </c>
      <c r="Z4364" s="6" t="s">
        <v>5978</v>
      </c>
      <c r="AA4364" s="14">
        <f t="shared" si="580"/>
        <v>5.9999999999999995E-4</v>
      </c>
      <c r="AB4364">
        <v>0.58002599999999993</v>
      </c>
      <c r="AC4364">
        <v>0.60322703999999994</v>
      </c>
    </row>
    <row r="4365" spans="1:29" x14ac:dyDescent="0.3">
      <c r="A4365">
        <v>146134</v>
      </c>
      <c r="B4365" s="25" t="s">
        <v>5984</v>
      </c>
      <c r="C4365" t="s">
        <v>20</v>
      </c>
      <c r="D4365" t="s">
        <v>21</v>
      </c>
      <c r="E4365">
        <v>2222222</v>
      </c>
      <c r="F4365" s="8" t="s">
        <v>22</v>
      </c>
      <c r="G4365" s="2">
        <v>98</v>
      </c>
      <c r="H4365" t="s">
        <v>4606</v>
      </c>
      <c r="J4365" s="9" t="s">
        <v>4900</v>
      </c>
      <c r="K4365" t="s">
        <v>4901</v>
      </c>
      <c r="L4365" s="2">
        <v>1</v>
      </c>
      <c r="M4365" s="24" t="s">
        <v>5971</v>
      </c>
      <c r="N4365" s="2" t="s">
        <v>23</v>
      </c>
      <c r="O4365" s="18" t="s">
        <v>3316</v>
      </c>
      <c r="P4365" s="18" t="s">
        <v>0</v>
      </c>
      <c r="Q4365" s="6" t="s">
        <v>4475</v>
      </c>
      <c r="T4365" s="23">
        <v>45792</v>
      </c>
      <c r="U4365" s="23">
        <v>46345</v>
      </c>
      <c r="X4365" s="20">
        <v>4000</v>
      </c>
      <c r="Z4365" s="6" t="s">
        <v>5978</v>
      </c>
      <c r="AA4365" s="14">
        <f t="shared" si="580"/>
        <v>5.9999999999999995E-4</v>
      </c>
      <c r="AB4365">
        <v>0.58734599999999992</v>
      </c>
      <c r="AC4365">
        <v>0.61083983999999991</v>
      </c>
    </row>
    <row r="4366" spans="1:29" x14ac:dyDescent="0.3">
      <c r="A4366">
        <v>146146</v>
      </c>
      <c r="B4366" s="25" t="s">
        <v>5984</v>
      </c>
      <c r="C4366" t="s">
        <v>20</v>
      </c>
      <c r="D4366" t="s">
        <v>21</v>
      </c>
      <c r="E4366">
        <v>2222222</v>
      </c>
      <c r="F4366" s="8" t="s">
        <v>22</v>
      </c>
      <c r="G4366" s="2">
        <v>98</v>
      </c>
      <c r="H4366" t="s">
        <v>4606</v>
      </c>
      <c r="J4366" s="9" t="s">
        <v>5891</v>
      </c>
      <c r="K4366" t="s">
        <v>4983</v>
      </c>
      <c r="L4366" s="2">
        <v>1</v>
      </c>
      <c r="M4366" s="24" t="s">
        <v>5971</v>
      </c>
      <c r="N4366" s="2" t="s">
        <v>23</v>
      </c>
      <c r="O4366" s="18" t="s">
        <v>3310</v>
      </c>
      <c r="P4366" s="18" t="s">
        <v>0</v>
      </c>
      <c r="Q4366" s="6" t="s">
        <v>4475</v>
      </c>
      <c r="T4366" s="23">
        <v>45793</v>
      </c>
      <c r="U4366" s="23">
        <v>46888</v>
      </c>
      <c r="X4366" s="20">
        <v>4000</v>
      </c>
      <c r="Z4366" s="6" t="s">
        <v>5978</v>
      </c>
      <c r="AA4366" s="14">
        <f t="shared" si="580"/>
        <v>5.9999999999999995E-4</v>
      </c>
      <c r="AB4366">
        <v>1.6088279999999999</v>
      </c>
      <c r="AC4366">
        <v>1.67318112</v>
      </c>
    </row>
    <row r="4367" spans="1:29" x14ac:dyDescent="0.3">
      <c r="A4367">
        <v>146220</v>
      </c>
      <c r="B4367" s="25" t="s">
        <v>5984</v>
      </c>
      <c r="C4367" t="s">
        <v>20</v>
      </c>
      <c r="D4367" t="s">
        <v>21</v>
      </c>
      <c r="E4367">
        <v>2222222</v>
      </c>
      <c r="F4367" s="8" t="s">
        <v>22</v>
      </c>
      <c r="G4367" s="2">
        <v>98</v>
      </c>
      <c r="H4367" t="s">
        <v>4606</v>
      </c>
      <c r="J4367" s="9" t="s">
        <v>4970</v>
      </c>
      <c r="K4367" t="s">
        <v>5679</v>
      </c>
      <c r="L4367" s="2">
        <v>1</v>
      </c>
      <c r="M4367" s="24" t="s">
        <v>5971</v>
      </c>
      <c r="N4367" s="2" t="s">
        <v>23</v>
      </c>
      <c r="O4367" s="18" t="s">
        <v>2684</v>
      </c>
      <c r="P4367" s="18" t="s">
        <v>3781</v>
      </c>
      <c r="Q4367" s="6" t="s">
        <v>4475</v>
      </c>
      <c r="T4367" s="23">
        <v>45799</v>
      </c>
      <c r="U4367" s="23">
        <v>47259</v>
      </c>
      <c r="X4367" s="20">
        <v>5000</v>
      </c>
      <c r="Z4367" s="6" t="s">
        <v>5978</v>
      </c>
      <c r="AA4367" s="14">
        <f t="shared" si="580"/>
        <v>5.9999999999999995E-4</v>
      </c>
      <c r="AB4367">
        <v>2.3352659999999998</v>
      </c>
      <c r="AC4367">
        <v>2.4286766399999999</v>
      </c>
    </row>
    <row r="4368" spans="1:29" x14ac:dyDescent="0.3">
      <c r="A4368">
        <v>146247</v>
      </c>
      <c r="B4368" s="25" t="s">
        <v>5984</v>
      </c>
      <c r="C4368" t="s">
        <v>20</v>
      </c>
      <c r="D4368" t="s">
        <v>21</v>
      </c>
      <c r="E4368">
        <v>2222222</v>
      </c>
      <c r="F4368" s="8" t="s">
        <v>22</v>
      </c>
      <c r="G4368" s="2">
        <v>98</v>
      </c>
      <c r="H4368" t="s">
        <v>4606</v>
      </c>
      <c r="J4368" s="9" t="s">
        <v>5269</v>
      </c>
      <c r="K4368" t="s">
        <v>4983</v>
      </c>
      <c r="L4368" s="2">
        <v>1</v>
      </c>
      <c r="M4368" s="24" t="s">
        <v>5971</v>
      </c>
      <c r="N4368" s="2" t="s">
        <v>23</v>
      </c>
      <c r="O4368" s="18" t="s">
        <v>2003</v>
      </c>
      <c r="P4368" s="18" t="s">
        <v>0</v>
      </c>
      <c r="Q4368" s="6" t="s">
        <v>4475</v>
      </c>
      <c r="T4368" s="23">
        <v>45817</v>
      </c>
      <c r="U4368" s="23">
        <v>47278</v>
      </c>
      <c r="X4368" s="20">
        <v>10000</v>
      </c>
      <c r="Z4368" s="6" t="s">
        <v>5978</v>
      </c>
      <c r="AA4368" s="14">
        <f t="shared" si="580"/>
        <v>5.9999999999999995E-4</v>
      </c>
      <c r="AB4368">
        <v>4.73508</v>
      </c>
      <c r="AC4368">
        <v>4.9244832000000001</v>
      </c>
    </row>
    <row r="4369" spans="1:29" x14ac:dyDescent="0.3">
      <c r="A4369">
        <v>147172</v>
      </c>
      <c r="B4369" s="25" t="s">
        <v>5984</v>
      </c>
      <c r="C4369" t="s">
        <v>20</v>
      </c>
      <c r="D4369" t="s">
        <v>21</v>
      </c>
      <c r="E4369">
        <v>2222222</v>
      </c>
      <c r="F4369" s="8" t="s">
        <v>22</v>
      </c>
      <c r="G4369" s="2">
        <v>98</v>
      </c>
      <c r="H4369" t="s">
        <v>4606</v>
      </c>
      <c r="J4369" s="9" t="s">
        <v>4864</v>
      </c>
      <c r="K4369" t="s">
        <v>4844</v>
      </c>
      <c r="L4369" s="2">
        <v>1</v>
      </c>
      <c r="M4369" s="24" t="s">
        <v>5971</v>
      </c>
      <c r="N4369" s="2" t="s">
        <v>23</v>
      </c>
      <c r="O4369" s="18" t="s">
        <v>3323</v>
      </c>
      <c r="P4369" s="18" t="s">
        <v>0</v>
      </c>
      <c r="Q4369" s="6" t="s">
        <v>4475</v>
      </c>
      <c r="T4369" s="23">
        <v>45870</v>
      </c>
      <c r="U4369" s="23">
        <v>46965</v>
      </c>
      <c r="X4369" s="20">
        <v>3200</v>
      </c>
      <c r="Z4369" s="6" t="s">
        <v>5978</v>
      </c>
      <c r="AA4369" s="14">
        <f t="shared" si="580"/>
        <v>5.9999999999999995E-4</v>
      </c>
      <c r="AB4369">
        <v>1.4325599999999998</v>
      </c>
      <c r="AC4369">
        <v>1.4898623999999998</v>
      </c>
    </row>
    <row r="4370" spans="1:29" x14ac:dyDescent="0.3">
      <c r="A4370">
        <v>147353</v>
      </c>
      <c r="B4370" s="25" t="s">
        <v>5984</v>
      </c>
      <c r="C4370" t="s">
        <v>20</v>
      </c>
      <c r="D4370" t="s">
        <v>21</v>
      </c>
      <c r="E4370">
        <v>2222222</v>
      </c>
      <c r="F4370" s="8" t="s">
        <v>22</v>
      </c>
      <c r="G4370" s="2">
        <v>98</v>
      </c>
      <c r="H4370" t="s">
        <v>4606</v>
      </c>
      <c r="J4370" s="9" t="s">
        <v>4898</v>
      </c>
      <c r="K4370" t="s">
        <v>5893</v>
      </c>
      <c r="L4370" s="2">
        <v>1</v>
      </c>
      <c r="M4370" s="24" t="s">
        <v>5971</v>
      </c>
      <c r="N4370" s="2" t="s">
        <v>23</v>
      </c>
      <c r="O4370" s="18" t="s">
        <v>3324</v>
      </c>
      <c r="P4370" s="18" t="s">
        <v>3781</v>
      </c>
      <c r="Q4370" s="6" t="s">
        <v>4475</v>
      </c>
      <c r="T4370" s="23">
        <v>45883</v>
      </c>
      <c r="U4370" s="23">
        <v>46978</v>
      </c>
      <c r="X4370" s="20">
        <v>1000</v>
      </c>
      <c r="Z4370" s="6" t="s">
        <v>5978</v>
      </c>
      <c r="AA4370" s="14">
        <f t="shared" si="580"/>
        <v>5.9999999999999995E-4</v>
      </c>
      <c r="AB4370">
        <v>0.44768999999999992</v>
      </c>
      <c r="AC4370">
        <v>0.46559759999999994</v>
      </c>
    </row>
    <row r="4371" spans="1:29" x14ac:dyDescent="0.3">
      <c r="A4371">
        <v>147536</v>
      </c>
      <c r="B4371" s="25" t="s">
        <v>5984</v>
      </c>
      <c r="C4371" t="s">
        <v>20</v>
      </c>
      <c r="D4371" t="s">
        <v>21</v>
      </c>
      <c r="E4371">
        <v>2222222</v>
      </c>
      <c r="F4371" s="8" t="s">
        <v>22</v>
      </c>
      <c r="G4371" s="2">
        <v>98</v>
      </c>
      <c r="H4371" t="s">
        <v>4606</v>
      </c>
      <c r="J4371" s="9" t="s">
        <v>5055</v>
      </c>
      <c r="K4371" t="s">
        <v>4851</v>
      </c>
      <c r="L4371" s="2">
        <v>1</v>
      </c>
      <c r="M4371" s="24" t="s">
        <v>5971</v>
      </c>
      <c r="N4371" s="2" t="s">
        <v>23</v>
      </c>
      <c r="O4371" s="18" t="s">
        <v>3325</v>
      </c>
      <c r="P4371" s="18" t="s">
        <v>3781</v>
      </c>
      <c r="Q4371" s="6" t="s">
        <v>4475</v>
      </c>
      <c r="T4371" s="23">
        <v>45896</v>
      </c>
      <c r="U4371" s="23">
        <v>46991</v>
      </c>
      <c r="X4371" s="20">
        <v>2800</v>
      </c>
      <c r="Z4371" s="6" t="s">
        <v>5978</v>
      </c>
      <c r="AA4371" s="14">
        <f t="shared" si="580"/>
        <v>5.9999999999999995E-4</v>
      </c>
      <c r="AB4371">
        <v>1.2535079999999998</v>
      </c>
      <c r="AC4371">
        <v>1.30364832</v>
      </c>
    </row>
    <row r="4372" spans="1:29" x14ac:dyDescent="0.3">
      <c r="A4372">
        <v>148788</v>
      </c>
      <c r="B4372" s="25" t="s">
        <v>5984</v>
      </c>
      <c r="C4372" t="s">
        <v>20</v>
      </c>
      <c r="D4372" t="s">
        <v>21</v>
      </c>
      <c r="E4372">
        <v>2222222</v>
      </c>
      <c r="F4372" s="8" t="s">
        <v>22</v>
      </c>
      <c r="G4372" s="2">
        <v>98</v>
      </c>
      <c r="H4372" t="s">
        <v>4606</v>
      </c>
      <c r="J4372" s="9" t="s">
        <v>4901</v>
      </c>
      <c r="K4372" t="s">
        <v>5519</v>
      </c>
      <c r="L4372" s="2">
        <v>1</v>
      </c>
      <c r="M4372" s="24" t="s">
        <v>5971</v>
      </c>
      <c r="N4372" s="2" t="s">
        <v>23</v>
      </c>
      <c r="O4372" s="18" t="s">
        <v>3326</v>
      </c>
      <c r="P4372" s="18" t="s">
        <v>0</v>
      </c>
      <c r="Q4372" s="6" t="s">
        <v>4475</v>
      </c>
      <c r="T4372" s="23">
        <v>45979</v>
      </c>
      <c r="U4372" s="23">
        <v>46262</v>
      </c>
      <c r="X4372" s="20">
        <v>14000</v>
      </c>
      <c r="Z4372" s="6" t="s">
        <v>5978</v>
      </c>
      <c r="AA4372" s="14">
        <f t="shared" si="580"/>
        <v>5.9999999999999995E-4</v>
      </c>
      <c r="AB4372">
        <v>8.3999999999999986</v>
      </c>
      <c r="AC4372">
        <v>8.7359999999999989</v>
      </c>
    </row>
    <row r="4373" spans="1:29" x14ac:dyDescent="0.3">
      <c r="A4373">
        <v>148794</v>
      </c>
      <c r="B4373" s="25" t="s">
        <v>5984</v>
      </c>
      <c r="C4373" t="s">
        <v>20</v>
      </c>
      <c r="D4373" t="s">
        <v>21</v>
      </c>
      <c r="E4373">
        <v>2222222</v>
      </c>
      <c r="F4373" s="8" t="s">
        <v>22</v>
      </c>
      <c r="G4373" s="2">
        <v>98</v>
      </c>
      <c r="H4373" t="s">
        <v>4606</v>
      </c>
      <c r="J4373" s="9" t="s">
        <v>5008</v>
      </c>
      <c r="K4373" t="s">
        <v>5108</v>
      </c>
      <c r="L4373" s="2">
        <v>1</v>
      </c>
      <c r="M4373" s="24" t="s">
        <v>5971</v>
      </c>
      <c r="N4373" s="2" t="s">
        <v>23</v>
      </c>
      <c r="O4373" s="18" t="s">
        <v>3327</v>
      </c>
      <c r="P4373" s="18" t="s">
        <v>0</v>
      </c>
      <c r="Q4373" s="6" t="s">
        <v>4475</v>
      </c>
      <c r="T4373" s="23">
        <v>45980</v>
      </c>
      <c r="U4373" s="23">
        <v>47441</v>
      </c>
      <c r="X4373" s="20">
        <v>5000</v>
      </c>
      <c r="Z4373" s="6" t="s">
        <v>5978</v>
      </c>
      <c r="AA4373" s="14">
        <f t="shared" si="580"/>
        <v>5.9999999999999995E-4</v>
      </c>
      <c r="AB4373">
        <v>2.6360219999999996</v>
      </c>
      <c r="AC4373">
        <v>2.7414628799999998</v>
      </c>
    </row>
    <row r="4374" spans="1:29" x14ac:dyDescent="0.3">
      <c r="A4374">
        <v>148929</v>
      </c>
      <c r="B4374" s="25" t="s">
        <v>5984</v>
      </c>
      <c r="C4374" t="s">
        <v>20</v>
      </c>
      <c r="D4374" t="s">
        <v>21</v>
      </c>
      <c r="E4374">
        <v>2222222</v>
      </c>
      <c r="F4374" s="8" t="s">
        <v>22</v>
      </c>
      <c r="G4374" s="2">
        <v>98</v>
      </c>
      <c r="H4374" t="s">
        <v>4606</v>
      </c>
      <c r="J4374" s="9" t="s">
        <v>5008</v>
      </c>
      <c r="K4374" t="s">
        <v>4987</v>
      </c>
      <c r="L4374" s="2">
        <v>1</v>
      </c>
      <c r="M4374" s="24" t="s">
        <v>5971</v>
      </c>
      <c r="N4374" s="2" t="s">
        <v>23</v>
      </c>
      <c r="O4374" s="18" t="s">
        <v>3328</v>
      </c>
      <c r="P4374" s="18" t="s">
        <v>0</v>
      </c>
      <c r="Q4374" s="6" t="s">
        <v>4475</v>
      </c>
      <c r="T4374" s="23">
        <v>45987</v>
      </c>
      <c r="U4374" s="23">
        <v>47083</v>
      </c>
      <c r="X4374" s="20">
        <v>5000</v>
      </c>
      <c r="Z4374" s="6" t="s">
        <v>5978</v>
      </c>
      <c r="AA4374" s="14">
        <f t="shared" si="580"/>
        <v>5.9999999999999995E-4</v>
      </c>
      <c r="AB4374">
        <v>2.5354320000000001</v>
      </c>
      <c r="AC4374">
        <v>2.6368492800000003</v>
      </c>
    </row>
    <row r="4375" spans="1:29" x14ac:dyDescent="0.3">
      <c r="A4375">
        <v>149120</v>
      </c>
      <c r="B4375" s="25" t="s">
        <v>5984</v>
      </c>
      <c r="C4375" t="s">
        <v>20</v>
      </c>
      <c r="D4375" t="s">
        <v>21</v>
      </c>
      <c r="E4375">
        <v>2222222</v>
      </c>
      <c r="F4375" s="8" t="s">
        <v>22</v>
      </c>
      <c r="G4375" s="2">
        <v>98</v>
      </c>
      <c r="H4375" t="s">
        <v>4606</v>
      </c>
      <c r="J4375" s="9" t="s">
        <v>5232</v>
      </c>
      <c r="K4375" t="s">
        <v>5074</v>
      </c>
      <c r="L4375" s="2">
        <v>1</v>
      </c>
      <c r="M4375" s="24" t="s">
        <v>5971</v>
      </c>
      <c r="N4375" s="2" t="s">
        <v>23</v>
      </c>
      <c r="O4375" s="18" t="s">
        <v>3318</v>
      </c>
      <c r="P4375" s="18" t="s">
        <v>3781</v>
      </c>
      <c r="Q4375" s="6" t="s">
        <v>4475</v>
      </c>
      <c r="T4375" s="23">
        <v>45999</v>
      </c>
      <c r="U4375" s="23">
        <v>46728</v>
      </c>
      <c r="X4375" s="20">
        <v>1960</v>
      </c>
      <c r="Z4375" s="6" t="s">
        <v>5978</v>
      </c>
      <c r="AA4375" s="14">
        <f t="shared" si="580"/>
        <v>5.9999999999999995E-4</v>
      </c>
      <c r="AB4375">
        <v>0.8746799999999999</v>
      </c>
      <c r="AC4375">
        <v>0.9096671999999999</v>
      </c>
    </row>
    <row r="4376" spans="1:29" x14ac:dyDescent="0.3">
      <c r="A4376">
        <v>149452</v>
      </c>
      <c r="B4376" s="25" t="s">
        <v>5984</v>
      </c>
      <c r="C4376" t="s">
        <v>20</v>
      </c>
      <c r="D4376" t="s">
        <v>21</v>
      </c>
      <c r="E4376">
        <v>2222222</v>
      </c>
      <c r="F4376" s="8" t="s">
        <v>22</v>
      </c>
      <c r="G4376" s="2">
        <v>98</v>
      </c>
      <c r="H4376" t="s">
        <v>4606</v>
      </c>
      <c r="J4376" s="9" t="s">
        <v>5164</v>
      </c>
      <c r="K4376" t="s">
        <v>5494</v>
      </c>
      <c r="L4376" s="2">
        <v>1</v>
      </c>
      <c r="M4376" s="24" t="s">
        <v>5971</v>
      </c>
      <c r="N4376" s="2" t="s">
        <v>23</v>
      </c>
      <c r="O4376" s="18" t="s">
        <v>3322</v>
      </c>
      <c r="P4376" s="18" t="s">
        <v>3781</v>
      </c>
      <c r="Q4376" s="6" t="s">
        <v>4475</v>
      </c>
      <c r="T4376" s="23">
        <v>46027</v>
      </c>
      <c r="U4376" s="23">
        <v>47122</v>
      </c>
      <c r="X4376" s="20">
        <v>1200</v>
      </c>
      <c r="Z4376" s="6" t="s">
        <v>5978</v>
      </c>
      <c r="AA4376" s="14">
        <f t="shared" si="580"/>
        <v>5.9999999999999995E-4</v>
      </c>
      <c r="AB4376">
        <v>0.62451599999999985</v>
      </c>
      <c r="AC4376">
        <v>0.64949663999999985</v>
      </c>
    </row>
    <row r="4377" spans="1:29" x14ac:dyDescent="0.3">
      <c r="A4377">
        <v>149657</v>
      </c>
      <c r="B4377" s="25" t="s">
        <v>5984</v>
      </c>
      <c r="C4377" t="s">
        <v>20</v>
      </c>
      <c r="D4377" t="s">
        <v>21</v>
      </c>
      <c r="E4377">
        <v>2222222</v>
      </c>
      <c r="F4377" s="8" t="s">
        <v>22</v>
      </c>
      <c r="G4377" s="2">
        <v>98</v>
      </c>
      <c r="H4377" t="s">
        <v>4606</v>
      </c>
      <c r="J4377" s="9" t="s">
        <v>4917</v>
      </c>
      <c r="K4377" t="s">
        <v>5075</v>
      </c>
      <c r="L4377" s="2">
        <v>1</v>
      </c>
      <c r="M4377" s="24" t="s">
        <v>5971</v>
      </c>
      <c r="N4377" s="2" t="s">
        <v>23</v>
      </c>
      <c r="O4377" s="18" t="s">
        <v>3329</v>
      </c>
      <c r="P4377" s="18" t="s">
        <v>3781</v>
      </c>
      <c r="Q4377" s="6" t="s">
        <v>4475</v>
      </c>
      <c r="T4377" s="23">
        <v>46041</v>
      </c>
      <c r="U4377" s="23">
        <v>46771</v>
      </c>
      <c r="X4377" s="20">
        <v>2000</v>
      </c>
      <c r="Z4377" s="6" t="s">
        <v>5978</v>
      </c>
      <c r="AA4377" s="14">
        <f t="shared" si="580"/>
        <v>5.9999999999999995E-4</v>
      </c>
      <c r="AB4377">
        <v>0.93588599999999988</v>
      </c>
      <c r="AC4377">
        <v>0.97332143999999987</v>
      </c>
    </row>
    <row r="4378" spans="1:29" x14ac:dyDescent="0.3">
      <c r="A4378">
        <v>150357</v>
      </c>
      <c r="B4378" s="25" t="s">
        <v>5984</v>
      </c>
      <c r="C4378" t="s">
        <v>20</v>
      </c>
      <c r="D4378" t="s">
        <v>21</v>
      </c>
      <c r="E4378">
        <v>2222222</v>
      </c>
      <c r="F4378" s="8" t="s">
        <v>22</v>
      </c>
      <c r="G4378" s="2">
        <v>98</v>
      </c>
      <c r="H4378" t="s">
        <v>4606</v>
      </c>
      <c r="J4378" s="9" t="s">
        <v>5063</v>
      </c>
      <c r="K4378" t="s">
        <v>4965</v>
      </c>
      <c r="L4378" s="2">
        <v>1</v>
      </c>
      <c r="M4378" s="24" t="s">
        <v>5971</v>
      </c>
      <c r="N4378" s="2" t="s">
        <v>23</v>
      </c>
      <c r="O4378" s="18" t="s">
        <v>3330</v>
      </c>
      <c r="P4378" s="18" t="s">
        <v>0</v>
      </c>
      <c r="Q4378" s="6" t="s">
        <v>4475</v>
      </c>
      <c r="T4378" s="23">
        <v>46087</v>
      </c>
      <c r="U4378" s="23">
        <v>47547</v>
      </c>
      <c r="X4378" s="20">
        <v>5000</v>
      </c>
      <c r="Z4378" s="6" t="s">
        <v>5978</v>
      </c>
      <c r="AA4378" s="14">
        <f t="shared" si="580"/>
        <v>5.9999999999999995E-4</v>
      </c>
      <c r="AB4378">
        <v>2.8234439999999998</v>
      </c>
      <c r="AC4378">
        <v>2.9363817599999997</v>
      </c>
    </row>
    <row r="4379" spans="1:29" x14ac:dyDescent="0.3">
      <c r="A4379">
        <v>150647</v>
      </c>
      <c r="B4379" s="25" t="s">
        <v>5984</v>
      </c>
      <c r="C4379" t="s">
        <v>20</v>
      </c>
      <c r="D4379" t="s">
        <v>21</v>
      </c>
      <c r="E4379">
        <v>2222222</v>
      </c>
      <c r="F4379" s="8" t="s">
        <v>22</v>
      </c>
      <c r="G4379" s="2">
        <v>98</v>
      </c>
      <c r="H4379" t="s">
        <v>4606</v>
      </c>
      <c r="J4379" s="9" t="s">
        <v>4901</v>
      </c>
      <c r="K4379" t="s">
        <v>5894</v>
      </c>
      <c r="L4379" s="2">
        <v>1</v>
      </c>
      <c r="M4379" s="24" t="s">
        <v>5971</v>
      </c>
      <c r="N4379" s="2" t="s">
        <v>23</v>
      </c>
      <c r="O4379" s="18" t="s">
        <v>3331</v>
      </c>
      <c r="P4379" s="18" t="s">
        <v>0</v>
      </c>
      <c r="Q4379" s="6" t="s">
        <v>4475</v>
      </c>
      <c r="T4379" s="23">
        <v>46106</v>
      </c>
      <c r="U4379" s="23">
        <v>47932</v>
      </c>
      <c r="X4379" s="20">
        <v>3500</v>
      </c>
      <c r="Z4379" s="6" t="s">
        <v>5978</v>
      </c>
      <c r="AA4379" s="14">
        <f t="shared" si="580"/>
        <v>5.9999999999999995E-4</v>
      </c>
      <c r="AB4379">
        <v>2.0007779999999999</v>
      </c>
      <c r="AC4379">
        <v>2.0808091200000001</v>
      </c>
    </row>
    <row r="4380" spans="1:29" x14ac:dyDescent="0.3">
      <c r="A4380">
        <v>151030</v>
      </c>
      <c r="B4380" s="25" t="s">
        <v>5984</v>
      </c>
      <c r="C4380" t="s">
        <v>20</v>
      </c>
      <c r="D4380" t="s">
        <v>21</v>
      </c>
      <c r="E4380">
        <v>2222222</v>
      </c>
      <c r="F4380" s="8" t="s">
        <v>22</v>
      </c>
      <c r="G4380" s="2">
        <v>98</v>
      </c>
      <c r="H4380" t="s">
        <v>4606</v>
      </c>
      <c r="J4380" s="9" t="s">
        <v>4939</v>
      </c>
      <c r="K4380" t="s">
        <v>5480</v>
      </c>
      <c r="L4380" s="2">
        <v>1</v>
      </c>
      <c r="M4380" s="24" t="s">
        <v>5971</v>
      </c>
      <c r="N4380" s="2" t="s">
        <v>23</v>
      </c>
      <c r="O4380" s="18" t="s">
        <v>3312</v>
      </c>
      <c r="P4380" s="18" t="s">
        <v>0</v>
      </c>
      <c r="Q4380" s="6" t="s">
        <v>4475</v>
      </c>
      <c r="T4380" s="23">
        <v>46134</v>
      </c>
      <c r="U4380" s="23">
        <v>46224</v>
      </c>
      <c r="X4380" s="20">
        <v>3960</v>
      </c>
      <c r="Z4380" s="6" t="s">
        <v>5978</v>
      </c>
      <c r="AA4380" s="14">
        <f t="shared" si="580"/>
        <v>5.9999999999999995E-4</v>
      </c>
      <c r="AB4380">
        <v>2.3759999999999999</v>
      </c>
      <c r="AC4380">
        <v>2.4710399999999999</v>
      </c>
    </row>
    <row r="4381" spans="1:29" x14ac:dyDescent="0.3">
      <c r="A4381">
        <v>151105</v>
      </c>
      <c r="B4381" s="25" t="s">
        <v>5984</v>
      </c>
      <c r="C4381" t="s">
        <v>20</v>
      </c>
      <c r="D4381" t="s">
        <v>21</v>
      </c>
      <c r="E4381">
        <v>2222222</v>
      </c>
      <c r="F4381" s="8" t="s">
        <v>22</v>
      </c>
      <c r="G4381" s="2">
        <v>98</v>
      </c>
      <c r="H4381" t="s">
        <v>4606</v>
      </c>
      <c r="J4381" s="9" t="s">
        <v>5322</v>
      </c>
      <c r="K4381" t="s">
        <v>5298</v>
      </c>
      <c r="L4381" s="2">
        <v>1</v>
      </c>
      <c r="M4381" s="24" t="s">
        <v>5971</v>
      </c>
      <c r="N4381" s="2" t="s">
        <v>23</v>
      </c>
      <c r="O4381" s="18" t="s">
        <v>3332</v>
      </c>
      <c r="P4381" s="18" t="s">
        <v>0</v>
      </c>
      <c r="Q4381" s="6" t="s">
        <v>4475</v>
      </c>
      <c r="T4381" s="23">
        <v>46139</v>
      </c>
      <c r="U4381" s="23">
        <v>46292</v>
      </c>
      <c r="X4381" s="20">
        <v>420</v>
      </c>
      <c r="Z4381" s="6" t="s">
        <v>5978</v>
      </c>
      <c r="AA4381" s="14">
        <f t="shared" si="580"/>
        <v>5.9999999999999995E-4</v>
      </c>
      <c r="AB4381">
        <v>0.10294199999999999</v>
      </c>
      <c r="AC4381">
        <v>0.10705967999999999</v>
      </c>
    </row>
    <row r="4382" spans="1:29" x14ac:dyDescent="0.3">
      <c r="A4382">
        <v>151280</v>
      </c>
      <c r="B4382" s="25" t="s">
        <v>5984</v>
      </c>
      <c r="C4382" t="s">
        <v>20</v>
      </c>
      <c r="D4382" t="s">
        <v>21</v>
      </c>
      <c r="E4382">
        <v>2222222</v>
      </c>
      <c r="F4382" s="8" t="s">
        <v>22</v>
      </c>
      <c r="G4382" s="2">
        <v>98</v>
      </c>
      <c r="H4382" t="s">
        <v>4606</v>
      </c>
      <c r="J4382" s="9" t="s">
        <v>5316</v>
      </c>
      <c r="K4382" t="s">
        <v>5064</v>
      </c>
      <c r="L4382" s="2">
        <v>1</v>
      </c>
      <c r="M4382" s="24" t="s">
        <v>5971</v>
      </c>
      <c r="N4382" s="2" t="s">
        <v>23</v>
      </c>
      <c r="O4382" s="18" t="s">
        <v>3333</v>
      </c>
      <c r="P4382" s="18" t="s">
        <v>0</v>
      </c>
      <c r="Q4382" s="6" t="s">
        <v>4475</v>
      </c>
      <c r="T4382" s="23">
        <v>46153</v>
      </c>
      <c r="U4382" s="23">
        <v>47613</v>
      </c>
      <c r="X4382" s="20">
        <v>5000</v>
      </c>
      <c r="Z4382" s="6" t="s">
        <v>5978</v>
      </c>
      <c r="AA4382" s="14">
        <f t="shared" si="580"/>
        <v>5.9999999999999995E-4</v>
      </c>
      <c r="AB4382">
        <v>2.9123100000000002</v>
      </c>
      <c r="AC4382">
        <v>3.0288024000000004</v>
      </c>
    </row>
    <row r="4383" spans="1:29" x14ac:dyDescent="0.3">
      <c r="A4383">
        <v>151627</v>
      </c>
      <c r="B4383" s="25" t="s">
        <v>5984</v>
      </c>
      <c r="C4383" t="s">
        <v>20</v>
      </c>
      <c r="D4383" t="s">
        <v>21</v>
      </c>
      <c r="E4383">
        <v>2222222</v>
      </c>
      <c r="F4383" s="8" t="s">
        <v>22</v>
      </c>
      <c r="G4383" s="2">
        <v>98</v>
      </c>
      <c r="H4383" t="s">
        <v>4606</v>
      </c>
      <c r="J4383" s="9" t="s">
        <v>5388</v>
      </c>
      <c r="K4383" t="s">
        <v>4924</v>
      </c>
      <c r="L4383" s="2">
        <v>1</v>
      </c>
      <c r="M4383" s="24" t="s">
        <v>5971</v>
      </c>
      <c r="N4383" s="2" t="s">
        <v>23</v>
      </c>
      <c r="O4383" s="18" t="s">
        <v>3311</v>
      </c>
      <c r="P4383" s="18" t="s">
        <v>3781</v>
      </c>
      <c r="Q4383" s="6" t="s">
        <v>4475</v>
      </c>
      <c r="T4383" s="23">
        <v>46176</v>
      </c>
      <c r="U4383" s="23">
        <v>46268</v>
      </c>
      <c r="X4383" s="20">
        <v>900</v>
      </c>
      <c r="Z4383" s="6" t="s">
        <v>5978</v>
      </c>
      <c r="AA4383" s="14">
        <f t="shared" si="580"/>
        <v>5.9999999999999995E-4</v>
      </c>
      <c r="AB4383">
        <v>0.53999999999999992</v>
      </c>
      <c r="AC4383">
        <v>0.56159999999999999</v>
      </c>
    </row>
    <row r="4384" spans="1:29" x14ac:dyDescent="0.3">
      <c r="A4384">
        <v>151633</v>
      </c>
      <c r="B4384" s="25" t="s">
        <v>5984</v>
      </c>
      <c r="C4384" t="s">
        <v>20</v>
      </c>
      <c r="D4384" t="s">
        <v>21</v>
      </c>
      <c r="E4384">
        <v>2222222</v>
      </c>
      <c r="F4384" s="8" t="s">
        <v>22</v>
      </c>
      <c r="G4384" s="2">
        <v>98</v>
      </c>
      <c r="H4384" t="s">
        <v>4606</v>
      </c>
      <c r="J4384" s="9" t="s">
        <v>5240</v>
      </c>
      <c r="K4384" t="s">
        <v>4949</v>
      </c>
      <c r="L4384" s="2">
        <v>1</v>
      </c>
      <c r="M4384" s="24" t="s">
        <v>5971</v>
      </c>
      <c r="N4384" s="2" t="s">
        <v>23</v>
      </c>
      <c r="O4384" s="18" t="s">
        <v>2490</v>
      </c>
      <c r="P4384" s="18" t="s">
        <v>0</v>
      </c>
      <c r="Q4384" s="6" t="s">
        <v>4475</v>
      </c>
      <c r="T4384" s="23">
        <v>46176</v>
      </c>
      <c r="U4384" s="23">
        <v>46541</v>
      </c>
      <c r="X4384" s="20">
        <v>420</v>
      </c>
      <c r="Z4384" s="6" t="s">
        <v>5978</v>
      </c>
      <c r="AA4384" s="14">
        <f t="shared" si="580"/>
        <v>5.9999999999999995E-4</v>
      </c>
      <c r="AB4384">
        <v>0.23255999999999999</v>
      </c>
      <c r="AC4384">
        <v>0.24186240000000001</v>
      </c>
    </row>
    <row r="4385" spans="1:29" x14ac:dyDescent="0.3">
      <c r="A4385">
        <v>151695</v>
      </c>
      <c r="B4385" s="25" t="s">
        <v>5984</v>
      </c>
      <c r="C4385" t="s">
        <v>20</v>
      </c>
      <c r="D4385" t="s">
        <v>21</v>
      </c>
      <c r="E4385">
        <v>2222222</v>
      </c>
      <c r="F4385" s="8" t="s">
        <v>22</v>
      </c>
      <c r="G4385" s="2">
        <v>98</v>
      </c>
      <c r="H4385" t="s">
        <v>4606</v>
      </c>
      <c r="J4385" s="9" t="s">
        <v>4970</v>
      </c>
      <c r="K4385" t="s">
        <v>5679</v>
      </c>
      <c r="L4385" s="2">
        <v>1</v>
      </c>
      <c r="M4385" s="24" t="s">
        <v>5971</v>
      </c>
      <c r="N4385" s="2" t="s">
        <v>23</v>
      </c>
      <c r="O4385" s="18" t="s">
        <v>2684</v>
      </c>
      <c r="P4385" s="18" t="s">
        <v>3781</v>
      </c>
      <c r="Q4385" s="6" t="s">
        <v>4475</v>
      </c>
      <c r="T4385" s="23">
        <v>46188</v>
      </c>
      <c r="U4385" s="23">
        <v>46919</v>
      </c>
      <c r="X4385" s="20">
        <v>1000</v>
      </c>
      <c r="Z4385" s="6" t="s">
        <v>5978</v>
      </c>
      <c r="AA4385" s="14">
        <f t="shared" si="580"/>
        <v>5.9999999999999995E-4</v>
      </c>
      <c r="AB4385">
        <v>0.578766</v>
      </c>
      <c r="AC4385">
        <v>0.60191664</v>
      </c>
    </row>
    <row r="4386" spans="1:29" x14ac:dyDescent="0.3">
      <c r="A4386">
        <v>151765</v>
      </c>
      <c r="B4386" s="25" t="s">
        <v>5984</v>
      </c>
      <c r="C4386" t="s">
        <v>20</v>
      </c>
      <c r="D4386" t="s">
        <v>21</v>
      </c>
      <c r="E4386">
        <v>2222222</v>
      </c>
      <c r="F4386" s="8" t="s">
        <v>22</v>
      </c>
      <c r="G4386" s="2">
        <v>98</v>
      </c>
      <c r="H4386" t="s">
        <v>4606</v>
      </c>
      <c r="J4386" s="9" t="s">
        <v>4853</v>
      </c>
      <c r="K4386" t="s">
        <v>5144</v>
      </c>
      <c r="L4386" s="2">
        <v>1</v>
      </c>
      <c r="M4386" s="24" t="s">
        <v>5971</v>
      </c>
      <c r="N4386" s="2" t="s">
        <v>23</v>
      </c>
      <c r="O4386" s="18" t="s">
        <v>3334</v>
      </c>
      <c r="P4386" s="18" t="s">
        <v>0</v>
      </c>
      <c r="Q4386" s="6" t="s">
        <v>4475</v>
      </c>
      <c r="T4386" s="23">
        <v>46185</v>
      </c>
      <c r="U4386" s="23">
        <v>46916</v>
      </c>
      <c r="X4386" s="20">
        <v>3000</v>
      </c>
      <c r="Z4386" s="6" t="s">
        <v>5978</v>
      </c>
      <c r="AA4386" s="14">
        <f t="shared" si="580"/>
        <v>5.9999999999999995E-4</v>
      </c>
      <c r="AB4386">
        <v>1.7369219999999999</v>
      </c>
      <c r="AC4386">
        <v>1.8063988799999999</v>
      </c>
    </row>
    <row r="4387" spans="1:29" x14ac:dyDescent="0.3">
      <c r="A4387">
        <v>151874</v>
      </c>
      <c r="B4387" s="25" t="s">
        <v>5984</v>
      </c>
      <c r="C4387" t="s">
        <v>20</v>
      </c>
      <c r="D4387" t="s">
        <v>21</v>
      </c>
      <c r="E4387">
        <v>2222222</v>
      </c>
      <c r="F4387" s="8" t="s">
        <v>22</v>
      </c>
      <c r="G4387" s="2">
        <v>98</v>
      </c>
      <c r="H4387" t="s">
        <v>4606</v>
      </c>
      <c r="J4387" s="9" t="s">
        <v>5193</v>
      </c>
      <c r="K4387" t="s">
        <v>5144</v>
      </c>
      <c r="L4387" s="2">
        <v>1</v>
      </c>
      <c r="M4387" s="24" t="s">
        <v>5971</v>
      </c>
      <c r="N4387" s="2" t="s">
        <v>23</v>
      </c>
      <c r="O4387" s="18" t="s">
        <v>3335</v>
      </c>
      <c r="P4387" s="18" t="s">
        <v>0</v>
      </c>
      <c r="Q4387" s="6" t="s">
        <v>4475</v>
      </c>
      <c r="T4387" s="23">
        <v>46192</v>
      </c>
      <c r="U4387" s="23">
        <v>46282</v>
      </c>
      <c r="X4387" s="20">
        <v>4000</v>
      </c>
      <c r="Z4387" s="6" t="s">
        <v>5978</v>
      </c>
      <c r="AA4387" s="14">
        <f t="shared" si="580"/>
        <v>5.9999999999999995E-4</v>
      </c>
      <c r="AB4387">
        <v>2.4</v>
      </c>
      <c r="AC4387">
        <v>2.496</v>
      </c>
    </row>
    <row r="4388" spans="1:29" x14ac:dyDescent="0.3">
      <c r="A4388">
        <v>152146</v>
      </c>
      <c r="B4388" s="25" t="s">
        <v>5984</v>
      </c>
      <c r="C4388" t="s">
        <v>20</v>
      </c>
      <c r="D4388" t="s">
        <v>21</v>
      </c>
      <c r="E4388">
        <v>2222222</v>
      </c>
      <c r="F4388" s="8" t="s">
        <v>22</v>
      </c>
      <c r="G4388" s="2">
        <v>98</v>
      </c>
      <c r="H4388" t="s">
        <v>4606</v>
      </c>
      <c r="J4388" s="9" t="s">
        <v>5193</v>
      </c>
      <c r="K4388" t="s">
        <v>5144</v>
      </c>
      <c r="L4388" s="2">
        <v>1</v>
      </c>
      <c r="M4388" s="24" t="s">
        <v>5971</v>
      </c>
      <c r="N4388" s="2" t="s">
        <v>23</v>
      </c>
      <c r="O4388" s="18" t="s">
        <v>3335</v>
      </c>
      <c r="P4388" s="18" t="s">
        <v>0</v>
      </c>
      <c r="Q4388" s="6" t="s">
        <v>4475</v>
      </c>
      <c r="T4388" s="23">
        <v>46225</v>
      </c>
      <c r="U4388" s="23">
        <v>47685</v>
      </c>
      <c r="X4388" s="20">
        <v>35000</v>
      </c>
      <c r="Z4388" s="6" t="s">
        <v>5978</v>
      </c>
      <c r="AA4388" s="14">
        <f t="shared" si="580"/>
        <v>5.9999999999999995E-4</v>
      </c>
      <c r="AB4388">
        <v>20.999999999999996</v>
      </c>
      <c r="AC4388">
        <v>21.839999999999996</v>
      </c>
    </row>
    <row r="4389" spans="1:29" x14ac:dyDescent="0.3">
      <c r="A4389">
        <v>152154</v>
      </c>
      <c r="B4389" s="25" t="s">
        <v>5984</v>
      </c>
      <c r="C4389" t="s">
        <v>20</v>
      </c>
      <c r="D4389" t="s">
        <v>21</v>
      </c>
      <c r="E4389">
        <v>2222222</v>
      </c>
      <c r="F4389" s="8" t="s">
        <v>22</v>
      </c>
      <c r="G4389" s="2">
        <v>98</v>
      </c>
      <c r="H4389" t="s">
        <v>4606</v>
      </c>
      <c r="J4389" s="9" t="s">
        <v>5098</v>
      </c>
      <c r="K4389" t="s">
        <v>5075</v>
      </c>
      <c r="L4389" s="2">
        <v>1</v>
      </c>
      <c r="M4389" s="24" t="s">
        <v>5971</v>
      </c>
      <c r="N4389" s="2" t="s">
        <v>23</v>
      </c>
      <c r="O4389" s="18" t="s">
        <v>3336</v>
      </c>
      <c r="P4389" s="18" t="s">
        <v>3781</v>
      </c>
      <c r="Q4389" s="6" t="s">
        <v>4475</v>
      </c>
      <c r="T4389" s="23">
        <v>46216</v>
      </c>
      <c r="U4389" s="23">
        <v>46306</v>
      </c>
      <c r="X4389" s="20">
        <v>300</v>
      </c>
      <c r="Z4389" s="6" t="s">
        <v>5978</v>
      </c>
      <c r="AA4389" s="14">
        <f t="shared" si="580"/>
        <v>5.9999999999999995E-4</v>
      </c>
      <c r="AB4389">
        <v>0.18</v>
      </c>
      <c r="AC4389">
        <v>0.18720000000000001</v>
      </c>
    </row>
    <row r="4390" spans="1:29" x14ac:dyDescent="0.3">
      <c r="A4390">
        <v>152158</v>
      </c>
      <c r="B4390" s="25" t="s">
        <v>5984</v>
      </c>
      <c r="C4390" t="s">
        <v>20</v>
      </c>
      <c r="D4390" t="s">
        <v>21</v>
      </c>
      <c r="E4390">
        <v>2222222</v>
      </c>
      <c r="F4390" s="8" t="s">
        <v>22</v>
      </c>
      <c r="G4390" s="2">
        <v>98</v>
      </c>
      <c r="H4390" t="s">
        <v>4606</v>
      </c>
      <c r="J4390" s="9" t="s">
        <v>4911</v>
      </c>
      <c r="K4390" t="s">
        <v>4921</v>
      </c>
      <c r="L4390" s="2">
        <v>1</v>
      </c>
      <c r="M4390" s="24" t="s">
        <v>5971</v>
      </c>
      <c r="N4390" s="2" t="s">
        <v>23</v>
      </c>
      <c r="O4390" s="18" t="s">
        <v>3226</v>
      </c>
      <c r="P4390" s="18" t="s">
        <v>3781</v>
      </c>
      <c r="Q4390" s="6" t="s">
        <v>4475</v>
      </c>
      <c r="T4390" s="23">
        <v>46216</v>
      </c>
      <c r="U4390" s="23">
        <v>46246</v>
      </c>
      <c r="X4390" s="20">
        <v>4000</v>
      </c>
      <c r="Z4390" s="6" t="s">
        <v>5978</v>
      </c>
      <c r="AA4390" s="14">
        <f t="shared" si="580"/>
        <v>5.9999999999999995E-4</v>
      </c>
      <c r="AB4390">
        <v>2.4</v>
      </c>
      <c r="AC4390">
        <v>2.496</v>
      </c>
    </row>
    <row r="4391" spans="1:29" x14ac:dyDescent="0.3">
      <c r="A4391">
        <v>152220</v>
      </c>
      <c r="B4391" s="25" t="s">
        <v>5984</v>
      </c>
      <c r="C4391" t="s">
        <v>20</v>
      </c>
      <c r="D4391" t="s">
        <v>21</v>
      </c>
      <c r="E4391">
        <v>2222222</v>
      </c>
      <c r="F4391" s="8" t="s">
        <v>22</v>
      </c>
      <c r="G4391" s="2">
        <v>98</v>
      </c>
      <c r="H4391" t="s">
        <v>4606</v>
      </c>
      <c r="J4391" s="9" t="s">
        <v>4911</v>
      </c>
      <c r="K4391" t="s">
        <v>5169</v>
      </c>
      <c r="L4391" s="2">
        <v>1</v>
      </c>
      <c r="M4391" s="24" t="s">
        <v>5971</v>
      </c>
      <c r="N4391" s="2" t="s">
        <v>23</v>
      </c>
      <c r="O4391" s="18" t="s">
        <v>3032</v>
      </c>
      <c r="P4391" s="18" t="s">
        <v>3781</v>
      </c>
      <c r="Q4391" s="6" t="s">
        <v>4475</v>
      </c>
      <c r="T4391" s="23">
        <v>46220</v>
      </c>
      <c r="U4391" s="23">
        <v>46588</v>
      </c>
      <c r="X4391" s="20">
        <v>5000</v>
      </c>
      <c r="Z4391" s="6" t="s">
        <v>5978</v>
      </c>
      <c r="AA4391" s="14">
        <f t="shared" si="580"/>
        <v>5.9999999999999995E-4</v>
      </c>
      <c r="AB4391">
        <v>2.9999999999999996</v>
      </c>
      <c r="AC4391">
        <v>3.1199999999999997</v>
      </c>
    </row>
    <row r="4392" spans="1:29" x14ac:dyDescent="0.3">
      <c r="A4392">
        <v>152264</v>
      </c>
      <c r="B4392" s="25" t="s">
        <v>5984</v>
      </c>
      <c r="C4392" t="s">
        <v>20</v>
      </c>
      <c r="D4392" t="s">
        <v>21</v>
      </c>
      <c r="E4392">
        <v>2222222</v>
      </c>
      <c r="F4392" s="8" t="s">
        <v>22</v>
      </c>
      <c r="G4392" s="2">
        <v>98</v>
      </c>
      <c r="H4392" t="s">
        <v>4606</v>
      </c>
      <c r="J4392" s="9" t="s">
        <v>4836</v>
      </c>
      <c r="K4392" t="s">
        <v>5038</v>
      </c>
      <c r="L4392" s="2">
        <v>1</v>
      </c>
      <c r="M4392" s="24" t="s">
        <v>5971</v>
      </c>
      <c r="N4392" s="2" t="s">
        <v>23</v>
      </c>
      <c r="O4392" s="18" t="s">
        <v>3337</v>
      </c>
      <c r="P4392" s="18" t="s">
        <v>3781</v>
      </c>
      <c r="Q4392" s="6" t="s">
        <v>4475</v>
      </c>
      <c r="T4392" s="23">
        <v>46224</v>
      </c>
      <c r="U4392" s="23">
        <v>46314</v>
      </c>
      <c r="X4392" s="20">
        <v>3000</v>
      </c>
      <c r="Z4392" s="6" t="s">
        <v>5978</v>
      </c>
      <c r="AA4392" s="14">
        <f t="shared" si="580"/>
        <v>5.9999999999999995E-4</v>
      </c>
      <c r="AB4392">
        <v>1.7999999999999998</v>
      </c>
      <c r="AC4392">
        <v>1.8719999999999999</v>
      </c>
    </row>
    <row r="4393" spans="1:29" x14ac:dyDescent="0.3">
      <c r="A4393">
        <v>152282</v>
      </c>
      <c r="B4393" s="25" t="s">
        <v>5984</v>
      </c>
      <c r="C4393" t="s">
        <v>20</v>
      </c>
      <c r="D4393" t="s">
        <v>21</v>
      </c>
      <c r="E4393">
        <v>2222222</v>
      </c>
      <c r="F4393" s="8" t="s">
        <v>22</v>
      </c>
      <c r="G4393" s="2">
        <v>98</v>
      </c>
      <c r="H4393" t="s">
        <v>4606</v>
      </c>
      <c r="J4393" s="9" t="s">
        <v>5045</v>
      </c>
      <c r="K4393" t="s">
        <v>4924</v>
      </c>
      <c r="L4393" s="2">
        <v>1</v>
      </c>
      <c r="M4393" s="24" t="s">
        <v>5971</v>
      </c>
      <c r="N4393" s="2" t="s">
        <v>23</v>
      </c>
      <c r="O4393" s="18" t="s">
        <v>3338</v>
      </c>
      <c r="P4393" s="18" t="s">
        <v>3781</v>
      </c>
      <c r="Q4393" s="6" t="s">
        <v>4475</v>
      </c>
      <c r="T4393" s="23">
        <v>46224</v>
      </c>
      <c r="U4393" s="23">
        <v>46772</v>
      </c>
      <c r="X4393" s="20">
        <v>1500</v>
      </c>
      <c r="Z4393" s="6" t="s">
        <v>5978</v>
      </c>
      <c r="AA4393" s="14">
        <f t="shared" si="580"/>
        <v>5.9999999999999995E-4</v>
      </c>
      <c r="AB4393">
        <v>0.89999999999999991</v>
      </c>
      <c r="AC4393">
        <v>0.93599999999999994</v>
      </c>
    </row>
    <row r="4394" spans="1:29" x14ac:dyDescent="0.3">
      <c r="A4394">
        <v>152334</v>
      </c>
      <c r="B4394" s="25" t="s">
        <v>5984</v>
      </c>
      <c r="C4394" t="s">
        <v>20</v>
      </c>
      <c r="D4394" t="s">
        <v>21</v>
      </c>
      <c r="E4394">
        <v>2222222</v>
      </c>
      <c r="F4394" s="8" t="s">
        <v>22</v>
      </c>
      <c r="G4394" s="2">
        <v>98</v>
      </c>
      <c r="H4394" t="s">
        <v>4606</v>
      </c>
      <c r="J4394" s="9" t="s">
        <v>5322</v>
      </c>
      <c r="K4394" t="s">
        <v>5386</v>
      </c>
      <c r="L4394" s="2">
        <v>1</v>
      </c>
      <c r="M4394" s="24" t="s">
        <v>5971</v>
      </c>
      <c r="N4394" s="2" t="s">
        <v>23</v>
      </c>
      <c r="O4394" s="18" t="s">
        <v>2741</v>
      </c>
      <c r="P4394" s="18" t="s">
        <v>0</v>
      </c>
      <c r="Q4394" s="6" t="s">
        <v>4475</v>
      </c>
      <c r="T4394" s="23">
        <v>46230</v>
      </c>
      <c r="U4394" s="23">
        <v>47325</v>
      </c>
      <c r="X4394" s="20">
        <v>3000</v>
      </c>
      <c r="Z4394" s="6" t="s">
        <v>5978</v>
      </c>
      <c r="AA4394" s="14">
        <f t="shared" si="580"/>
        <v>5.9999999999999995E-4</v>
      </c>
      <c r="AB4394">
        <v>1.7999999999999998</v>
      </c>
      <c r="AC4394">
        <v>1.8719999999999999</v>
      </c>
    </row>
    <row r="4395" spans="1:29" x14ac:dyDescent="0.3">
      <c r="A4395">
        <v>152361</v>
      </c>
      <c r="B4395" s="25" t="s">
        <v>5984</v>
      </c>
      <c r="C4395" t="s">
        <v>20</v>
      </c>
      <c r="D4395" t="s">
        <v>21</v>
      </c>
      <c r="E4395">
        <v>2222222</v>
      </c>
      <c r="F4395" s="8" t="s">
        <v>22</v>
      </c>
      <c r="G4395" s="2">
        <v>98</v>
      </c>
      <c r="H4395" t="s">
        <v>4606</v>
      </c>
      <c r="J4395" s="9" t="s">
        <v>5865</v>
      </c>
      <c r="K4395" t="s">
        <v>5085</v>
      </c>
      <c r="L4395" s="2">
        <v>1</v>
      </c>
      <c r="M4395" s="24" t="s">
        <v>5971</v>
      </c>
      <c r="N4395" s="2" t="s">
        <v>23</v>
      </c>
      <c r="O4395" s="18" t="s">
        <v>3339</v>
      </c>
      <c r="P4395" s="18" t="s">
        <v>0</v>
      </c>
      <c r="Q4395" s="6" t="s">
        <v>4475</v>
      </c>
      <c r="T4395" s="23">
        <v>46232</v>
      </c>
      <c r="U4395" s="23">
        <v>46962</v>
      </c>
      <c r="X4395" s="20">
        <v>1500</v>
      </c>
      <c r="Z4395" s="6" t="s">
        <v>5978</v>
      </c>
      <c r="AA4395" s="14">
        <f t="shared" si="580"/>
        <v>5.9999999999999995E-4</v>
      </c>
      <c r="AB4395">
        <v>0.89999999999999991</v>
      </c>
      <c r="AC4395">
        <v>0.93599999999999994</v>
      </c>
    </row>
    <row r="4396" spans="1:29" x14ac:dyDescent="0.3">
      <c r="A4396">
        <v>141958</v>
      </c>
      <c r="B4396" s="25" t="s">
        <v>5984</v>
      </c>
      <c r="C4396" t="s">
        <v>20</v>
      </c>
      <c r="D4396" t="s">
        <v>21</v>
      </c>
      <c r="E4396">
        <v>2222222</v>
      </c>
      <c r="F4396" s="8" t="s">
        <v>22</v>
      </c>
      <c r="G4396" s="2">
        <v>98</v>
      </c>
      <c r="H4396" t="s">
        <v>4607</v>
      </c>
      <c r="J4396" s="9" t="s">
        <v>5120</v>
      </c>
      <c r="K4396" t="s">
        <v>5064</v>
      </c>
      <c r="L4396" s="2">
        <v>1</v>
      </c>
      <c r="M4396" s="24" t="s">
        <v>5971</v>
      </c>
      <c r="N4396" s="2" t="s">
        <v>23</v>
      </c>
      <c r="O4396" s="18" t="s">
        <v>3340</v>
      </c>
      <c r="P4396" s="18" t="s">
        <v>0</v>
      </c>
      <c r="Q4396" s="6" t="s">
        <v>4475</v>
      </c>
      <c r="T4396" s="23">
        <v>45488</v>
      </c>
      <c r="U4396" s="23">
        <v>46948</v>
      </c>
      <c r="X4396" s="20">
        <v>4500</v>
      </c>
      <c r="Z4396" s="6" t="s">
        <v>5978</v>
      </c>
      <c r="AA4396" s="14">
        <f t="shared" si="580"/>
        <v>5.9999999999999995E-4</v>
      </c>
      <c r="AB4396">
        <v>1.6036979999999998</v>
      </c>
      <c r="AC4396">
        <v>1.66784592</v>
      </c>
    </row>
    <row r="4397" spans="1:29" x14ac:dyDescent="0.3">
      <c r="A4397">
        <v>144202</v>
      </c>
      <c r="B4397" s="25" t="s">
        <v>5984</v>
      </c>
      <c r="C4397" t="s">
        <v>20</v>
      </c>
      <c r="D4397" t="s">
        <v>21</v>
      </c>
      <c r="E4397">
        <v>2222222</v>
      </c>
      <c r="F4397" s="8" t="s">
        <v>22</v>
      </c>
      <c r="G4397" s="2">
        <v>98</v>
      </c>
      <c r="H4397" t="s">
        <v>4607</v>
      </c>
      <c r="J4397" s="9" t="s">
        <v>4849</v>
      </c>
      <c r="K4397" t="s">
        <v>4980</v>
      </c>
      <c r="L4397" s="2">
        <v>1</v>
      </c>
      <c r="M4397" s="24" t="s">
        <v>5971</v>
      </c>
      <c r="N4397" s="2" t="s">
        <v>23</v>
      </c>
      <c r="O4397" s="18" t="s">
        <v>2697</v>
      </c>
      <c r="P4397" s="18" t="s">
        <v>3781</v>
      </c>
      <c r="Q4397" s="6" t="s">
        <v>4475</v>
      </c>
      <c r="T4397" s="23">
        <v>45645</v>
      </c>
      <c r="U4397" s="23">
        <v>46374</v>
      </c>
      <c r="X4397" s="20">
        <v>2880</v>
      </c>
      <c r="Z4397" s="6" t="s">
        <v>5978</v>
      </c>
      <c r="AA4397" s="14">
        <f t="shared" si="580"/>
        <v>5.9999999999999995E-4</v>
      </c>
      <c r="AB4397">
        <v>0.40886400000000001</v>
      </c>
      <c r="AC4397">
        <v>0.42521856000000002</v>
      </c>
    </row>
    <row r="4398" spans="1:29" x14ac:dyDescent="0.3">
      <c r="A4398">
        <v>147362</v>
      </c>
      <c r="B4398" s="25" t="s">
        <v>5984</v>
      </c>
      <c r="C4398" t="s">
        <v>20</v>
      </c>
      <c r="D4398" t="s">
        <v>21</v>
      </c>
      <c r="E4398">
        <v>2222222</v>
      </c>
      <c r="F4398" s="8" t="s">
        <v>22</v>
      </c>
      <c r="G4398" s="2">
        <v>98</v>
      </c>
      <c r="H4398" t="s">
        <v>4607</v>
      </c>
      <c r="J4398" s="9" t="s">
        <v>4891</v>
      </c>
      <c r="K4398" t="s">
        <v>4932</v>
      </c>
      <c r="L4398" s="2">
        <v>1</v>
      </c>
      <c r="M4398" s="24" t="s">
        <v>5971</v>
      </c>
      <c r="N4398" s="2" t="s">
        <v>23</v>
      </c>
      <c r="O4398" s="18" t="s">
        <v>3341</v>
      </c>
      <c r="P4398" s="18" t="s">
        <v>3781</v>
      </c>
      <c r="Q4398" s="6" t="s">
        <v>4475</v>
      </c>
      <c r="T4398" s="23">
        <v>45888</v>
      </c>
      <c r="U4398" s="23">
        <v>47348</v>
      </c>
      <c r="X4398" s="20">
        <v>10000</v>
      </c>
      <c r="Z4398" s="6" t="s">
        <v>5978</v>
      </c>
      <c r="AA4398" s="14">
        <f t="shared" si="580"/>
        <v>5.9999999999999995E-4</v>
      </c>
      <c r="AB4398">
        <v>4.9406699999999999</v>
      </c>
      <c r="AC4398">
        <v>5.1382968</v>
      </c>
    </row>
    <row r="4399" spans="1:29" x14ac:dyDescent="0.3">
      <c r="A4399">
        <v>147408</v>
      </c>
      <c r="B4399" s="25" t="s">
        <v>5984</v>
      </c>
      <c r="C4399" t="s">
        <v>20</v>
      </c>
      <c r="D4399" t="s">
        <v>21</v>
      </c>
      <c r="E4399">
        <v>2222222</v>
      </c>
      <c r="F4399" s="8" t="s">
        <v>22</v>
      </c>
      <c r="G4399" s="2">
        <v>98</v>
      </c>
      <c r="H4399" t="s">
        <v>4607</v>
      </c>
      <c r="J4399" s="9" t="s">
        <v>4911</v>
      </c>
      <c r="K4399" t="s">
        <v>5196</v>
      </c>
      <c r="L4399" s="2">
        <v>1</v>
      </c>
      <c r="M4399" s="24" t="s">
        <v>5971</v>
      </c>
      <c r="N4399" s="2" t="s">
        <v>23</v>
      </c>
      <c r="O4399" s="18" t="s">
        <v>3342</v>
      </c>
      <c r="P4399" s="18" t="s">
        <v>3781</v>
      </c>
      <c r="Q4399" s="6" t="s">
        <v>4475</v>
      </c>
      <c r="T4399" s="23">
        <v>45887</v>
      </c>
      <c r="U4399" s="23">
        <v>47347</v>
      </c>
      <c r="X4399" s="20">
        <v>5000</v>
      </c>
      <c r="Z4399" s="6" t="s">
        <v>5978</v>
      </c>
      <c r="AA4399" s="14">
        <f t="shared" si="580"/>
        <v>5.9999999999999995E-4</v>
      </c>
      <c r="AB4399">
        <v>2.4882239999999998</v>
      </c>
      <c r="AC4399">
        <v>2.58775296</v>
      </c>
    </row>
    <row r="4400" spans="1:29" x14ac:dyDescent="0.3">
      <c r="A4400">
        <v>147913</v>
      </c>
      <c r="B4400" s="25" t="s">
        <v>5984</v>
      </c>
      <c r="C4400" t="s">
        <v>20</v>
      </c>
      <c r="D4400" t="s">
        <v>21</v>
      </c>
      <c r="E4400">
        <v>2222222</v>
      </c>
      <c r="F4400" s="8" t="s">
        <v>22</v>
      </c>
      <c r="G4400" s="2">
        <v>98</v>
      </c>
      <c r="H4400" t="s">
        <v>4607</v>
      </c>
      <c r="J4400" s="9" t="s">
        <v>5120</v>
      </c>
      <c r="K4400" t="s">
        <v>5064</v>
      </c>
      <c r="L4400" s="2">
        <v>1</v>
      </c>
      <c r="M4400" s="24" t="s">
        <v>5971</v>
      </c>
      <c r="N4400" s="2" t="s">
        <v>23</v>
      </c>
      <c r="O4400" s="18" t="s">
        <v>3340</v>
      </c>
      <c r="P4400" s="18" t="s">
        <v>0</v>
      </c>
      <c r="Q4400" s="6" t="s">
        <v>4475</v>
      </c>
      <c r="T4400" s="23">
        <v>45922</v>
      </c>
      <c r="U4400" s="23">
        <v>46468</v>
      </c>
      <c r="X4400" s="20">
        <v>700</v>
      </c>
      <c r="Z4400" s="6" t="s">
        <v>5978</v>
      </c>
      <c r="AA4400" s="14">
        <f t="shared" si="580"/>
        <v>5.9999999999999995E-4</v>
      </c>
      <c r="AB4400">
        <v>0.19984799999999997</v>
      </c>
      <c r="AC4400">
        <v>0.20784191999999999</v>
      </c>
    </row>
    <row r="4401" spans="1:29" x14ac:dyDescent="0.3">
      <c r="A4401">
        <v>149300</v>
      </c>
      <c r="B4401" s="25" t="s">
        <v>5984</v>
      </c>
      <c r="C4401" t="s">
        <v>20</v>
      </c>
      <c r="D4401" t="s">
        <v>21</v>
      </c>
      <c r="E4401">
        <v>2222222</v>
      </c>
      <c r="F4401" s="8" t="s">
        <v>22</v>
      </c>
      <c r="G4401" s="2">
        <v>98</v>
      </c>
      <c r="H4401" t="s">
        <v>4607</v>
      </c>
      <c r="J4401" s="9" t="s">
        <v>5601</v>
      </c>
      <c r="K4401" t="s">
        <v>4928</v>
      </c>
      <c r="L4401" s="2">
        <v>1</v>
      </c>
      <c r="M4401" s="24" t="s">
        <v>5971</v>
      </c>
      <c r="N4401" s="2" t="s">
        <v>23</v>
      </c>
      <c r="O4401" s="18" t="s">
        <v>3343</v>
      </c>
      <c r="P4401" s="18" t="s">
        <v>3781</v>
      </c>
      <c r="Q4401" s="6" t="s">
        <v>4475</v>
      </c>
      <c r="T4401" s="23">
        <v>46014</v>
      </c>
      <c r="U4401" s="23">
        <v>47474</v>
      </c>
      <c r="X4401" s="20">
        <v>5000</v>
      </c>
      <c r="Z4401" s="6" t="s">
        <v>5978</v>
      </c>
      <c r="AA4401" s="14">
        <f t="shared" si="580"/>
        <v>5.9999999999999995E-4</v>
      </c>
      <c r="AB4401">
        <v>2.6827320000000001</v>
      </c>
      <c r="AC4401">
        <v>2.7900412800000001</v>
      </c>
    </row>
    <row r="4402" spans="1:29" x14ac:dyDescent="0.3">
      <c r="A4402">
        <v>149347</v>
      </c>
      <c r="B4402" s="25" t="s">
        <v>5984</v>
      </c>
      <c r="C4402" t="s">
        <v>20</v>
      </c>
      <c r="D4402" t="s">
        <v>21</v>
      </c>
      <c r="E4402">
        <v>2222222</v>
      </c>
      <c r="F4402" s="8" t="s">
        <v>22</v>
      </c>
      <c r="G4402" s="2">
        <v>98</v>
      </c>
      <c r="H4402" t="s">
        <v>4607</v>
      </c>
      <c r="J4402" s="9" t="s">
        <v>5139</v>
      </c>
      <c r="K4402" t="s">
        <v>4887</v>
      </c>
      <c r="L4402" s="2">
        <v>1</v>
      </c>
      <c r="M4402" s="24" t="s">
        <v>5971</v>
      </c>
      <c r="N4402" s="2" t="s">
        <v>23</v>
      </c>
      <c r="O4402" s="18" t="s">
        <v>3344</v>
      </c>
      <c r="P4402" s="18" t="s">
        <v>3781</v>
      </c>
      <c r="Q4402" s="6" t="s">
        <v>4475</v>
      </c>
      <c r="T4402" s="23">
        <v>46017</v>
      </c>
      <c r="U4402" s="23">
        <v>47477</v>
      </c>
      <c r="X4402" s="20">
        <v>5000</v>
      </c>
      <c r="Z4402" s="6" t="s">
        <v>5978</v>
      </c>
      <c r="AA4402" s="14">
        <f t="shared" si="580"/>
        <v>5.9999999999999995E-4</v>
      </c>
      <c r="AB4402">
        <v>2.6827320000000001</v>
      </c>
      <c r="AC4402">
        <v>2.7900412800000001</v>
      </c>
    </row>
    <row r="4403" spans="1:29" x14ac:dyDescent="0.3">
      <c r="A4403">
        <v>146660</v>
      </c>
      <c r="B4403" s="25" t="s">
        <v>5984</v>
      </c>
      <c r="C4403" t="s">
        <v>20</v>
      </c>
      <c r="D4403" t="s">
        <v>21</v>
      </c>
      <c r="E4403">
        <v>2222222</v>
      </c>
      <c r="F4403" s="8" t="s">
        <v>22</v>
      </c>
      <c r="G4403" s="2">
        <v>98</v>
      </c>
      <c r="H4403" t="s">
        <v>4608</v>
      </c>
      <c r="J4403" s="9" t="s">
        <v>4917</v>
      </c>
      <c r="K4403" t="s">
        <v>4885</v>
      </c>
      <c r="L4403" s="2">
        <v>1</v>
      </c>
      <c r="M4403" s="24" t="s">
        <v>5971</v>
      </c>
      <c r="N4403" s="2" t="s">
        <v>23</v>
      </c>
      <c r="O4403" s="18" t="s">
        <v>3345</v>
      </c>
      <c r="P4403" s="18" t="s">
        <v>3781</v>
      </c>
      <c r="Q4403" s="6" t="s">
        <v>4475</v>
      </c>
      <c r="T4403" s="23">
        <v>45833</v>
      </c>
      <c r="U4403" s="23">
        <v>47294</v>
      </c>
      <c r="X4403" s="20">
        <v>4020</v>
      </c>
      <c r="Z4403" s="6" t="s">
        <v>5978</v>
      </c>
      <c r="AA4403" s="14">
        <f t="shared" si="580"/>
        <v>5.9999999999999995E-4</v>
      </c>
      <c r="AB4403">
        <v>2.4119999999999999</v>
      </c>
      <c r="AC4403">
        <v>2.50848</v>
      </c>
    </row>
    <row r="4404" spans="1:29" x14ac:dyDescent="0.3">
      <c r="A4404">
        <v>148496</v>
      </c>
      <c r="B4404" s="25" t="s">
        <v>5984</v>
      </c>
      <c r="C4404" t="s">
        <v>20</v>
      </c>
      <c r="D4404" t="s">
        <v>21</v>
      </c>
      <c r="E4404">
        <v>2222222</v>
      </c>
      <c r="F4404" s="8" t="s">
        <v>22</v>
      </c>
      <c r="G4404" s="2">
        <v>98</v>
      </c>
      <c r="H4404" t="s">
        <v>4609</v>
      </c>
      <c r="J4404" s="9" t="s">
        <v>5007</v>
      </c>
      <c r="K4404" t="s">
        <v>5272</v>
      </c>
      <c r="L4404" s="2">
        <v>1</v>
      </c>
      <c r="M4404" s="24" t="s">
        <v>5971</v>
      </c>
      <c r="N4404" s="2" t="s">
        <v>23</v>
      </c>
      <c r="O4404" s="18" t="s">
        <v>3346</v>
      </c>
      <c r="P4404" s="18" t="s">
        <v>0</v>
      </c>
      <c r="Q4404" s="6" t="s">
        <v>4475</v>
      </c>
      <c r="T4404" s="23">
        <v>45833</v>
      </c>
      <c r="U4404" s="23">
        <v>48375</v>
      </c>
      <c r="X4404" s="20">
        <v>30000</v>
      </c>
      <c r="Z4404" s="6" t="s">
        <v>5978</v>
      </c>
      <c r="AA4404" s="14">
        <f t="shared" si="580"/>
        <v>5.9999999999999995E-4</v>
      </c>
      <c r="AB4404">
        <v>16.214501999999996</v>
      </c>
      <c r="AC4404">
        <v>16.863082079999998</v>
      </c>
    </row>
    <row r="4405" spans="1:29" x14ac:dyDescent="0.3">
      <c r="A4405">
        <v>121036</v>
      </c>
      <c r="B4405" s="25" t="s">
        <v>5984</v>
      </c>
      <c r="C4405" t="s">
        <v>20</v>
      </c>
      <c r="D4405" t="s">
        <v>21</v>
      </c>
      <c r="E4405">
        <v>2222222</v>
      </c>
      <c r="F4405" s="8" t="s">
        <v>22</v>
      </c>
      <c r="G4405" s="2">
        <v>98</v>
      </c>
      <c r="H4405" t="s">
        <v>4610</v>
      </c>
      <c r="J4405" s="9" t="s">
        <v>4852</v>
      </c>
      <c r="K4405" t="s">
        <v>5272</v>
      </c>
      <c r="L4405" s="2">
        <v>1</v>
      </c>
      <c r="M4405" s="24" t="s">
        <v>5971</v>
      </c>
      <c r="N4405" s="2" t="s">
        <v>23</v>
      </c>
      <c r="O4405" s="18" t="s">
        <v>3347</v>
      </c>
      <c r="P4405" s="18" t="s">
        <v>0</v>
      </c>
      <c r="Q4405" s="6" t="s">
        <v>4475</v>
      </c>
      <c r="T4405" s="23">
        <v>44350</v>
      </c>
      <c r="U4405" s="23">
        <v>45080</v>
      </c>
      <c r="X4405" s="20">
        <v>1225</v>
      </c>
      <c r="Z4405" s="6" t="s">
        <v>5978</v>
      </c>
      <c r="AA4405" s="15">
        <f>+(0.42/1000)</f>
        <v>4.1999999999999996E-4</v>
      </c>
      <c r="AB4405">
        <v>0.12924240000000001</v>
      </c>
      <c r="AC4405">
        <v>0.13441209600000001</v>
      </c>
    </row>
    <row r="4406" spans="1:29" x14ac:dyDescent="0.3">
      <c r="A4406">
        <v>135647</v>
      </c>
      <c r="B4406" s="25" t="s">
        <v>5984</v>
      </c>
      <c r="C4406" t="s">
        <v>20</v>
      </c>
      <c r="D4406" t="s">
        <v>21</v>
      </c>
      <c r="E4406">
        <v>2222222</v>
      </c>
      <c r="F4406" s="8" t="s">
        <v>22</v>
      </c>
      <c r="G4406" s="2">
        <v>98</v>
      </c>
      <c r="H4406" t="s">
        <v>4610</v>
      </c>
      <c r="J4406" s="9" t="s">
        <v>4836</v>
      </c>
      <c r="K4406" t="s">
        <v>4985</v>
      </c>
      <c r="L4406" s="2">
        <v>1</v>
      </c>
      <c r="M4406" s="24" t="s">
        <v>5971</v>
      </c>
      <c r="N4406" s="2" t="s">
        <v>23</v>
      </c>
      <c r="O4406" s="18" t="s">
        <v>3348</v>
      </c>
      <c r="P4406" s="18" t="s">
        <v>3781</v>
      </c>
      <c r="Q4406" s="6" t="s">
        <v>4475</v>
      </c>
      <c r="T4406" s="23">
        <v>45125</v>
      </c>
      <c r="U4406" s="23">
        <v>47316</v>
      </c>
      <c r="X4406" s="20">
        <v>10375</v>
      </c>
      <c r="Z4406" s="6" t="s">
        <v>5978</v>
      </c>
      <c r="AA4406" s="13">
        <f>+(0.56/1000)</f>
        <v>5.6000000000000006E-4</v>
      </c>
      <c r="AB4406">
        <v>4.115132</v>
      </c>
      <c r="AC4406">
        <v>4.27973728</v>
      </c>
    </row>
    <row r="4407" spans="1:29" x14ac:dyDescent="0.3">
      <c r="A4407">
        <v>149884</v>
      </c>
      <c r="B4407" s="25" t="s">
        <v>5984</v>
      </c>
      <c r="C4407" t="s">
        <v>20</v>
      </c>
      <c r="D4407" t="s">
        <v>21</v>
      </c>
      <c r="E4407">
        <v>2222222</v>
      </c>
      <c r="F4407" s="8" t="s">
        <v>22</v>
      </c>
      <c r="G4407" s="2">
        <v>98</v>
      </c>
      <c r="H4407" t="s">
        <v>4610</v>
      </c>
      <c r="J4407" s="9" t="s">
        <v>5152</v>
      </c>
      <c r="K4407" t="s">
        <v>4761</v>
      </c>
      <c r="L4407" s="2">
        <v>1</v>
      </c>
      <c r="M4407" s="24" t="s">
        <v>5971</v>
      </c>
      <c r="N4407" s="2" t="s">
        <v>23</v>
      </c>
      <c r="O4407" s="18" t="s">
        <v>2721</v>
      </c>
      <c r="P4407" s="18" t="s">
        <v>3781</v>
      </c>
      <c r="Q4407" s="6" t="s">
        <v>4475</v>
      </c>
      <c r="T4407" s="23">
        <v>46055</v>
      </c>
      <c r="U4407" s="23">
        <v>46427</v>
      </c>
      <c r="X4407" s="20">
        <v>2150</v>
      </c>
      <c r="Z4407" s="6" t="s">
        <v>5978</v>
      </c>
      <c r="AA4407" s="14">
        <f>+(0.6/1000)</f>
        <v>5.9999999999999995E-4</v>
      </c>
      <c r="AB4407">
        <v>0.78068400000000004</v>
      </c>
      <c r="AC4407">
        <v>0.81191136000000008</v>
      </c>
    </row>
    <row r="4408" spans="1:29" x14ac:dyDescent="0.3">
      <c r="A4408">
        <v>122693</v>
      </c>
      <c r="B4408" s="25" t="s">
        <v>5984</v>
      </c>
      <c r="C4408" t="s">
        <v>20</v>
      </c>
      <c r="D4408" t="s">
        <v>21</v>
      </c>
      <c r="E4408">
        <v>2222222</v>
      </c>
      <c r="F4408" s="8" t="s">
        <v>22</v>
      </c>
      <c r="G4408" s="2">
        <v>98</v>
      </c>
      <c r="H4408" t="s">
        <v>4611</v>
      </c>
      <c r="J4408" s="9" t="s">
        <v>5596</v>
      </c>
      <c r="K4408" t="s">
        <v>4932</v>
      </c>
      <c r="L4408" s="2">
        <v>1</v>
      </c>
      <c r="M4408" s="24" t="s">
        <v>5971</v>
      </c>
      <c r="N4408" s="2" t="s">
        <v>23</v>
      </c>
      <c r="O4408" s="18" t="s">
        <v>3349</v>
      </c>
      <c r="P4408" s="18" t="s">
        <v>3781</v>
      </c>
      <c r="Q4408" s="6" t="s">
        <v>4475</v>
      </c>
      <c r="T4408" s="23">
        <v>44434</v>
      </c>
      <c r="U4408" s="23">
        <v>45179</v>
      </c>
      <c r="X4408" s="20">
        <v>615.33000000000004</v>
      </c>
      <c r="Z4408" s="6" t="s">
        <v>5978</v>
      </c>
      <c r="AA4408" s="15">
        <f t="shared" ref="AA4408:AA4409" si="581">+(0.42/1000)</f>
        <v>4.1999999999999996E-4</v>
      </c>
      <c r="AB4408">
        <v>1.7400599999999999E-2</v>
      </c>
      <c r="AC4408">
        <v>1.8096623999999999E-2</v>
      </c>
    </row>
    <row r="4409" spans="1:29" x14ac:dyDescent="0.3">
      <c r="A4409">
        <v>125547</v>
      </c>
      <c r="B4409" s="25" t="s">
        <v>5984</v>
      </c>
      <c r="C4409" t="s">
        <v>20</v>
      </c>
      <c r="D4409" t="s">
        <v>21</v>
      </c>
      <c r="E4409">
        <v>2222222</v>
      </c>
      <c r="F4409" s="8" t="s">
        <v>22</v>
      </c>
      <c r="G4409" s="2">
        <v>98</v>
      </c>
      <c r="H4409" t="s">
        <v>4611</v>
      </c>
      <c r="J4409" s="9" t="s">
        <v>4836</v>
      </c>
      <c r="K4409" t="s">
        <v>4516</v>
      </c>
      <c r="L4409" s="2">
        <v>1</v>
      </c>
      <c r="M4409" s="24" t="s">
        <v>5971</v>
      </c>
      <c r="N4409" s="2" t="s">
        <v>23</v>
      </c>
      <c r="O4409" s="18" t="s">
        <v>117</v>
      </c>
      <c r="P4409" s="18" t="s">
        <v>3781</v>
      </c>
      <c r="Q4409" s="6" t="s">
        <v>4475</v>
      </c>
      <c r="T4409" s="23">
        <v>44579</v>
      </c>
      <c r="U4409" s="23">
        <v>46770</v>
      </c>
      <c r="X4409" s="20">
        <v>10000</v>
      </c>
      <c r="Z4409" s="6" t="s">
        <v>5978</v>
      </c>
      <c r="AA4409" s="15">
        <f t="shared" si="581"/>
        <v>4.1999999999999996E-4</v>
      </c>
      <c r="AB4409">
        <v>1.4499449999999998</v>
      </c>
      <c r="AC4409">
        <v>1.5079427999999999</v>
      </c>
    </row>
    <row r="4410" spans="1:29" x14ac:dyDescent="0.3">
      <c r="A4410">
        <v>134362</v>
      </c>
      <c r="B4410" s="25" t="s">
        <v>5984</v>
      </c>
      <c r="C4410" t="s">
        <v>20</v>
      </c>
      <c r="D4410" t="s">
        <v>21</v>
      </c>
      <c r="E4410">
        <v>2222222</v>
      </c>
      <c r="F4410" s="8" t="s">
        <v>22</v>
      </c>
      <c r="G4410" s="2">
        <v>98</v>
      </c>
      <c r="H4410" t="s">
        <v>4611</v>
      </c>
      <c r="J4410" s="9" t="s">
        <v>4967</v>
      </c>
      <c r="K4410" t="s">
        <v>5097</v>
      </c>
      <c r="L4410" s="2">
        <v>1</v>
      </c>
      <c r="M4410" s="24" t="s">
        <v>5971</v>
      </c>
      <c r="N4410" s="2" t="s">
        <v>23</v>
      </c>
      <c r="O4410" s="18" t="s">
        <v>3350</v>
      </c>
      <c r="P4410" s="18" t="s">
        <v>3781</v>
      </c>
      <c r="Q4410" s="6" t="s">
        <v>4475</v>
      </c>
      <c r="T4410" s="23">
        <v>45065</v>
      </c>
      <c r="U4410" s="23">
        <v>47256</v>
      </c>
      <c r="X4410" s="20">
        <v>10310</v>
      </c>
      <c r="Z4410" s="6" t="s">
        <v>5978</v>
      </c>
      <c r="AA4410" s="13">
        <f t="shared" ref="AA4410:AA4411" si="582">+(0.56/1000)</f>
        <v>5.6000000000000006E-4</v>
      </c>
      <c r="AB4410">
        <v>4.4269736000000011</v>
      </c>
      <c r="AC4410">
        <v>4.6040525440000009</v>
      </c>
    </row>
    <row r="4411" spans="1:29" x14ac:dyDescent="0.3">
      <c r="A4411">
        <v>136073</v>
      </c>
      <c r="B4411" s="25" t="s">
        <v>5984</v>
      </c>
      <c r="C4411" t="s">
        <v>20</v>
      </c>
      <c r="D4411" t="s">
        <v>21</v>
      </c>
      <c r="E4411">
        <v>2222222</v>
      </c>
      <c r="F4411" s="8" t="s">
        <v>22</v>
      </c>
      <c r="G4411" s="2">
        <v>98</v>
      </c>
      <c r="H4411" t="s">
        <v>4611</v>
      </c>
      <c r="J4411" s="9" t="s">
        <v>5234</v>
      </c>
      <c r="K4411" t="s">
        <v>5007</v>
      </c>
      <c r="L4411" s="2">
        <v>1</v>
      </c>
      <c r="M4411" s="24" t="s">
        <v>5971</v>
      </c>
      <c r="N4411" s="2" t="s">
        <v>23</v>
      </c>
      <c r="O4411" s="18" t="s">
        <v>3351</v>
      </c>
      <c r="P4411" s="18" t="s">
        <v>0</v>
      </c>
      <c r="Q4411" s="6" t="s">
        <v>4475</v>
      </c>
      <c r="T4411" s="23">
        <v>45162</v>
      </c>
      <c r="U4411" s="23">
        <v>48906</v>
      </c>
      <c r="X4411" s="20">
        <v>100000</v>
      </c>
      <c r="Z4411" s="6" t="s">
        <v>5978</v>
      </c>
      <c r="AA4411" s="13">
        <f t="shared" si="582"/>
        <v>5.6000000000000006E-4</v>
      </c>
      <c r="AB4411">
        <v>47.052616800000003</v>
      </c>
      <c r="AC4411">
        <v>48.934721472000007</v>
      </c>
    </row>
    <row r="4412" spans="1:29" x14ac:dyDescent="0.3">
      <c r="A4412">
        <v>152007</v>
      </c>
      <c r="B4412" s="25" t="s">
        <v>5984</v>
      </c>
      <c r="C4412" t="s">
        <v>20</v>
      </c>
      <c r="D4412" t="s">
        <v>21</v>
      </c>
      <c r="E4412">
        <v>2222222</v>
      </c>
      <c r="F4412" s="8" t="s">
        <v>22</v>
      </c>
      <c r="G4412" s="2">
        <v>98</v>
      </c>
      <c r="H4412" t="s">
        <v>4611</v>
      </c>
      <c r="J4412" s="9" t="s">
        <v>4815</v>
      </c>
      <c r="K4412" t="s">
        <v>4852</v>
      </c>
      <c r="L4412" s="2">
        <v>1</v>
      </c>
      <c r="M4412" s="24" t="s">
        <v>5971</v>
      </c>
      <c r="N4412" s="2" t="s">
        <v>23</v>
      </c>
      <c r="O4412" s="18" t="s">
        <v>3352</v>
      </c>
      <c r="P4412" s="18" t="s">
        <v>0</v>
      </c>
      <c r="Q4412" s="6" t="s">
        <v>4475</v>
      </c>
      <c r="T4412" s="23">
        <v>46213</v>
      </c>
      <c r="U4412" s="23">
        <v>48038</v>
      </c>
      <c r="X4412" s="20">
        <v>8550</v>
      </c>
      <c r="Z4412" s="6" t="s">
        <v>5978</v>
      </c>
      <c r="AA4412" s="14">
        <f t="shared" ref="AA4412:AA4415" si="583">+(0.6/1000)</f>
        <v>5.9999999999999995E-4</v>
      </c>
      <c r="AB4412">
        <v>5.13</v>
      </c>
      <c r="AC4412">
        <v>5.3352000000000004</v>
      </c>
    </row>
    <row r="4413" spans="1:29" x14ac:dyDescent="0.3">
      <c r="A4413">
        <v>149411</v>
      </c>
      <c r="B4413" s="25" t="s">
        <v>5984</v>
      </c>
      <c r="C4413" t="s">
        <v>20</v>
      </c>
      <c r="D4413" t="s">
        <v>21</v>
      </c>
      <c r="E4413">
        <v>2222222</v>
      </c>
      <c r="F4413" s="8" t="s">
        <v>22</v>
      </c>
      <c r="G4413" s="2">
        <v>98</v>
      </c>
      <c r="H4413" t="s">
        <v>4612</v>
      </c>
      <c r="J4413" s="9" t="s">
        <v>5209</v>
      </c>
      <c r="K4413" t="s">
        <v>4961</v>
      </c>
      <c r="L4413" s="2">
        <v>1</v>
      </c>
      <c r="M4413" s="24" t="s">
        <v>5971</v>
      </c>
      <c r="N4413" s="2" t="s">
        <v>23</v>
      </c>
      <c r="O4413" s="18" t="s">
        <v>1592</v>
      </c>
      <c r="P4413" s="18" t="s">
        <v>0</v>
      </c>
      <c r="Q4413" s="6" t="s">
        <v>4475</v>
      </c>
      <c r="T4413" s="23">
        <v>46021</v>
      </c>
      <c r="U4413" s="23">
        <v>47116</v>
      </c>
      <c r="X4413" s="20">
        <v>2310</v>
      </c>
      <c r="Z4413" s="6" t="s">
        <v>5978</v>
      </c>
      <c r="AA4413" s="14">
        <f t="shared" si="583"/>
        <v>5.9999999999999995E-4</v>
      </c>
      <c r="AB4413">
        <v>1.1678519999999999</v>
      </c>
      <c r="AC4413">
        <v>1.21456608</v>
      </c>
    </row>
    <row r="4414" spans="1:29" x14ac:dyDescent="0.3">
      <c r="A4414">
        <v>144245</v>
      </c>
      <c r="B4414" s="25" t="s">
        <v>5984</v>
      </c>
      <c r="C4414" t="s">
        <v>20</v>
      </c>
      <c r="D4414" t="s">
        <v>21</v>
      </c>
      <c r="E4414">
        <v>2222222</v>
      </c>
      <c r="F4414" s="8" t="s">
        <v>22</v>
      </c>
      <c r="G4414" s="2">
        <v>98</v>
      </c>
      <c r="H4414" t="s">
        <v>4613</v>
      </c>
      <c r="J4414" s="9" t="s">
        <v>5351</v>
      </c>
      <c r="K4414" t="s">
        <v>5261</v>
      </c>
      <c r="L4414" s="2">
        <v>1</v>
      </c>
      <c r="M4414" s="24" t="s">
        <v>5971</v>
      </c>
      <c r="N4414" s="2" t="s">
        <v>23</v>
      </c>
      <c r="O4414" s="18" t="s">
        <v>2106</v>
      </c>
      <c r="P4414" s="18" t="s">
        <v>0</v>
      </c>
      <c r="Q4414" s="6" t="s">
        <v>4475</v>
      </c>
      <c r="T4414" s="23">
        <v>45649</v>
      </c>
      <c r="U4414" s="23">
        <v>47474</v>
      </c>
      <c r="X4414" s="20">
        <v>10000</v>
      </c>
      <c r="Z4414" s="6" t="s">
        <v>5978</v>
      </c>
      <c r="AA4414" s="14">
        <f t="shared" si="583"/>
        <v>5.9999999999999995E-4</v>
      </c>
      <c r="AB4414">
        <v>4.5297239999999999</v>
      </c>
      <c r="AC4414">
        <v>4.7109129599999999</v>
      </c>
    </row>
    <row r="4415" spans="1:29" x14ac:dyDescent="0.3">
      <c r="A4415">
        <v>150605</v>
      </c>
      <c r="B4415" s="25" t="s">
        <v>5984</v>
      </c>
      <c r="C4415" t="s">
        <v>20</v>
      </c>
      <c r="D4415" t="s">
        <v>21</v>
      </c>
      <c r="E4415">
        <v>2222222</v>
      </c>
      <c r="F4415" s="8" t="s">
        <v>22</v>
      </c>
      <c r="G4415" s="2">
        <v>98</v>
      </c>
      <c r="H4415" t="s">
        <v>4614</v>
      </c>
      <c r="J4415" s="9" t="s">
        <v>4840</v>
      </c>
      <c r="K4415" t="s">
        <v>5895</v>
      </c>
      <c r="L4415" s="2">
        <v>1</v>
      </c>
      <c r="M4415" s="24" t="s">
        <v>5971</v>
      </c>
      <c r="N4415" s="2" t="s">
        <v>23</v>
      </c>
      <c r="O4415" s="18" t="s">
        <v>3353</v>
      </c>
      <c r="P4415" s="18" t="s">
        <v>0</v>
      </c>
      <c r="Q4415" s="6" t="s">
        <v>4475</v>
      </c>
      <c r="T4415" s="23">
        <v>46104</v>
      </c>
      <c r="U4415" s="23">
        <v>46835</v>
      </c>
      <c r="X4415" s="20">
        <v>5000</v>
      </c>
      <c r="Z4415" s="6" t="s">
        <v>5978</v>
      </c>
      <c r="AA4415" s="14">
        <f t="shared" si="583"/>
        <v>5.9999999999999995E-4</v>
      </c>
      <c r="AB4415">
        <v>2.6812439999999995</v>
      </c>
      <c r="AC4415">
        <v>2.7884937599999997</v>
      </c>
    </row>
    <row r="4416" spans="1:29" x14ac:dyDescent="0.3">
      <c r="A4416">
        <v>123606</v>
      </c>
      <c r="B4416" s="25" t="s">
        <v>5984</v>
      </c>
      <c r="C4416" t="s">
        <v>20</v>
      </c>
      <c r="D4416" t="s">
        <v>21</v>
      </c>
      <c r="E4416">
        <v>2222222</v>
      </c>
      <c r="F4416" s="8" t="s">
        <v>22</v>
      </c>
      <c r="G4416" s="2">
        <v>98</v>
      </c>
      <c r="H4416" t="s">
        <v>4615</v>
      </c>
      <c r="J4416" s="9" t="s">
        <v>4917</v>
      </c>
      <c r="K4416" t="s">
        <v>4884</v>
      </c>
      <c r="L4416" s="2">
        <v>1</v>
      </c>
      <c r="M4416" s="24" t="s">
        <v>5971</v>
      </c>
      <c r="N4416" s="2" t="s">
        <v>23</v>
      </c>
      <c r="O4416" s="18" t="s">
        <v>3354</v>
      </c>
      <c r="P4416" s="18" t="s">
        <v>3781</v>
      </c>
      <c r="Q4416" s="6" t="s">
        <v>4475</v>
      </c>
      <c r="T4416" s="23">
        <v>44475</v>
      </c>
      <c r="U4416" s="23">
        <v>45570</v>
      </c>
      <c r="X4416" s="20">
        <v>2115</v>
      </c>
      <c r="Z4416" s="6" t="s">
        <v>5978</v>
      </c>
      <c r="AA4416" s="15">
        <f>+(0.42/1000)</f>
        <v>4.1999999999999996E-4</v>
      </c>
      <c r="AB4416">
        <v>0.760683</v>
      </c>
      <c r="AC4416">
        <v>0.79111032000000003</v>
      </c>
    </row>
    <row r="4417" spans="1:29" x14ac:dyDescent="0.3">
      <c r="A4417">
        <v>141222</v>
      </c>
      <c r="B4417" s="25" t="s">
        <v>5984</v>
      </c>
      <c r="C4417" t="s">
        <v>20</v>
      </c>
      <c r="D4417" t="s">
        <v>21</v>
      </c>
      <c r="E4417">
        <v>2222222</v>
      </c>
      <c r="F4417" s="8" t="s">
        <v>22</v>
      </c>
      <c r="G4417" s="2">
        <v>98</v>
      </c>
      <c r="H4417" t="s">
        <v>4615</v>
      </c>
      <c r="J4417" s="9" t="s">
        <v>5700</v>
      </c>
      <c r="K4417" t="s">
        <v>5896</v>
      </c>
      <c r="L4417" s="2">
        <v>1</v>
      </c>
      <c r="M4417" s="24" t="s">
        <v>5971</v>
      </c>
      <c r="N4417" s="2" t="s">
        <v>23</v>
      </c>
      <c r="O4417" s="18" t="s">
        <v>3355</v>
      </c>
      <c r="P4417" s="18" t="s">
        <v>3781</v>
      </c>
      <c r="Q4417" s="6" t="s">
        <v>4475</v>
      </c>
      <c r="T4417" s="23">
        <v>45439</v>
      </c>
      <c r="U4417" s="23">
        <v>47264</v>
      </c>
      <c r="X4417" s="20">
        <v>6800</v>
      </c>
      <c r="Z4417" s="6" t="s">
        <v>5978</v>
      </c>
      <c r="AA4417" s="14">
        <f>+(0.6/1000)</f>
        <v>5.9999999999999995E-4</v>
      </c>
      <c r="AB4417">
        <v>3.9863939999999993</v>
      </c>
      <c r="AC4417">
        <v>4.1458497599999991</v>
      </c>
    </row>
    <row r="4418" spans="1:29" x14ac:dyDescent="0.3">
      <c r="A4418">
        <v>125198</v>
      </c>
      <c r="B4418" s="25" t="s">
        <v>5984</v>
      </c>
      <c r="C4418" t="s">
        <v>20</v>
      </c>
      <c r="D4418" t="s">
        <v>21</v>
      </c>
      <c r="E4418">
        <v>2222222</v>
      </c>
      <c r="F4418" s="8" t="s">
        <v>22</v>
      </c>
      <c r="G4418" s="2">
        <v>98</v>
      </c>
      <c r="H4418" t="s">
        <v>4616</v>
      </c>
      <c r="J4418" s="9" t="s">
        <v>5096</v>
      </c>
      <c r="K4418" t="s">
        <v>4993</v>
      </c>
      <c r="L4418" s="2">
        <v>1</v>
      </c>
      <c r="M4418" s="24" t="s">
        <v>5971</v>
      </c>
      <c r="N4418" s="2" t="s">
        <v>23</v>
      </c>
      <c r="O4418" s="18" t="s">
        <v>3356</v>
      </c>
      <c r="P4418" s="18" t="s">
        <v>3781</v>
      </c>
      <c r="Q4418" s="6" t="s">
        <v>4475</v>
      </c>
      <c r="T4418" s="23">
        <v>44553</v>
      </c>
      <c r="U4418" s="23">
        <v>45648</v>
      </c>
      <c r="X4418" s="20">
        <v>5000</v>
      </c>
      <c r="Z4418" s="6" t="s">
        <v>5978</v>
      </c>
      <c r="AA4418" s="15">
        <f>+(0.42/1000)</f>
        <v>4.1999999999999996E-4</v>
      </c>
      <c r="AB4418">
        <v>1.5390101999999999</v>
      </c>
      <c r="AC4418">
        <v>1.600570608</v>
      </c>
    </row>
    <row r="4419" spans="1:29" x14ac:dyDescent="0.3">
      <c r="A4419">
        <v>133005</v>
      </c>
      <c r="B4419" s="25" t="s">
        <v>5984</v>
      </c>
      <c r="C4419" t="s">
        <v>20</v>
      </c>
      <c r="D4419" t="s">
        <v>21</v>
      </c>
      <c r="E4419">
        <v>2222222</v>
      </c>
      <c r="F4419" s="8" t="s">
        <v>22</v>
      </c>
      <c r="G4419" s="2">
        <v>98</v>
      </c>
      <c r="H4419" t="s">
        <v>4616</v>
      </c>
      <c r="J4419" s="9" t="s">
        <v>4950</v>
      </c>
      <c r="K4419" t="s">
        <v>4839</v>
      </c>
      <c r="L4419" s="2">
        <v>1</v>
      </c>
      <c r="M4419" s="24" t="s">
        <v>5971</v>
      </c>
      <c r="N4419" s="2" t="s">
        <v>23</v>
      </c>
      <c r="O4419" s="18" t="s">
        <v>3357</v>
      </c>
      <c r="P4419" s="18" t="s">
        <v>0</v>
      </c>
      <c r="Q4419" s="6" t="s">
        <v>4475</v>
      </c>
      <c r="T4419" s="23">
        <v>45027</v>
      </c>
      <c r="U4419" s="23">
        <v>48680</v>
      </c>
      <c r="X4419" s="20">
        <v>60000</v>
      </c>
      <c r="Z4419" s="6" t="s">
        <v>5978</v>
      </c>
      <c r="AA4419" s="13">
        <f t="shared" ref="AA4419:AA4421" si="584">+(0.56/1000)</f>
        <v>5.6000000000000006E-4</v>
      </c>
      <c r="AB4419">
        <v>27.855716000000001</v>
      </c>
      <c r="AC4419">
        <v>28.969944640000001</v>
      </c>
    </row>
    <row r="4420" spans="1:29" x14ac:dyDescent="0.3">
      <c r="A4420">
        <v>136873</v>
      </c>
      <c r="B4420" s="25" t="s">
        <v>5984</v>
      </c>
      <c r="C4420" t="s">
        <v>20</v>
      </c>
      <c r="D4420" t="s">
        <v>21</v>
      </c>
      <c r="E4420">
        <v>2222222</v>
      </c>
      <c r="F4420" s="8" t="s">
        <v>22</v>
      </c>
      <c r="G4420" s="2">
        <v>98</v>
      </c>
      <c r="H4420" t="s">
        <v>4616</v>
      </c>
      <c r="J4420" s="9" t="s">
        <v>4911</v>
      </c>
      <c r="K4420" t="s">
        <v>4941</v>
      </c>
      <c r="L4420" s="2">
        <v>1</v>
      </c>
      <c r="M4420" s="24" t="s">
        <v>5971</v>
      </c>
      <c r="N4420" s="2" t="s">
        <v>23</v>
      </c>
      <c r="O4420" s="18" t="s">
        <v>3358</v>
      </c>
      <c r="P4420" s="18" t="s">
        <v>3781</v>
      </c>
      <c r="Q4420" s="6" t="s">
        <v>4475</v>
      </c>
      <c r="T4420" s="23">
        <v>45194</v>
      </c>
      <c r="U4420" s="23">
        <v>46655</v>
      </c>
      <c r="X4420" s="20">
        <v>5000</v>
      </c>
      <c r="Z4420" s="6" t="s">
        <v>5978</v>
      </c>
      <c r="AA4420" s="13">
        <f t="shared" si="584"/>
        <v>5.6000000000000006E-4</v>
      </c>
      <c r="AB4420">
        <v>1.0476872000000002</v>
      </c>
      <c r="AC4420">
        <v>1.0895946880000003</v>
      </c>
    </row>
    <row r="4421" spans="1:29" x14ac:dyDescent="0.3">
      <c r="A4421">
        <v>138201</v>
      </c>
      <c r="B4421" s="25" t="s">
        <v>5984</v>
      </c>
      <c r="C4421" t="s">
        <v>20</v>
      </c>
      <c r="D4421" t="s">
        <v>21</v>
      </c>
      <c r="E4421">
        <v>2222222</v>
      </c>
      <c r="F4421" s="8" t="s">
        <v>22</v>
      </c>
      <c r="G4421" s="2">
        <v>98</v>
      </c>
      <c r="H4421" t="s">
        <v>4616</v>
      </c>
      <c r="J4421" s="9" t="s">
        <v>5055</v>
      </c>
      <c r="K4421" t="s">
        <v>4924</v>
      </c>
      <c r="L4421" s="2">
        <v>1</v>
      </c>
      <c r="M4421" s="24" t="s">
        <v>5971</v>
      </c>
      <c r="N4421" s="2" t="s">
        <v>23</v>
      </c>
      <c r="O4421" s="18" t="s">
        <v>3359</v>
      </c>
      <c r="P4421" s="18" t="s">
        <v>3781</v>
      </c>
      <c r="Q4421" s="6" t="s">
        <v>4475</v>
      </c>
      <c r="T4421" s="23">
        <v>45264</v>
      </c>
      <c r="U4421" s="23">
        <v>46359</v>
      </c>
      <c r="X4421" s="20">
        <v>5000</v>
      </c>
      <c r="Z4421" s="6" t="s">
        <v>5978</v>
      </c>
      <c r="AA4421" s="13">
        <f t="shared" si="584"/>
        <v>5.6000000000000006E-4</v>
      </c>
      <c r="AB4421">
        <v>0.46530960000000005</v>
      </c>
      <c r="AC4421">
        <v>0.48392198400000008</v>
      </c>
    </row>
    <row r="4422" spans="1:29" x14ac:dyDescent="0.3">
      <c r="A4422">
        <v>142053</v>
      </c>
      <c r="B4422" s="25" t="s">
        <v>5984</v>
      </c>
      <c r="C4422" t="s">
        <v>20</v>
      </c>
      <c r="D4422" t="s">
        <v>21</v>
      </c>
      <c r="E4422">
        <v>2222222</v>
      </c>
      <c r="F4422" s="8" t="s">
        <v>22</v>
      </c>
      <c r="G4422" s="2">
        <v>98</v>
      </c>
      <c r="H4422" t="s">
        <v>4616</v>
      </c>
      <c r="J4422" s="9" t="s">
        <v>4945</v>
      </c>
      <c r="K4422" t="s">
        <v>4827</v>
      </c>
      <c r="L4422" s="2">
        <v>1</v>
      </c>
      <c r="M4422" s="24" t="s">
        <v>5971</v>
      </c>
      <c r="N4422" s="2" t="s">
        <v>23</v>
      </c>
      <c r="O4422" s="18" t="s">
        <v>3360</v>
      </c>
      <c r="P4422" s="18" t="s">
        <v>0</v>
      </c>
      <c r="Q4422" s="6" t="s">
        <v>4475</v>
      </c>
      <c r="T4422" s="23">
        <v>45492</v>
      </c>
      <c r="U4422" s="23">
        <v>46952</v>
      </c>
      <c r="X4422" s="20">
        <v>5000</v>
      </c>
      <c r="Z4422" s="6" t="s">
        <v>5978</v>
      </c>
      <c r="AA4422" s="14">
        <f t="shared" ref="AA4422:AA4437" si="585">+(0.6/1000)</f>
        <v>5.9999999999999995E-4</v>
      </c>
      <c r="AB4422">
        <v>1.8428339999999999</v>
      </c>
      <c r="AC4422">
        <v>1.9165473599999998</v>
      </c>
    </row>
    <row r="4423" spans="1:29" x14ac:dyDescent="0.3">
      <c r="A4423">
        <v>144095</v>
      </c>
      <c r="B4423" s="25" t="s">
        <v>5984</v>
      </c>
      <c r="C4423" t="s">
        <v>20</v>
      </c>
      <c r="D4423" t="s">
        <v>21</v>
      </c>
      <c r="E4423">
        <v>2222222</v>
      </c>
      <c r="F4423" s="8" t="s">
        <v>22</v>
      </c>
      <c r="G4423" s="2">
        <v>98</v>
      </c>
      <c r="H4423" t="s">
        <v>4616</v>
      </c>
      <c r="J4423" s="9" t="s">
        <v>4852</v>
      </c>
      <c r="K4423" t="s">
        <v>5135</v>
      </c>
      <c r="L4423" s="2">
        <v>1</v>
      </c>
      <c r="M4423" s="24" t="s">
        <v>5971</v>
      </c>
      <c r="N4423" s="2" t="s">
        <v>23</v>
      </c>
      <c r="O4423" s="18" t="s">
        <v>3361</v>
      </c>
      <c r="P4423" s="18" t="s">
        <v>0</v>
      </c>
      <c r="Q4423" s="6" t="s">
        <v>4475</v>
      </c>
      <c r="T4423" s="23">
        <v>45642</v>
      </c>
      <c r="U4423" s="23">
        <v>46736</v>
      </c>
      <c r="X4423" s="20">
        <v>5000</v>
      </c>
      <c r="Z4423" s="6" t="s">
        <v>5978</v>
      </c>
      <c r="AA4423" s="14">
        <f t="shared" si="585"/>
        <v>5.9999999999999995E-4</v>
      </c>
      <c r="AB4423">
        <v>1.6165559999999999</v>
      </c>
      <c r="AC4423">
        <v>1.68121824</v>
      </c>
    </row>
    <row r="4424" spans="1:29" x14ac:dyDescent="0.3">
      <c r="A4424">
        <v>146801</v>
      </c>
      <c r="B4424" s="25" t="s">
        <v>5984</v>
      </c>
      <c r="C4424" t="s">
        <v>20</v>
      </c>
      <c r="D4424" t="s">
        <v>21</v>
      </c>
      <c r="E4424">
        <v>2222222</v>
      </c>
      <c r="F4424" s="8" t="s">
        <v>22</v>
      </c>
      <c r="G4424" s="2">
        <v>98</v>
      </c>
      <c r="H4424" t="s">
        <v>4616</v>
      </c>
      <c r="J4424" s="9" t="s">
        <v>4892</v>
      </c>
      <c r="K4424" t="s">
        <v>4926</v>
      </c>
      <c r="L4424" s="2">
        <v>1</v>
      </c>
      <c r="M4424" s="24" t="s">
        <v>5971</v>
      </c>
      <c r="N4424" s="2" t="s">
        <v>23</v>
      </c>
      <c r="O4424" s="18" t="s">
        <v>3362</v>
      </c>
      <c r="P4424" s="18" t="s">
        <v>3781</v>
      </c>
      <c r="Q4424" s="6" t="s">
        <v>4475</v>
      </c>
      <c r="T4424" s="23">
        <v>45853</v>
      </c>
      <c r="U4424" s="23">
        <v>46948</v>
      </c>
      <c r="X4424" s="20">
        <v>7000</v>
      </c>
      <c r="Z4424" s="6" t="s">
        <v>5978</v>
      </c>
      <c r="AA4424" s="14">
        <f t="shared" si="585"/>
        <v>5.9999999999999995E-4</v>
      </c>
      <c r="AB4424">
        <v>3.0170279999999998</v>
      </c>
      <c r="AC4424">
        <v>3.1377091199999998</v>
      </c>
    </row>
    <row r="4425" spans="1:29" x14ac:dyDescent="0.3">
      <c r="A4425">
        <v>147467</v>
      </c>
      <c r="B4425" s="25" t="s">
        <v>5984</v>
      </c>
      <c r="C4425" t="s">
        <v>20</v>
      </c>
      <c r="D4425" t="s">
        <v>21</v>
      </c>
      <c r="E4425">
        <v>2222222</v>
      </c>
      <c r="F4425" s="8" t="s">
        <v>22</v>
      </c>
      <c r="G4425" s="2">
        <v>98</v>
      </c>
      <c r="H4425" t="s">
        <v>4616</v>
      </c>
      <c r="J4425" s="9" t="s">
        <v>5234</v>
      </c>
      <c r="K4425" t="s">
        <v>4949</v>
      </c>
      <c r="L4425" s="2">
        <v>1</v>
      </c>
      <c r="M4425" s="24" t="s">
        <v>5971</v>
      </c>
      <c r="N4425" s="2" t="s">
        <v>23</v>
      </c>
      <c r="O4425" s="18" t="s">
        <v>3363</v>
      </c>
      <c r="P4425" s="18" t="s">
        <v>0</v>
      </c>
      <c r="Q4425" s="6" t="s">
        <v>4475</v>
      </c>
      <c r="T4425" s="23">
        <v>45891</v>
      </c>
      <c r="U4425" s="23">
        <v>47351</v>
      </c>
      <c r="X4425" s="20">
        <v>5000</v>
      </c>
      <c r="Z4425" s="6" t="s">
        <v>5978</v>
      </c>
      <c r="AA4425" s="14">
        <f t="shared" si="585"/>
        <v>5.9999999999999995E-4</v>
      </c>
      <c r="AB4425">
        <v>2.4882239999999998</v>
      </c>
      <c r="AC4425">
        <v>2.58775296</v>
      </c>
    </row>
    <row r="4426" spans="1:29" x14ac:dyDescent="0.3">
      <c r="A4426">
        <v>148925</v>
      </c>
      <c r="B4426" s="25" t="s">
        <v>5984</v>
      </c>
      <c r="C4426" t="s">
        <v>20</v>
      </c>
      <c r="D4426" t="s">
        <v>21</v>
      </c>
      <c r="E4426">
        <v>2222222</v>
      </c>
      <c r="F4426" s="8" t="s">
        <v>22</v>
      </c>
      <c r="G4426" s="2">
        <v>98</v>
      </c>
      <c r="H4426" t="s">
        <v>4616</v>
      </c>
      <c r="J4426" s="9" t="s">
        <v>4903</v>
      </c>
      <c r="K4426" t="s">
        <v>4836</v>
      </c>
      <c r="L4426" s="2">
        <v>1</v>
      </c>
      <c r="M4426" s="24" t="s">
        <v>5971</v>
      </c>
      <c r="N4426" s="2" t="s">
        <v>23</v>
      </c>
      <c r="O4426" s="18" t="s">
        <v>3364</v>
      </c>
      <c r="P4426" s="18" t="s">
        <v>3781</v>
      </c>
      <c r="Q4426" s="6" t="s">
        <v>4475</v>
      </c>
      <c r="T4426" s="23">
        <v>45987</v>
      </c>
      <c r="U4426" s="23">
        <v>46077</v>
      </c>
      <c r="X4426" s="20">
        <v>4800</v>
      </c>
      <c r="Z4426" s="6" t="s">
        <v>5978</v>
      </c>
      <c r="AA4426" s="14">
        <f t="shared" si="585"/>
        <v>5.9999999999999995E-4</v>
      </c>
      <c r="AB4426">
        <v>2.8606439999999997</v>
      </c>
      <c r="AC4426">
        <v>2.9750697599999998</v>
      </c>
    </row>
    <row r="4427" spans="1:29" x14ac:dyDescent="0.3">
      <c r="A4427">
        <v>149037</v>
      </c>
      <c r="B4427" s="25" t="s">
        <v>5984</v>
      </c>
      <c r="C4427" t="s">
        <v>20</v>
      </c>
      <c r="D4427" t="s">
        <v>21</v>
      </c>
      <c r="E4427">
        <v>2222222</v>
      </c>
      <c r="F4427" s="8" t="s">
        <v>22</v>
      </c>
      <c r="G4427" s="2">
        <v>98</v>
      </c>
      <c r="H4427" t="s">
        <v>4616</v>
      </c>
      <c r="J4427" s="9" t="s">
        <v>4901</v>
      </c>
      <c r="K4427" t="s">
        <v>5297</v>
      </c>
      <c r="L4427" s="2">
        <v>1</v>
      </c>
      <c r="M4427" s="24" t="s">
        <v>5971</v>
      </c>
      <c r="N4427" s="2" t="s">
        <v>23</v>
      </c>
      <c r="O4427" s="18" t="s">
        <v>3365</v>
      </c>
      <c r="P4427" s="18" t="s">
        <v>0</v>
      </c>
      <c r="Q4427" s="6" t="s">
        <v>4475</v>
      </c>
      <c r="T4427" s="23">
        <v>45995</v>
      </c>
      <c r="U4427" s="23">
        <v>47455</v>
      </c>
      <c r="X4427" s="20">
        <v>3000</v>
      </c>
      <c r="Z4427" s="6" t="s">
        <v>5978</v>
      </c>
      <c r="AA4427" s="14">
        <f t="shared" si="585"/>
        <v>5.9999999999999995E-4</v>
      </c>
      <c r="AB4427">
        <v>1.6096199999999998</v>
      </c>
      <c r="AC4427">
        <v>1.6740047999999998</v>
      </c>
    </row>
    <row r="4428" spans="1:29" x14ac:dyDescent="0.3">
      <c r="A4428">
        <v>149264</v>
      </c>
      <c r="B4428" s="25" t="s">
        <v>5984</v>
      </c>
      <c r="C4428" t="s">
        <v>20</v>
      </c>
      <c r="D4428" t="s">
        <v>21</v>
      </c>
      <c r="E4428">
        <v>2222222</v>
      </c>
      <c r="F4428" s="8" t="s">
        <v>22</v>
      </c>
      <c r="G4428" s="2">
        <v>98</v>
      </c>
      <c r="H4428" t="s">
        <v>4616</v>
      </c>
      <c r="J4428" s="9" t="s">
        <v>4836</v>
      </c>
      <c r="K4428" t="s">
        <v>5165</v>
      </c>
      <c r="L4428" s="2">
        <v>1</v>
      </c>
      <c r="M4428" s="24" t="s">
        <v>5971</v>
      </c>
      <c r="N4428" s="2" t="s">
        <v>23</v>
      </c>
      <c r="O4428" s="18" t="s">
        <v>302</v>
      </c>
      <c r="P4428" s="18" t="s">
        <v>3781</v>
      </c>
      <c r="Q4428" s="6" t="s">
        <v>4475</v>
      </c>
      <c r="T4428" s="23">
        <v>46008</v>
      </c>
      <c r="U4428" s="23">
        <v>46372</v>
      </c>
      <c r="X4428" s="20">
        <v>1550</v>
      </c>
      <c r="Z4428" s="6" t="s">
        <v>5978</v>
      </c>
      <c r="AA4428" s="14">
        <f t="shared" si="585"/>
        <v>5.9999999999999995E-4</v>
      </c>
      <c r="AB4428">
        <v>0.40617599999999998</v>
      </c>
      <c r="AC4428">
        <v>0.42242303999999997</v>
      </c>
    </row>
    <row r="4429" spans="1:29" x14ac:dyDescent="0.3">
      <c r="A4429">
        <v>149586</v>
      </c>
      <c r="B4429" s="25" t="s">
        <v>5984</v>
      </c>
      <c r="C4429" t="s">
        <v>20</v>
      </c>
      <c r="D4429" t="s">
        <v>21</v>
      </c>
      <c r="E4429">
        <v>2222222</v>
      </c>
      <c r="F4429" s="8" t="s">
        <v>22</v>
      </c>
      <c r="G4429" s="2">
        <v>98</v>
      </c>
      <c r="H4429" t="s">
        <v>4616</v>
      </c>
      <c r="J4429" s="9" t="s">
        <v>5234</v>
      </c>
      <c r="K4429" t="s">
        <v>4949</v>
      </c>
      <c r="L4429" s="2">
        <v>1</v>
      </c>
      <c r="M4429" s="24" t="s">
        <v>5971</v>
      </c>
      <c r="N4429" s="2" t="s">
        <v>23</v>
      </c>
      <c r="O4429" s="18" t="s">
        <v>3363</v>
      </c>
      <c r="P4429" s="18" t="s">
        <v>0</v>
      </c>
      <c r="Q4429" s="6" t="s">
        <v>4475</v>
      </c>
      <c r="T4429" s="23">
        <v>46035</v>
      </c>
      <c r="U4429" s="23">
        <v>46769</v>
      </c>
      <c r="X4429" s="20">
        <v>1200</v>
      </c>
      <c r="Z4429" s="6" t="s">
        <v>5978</v>
      </c>
      <c r="AA4429" s="14">
        <f t="shared" si="585"/>
        <v>5.9999999999999995E-4</v>
      </c>
      <c r="AB4429">
        <v>0.56152199999999997</v>
      </c>
      <c r="AC4429">
        <v>0.58398287999999998</v>
      </c>
    </row>
    <row r="4430" spans="1:29" x14ac:dyDescent="0.3">
      <c r="A4430">
        <v>149739</v>
      </c>
      <c r="B4430" s="25" t="s">
        <v>5984</v>
      </c>
      <c r="C4430" t="s">
        <v>20</v>
      </c>
      <c r="D4430" t="s">
        <v>21</v>
      </c>
      <c r="E4430">
        <v>2222222</v>
      </c>
      <c r="F4430" s="8" t="s">
        <v>22</v>
      </c>
      <c r="G4430" s="2">
        <v>98</v>
      </c>
      <c r="H4430" t="s">
        <v>4616</v>
      </c>
      <c r="J4430" s="9" t="s">
        <v>4836</v>
      </c>
      <c r="K4430" t="s">
        <v>5110</v>
      </c>
      <c r="L4430" s="2">
        <v>1</v>
      </c>
      <c r="M4430" s="24" t="s">
        <v>5971</v>
      </c>
      <c r="N4430" s="2" t="s">
        <v>23</v>
      </c>
      <c r="O4430" s="18" t="s">
        <v>3366</v>
      </c>
      <c r="P4430" s="18" t="s">
        <v>3781</v>
      </c>
      <c r="Q4430" s="6" t="s">
        <v>4475</v>
      </c>
      <c r="T4430" s="23">
        <v>46045</v>
      </c>
      <c r="U4430" s="23">
        <v>46774</v>
      </c>
      <c r="X4430" s="20">
        <v>2360</v>
      </c>
      <c r="Z4430" s="6" t="s">
        <v>5978</v>
      </c>
      <c r="AA4430" s="14">
        <f t="shared" si="585"/>
        <v>5.9999999999999995E-4</v>
      </c>
      <c r="AB4430">
        <v>1.1043479999999999</v>
      </c>
      <c r="AC4430">
        <v>1.1485219199999999</v>
      </c>
    </row>
    <row r="4431" spans="1:29" x14ac:dyDescent="0.3">
      <c r="A4431">
        <v>150292</v>
      </c>
      <c r="B4431" s="25" t="s">
        <v>5984</v>
      </c>
      <c r="C4431" t="s">
        <v>20</v>
      </c>
      <c r="D4431" t="s">
        <v>21</v>
      </c>
      <c r="E4431">
        <v>2222222</v>
      </c>
      <c r="F4431" s="8" t="s">
        <v>22</v>
      </c>
      <c r="G4431" s="2">
        <v>98</v>
      </c>
      <c r="H4431" t="s">
        <v>4616</v>
      </c>
      <c r="J4431" s="9" t="s">
        <v>4826</v>
      </c>
      <c r="K4431" t="s">
        <v>4937</v>
      </c>
      <c r="L4431" s="2">
        <v>1</v>
      </c>
      <c r="M4431" s="24" t="s">
        <v>5971</v>
      </c>
      <c r="N4431" s="2" t="s">
        <v>23</v>
      </c>
      <c r="O4431" s="18" t="s">
        <v>1707</v>
      </c>
      <c r="P4431" s="18" t="s">
        <v>0</v>
      </c>
      <c r="Q4431" s="6" t="s">
        <v>4475</v>
      </c>
      <c r="T4431" s="23">
        <v>46085</v>
      </c>
      <c r="U4431" s="23">
        <v>46449</v>
      </c>
      <c r="X4431" s="20">
        <v>3000</v>
      </c>
      <c r="Z4431" s="6" t="s">
        <v>5978</v>
      </c>
      <c r="AA4431" s="14">
        <f t="shared" si="585"/>
        <v>5.9999999999999995E-4</v>
      </c>
      <c r="AB4431">
        <v>1.23333</v>
      </c>
      <c r="AC4431">
        <v>1.2826632</v>
      </c>
    </row>
    <row r="4432" spans="1:29" x14ac:dyDescent="0.3">
      <c r="A4432">
        <v>150373</v>
      </c>
      <c r="B4432" s="25" t="s">
        <v>5984</v>
      </c>
      <c r="C4432" t="s">
        <v>20</v>
      </c>
      <c r="D4432" t="s">
        <v>21</v>
      </c>
      <c r="E4432">
        <v>2222222</v>
      </c>
      <c r="F4432" s="8" t="s">
        <v>22</v>
      </c>
      <c r="G4432" s="2">
        <v>98</v>
      </c>
      <c r="H4432" t="s">
        <v>4616</v>
      </c>
      <c r="J4432" s="9" t="s">
        <v>5322</v>
      </c>
      <c r="K4432" t="s">
        <v>5897</v>
      </c>
      <c r="L4432" s="2">
        <v>1</v>
      </c>
      <c r="M4432" s="24" t="s">
        <v>5971</v>
      </c>
      <c r="N4432" s="2" t="s">
        <v>23</v>
      </c>
      <c r="O4432" s="18" t="s">
        <v>3367</v>
      </c>
      <c r="P4432" s="18" t="s">
        <v>0</v>
      </c>
      <c r="Q4432" s="6" t="s">
        <v>4475</v>
      </c>
      <c r="T4432" s="23">
        <v>46091</v>
      </c>
      <c r="U4432" s="23">
        <v>46821</v>
      </c>
      <c r="X4432" s="20">
        <v>2000</v>
      </c>
      <c r="Z4432" s="6" t="s">
        <v>5978</v>
      </c>
      <c r="AA4432" s="14">
        <f t="shared" si="585"/>
        <v>5.9999999999999995E-4</v>
      </c>
      <c r="AB4432">
        <v>1.02702</v>
      </c>
      <c r="AC4432">
        <v>1.0681008000000001</v>
      </c>
    </row>
    <row r="4433" spans="1:29" x14ac:dyDescent="0.3">
      <c r="A4433">
        <v>150932</v>
      </c>
      <c r="B4433" s="25" t="s">
        <v>5984</v>
      </c>
      <c r="C4433" t="s">
        <v>20</v>
      </c>
      <c r="D4433" t="s">
        <v>21</v>
      </c>
      <c r="E4433">
        <v>2222222</v>
      </c>
      <c r="F4433" s="8" t="s">
        <v>22</v>
      </c>
      <c r="G4433" s="2">
        <v>98</v>
      </c>
      <c r="H4433" t="s">
        <v>4616</v>
      </c>
      <c r="J4433" s="9" t="s">
        <v>4836</v>
      </c>
      <c r="K4433" t="s">
        <v>5310</v>
      </c>
      <c r="L4433" s="2">
        <v>1</v>
      </c>
      <c r="M4433" s="24" t="s">
        <v>5971</v>
      </c>
      <c r="N4433" s="2" t="s">
        <v>23</v>
      </c>
      <c r="O4433" s="18" t="s">
        <v>3368</v>
      </c>
      <c r="P4433" s="18" t="s">
        <v>3781</v>
      </c>
      <c r="Q4433" s="6" t="s">
        <v>4475</v>
      </c>
      <c r="T4433" s="23">
        <v>46128</v>
      </c>
      <c r="U4433" s="23">
        <v>47954</v>
      </c>
      <c r="X4433" s="20">
        <v>4290</v>
      </c>
      <c r="Z4433" s="6" t="s">
        <v>5978</v>
      </c>
      <c r="AA4433" s="14">
        <f t="shared" si="585"/>
        <v>5.9999999999999995E-4</v>
      </c>
      <c r="AB4433">
        <v>2.4835799999999999</v>
      </c>
      <c r="AC4433">
        <v>2.5829232000000002</v>
      </c>
    </row>
    <row r="4434" spans="1:29" x14ac:dyDescent="0.3">
      <c r="A4434">
        <v>151642</v>
      </c>
      <c r="B4434" s="25" t="s">
        <v>5984</v>
      </c>
      <c r="C4434" t="s">
        <v>20</v>
      </c>
      <c r="D4434" t="s">
        <v>21</v>
      </c>
      <c r="E4434">
        <v>2222222</v>
      </c>
      <c r="F4434" s="8" t="s">
        <v>22</v>
      </c>
      <c r="G4434" s="2">
        <v>98</v>
      </c>
      <c r="H4434" t="s">
        <v>4616</v>
      </c>
      <c r="J4434" s="9" t="s">
        <v>4936</v>
      </c>
      <c r="K4434" t="s">
        <v>4965</v>
      </c>
      <c r="L4434" s="2">
        <v>1</v>
      </c>
      <c r="M4434" s="24" t="s">
        <v>5971</v>
      </c>
      <c r="N4434" s="2" t="s">
        <v>23</v>
      </c>
      <c r="O4434" s="18" t="s">
        <v>3369</v>
      </c>
      <c r="P4434" s="18" t="s">
        <v>0</v>
      </c>
      <c r="Q4434" s="6" t="s">
        <v>4475</v>
      </c>
      <c r="T4434" s="23">
        <v>46223</v>
      </c>
      <c r="U4434" s="23">
        <v>51701</v>
      </c>
      <c r="X4434" s="20">
        <v>130000</v>
      </c>
      <c r="Z4434" s="6" t="s">
        <v>5978</v>
      </c>
      <c r="AA4434" s="14">
        <f t="shared" si="585"/>
        <v>5.9999999999999995E-4</v>
      </c>
      <c r="AB4434">
        <v>78</v>
      </c>
      <c r="AC4434">
        <v>81.12</v>
      </c>
    </row>
    <row r="4435" spans="1:29" x14ac:dyDescent="0.3">
      <c r="A4435">
        <v>151670</v>
      </c>
      <c r="B4435" s="25" t="s">
        <v>5984</v>
      </c>
      <c r="C4435" t="s">
        <v>20</v>
      </c>
      <c r="D4435" t="s">
        <v>21</v>
      </c>
      <c r="E4435">
        <v>2222222</v>
      </c>
      <c r="F4435" s="8" t="s">
        <v>22</v>
      </c>
      <c r="G4435" s="2">
        <v>98</v>
      </c>
      <c r="H4435" t="s">
        <v>4616</v>
      </c>
      <c r="J4435" s="9" t="s">
        <v>5467</v>
      </c>
      <c r="K4435" t="s">
        <v>5898</v>
      </c>
      <c r="L4435" s="2">
        <v>1</v>
      </c>
      <c r="M4435" s="24" t="s">
        <v>5971</v>
      </c>
      <c r="N4435" s="2" t="s">
        <v>23</v>
      </c>
      <c r="O4435" s="18" t="s">
        <v>3370</v>
      </c>
      <c r="P4435" s="18" t="s">
        <v>0</v>
      </c>
      <c r="Q4435" s="6" t="s">
        <v>4475</v>
      </c>
      <c r="T4435" s="23">
        <v>46178</v>
      </c>
      <c r="U4435" s="23">
        <v>47274</v>
      </c>
      <c r="X4435" s="20">
        <v>4380</v>
      </c>
      <c r="Z4435" s="6" t="s">
        <v>5978</v>
      </c>
      <c r="AA4435" s="14">
        <f t="shared" si="585"/>
        <v>5.9999999999999995E-4</v>
      </c>
      <c r="AB4435">
        <v>2.5720799999999997</v>
      </c>
      <c r="AC4435">
        <v>2.6749631999999997</v>
      </c>
    </row>
    <row r="4436" spans="1:29" x14ac:dyDescent="0.3">
      <c r="A4436">
        <v>151748</v>
      </c>
      <c r="B4436" s="25" t="s">
        <v>5984</v>
      </c>
      <c r="C4436" t="s">
        <v>20</v>
      </c>
      <c r="D4436" t="s">
        <v>21</v>
      </c>
      <c r="E4436">
        <v>2222222</v>
      </c>
      <c r="F4436" s="8" t="s">
        <v>22</v>
      </c>
      <c r="G4436" s="2">
        <v>98</v>
      </c>
      <c r="H4436" t="s">
        <v>4616</v>
      </c>
      <c r="J4436" s="9" t="s">
        <v>5463</v>
      </c>
      <c r="K4436" t="s">
        <v>5103</v>
      </c>
      <c r="L4436" s="2">
        <v>1</v>
      </c>
      <c r="M4436" s="24" t="s">
        <v>5971</v>
      </c>
      <c r="N4436" s="2" t="s">
        <v>23</v>
      </c>
      <c r="O4436" s="18" t="s">
        <v>3075</v>
      </c>
      <c r="P4436" s="18" t="s">
        <v>3781</v>
      </c>
      <c r="Q4436" s="6" t="s">
        <v>4475</v>
      </c>
      <c r="T4436" s="23">
        <v>46184</v>
      </c>
      <c r="U4436" s="23">
        <v>47645</v>
      </c>
      <c r="X4436" s="20">
        <v>5000</v>
      </c>
      <c r="Z4436" s="6" t="s">
        <v>5978</v>
      </c>
      <c r="AA4436" s="14">
        <f t="shared" si="585"/>
        <v>5.9999999999999995E-4</v>
      </c>
      <c r="AB4436">
        <v>2.9564819999999998</v>
      </c>
      <c r="AC4436">
        <v>3.07474128</v>
      </c>
    </row>
    <row r="4437" spans="1:29" x14ac:dyDescent="0.3">
      <c r="A4437">
        <v>151901</v>
      </c>
      <c r="B4437" s="25" t="s">
        <v>5984</v>
      </c>
      <c r="C4437" t="s">
        <v>20</v>
      </c>
      <c r="D4437" t="s">
        <v>21</v>
      </c>
      <c r="E4437">
        <v>2222222</v>
      </c>
      <c r="F4437" s="8" t="s">
        <v>22</v>
      </c>
      <c r="G4437" s="2">
        <v>98</v>
      </c>
      <c r="H4437" t="s">
        <v>4616</v>
      </c>
      <c r="J4437" s="9" t="s">
        <v>4916</v>
      </c>
      <c r="K4437" t="s">
        <v>4887</v>
      </c>
      <c r="L4437" s="2">
        <v>1</v>
      </c>
      <c r="M4437" s="24" t="s">
        <v>5971</v>
      </c>
      <c r="N4437" s="2" t="s">
        <v>23</v>
      </c>
      <c r="O4437" s="18" t="s">
        <v>3371</v>
      </c>
      <c r="P4437" s="18" t="s">
        <v>3781</v>
      </c>
      <c r="Q4437" s="6" t="s">
        <v>4475</v>
      </c>
      <c r="T4437" s="23">
        <v>46196</v>
      </c>
      <c r="U4437" s="23">
        <v>46744</v>
      </c>
      <c r="X4437" s="20">
        <v>1000</v>
      </c>
      <c r="Z4437" s="6" t="s">
        <v>5978</v>
      </c>
      <c r="AA4437" s="14">
        <f t="shared" si="585"/>
        <v>5.9999999999999995E-4</v>
      </c>
      <c r="AB4437">
        <v>0.570438</v>
      </c>
      <c r="AC4437">
        <v>0.59325552000000004</v>
      </c>
    </row>
    <row r="4438" spans="1:29" x14ac:dyDescent="0.3">
      <c r="A4438">
        <v>132689</v>
      </c>
      <c r="B4438" s="25" t="s">
        <v>5984</v>
      </c>
      <c r="C4438" t="s">
        <v>20</v>
      </c>
      <c r="D4438" t="s">
        <v>21</v>
      </c>
      <c r="E4438">
        <v>2222222</v>
      </c>
      <c r="F4438" s="8" t="s">
        <v>22</v>
      </c>
      <c r="G4438" s="2">
        <v>98</v>
      </c>
      <c r="H4438" t="s">
        <v>4617</v>
      </c>
      <c r="J4438" s="9" t="s">
        <v>5450</v>
      </c>
      <c r="K4438" t="s">
        <v>4950</v>
      </c>
      <c r="L4438" s="2">
        <v>1</v>
      </c>
      <c r="M4438" s="24" t="s">
        <v>5971</v>
      </c>
      <c r="N4438" s="2" t="s">
        <v>23</v>
      </c>
      <c r="O4438" s="18" t="s">
        <v>3372</v>
      </c>
      <c r="P4438" s="18" t="s">
        <v>0</v>
      </c>
      <c r="Q4438" s="6" t="s">
        <v>4475</v>
      </c>
      <c r="T4438" s="23">
        <v>44957</v>
      </c>
      <c r="U4438" s="23">
        <v>46785</v>
      </c>
      <c r="X4438" s="20">
        <v>11500</v>
      </c>
      <c r="Z4438" s="6" t="s">
        <v>5978</v>
      </c>
      <c r="AA4438" s="13">
        <f>+(0.56/1000)</f>
        <v>5.6000000000000006E-4</v>
      </c>
      <c r="AB4438">
        <v>2.6267976000000002</v>
      </c>
      <c r="AC4438">
        <v>2.7318695040000001</v>
      </c>
    </row>
    <row r="4439" spans="1:29" x14ac:dyDescent="0.3">
      <c r="A4439">
        <v>146269</v>
      </c>
      <c r="B4439" s="25" t="s">
        <v>5984</v>
      </c>
      <c r="C4439" t="s">
        <v>20</v>
      </c>
      <c r="D4439" t="s">
        <v>21</v>
      </c>
      <c r="E4439">
        <v>2222222</v>
      </c>
      <c r="F4439" s="8" t="s">
        <v>22</v>
      </c>
      <c r="G4439" s="2">
        <v>98</v>
      </c>
      <c r="H4439" t="s">
        <v>4617</v>
      </c>
      <c r="J4439" s="9" t="s">
        <v>4853</v>
      </c>
      <c r="K4439" t="s">
        <v>5127</v>
      </c>
      <c r="L4439" s="2">
        <v>1</v>
      </c>
      <c r="M4439" s="24" t="s">
        <v>5971</v>
      </c>
      <c r="N4439" s="2" t="s">
        <v>23</v>
      </c>
      <c r="O4439" s="18" t="s">
        <v>3373</v>
      </c>
      <c r="P4439" s="18" t="s">
        <v>0</v>
      </c>
      <c r="Q4439" s="6" t="s">
        <v>4475</v>
      </c>
      <c r="T4439" s="23">
        <v>45806</v>
      </c>
      <c r="U4439" s="23">
        <v>46905</v>
      </c>
      <c r="X4439" s="20">
        <v>3970</v>
      </c>
      <c r="Z4439" s="6" t="s">
        <v>5978</v>
      </c>
      <c r="AA4439" s="14">
        <f t="shared" ref="AA4439:AA4444" si="586">+(0.6/1000)</f>
        <v>5.9999999999999995E-4</v>
      </c>
      <c r="AB4439">
        <v>1.6586639999999999</v>
      </c>
      <c r="AC4439">
        <v>1.7250105600000001</v>
      </c>
    </row>
    <row r="4440" spans="1:29" x14ac:dyDescent="0.3">
      <c r="A4440">
        <v>146722</v>
      </c>
      <c r="B4440" s="25" t="s">
        <v>5984</v>
      </c>
      <c r="C4440" t="s">
        <v>20</v>
      </c>
      <c r="D4440" t="s">
        <v>21</v>
      </c>
      <c r="E4440">
        <v>2222222</v>
      </c>
      <c r="F4440" s="8" t="s">
        <v>22</v>
      </c>
      <c r="G4440" s="2">
        <v>98</v>
      </c>
      <c r="H4440" t="s">
        <v>4617</v>
      </c>
      <c r="J4440" s="9" t="s">
        <v>4836</v>
      </c>
      <c r="K4440" t="s">
        <v>5031</v>
      </c>
      <c r="L4440" s="2">
        <v>1</v>
      </c>
      <c r="M4440" s="24" t="s">
        <v>5971</v>
      </c>
      <c r="N4440" s="2" t="s">
        <v>23</v>
      </c>
      <c r="O4440" s="18" t="s">
        <v>3374</v>
      </c>
      <c r="P4440" s="18" t="s">
        <v>3781</v>
      </c>
      <c r="Q4440" s="6" t="s">
        <v>4475</v>
      </c>
      <c r="T4440" s="23">
        <v>45838</v>
      </c>
      <c r="U4440" s="23">
        <v>48821</v>
      </c>
      <c r="X4440" s="20">
        <v>4730</v>
      </c>
      <c r="Z4440" s="6" t="s">
        <v>5978</v>
      </c>
      <c r="AA4440" s="14">
        <f t="shared" si="586"/>
        <v>5.9999999999999995E-4</v>
      </c>
      <c r="AB4440">
        <v>2.6555159999999995</v>
      </c>
      <c r="AC4440">
        <v>2.7617366399999996</v>
      </c>
    </row>
    <row r="4441" spans="1:29" x14ac:dyDescent="0.3">
      <c r="A4441">
        <v>147129</v>
      </c>
      <c r="B4441" s="25" t="s">
        <v>5984</v>
      </c>
      <c r="C4441" t="s">
        <v>20</v>
      </c>
      <c r="D4441" t="s">
        <v>21</v>
      </c>
      <c r="E4441">
        <v>2222222</v>
      </c>
      <c r="F4441" s="8" t="s">
        <v>22</v>
      </c>
      <c r="G4441" s="2">
        <v>98</v>
      </c>
      <c r="H4441" t="s">
        <v>4617</v>
      </c>
      <c r="J4441" s="9" t="s">
        <v>4871</v>
      </c>
      <c r="K4441" t="s">
        <v>4848</v>
      </c>
      <c r="L4441" s="2">
        <v>1</v>
      </c>
      <c r="M4441" s="24" t="s">
        <v>5971</v>
      </c>
      <c r="N4441" s="2" t="s">
        <v>23</v>
      </c>
      <c r="O4441" s="18" t="s">
        <v>3375</v>
      </c>
      <c r="P4441" s="18" t="s">
        <v>0</v>
      </c>
      <c r="Q4441" s="6" t="s">
        <v>4475</v>
      </c>
      <c r="T4441" s="23">
        <v>45868</v>
      </c>
      <c r="U4441" s="23">
        <v>47693</v>
      </c>
      <c r="X4441" s="20">
        <v>6060</v>
      </c>
      <c r="Z4441" s="6" t="s">
        <v>5978</v>
      </c>
      <c r="AA4441" s="14">
        <f t="shared" si="586"/>
        <v>5.9999999999999995E-4</v>
      </c>
      <c r="AB4441">
        <v>3.1917839999999997</v>
      </c>
      <c r="AC4441">
        <v>3.3194553599999996</v>
      </c>
    </row>
    <row r="4442" spans="1:29" x14ac:dyDescent="0.3">
      <c r="A4442">
        <v>149736</v>
      </c>
      <c r="B4442" s="25" t="s">
        <v>5984</v>
      </c>
      <c r="C4442" t="s">
        <v>20</v>
      </c>
      <c r="D4442" t="s">
        <v>21</v>
      </c>
      <c r="E4442">
        <v>2222222</v>
      </c>
      <c r="F4442" s="8" t="s">
        <v>22</v>
      </c>
      <c r="G4442" s="2">
        <v>98</v>
      </c>
      <c r="H4442" t="s">
        <v>4617</v>
      </c>
      <c r="J4442" s="9" t="s">
        <v>5477</v>
      </c>
      <c r="K4442" t="s">
        <v>4964</v>
      </c>
      <c r="L4442" s="2">
        <v>1</v>
      </c>
      <c r="M4442" s="24" t="s">
        <v>5971</v>
      </c>
      <c r="N4442" s="2" t="s">
        <v>23</v>
      </c>
      <c r="O4442" s="18" t="s">
        <v>3376</v>
      </c>
      <c r="P4442" s="18" t="s">
        <v>0</v>
      </c>
      <c r="Q4442" s="6" t="s">
        <v>4475</v>
      </c>
      <c r="T4442" s="23">
        <v>46045</v>
      </c>
      <c r="U4442" s="23">
        <v>47505</v>
      </c>
      <c r="X4442" s="20">
        <v>5000</v>
      </c>
      <c r="Z4442" s="6" t="s">
        <v>5978</v>
      </c>
      <c r="AA4442" s="14">
        <f t="shared" si="586"/>
        <v>5.9999999999999995E-4</v>
      </c>
      <c r="AB4442">
        <v>2.7287159999999995</v>
      </c>
      <c r="AC4442">
        <v>2.8378646399999994</v>
      </c>
    </row>
    <row r="4443" spans="1:29" x14ac:dyDescent="0.3">
      <c r="A4443">
        <v>151040</v>
      </c>
      <c r="B4443" s="25" t="s">
        <v>5984</v>
      </c>
      <c r="C4443" t="s">
        <v>20</v>
      </c>
      <c r="D4443" t="s">
        <v>21</v>
      </c>
      <c r="E4443">
        <v>2222222</v>
      </c>
      <c r="F4443" s="8" t="s">
        <v>22</v>
      </c>
      <c r="G4443" s="2">
        <v>98</v>
      </c>
      <c r="H4443" t="s">
        <v>4617</v>
      </c>
      <c r="J4443" s="9" t="s">
        <v>5055</v>
      </c>
      <c r="K4443" t="s">
        <v>4893</v>
      </c>
      <c r="L4443" s="2">
        <v>1</v>
      </c>
      <c r="M4443" s="24" t="s">
        <v>5971</v>
      </c>
      <c r="N4443" s="2" t="s">
        <v>23</v>
      </c>
      <c r="O4443" s="18" t="s">
        <v>3377</v>
      </c>
      <c r="P4443" s="18" t="s">
        <v>3781</v>
      </c>
      <c r="Q4443" s="6" t="s">
        <v>4475</v>
      </c>
      <c r="T4443" s="23">
        <v>46136</v>
      </c>
      <c r="U4443" s="23">
        <v>47415</v>
      </c>
      <c r="X4443" s="20">
        <v>14250</v>
      </c>
      <c r="Z4443" s="6" t="s">
        <v>5978</v>
      </c>
      <c r="AA4443" s="14">
        <f t="shared" si="586"/>
        <v>5.9999999999999995E-4</v>
      </c>
      <c r="AB4443">
        <v>8.0684759999999986</v>
      </c>
      <c r="AC4443">
        <v>8.3912150399999987</v>
      </c>
    </row>
    <row r="4444" spans="1:29" x14ac:dyDescent="0.3">
      <c r="A4444">
        <v>150868</v>
      </c>
      <c r="B4444" s="25" t="s">
        <v>5984</v>
      </c>
      <c r="C4444" t="s">
        <v>20</v>
      </c>
      <c r="D4444" t="s">
        <v>21</v>
      </c>
      <c r="E4444">
        <v>2222222</v>
      </c>
      <c r="F4444" s="8" t="s">
        <v>22</v>
      </c>
      <c r="G4444" s="2">
        <v>98</v>
      </c>
      <c r="H4444" t="s">
        <v>4618</v>
      </c>
      <c r="J4444" s="9" t="s">
        <v>4898</v>
      </c>
      <c r="K4444" t="s">
        <v>5056</v>
      </c>
      <c r="L4444" s="2">
        <v>1</v>
      </c>
      <c r="M4444" s="24" t="s">
        <v>5971</v>
      </c>
      <c r="N4444" s="2" t="s">
        <v>23</v>
      </c>
      <c r="O4444" s="18" t="s">
        <v>3378</v>
      </c>
      <c r="P4444" s="18" t="s">
        <v>3781</v>
      </c>
      <c r="Q4444" s="6" t="s">
        <v>4475</v>
      </c>
      <c r="T4444" s="23">
        <v>46122</v>
      </c>
      <c r="U4444" s="23">
        <v>47583</v>
      </c>
      <c r="X4444" s="20">
        <v>1150</v>
      </c>
      <c r="Z4444" s="6" t="s">
        <v>5978</v>
      </c>
      <c r="AA4444" s="14">
        <f t="shared" si="586"/>
        <v>5.9999999999999995E-4</v>
      </c>
      <c r="AB4444">
        <v>0.65727000000000002</v>
      </c>
      <c r="AC4444">
        <v>0.68356080000000008</v>
      </c>
    </row>
    <row r="4445" spans="1:29" x14ac:dyDescent="0.3">
      <c r="A4445">
        <v>137291</v>
      </c>
      <c r="B4445" s="25" t="s">
        <v>5984</v>
      </c>
      <c r="C4445" t="s">
        <v>20</v>
      </c>
      <c r="D4445" t="s">
        <v>21</v>
      </c>
      <c r="E4445">
        <v>2222222</v>
      </c>
      <c r="F4445" s="8" t="s">
        <v>22</v>
      </c>
      <c r="G4445" s="2">
        <v>98</v>
      </c>
      <c r="H4445" t="s">
        <v>4619</v>
      </c>
      <c r="J4445" s="9" t="s">
        <v>5899</v>
      </c>
      <c r="K4445" t="s">
        <v>5166</v>
      </c>
      <c r="L4445" s="2">
        <v>1</v>
      </c>
      <c r="M4445" s="24" t="s">
        <v>5971</v>
      </c>
      <c r="N4445" s="2" t="s">
        <v>23</v>
      </c>
      <c r="O4445" s="18" t="s">
        <v>3379</v>
      </c>
      <c r="P4445" s="18" t="s">
        <v>3781</v>
      </c>
      <c r="Q4445" s="6" t="s">
        <v>4475</v>
      </c>
      <c r="T4445" s="23">
        <v>45215</v>
      </c>
      <c r="U4445" s="23">
        <v>46310</v>
      </c>
      <c r="X4445" s="20">
        <v>10100</v>
      </c>
      <c r="Z4445" s="6" t="s">
        <v>5978</v>
      </c>
      <c r="AA4445" s="13">
        <f t="shared" ref="AA4445:AA4446" si="587">+(0.56/1000)</f>
        <v>5.6000000000000006E-4</v>
      </c>
      <c r="AB4445">
        <v>1.6491776000000002</v>
      </c>
      <c r="AC4445">
        <v>1.7151447040000003</v>
      </c>
    </row>
    <row r="4446" spans="1:29" x14ac:dyDescent="0.3">
      <c r="A4446">
        <v>140171</v>
      </c>
      <c r="B4446" s="25" t="s">
        <v>5984</v>
      </c>
      <c r="C4446" t="s">
        <v>20</v>
      </c>
      <c r="D4446" t="s">
        <v>21</v>
      </c>
      <c r="E4446">
        <v>2222222</v>
      </c>
      <c r="F4446" s="8" t="s">
        <v>22</v>
      </c>
      <c r="G4446" s="2">
        <v>98</v>
      </c>
      <c r="H4446" t="s">
        <v>4620</v>
      </c>
      <c r="J4446" s="10" t="s">
        <v>5900</v>
      </c>
      <c r="K4446" t="s">
        <v>5901</v>
      </c>
      <c r="L4446" s="2">
        <v>1</v>
      </c>
      <c r="M4446" s="24" t="s">
        <v>5971</v>
      </c>
      <c r="N4446" s="2" t="s">
        <v>23</v>
      </c>
      <c r="O4446" s="18" t="s">
        <v>3380</v>
      </c>
      <c r="P4446" s="18" t="s">
        <v>0</v>
      </c>
      <c r="Q4446" s="6" t="s">
        <v>4475</v>
      </c>
      <c r="T4446" s="23">
        <v>45371</v>
      </c>
      <c r="U4446" s="23">
        <v>49114</v>
      </c>
      <c r="X4446" s="20">
        <v>22760</v>
      </c>
      <c r="Z4446" s="6" t="s">
        <v>5978</v>
      </c>
      <c r="AA4446" s="13">
        <f t="shared" si="587"/>
        <v>5.6000000000000006E-4</v>
      </c>
      <c r="AB4446">
        <v>8.4</v>
      </c>
      <c r="AC4446">
        <v>8.7360000000000007</v>
      </c>
    </row>
    <row r="4447" spans="1:29" x14ac:dyDescent="0.3">
      <c r="A4447">
        <v>152109</v>
      </c>
      <c r="B4447" s="25" t="s">
        <v>5984</v>
      </c>
      <c r="C4447" t="s">
        <v>20</v>
      </c>
      <c r="D4447" t="s">
        <v>21</v>
      </c>
      <c r="E4447">
        <v>2222222</v>
      </c>
      <c r="F4447" s="8" t="s">
        <v>22</v>
      </c>
      <c r="G4447" s="2">
        <v>98</v>
      </c>
      <c r="H4447" t="s">
        <v>4620</v>
      </c>
      <c r="J4447" s="9" t="s">
        <v>4891</v>
      </c>
      <c r="K4447" t="s">
        <v>4942</v>
      </c>
      <c r="L4447" s="2">
        <v>1</v>
      </c>
      <c r="M4447" s="24" t="s">
        <v>5971</v>
      </c>
      <c r="N4447" s="2" t="s">
        <v>23</v>
      </c>
      <c r="O4447" s="18" t="s">
        <v>3381</v>
      </c>
      <c r="P4447" s="18" t="s">
        <v>3781</v>
      </c>
      <c r="Q4447" s="6" t="s">
        <v>4475</v>
      </c>
      <c r="T4447" s="23">
        <v>46212</v>
      </c>
      <c r="U4447" s="23">
        <v>46302</v>
      </c>
      <c r="X4447" s="20">
        <v>4120</v>
      </c>
      <c r="Z4447" s="6" t="s">
        <v>5978</v>
      </c>
      <c r="AA4447" s="14">
        <f t="shared" ref="AA4447:AA4448" si="588">+(0.6/1000)</f>
        <v>5.9999999999999995E-4</v>
      </c>
      <c r="AB4447">
        <v>2.472</v>
      </c>
      <c r="AC4447">
        <v>2.5708800000000003</v>
      </c>
    </row>
    <row r="4448" spans="1:29" x14ac:dyDescent="0.3">
      <c r="A4448">
        <v>152382</v>
      </c>
      <c r="B4448" s="25" t="s">
        <v>5984</v>
      </c>
      <c r="C4448" t="s">
        <v>20</v>
      </c>
      <c r="D4448" t="s">
        <v>21</v>
      </c>
      <c r="E4448">
        <v>2222222</v>
      </c>
      <c r="F4448" s="8" t="s">
        <v>22</v>
      </c>
      <c r="G4448" s="2">
        <v>98</v>
      </c>
      <c r="H4448" t="s">
        <v>4620</v>
      </c>
      <c r="J4448" s="9" t="s">
        <v>4891</v>
      </c>
      <c r="K4448" t="s">
        <v>4942</v>
      </c>
      <c r="L4448" s="2">
        <v>1</v>
      </c>
      <c r="M4448" s="24" t="s">
        <v>5971</v>
      </c>
      <c r="N4448" s="2" t="s">
        <v>23</v>
      </c>
      <c r="O4448" s="18" t="s">
        <v>3381</v>
      </c>
      <c r="P4448" s="18" t="s">
        <v>3781</v>
      </c>
      <c r="Q4448" s="6" t="s">
        <v>4475</v>
      </c>
      <c r="T4448" s="23">
        <v>46234</v>
      </c>
      <c r="U4448" s="23">
        <v>46324</v>
      </c>
      <c r="X4448" s="20">
        <v>1310</v>
      </c>
      <c r="Z4448" s="6" t="s">
        <v>5978</v>
      </c>
      <c r="AA4448" s="14">
        <f t="shared" si="588"/>
        <v>5.9999999999999995E-4</v>
      </c>
      <c r="AB4448">
        <v>0.78599999999999992</v>
      </c>
      <c r="AC4448">
        <v>0.81743999999999994</v>
      </c>
    </row>
    <row r="4449" spans="1:29" x14ac:dyDescent="0.3">
      <c r="A4449">
        <v>116989</v>
      </c>
      <c r="B4449" s="25" t="s">
        <v>5984</v>
      </c>
      <c r="C4449" t="s">
        <v>20</v>
      </c>
      <c r="D4449" t="s">
        <v>21</v>
      </c>
      <c r="E4449">
        <v>2222222</v>
      </c>
      <c r="F4449" s="8" t="s">
        <v>22</v>
      </c>
      <c r="G4449" s="2">
        <v>98</v>
      </c>
      <c r="H4449" t="s">
        <v>4621</v>
      </c>
      <c r="J4449" s="9" t="s">
        <v>4908</v>
      </c>
      <c r="K4449" t="s">
        <v>4905</v>
      </c>
      <c r="L4449" s="2">
        <v>1</v>
      </c>
      <c r="M4449" s="24" t="s">
        <v>5971</v>
      </c>
      <c r="N4449" s="2" t="s">
        <v>23</v>
      </c>
      <c r="O4449" s="18" t="s">
        <v>3382</v>
      </c>
      <c r="P4449" s="18" t="s">
        <v>0</v>
      </c>
      <c r="Q4449" s="6" t="s">
        <v>4475</v>
      </c>
      <c r="T4449" s="23">
        <v>44162</v>
      </c>
      <c r="U4449" s="23">
        <v>49645</v>
      </c>
      <c r="X4449" s="20">
        <v>66430</v>
      </c>
      <c r="Z4449" s="6" t="s">
        <v>5978</v>
      </c>
      <c r="AA4449" s="15">
        <f>+(0.42/1000)</f>
        <v>4.1999999999999996E-4</v>
      </c>
      <c r="AB4449">
        <v>22.117502399999999</v>
      </c>
      <c r="AC4449">
        <v>23.002202495999999</v>
      </c>
    </row>
    <row r="4450" spans="1:29" x14ac:dyDescent="0.3">
      <c r="A4450">
        <v>145851</v>
      </c>
      <c r="B4450" s="25" t="s">
        <v>5984</v>
      </c>
      <c r="C4450" t="s">
        <v>20</v>
      </c>
      <c r="D4450" t="s">
        <v>21</v>
      </c>
      <c r="E4450">
        <v>2222222</v>
      </c>
      <c r="F4450" s="8" t="s">
        <v>22</v>
      </c>
      <c r="G4450" s="2">
        <v>98</v>
      </c>
      <c r="H4450" t="s">
        <v>4621</v>
      </c>
      <c r="J4450" s="9" t="s">
        <v>4863</v>
      </c>
      <c r="K4450" t="s">
        <v>4924</v>
      </c>
      <c r="L4450" s="2">
        <v>1</v>
      </c>
      <c r="M4450" s="24" t="s">
        <v>5971</v>
      </c>
      <c r="N4450" s="2" t="s">
        <v>23</v>
      </c>
      <c r="O4450" s="18" t="s">
        <v>3383</v>
      </c>
      <c r="P4450" s="18" t="s">
        <v>3781</v>
      </c>
      <c r="Q4450" s="6" t="s">
        <v>4475</v>
      </c>
      <c r="T4450" s="23">
        <v>45776</v>
      </c>
      <c r="U4450" s="23">
        <v>47241</v>
      </c>
      <c r="X4450" s="20">
        <v>40000</v>
      </c>
      <c r="Z4450" s="6" t="s">
        <v>5978</v>
      </c>
      <c r="AA4450" s="14">
        <f t="shared" ref="AA4450:AA4455" si="589">+(0.6/1000)</f>
        <v>5.9999999999999995E-4</v>
      </c>
      <c r="AB4450">
        <v>18.330779999999997</v>
      </c>
      <c r="AC4450">
        <v>19.064011199999999</v>
      </c>
    </row>
    <row r="4451" spans="1:29" x14ac:dyDescent="0.3">
      <c r="A4451">
        <v>148630</v>
      </c>
      <c r="B4451" s="25" t="s">
        <v>5984</v>
      </c>
      <c r="C4451" t="s">
        <v>20</v>
      </c>
      <c r="D4451" t="s">
        <v>21</v>
      </c>
      <c r="E4451">
        <v>2222222</v>
      </c>
      <c r="F4451" s="8" t="s">
        <v>22</v>
      </c>
      <c r="G4451" s="2">
        <v>98</v>
      </c>
      <c r="H4451" t="s">
        <v>4621</v>
      </c>
      <c r="J4451" s="9" t="s">
        <v>5280</v>
      </c>
      <c r="K4451" t="s">
        <v>5768</v>
      </c>
      <c r="L4451" s="2">
        <v>1</v>
      </c>
      <c r="M4451" s="24" t="s">
        <v>5971</v>
      </c>
      <c r="N4451" s="2" t="s">
        <v>23</v>
      </c>
      <c r="O4451" s="18" t="s">
        <v>3384</v>
      </c>
      <c r="P4451" s="18" t="s">
        <v>3781</v>
      </c>
      <c r="Q4451" s="6" t="s">
        <v>4475</v>
      </c>
      <c r="T4451" s="23">
        <v>45968</v>
      </c>
      <c r="U4451" s="23">
        <v>47064</v>
      </c>
      <c r="X4451" s="20">
        <v>5000</v>
      </c>
      <c r="Z4451" s="6" t="s">
        <v>5978</v>
      </c>
      <c r="AA4451" s="14">
        <f t="shared" si="589"/>
        <v>5.9999999999999995E-4</v>
      </c>
      <c r="AB4451">
        <v>2.415702</v>
      </c>
      <c r="AC4451">
        <v>2.5123300799999999</v>
      </c>
    </row>
    <row r="4452" spans="1:29" x14ac:dyDescent="0.3">
      <c r="A4452">
        <v>150584</v>
      </c>
      <c r="B4452" s="25" t="s">
        <v>5984</v>
      </c>
      <c r="C4452" t="s">
        <v>20</v>
      </c>
      <c r="D4452" t="s">
        <v>21</v>
      </c>
      <c r="E4452">
        <v>2222222</v>
      </c>
      <c r="F4452" s="8" t="s">
        <v>22</v>
      </c>
      <c r="G4452" s="2">
        <v>98</v>
      </c>
      <c r="H4452" t="s">
        <v>4621</v>
      </c>
      <c r="J4452" s="9" t="s">
        <v>5902</v>
      </c>
      <c r="K4452" t="s">
        <v>5271</v>
      </c>
      <c r="L4452" s="2">
        <v>1</v>
      </c>
      <c r="M4452" s="24" t="s">
        <v>5971</v>
      </c>
      <c r="N4452" s="2" t="s">
        <v>23</v>
      </c>
      <c r="O4452" s="18" t="s">
        <v>1581</v>
      </c>
      <c r="P4452" s="18" t="s">
        <v>0</v>
      </c>
      <c r="Q4452" s="6" t="s">
        <v>4475</v>
      </c>
      <c r="T4452" s="23">
        <v>46119</v>
      </c>
      <c r="U4452" s="23">
        <v>46667</v>
      </c>
      <c r="X4452" s="20">
        <v>12800</v>
      </c>
      <c r="Z4452" s="6" t="s">
        <v>5978</v>
      </c>
      <c r="AA4452" s="14">
        <f t="shared" si="589"/>
        <v>5.9999999999999995E-4</v>
      </c>
      <c r="AB4452">
        <v>6.5094599999999998</v>
      </c>
      <c r="AC4452">
        <v>6.7698384000000003</v>
      </c>
    </row>
    <row r="4453" spans="1:29" x14ac:dyDescent="0.3">
      <c r="A4453">
        <v>151606</v>
      </c>
      <c r="B4453" s="25" t="s">
        <v>5984</v>
      </c>
      <c r="C4453" t="s">
        <v>20</v>
      </c>
      <c r="D4453" t="s">
        <v>21</v>
      </c>
      <c r="E4453">
        <v>2222222</v>
      </c>
      <c r="F4453" s="8" t="s">
        <v>22</v>
      </c>
      <c r="G4453" s="2">
        <v>98</v>
      </c>
      <c r="H4453" t="s">
        <v>4621</v>
      </c>
      <c r="J4453" s="9" t="s">
        <v>4863</v>
      </c>
      <c r="K4453" t="s">
        <v>4924</v>
      </c>
      <c r="L4453" s="2">
        <v>1</v>
      </c>
      <c r="M4453" s="24" t="s">
        <v>5971</v>
      </c>
      <c r="N4453" s="2" t="s">
        <v>23</v>
      </c>
      <c r="O4453" s="18" t="s">
        <v>3383</v>
      </c>
      <c r="P4453" s="18" t="s">
        <v>3781</v>
      </c>
      <c r="Q4453" s="6" t="s">
        <v>4475</v>
      </c>
      <c r="T4453" s="23">
        <v>46175</v>
      </c>
      <c r="U4453" s="23">
        <v>46448</v>
      </c>
      <c r="X4453" s="20">
        <v>5000</v>
      </c>
      <c r="Z4453" s="6" t="s">
        <v>5978</v>
      </c>
      <c r="AA4453" s="14">
        <f t="shared" si="589"/>
        <v>5.9999999999999995E-4</v>
      </c>
      <c r="AB4453">
        <v>2.68581</v>
      </c>
      <c r="AC4453">
        <v>2.7932424</v>
      </c>
    </row>
    <row r="4454" spans="1:29" x14ac:dyDescent="0.3">
      <c r="A4454">
        <v>151623</v>
      </c>
      <c r="B4454" s="25" t="s">
        <v>5984</v>
      </c>
      <c r="C4454" t="s">
        <v>20</v>
      </c>
      <c r="D4454" t="s">
        <v>21</v>
      </c>
      <c r="E4454">
        <v>2222222</v>
      </c>
      <c r="F4454" s="8" t="s">
        <v>22</v>
      </c>
      <c r="G4454" s="2">
        <v>98</v>
      </c>
      <c r="H4454" t="s">
        <v>4621</v>
      </c>
      <c r="J4454" s="9" t="s">
        <v>5903</v>
      </c>
      <c r="K4454" t="s">
        <v>4839</v>
      </c>
      <c r="L4454" s="2">
        <v>1</v>
      </c>
      <c r="M4454" s="24" t="s">
        <v>5971</v>
      </c>
      <c r="N4454" s="2" t="s">
        <v>23</v>
      </c>
      <c r="O4454" s="18" t="s">
        <v>2690</v>
      </c>
      <c r="P4454" s="18" t="s">
        <v>0</v>
      </c>
      <c r="Q4454" s="6" t="s">
        <v>4475</v>
      </c>
      <c r="T4454" s="23">
        <v>46176</v>
      </c>
      <c r="U4454" s="23">
        <v>46298</v>
      </c>
      <c r="X4454" s="20">
        <v>210</v>
      </c>
      <c r="Z4454" s="6" t="s">
        <v>5978</v>
      </c>
      <c r="AA4454" s="14">
        <f t="shared" si="589"/>
        <v>5.9999999999999995E-4</v>
      </c>
      <c r="AB4454">
        <v>9.5147999999999996E-2</v>
      </c>
      <c r="AC4454">
        <v>9.8953920000000001E-2</v>
      </c>
    </row>
    <row r="4455" spans="1:29" x14ac:dyDescent="0.3">
      <c r="A4455">
        <v>152064</v>
      </c>
      <c r="B4455" s="25" t="s">
        <v>5984</v>
      </c>
      <c r="C4455" t="s">
        <v>20</v>
      </c>
      <c r="D4455" t="s">
        <v>21</v>
      </c>
      <c r="E4455">
        <v>2222222</v>
      </c>
      <c r="F4455" s="8" t="s">
        <v>22</v>
      </c>
      <c r="G4455" s="2">
        <v>98</v>
      </c>
      <c r="H4455" t="s">
        <v>4621</v>
      </c>
      <c r="J4455" s="9" t="s">
        <v>4908</v>
      </c>
      <c r="K4455" t="s">
        <v>5440</v>
      </c>
      <c r="L4455" s="2">
        <v>1</v>
      </c>
      <c r="M4455" s="24" t="s">
        <v>5971</v>
      </c>
      <c r="N4455" s="2" t="s">
        <v>23</v>
      </c>
      <c r="O4455" s="18" t="s">
        <v>3385</v>
      </c>
      <c r="P4455" s="18" t="s">
        <v>0</v>
      </c>
      <c r="Q4455" s="6" t="s">
        <v>4475</v>
      </c>
      <c r="T4455" s="23">
        <v>46216</v>
      </c>
      <c r="U4455" s="23">
        <v>46946</v>
      </c>
      <c r="X4455" s="20">
        <v>6500</v>
      </c>
      <c r="Z4455" s="6" t="s">
        <v>5978</v>
      </c>
      <c r="AA4455" s="14">
        <f t="shared" si="589"/>
        <v>5.9999999999999995E-4</v>
      </c>
      <c r="AB4455">
        <v>3.8999999999999995</v>
      </c>
      <c r="AC4455">
        <v>4.0559999999999992</v>
      </c>
    </row>
    <row r="4456" spans="1:29" x14ac:dyDescent="0.3">
      <c r="A4456">
        <v>135885</v>
      </c>
      <c r="B4456" s="25" t="s">
        <v>5984</v>
      </c>
      <c r="C4456" t="s">
        <v>20</v>
      </c>
      <c r="D4456" t="s">
        <v>21</v>
      </c>
      <c r="E4456">
        <v>2222222</v>
      </c>
      <c r="F4456" s="8" t="s">
        <v>22</v>
      </c>
      <c r="G4456" s="2">
        <v>98</v>
      </c>
      <c r="H4456" t="s">
        <v>4622</v>
      </c>
      <c r="J4456" s="9" t="s">
        <v>5018</v>
      </c>
      <c r="K4456" t="s">
        <v>5374</v>
      </c>
      <c r="L4456" s="2">
        <v>1</v>
      </c>
      <c r="M4456" s="24" t="s">
        <v>5971</v>
      </c>
      <c r="N4456" s="2" t="s">
        <v>23</v>
      </c>
      <c r="O4456" s="18" t="s">
        <v>3386</v>
      </c>
      <c r="P4456" s="18" t="s">
        <v>0</v>
      </c>
      <c r="Q4456" s="6" t="s">
        <v>4475</v>
      </c>
      <c r="T4456" s="23">
        <v>45146</v>
      </c>
      <c r="U4456" s="23">
        <v>46241</v>
      </c>
      <c r="X4456" s="20">
        <v>10500</v>
      </c>
      <c r="Z4456" s="6" t="s">
        <v>5978</v>
      </c>
      <c r="AA4456" s="13">
        <f>+(0.56/1000)</f>
        <v>5.6000000000000006E-4</v>
      </c>
      <c r="AB4456">
        <v>0.60529840000000013</v>
      </c>
      <c r="AC4456">
        <v>0.62951033600000017</v>
      </c>
    </row>
    <row r="4457" spans="1:29" x14ac:dyDescent="0.3">
      <c r="A4457">
        <v>144973</v>
      </c>
      <c r="B4457" s="25" t="s">
        <v>5984</v>
      </c>
      <c r="C4457" t="s">
        <v>20</v>
      </c>
      <c r="D4457" t="s">
        <v>21</v>
      </c>
      <c r="E4457">
        <v>2222222</v>
      </c>
      <c r="F4457" s="8" t="s">
        <v>22</v>
      </c>
      <c r="G4457" s="2">
        <v>98</v>
      </c>
      <c r="H4457" t="s">
        <v>4623</v>
      </c>
      <c r="J4457" s="9" t="s">
        <v>4950</v>
      </c>
      <c r="K4457" t="s">
        <v>4857</v>
      </c>
      <c r="L4457" s="2">
        <v>1</v>
      </c>
      <c r="M4457" s="24" t="s">
        <v>5971</v>
      </c>
      <c r="N4457" s="2" t="s">
        <v>23</v>
      </c>
      <c r="O4457" s="18" t="s">
        <v>3387</v>
      </c>
      <c r="P4457" s="18" t="s">
        <v>0</v>
      </c>
      <c r="Q4457" s="6" t="s">
        <v>4475</v>
      </c>
      <c r="T4457" s="23">
        <v>45706</v>
      </c>
      <c r="U4457" s="23">
        <v>51186</v>
      </c>
      <c r="X4457" s="20">
        <v>18550</v>
      </c>
      <c r="Z4457" s="6" t="s">
        <v>5978</v>
      </c>
      <c r="AA4457" s="14">
        <f t="shared" ref="AA4457:AA4460" si="590">+(0.6/1000)</f>
        <v>5.9999999999999995E-4</v>
      </c>
      <c r="AB4457">
        <v>10.706916</v>
      </c>
      <c r="AC4457">
        <v>11.13519264</v>
      </c>
    </row>
    <row r="4458" spans="1:29" x14ac:dyDescent="0.3">
      <c r="A4458">
        <v>148573</v>
      </c>
      <c r="B4458" s="25" t="s">
        <v>5984</v>
      </c>
      <c r="C4458" t="s">
        <v>20</v>
      </c>
      <c r="D4458" t="s">
        <v>21</v>
      </c>
      <c r="E4458">
        <v>2222222</v>
      </c>
      <c r="F4458" s="8" t="s">
        <v>22</v>
      </c>
      <c r="G4458" s="2">
        <v>98</v>
      </c>
      <c r="H4458" t="s">
        <v>4624</v>
      </c>
      <c r="J4458" s="9" t="s">
        <v>4950</v>
      </c>
      <c r="K4458" t="s">
        <v>4031</v>
      </c>
      <c r="L4458" s="2">
        <v>1</v>
      </c>
      <c r="M4458" s="24" t="s">
        <v>5971</v>
      </c>
      <c r="N4458" s="2" t="s">
        <v>23</v>
      </c>
      <c r="O4458" s="18" t="s">
        <v>3388</v>
      </c>
      <c r="P4458" s="18" t="s">
        <v>0</v>
      </c>
      <c r="Q4458" s="6" t="s">
        <v>4475</v>
      </c>
      <c r="T4458" s="23">
        <v>45733</v>
      </c>
      <c r="U4458" s="23">
        <v>46451</v>
      </c>
      <c r="X4458" s="20">
        <v>2000</v>
      </c>
      <c r="Z4458" s="6" t="s">
        <v>5978</v>
      </c>
      <c r="AA4458" s="14">
        <f t="shared" si="590"/>
        <v>5.9999999999999995E-4</v>
      </c>
      <c r="AB4458">
        <v>0.43718999999999997</v>
      </c>
      <c r="AC4458">
        <v>0.45467759999999996</v>
      </c>
    </row>
    <row r="4459" spans="1:29" x14ac:dyDescent="0.3">
      <c r="A4459">
        <v>147785</v>
      </c>
      <c r="B4459" s="25" t="s">
        <v>5984</v>
      </c>
      <c r="C4459" t="s">
        <v>20</v>
      </c>
      <c r="D4459" t="s">
        <v>21</v>
      </c>
      <c r="E4459">
        <v>2222222</v>
      </c>
      <c r="F4459" s="8" t="s">
        <v>22</v>
      </c>
      <c r="G4459" s="2">
        <v>98</v>
      </c>
      <c r="H4459" t="s">
        <v>4625</v>
      </c>
      <c r="J4459" s="9" t="s">
        <v>5141</v>
      </c>
      <c r="K4459" t="s">
        <v>4861</v>
      </c>
      <c r="L4459" s="2">
        <v>1</v>
      </c>
      <c r="M4459" s="24" t="s">
        <v>5971</v>
      </c>
      <c r="N4459" s="2" t="s">
        <v>23</v>
      </c>
      <c r="O4459" s="18" t="s">
        <v>3389</v>
      </c>
      <c r="P4459" s="18" t="s">
        <v>3781</v>
      </c>
      <c r="Q4459" s="6" t="s">
        <v>4475</v>
      </c>
      <c r="T4459" s="23">
        <v>45912</v>
      </c>
      <c r="U4459" s="23">
        <v>47130</v>
      </c>
      <c r="X4459" s="20">
        <v>3100</v>
      </c>
      <c r="Z4459" s="6" t="s">
        <v>5978</v>
      </c>
      <c r="AA4459" s="14">
        <f t="shared" si="590"/>
        <v>5.9999999999999995E-4</v>
      </c>
      <c r="AB4459">
        <v>1.8599999999999999</v>
      </c>
      <c r="AC4459">
        <v>1.9343999999999999</v>
      </c>
    </row>
    <row r="4460" spans="1:29" x14ac:dyDescent="0.3">
      <c r="A4460">
        <v>149719</v>
      </c>
      <c r="B4460" s="25" t="s">
        <v>5984</v>
      </c>
      <c r="C4460" t="s">
        <v>20</v>
      </c>
      <c r="D4460" t="s">
        <v>21</v>
      </c>
      <c r="E4460">
        <v>2222222</v>
      </c>
      <c r="F4460" s="8" t="s">
        <v>22</v>
      </c>
      <c r="G4460" s="2">
        <v>98</v>
      </c>
      <c r="H4460" t="s">
        <v>4626</v>
      </c>
      <c r="J4460" s="9" t="s">
        <v>4913</v>
      </c>
      <c r="K4460" t="s">
        <v>5904</v>
      </c>
      <c r="L4460" s="2">
        <v>1</v>
      </c>
      <c r="M4460" s="24" t="s">
        <v>5971</v>
      </c>
      <c r="N4460" s="2" t="s">
        <v>23</v>
      </c>
      <c r="O4460" s="18" t="s">
        <v>3390</v>
      </c>
      <c r="P4460" s="18" t="s">
        <v>0</v>
      </c>
      <c r="Q4460" s="6" t="s">
        <v>4475</v>
      </c>
      <c r="T4460" s="23">
        <v>46049</v>
      </c>
      <c r="U4460" s="23">
        <v>47874</v>
      </c>
      <c r="X4460" s="20">
        <v>11500</v>
      </c>
      <c r="Z4460" s="6" t="s">
        <v>5978</v>
      </c>
      <c r="AA4460" s="14">
        <f t="shared" si="590"/>
        <v>5.9999999999999995E-4</v>
      </c>
      <c r="AB4460">
        <v>6.4008959999999995</v>
      </c>
      <c r="AC4460">
        <v>6.6569318399999995</v>
      </c>
    </row>
    <row r="4461" spans="1:29" x14ac:dyDescent="0.3">
      <c r="A4461">
        <v>132736</v>
      </c>
      <c r="B4461" s="25" t="s">
        <v>5984</v>
      </c>
      <c r="C4461" t="s">
        <v>20</v>
      </c>
      <c r="D4461" t="s">
        <v>21</v>
      </c>
      <c r="E4461">
        <v>2222222</v>
      </c>
      <c r="F4461" s="8" t="s">
        <v>22</v>
      </c>
      <c r="G4461" s="2">
        <v>98</v>
      </c>
      <c r="H4461" t="s">
        <v>4627</v>
      </c>
      <c r="J4461" s="9" t="s">
        <v>5430</v>
      </c>
      <c r="K4461" t="s">
        <v>5905</v>
      </c>
      <c r="L4461" s="2">
        <v>1</v>
      </c>
      <c r="M4461" s="24" t="s">
        <v>5971</v>
      </c>
      <c r="N4461" s="2" t="s">
        <v>23</v>
      </c>
      <c r="O4461" s="18" t="s">
        <v>3391</v>
      </c>
      <c r="P4461" s="18" t="s">
        <v>0</v>
      </c>
      <c r="Q4461" s="6" t="s">
        <v>4475</v>
      </c>
      <c r="T4461" s="23">
        <v>44956</v>
      </c>
      <c r="U4461" s="23">
        <v>47515</v>
      </c>
      <c r="X4461" s="20">
        <v>19100</v>
      </c>
      <c r="Z4461" s="6" t="s">
        <v>5978</v>
      </c>
      <c r="AA4461" s="13">
        <f t="shared" ref="AA4461:AA4464" si="591">+(0.56/1000)</f>
        <v>5.6000000000000006E-4</v>
      </c>
      <c r="AB4461">
        <v>6.8151552000000004</v>
      </c>
      <c r="AC4461">
        <v>7.0877614080000004</v>
      </c>
    </row>
    <row r="4462" spans="1:29" x14ac:dyDescent="0.3">
      <c r="A4462">
        <v>135675</v>
      </c>
      <c r="B4462" s="25" t="s">
        <v>5984</v>
      </c>
      <c r="C4462" t="s">
        <v>20</v>
      </c>
      <c r="D4462" t="s">
        <v>21</v>
      </c>
      <c r="E4462">
        <v>2222222</v>
      </c>
      <c r="F4462" s="8" t="s">
        <v>22</v>
      </c>
      <c r="G4462" s="2">
        <v>98</v>
      </c>
      <c r="H4462" t="s">
        <v>4627</v>
      </c>
      <c r="J4462" s="9" t="s">
        <v>4852</v>
      </c>
      <c r="K4462" t="s">
        <v>5160</v>
      </c>
      <c r="L4462" s="2">
        <v>1</v>
      </c>
      <c r="M4462" s="24" t="s">
        <v>5971</v>
      </c>
      <c r="N4462" s="2" t="s">
        <v>23</v>
      </c>
      <c r="O4462" s="18" t="s">
        <v>3392</v>
      </c>
      <c r="P4462" s="18" t="s">
        <v>0</v>
      </c>
      <c r="Q4462" s="6" t="s">
        <v>4475</v>
      </c>
      <c r="T4462" s="23">
        <v>45133</v>
      </c>
      <c r="U4462" s="23">
        <v>46228</v>
      </c>
      <c r="X4462" s="20">
        <v>10000</v>
      </c>
      <c r="Z4462" s="6" t="s">
        <v>5978</v>
      </c>
      <c r="AA4462" s="13">
        <f t="shared" si="591"/>
        <v>5.6000000000000006E-4</v>
      </c>
      <c r="AB4462">
        <v>0.38890880000000005</v>
      </c>
      <c r="AC4462">
        <v>0.40446515200000005</v>
      </c>
    </row>
    <row r="4463" spans="1:29" x14ac:dyDescent="0.3">
      <c r="A4463">
        <v>138411</v>
      </c>
      <c r="B4463" s="25" t="s">
        <v>5984</v>
      </c>
      <c r="C4463" t="s">
        <v>20</v>
      </c>
      <c r="D4463" t="s">
        <v>21</v>
      </c>
      <c r="E4463">
        <v>2222222</v>
      </c>
      <c r="F4463" s="8" t="s">
        <v>22</v>
      </c>
      <c r="G4463" s="2">
        <v>98</v>
      </c>
      <c r="H4463" t="s">
        <v>4627</v>
      </c>
      <c r="J4463" s="9" t="s">
        <v>5234</v>
      </c>
      <c r="K4463" t="s">
        <v>4961</v>
      </c>
      <c r="L4463" s="2">
        <v>1</v>
      </c>
      <c r="M4463" s="24" t="s">
        <v>5971</v>
      </c>
      <c r="N4463" s="2" t="s">
        <v>23</v>
      </c>
      <c r="O4463" s="18" t="s">
        <v>3393</v>
      </c>
      <c r="P4463" s="18" t="s">
        <v>0</v>
      </c>
      <c r="Q4463" s="6" t="s">
        <v>4475</v>
      </c>
      <c r="T4463" s="23">
        <v>45338</v>
      </c>
      <c r="U4463" s="23">
        <v>50877</v>
      </c>
      <c r="X4463" s="20">
        <v>65000</v>
      </c>
      <c r="Z4463" s="6" t="s">
        <v>5978</v>
      </c>
      <c r="AA4463" s="13">
        <f t="shared" si="591"/>
        <v>5.6000000000000006E-4</v>
      </c>
      <c r="AB4463">
        <v>34.277661600000002</v>
      </c>
      <c r="AC4463">
        <v>35.648768064000002</v>
      </c>
    </row>
    <row r="4464" spans="1:29" x14ac:dyDescent="0.3">
      <c r="A4464">
        <v>139739</v>
      </c>
      <c r="B4464" s="25" t="s">
        <v>5984</v>
      </c>
      <c r="C4464" t="s">
        <v>20</v>
      </c>
      <c r="D4464" t="s">
        <v>21</v>
      </c>
      <c r="E4464">
        <v>2222222</v>
      </c>
      <c r="F4464" s="8" t="s">
        <v>22</v>
      </c>
      <c r="G4464" s="2">
        <v>98</v>
      </c>
      <c r="H4464" t="s">
        <v>4627</v>
      </c>
      <c r="J4464" s="9" t="s">
        <v>4962</v>
      </c>
      <c r="K4464" t="s">
        <v>5021</v>
      </c>
      <c r="L4464" s="2">
        <v>1</v>
      </c>
      <c r="M4464" s="24" t="s">
        <v>5971</v>
      </c>
      <c r="N4464" s="2" t="s">
        <v>23</v>
      </c>
      <c r="O4464" s="18" t="s">
        <v>3394</v>
      </c>
      <c r="P4464" s="18" t="s">
        <v>3781</v>
      </c>
      <c r="Q4464" s="6" t="s">
        <v>4475</v>
      </c>
      <c r="T4464" s="23">
        <v>45350</v>
      </c>
      <c r="U4464" s="23">
        <v>46812</v>
      </c>
      <c r="X4464" s="20">
        <v>4000</v>
      </c>
      <c r="Z4464" s="6" t="s">
        <v>5978</v>
      </c>
      <c r="AA4464" s="13">
        <f t="shared" si="591"/>
        <v>5.6000000000000006E-4</v>
      </c>
      <c r="AB4464">
        <v>1.0948672000000002</v>
      </c>
      <c r="AC4464">
        <v>1.1386618880000001</v>
      </c>
    </row>
    <row r="4465" spans="1:29" x14ac:dyDescent="0.3">
      <c r="A4465">
        <v>142591</v>
      </c>
      <c r="B4465" s="25" t="s">
        <v>5984</v>
      </c>
      <c r="C4465" t="s">
        <v>20</v>
      </c>
      <c r="D4465" t="s">
        <v>21</v>
      </c>
      <c r="E4465">
        <v>2222222</v>
      </c>
      <c r="F4465" s="8" t="s">
        <v>22</v>
      </c>
      <c r="G4465" s="2">
        <v>98</v>
      </c>
      <c r="H4465" t="s">
        <v>4627</v>
      </c>
      <c r="J4465" s="9" t="s">
        <v>5906</v>
      </c>
      <c r="K4465" t="s">
        <v>5196</v>
      </c>
      <c r="L4465" s="2">
        <v>1</v>
      </c>
      <c r="M4465" s="24" t="s">
        <v>5971</v>
      </c>
      <c r="N4465" s="2" t="s">
        <v>23</v>
      </c>
      <c r="O4465" s="18" t="s">
        <v>3395</v>
      </c>
      <c r="P4465" s="18" t="s">
        <v>3781</v>
      </c>
      <c r="Q4465" s="6" t="s">
        <v>4475</v>
      </c>
      <c r="T4465" s="23">
        <v>45532</v>
      </c>
      <c r="U4465" s="23">
        <v>46998</v>
      </c>
      <c r="X4465" s="20">
        <v>5000</v>
      </c>
      <c r="Z4465" s="6" t="s">
        <v>5978</v>
      </c>
      <c r="AA4465" s="14">
        <f t="shared" ref="AA4465:AA4488" si="592">+(0.6/1000)</f>
        <v>5.9999999999999995E-4</v>
      </c>
      <c r="AB4465">
        <v>1.9015679999999999</v>
      </c>
      <c r="AC4465">
        <v>1.9776307200000001</v>
      </c>
    </row>
    <row r="4466" spans="1:29" x14ac:dyDescent="0.3">
      <c r="A4466">
        <v>143082</v>
      </c>
      <c r="B4466" s="25" t="s">
        <v>5984</v>
      </c>
      <c r="C4466" t="s">
        <v>20</v>
      </c>
      <c r="D4466" t="s">
        <v>21</v>
      </c>
      <c r="E4466">
        <v>2222222</v>
      </c>
      <c r="F4466" s="8" t="s">
        <v>22</v>
      </c>
      <c r="G4466" s="2">
        <v>98</v>
      </c>
      <c r="H4466" t="s">
        <v>4627</v>
      </c>
      <c r="J4466" s="9" t="s">
        <v>4926</v>
      </c>
      <c r="K4466" t="s">
        <v>4845</v>
      </c>
      <c r="L4466" s="2">
        <v>1</v>
      </c>
      <c r="M4466" s="24" t="s">
        <v>5971</v>
      </c>
      <c r="N4466" s="2" t="s">
        <v>23</v>
      </c>
      <c r="O4466" s="18" t="s">
        <v>3396</v>
      </c>
      <c r="P4466" s="18" t="s">
        <v>3781</v>
      </c>
      <c r="Q4466" s="6" t="s">
        <v>4475</v>
      </c>
      <c r="T4466" s="23">
        <v>45566</v>
      </c>
      <c r="U4466" s="23">
        <v>47392</v>
      </c>
      <c r="X4466" s="20">
        <v>5540</v>
      </c>
      <c r="Z4466" s="6" t="s">
        <v>5978</v>
      </c>
      <c r="AA4466" s="14">
        <f t="shared" si="592"/>
        <v>5.9999999999999995E-4</v>
      </c>
      <c r="AB4466">
        <v>2.525382</v>
      </c>
      <c r="AC4466">
        <v>2.6263972799999999</v>
      </c>
    </row>
    <row r="4467" spans="1:29" x14ac:dyDescent="0.3">
      <c r="A4467">
        <v>143943</v>
      </c>
      <c r="B4467" s="25" t="s">
        <v>5984</v>
      </c>
      <c r="C4467" t="s">
        <v>20</v>
      </c>
      <c r="D4467" t="s">
        <v>21</v>
      </c>
      <c r="E4467">
        <v>2222222</v>
      </c>
      <c r="F4467" s="8" t="s">
        <v>22</v>
      </c>
      <c r="G4467" s="2">
        <v>98</v>
      </c>
      <c r="H4467" t="s">
        <v>4627</v>
      </c>
      <c r="J4467" s="9" t="s">
        <v>4962</v>
      </c>
      <c r="K4467" t="s">
        <v>4887</v>
      </c>
      <c r="L4467" s="2">
        <v>1</v>
      </c>
      <c r="M4467" s="24" t="s">
        <v>5971</v>
      </c>
      <c r="N4467" s="2" t="s">
        <v>23</v>
      </c>
      <c r="O4467" s="18" t="s">
        <v>3397</v>
      </c>
      <c r="P4467" s="18" t="s">
        <v>3781</v>
      </c>
      <c r="Q4467" s="6" t="s">
        <v>4475</v>
      </c>
      <c r="T4467" s="23">
        <v>45628</v>
      </c>
      <c r="U4467" s="23">
        <v>46722</v>
      </c>
      <c r="X4467" s="20">
        <v>3000</v>
      </c>
      <c r="Z4467" s="6" t="s">
        <v>5978</v>
      </c>
      <c r="AA4467" s="14">
        <f t="shared" si="592"/>
        <v>5.9999999999999995E-4</v>
      </c>
      <c r="AB4467">
        <v>0.96341999999999994</v>
      </c>
      <c r="AC4467">
        <v>1.0019567999999999</v>
      </c>
    </row>
    <row r="4468" spans="1:29" x14ac:dyDescent="0.3">
      <c r="A4468">
        <v>144411</v>
      </c>
      <c r="B4468" s="25" t="s">
        <v>5984</v>
      </c>
      <c r="C4468" t="s">
        <v>20</v>
      </c>
      <c r="D4468" t="s">
        <v>21</v>
      </c>
      <c r="E4468">
        <v>2222222</v>
      </c>
      <c r="F4468" s="8" t="s">
        <v>22</v>
      </c>
      <c r="G4468" s="2">
        <v>98</v>
      </c>
      <c r="H4468" t="s">
        <v>4627</v>
      </c>
      <c r="J4468" s="9" t="s">
        <v>4838</v>
      </c>
      <c r="K4468" t="s">
        <v>4824</v>
      </c>
      <c r="L4468" s="2">
        <v>1</v>
      </c>
      <c r="M4468" s="24" t="s">
        <v>5971</v>
      </c>
      <c r="N4468" s="2" t="s">
        <v>23</v>
      </c>
      <c r="O4468" s="18" t="s">
        <v>854</v>
      </c>
      <c r="P4468" s="18" t="s">
        <v>0</v>
      </c>
      <c r="Q4468" s="6" t="s">
        <v>4475</v>
      </c>
      <c r="T4468" s="23">
        <v>45667</v>
      </c>
      <c r="U4468" s="23">
        <v>47673</v>
      </c>
      <c r="X4468" s="20">
        <v>20000</v>
      </c>
      <c r="Z4468" s="6" t="s">
        <v>5978</v>
      </c>
      <c r="AA4468" s="14">
        <f t="shared" si="592"/>
        <v>5.9999999999999995E-4</v>
      </c>
      <c r="AB4468">
        <v>9.463493999999999</v>
      </c>
      <c r="AC4468">
        <v>9.8420337599999996</v>
      </c>
    </row>
    <row r="4469" spans="1:29" x14ac:dyDescent="0.3">
      <c r="A4469">
        <v>145084</v>
      </c>
      <c r="B4469" s="25" t="s">
        <v>5984</v>
      </c>
      <c r="C4469" t="s">
        <v>20</v>
      </c>
      <c r="D4469" t="s">
        <v>21</v>
      </c>
      <c r="E4469">
        <v>2222222</v>
      </c>
      <c r="F4469" s="8" t="s">
        <v>22</v>
      </c>
      <c r="G4469" s="2">
        <v>98</v>
      </c>
      <c r="H4469" t="s">
        <v>4627</v>
      </c>
      <c r="J4469" s="9" t="s">
        <v>5234</v>
      </c>
      <c r="K4469" t="s">
        <v>4961</v>
      </c>
      <c r="L4469" s="2">
        <v>1</v>
      </c>
      <c r="M4469" s="24" t="s">
        <v>5971</v>
      </c>
      <c r="N4469" s="2" t="s">
        <v>23</v>
      </c>
      <c r="O4469" s="18" t="s">
        <v>3393</v>
      </c>
      <c r="P4469" s="18" t="s">
        <v>0</v>
      </c>
      <c r="Q4469" s="6" t="s">
        <v>4475</v>
      </c>
      <c r="T4469" s="23">
        <v>45711</v>
      </c>
      <c r="U4469" s="23">
        <v>47174</v>
      </c>
      <c r="X4469" s="20">
        <v>5000</v>
      </c>
      <c r="Z4469" s="6" t="s">
        <v>5978</v>
      </c>
      <c r="AA4469" s="14">
        <f t="shared" si="592"/>
        <v>5.9999999999999995E-4</v>
      </c>
      <c r="AB4469">
        <v>2.230302</v>
      </c>
      <c r="AC4469">
        <v>2.3195140800000003</v>
      </c>
    </row>
    <row r="4470" spans="1:29" x14ac:dyDescent="0.3">
      <c r="A4470">
        <v>146169</v>
      </c>
      <c r="B4470" s="25" t="s">
        <v>5984</v>
      </c>
      <c r="C4470" t="s">
        <v>20</v>
      </c>
      <c r="D4470" t="s">
        <v>21</v>
      </c>
      <c r="E4470">
        <v>2222222</v>
      </c>
      <c r="F4470" s="8" t="s">
        <v>22</v>
      </c>
      <c r="G4470" s="2">
        <v>98</v>
      </c>
      <c r="H4470" t="s">
        <v>4627</v>
      </c>
      <c r="J4470" s="9" t="s">
        <v>4859</v>
      </c>
      <c r="K4470" t="s">
        <v>5114</v>
      </c>
      <c r="L4470" s="2">
        <v>1</v>
      </c>
      <c r="M4470" s="24" t="s">
        <v>5971</v>
      </c>
      <c r="N4470" s="2" t="s">
        <v>23</v>
      </c>
      <c r="O4470" s="18" t="s">
        <v>3398</v>
      </c>
      <c r="P4470" s="18" t="s">
        <v>3781</v>
      </c>
      <c r="Q4470" s="6" t="s">
        <v>4475</v>
      </c>
      <c r="T4470" s="23">
        <v>45797</v>
      </c>
      <c r="U4470" s="23">
        <v>46892</v>
      </c>
      <c r="X4470" s="20">
        <v>5000</v>
      </c>
      <c r="Z4470" s="6" t="s">
        <v>5978</v>
      </c>
      <c r="AA4470" s="14">
        <f t="shared" si="592"/>
        <v>5.9999999999999995E-4</v>
      </c>
      <c r="AB4470">
        <v>2.021064</v>
      </c>
      <c r="AC4470">
        <v>2.1019065600000002</v>
      </c>
    </row>
    <row r="4471" spans="1:29" x14ac:dyDescent="0.3">
      <c r="A4471">
        <v>146402</v>
      </c>
      <c r="B4471" s="25" t="s">
        <v>5984</v>
      </c>
      <c r="C4471" t="s">
        <v>20</v>
      </c>
      <c r="D4471" t="s">
        <v>21</v>
      </c>
      <c r="E4471">
        <v>2222222</v>
      </c>
      <c r="F4471" s="8" t="s">
        <v>22</v>
      </c>
      <c r="G4471" s="2">
        <v>98</v>
      </c>
      <c r="H4471" t="s">
        <v>4627</v>
      </c>
      <c r="J4471" s="9" t="s">
        <v>4936</v>
      </c>
      <c r="K4471" t="s">
        <v>4961</v>
      </c>
      <c r="L4471" s="2">
        <v>1</v>
      </c>
      <c r="M4471" s="24" t="s">
        <v>5971</v>
      </c>
      <c r="N4471" s="2" t="s">
        <v>23</v>
      </c>
      <c r="O4471" s="18" t="s">
        <v>202</v>
      </c>
      <c r="P4471" s="18" t="s">
        <v>0</v>
      </c>
      <c r="Q4471" s="6" t="s">
        <v>4475</v>
      </c>
      <c r="T4471" s="23">
        <v>45835</v>
      </c>
      <c r="U4471" s="23">
        <v>47665</v>
      </c>
      <c r="X4471" s="20">
        <v>20000</v>
      </c>
      <c r="Z4471" s="6" t="s">
        <v>5978</v>
      </c>
      <c r="AA4471" s="14">
        <f t="shared" si="592"/>
        <v>5.9999999999999995E-4</v>
      </c>
      <c r="AB4471">
        <v>10.3005</v>
      </c>
      <c r="AC4471">
        <v>10.71252</v>
      </c>
    </row>
    <row r="4472" spans="1:29" x14ac:dyDescent="0.3">
      <c r="A4472">
        <v>147993</v>
      </c>
      <c r="B4472" s="25" t="s">
        <v>5984</v>
      </c>
      <c r="C4472" t="s">
        <v>20</v>
      </c>
      <c r="D4472" t="s">
        <v>21</v>
      </c>
      <c r="E4472">
        <v>2222222</v>
      </c>
      <c r="F4472" s="8" t="s">
        <v>22</v>
      </c>
      <c r="G4472" s="2">
        <v>98</v>
      </c>
      <c r="H4472" t="s">
        <v>4627</v>
      </c>
      <c r="J4472" s="9" t="s">
        <v>5137</v>
      </c>
      <c r="K4472" t="s">
        <v>4932</v>
      </c>
      <c r="L4472" s="2">
        <v>1</v>
      </c>
      <c r="M4472" s="24" t="s">
        <v>5971</v>
      </c>
      <c r="N4472" s="2" t="s">
        <v>23</v>
      </c>
      <c r="O4472" s="18" t="s">
        <v>3399</v>
      </c>
      <c r="P4472" s="18" t="s">
        <v>3781</v>
      </c>
      <c r="Q4472" s="6" t="s">
        <v>4475</v>
      </c>
      <c r="T4472" s="23">
        <v>45930</v>
      </c>
      <c r="U4472" s="23">
        <v>48853</v>
      </c>
      <c r="X4472" s="20">
        <v>130000</v>
      </c>
      <c r="Z4472" s="6" t="s">
        <v>5978</v>
      </c>
      <c r="AA4472" s="14">
        <f t="shared" si="592"/>
        <v>5.9999999999999995E-4</v>
      </c>
      <c r="AB4472">
        <v>73.436177999999998</v>
      </c>
      <c r="AC4472">
        <v>76.37362512</v>
      </c>
    </row>
    <row r="4473" spans="1:29" x14ac:dyDescent="0.3">
      <c r="A4473">
        <v>148425</v>
      </c>
      <c r="B4473" s="25" t="s">
        <v>5984</v>
      </c>
      <c r="C4473" t="s">
        <v>20</v>
      </c>
      <c r="D4473" t="s">
        <v>21</v>
      </c>
      <c r="E4473">
        <v>2222222</v>
      </c>
      <c r="F4473" s="8" t="s">
        <v>22</v>
      </c>
      <c r="G4473" s="2">
        <v>98</v>
      </c>
      <c r="H4473" t="s">
        <v>4627</v>
      </c>
      <c r="J4473" s="9" t="s">
        <v>4836</v>
      </c>
      <c r="K4473" t="s">
        <v>4872</v>
      </c>
      <c r="L4473" s="2">
        <v>1</v>
      </c>
      <c r="M4473" s="24" t="s">
        <v>5971</v>
      </c>
      <c r="N4473" s="2" t="s">
        <v>23</v>
      </c>
      <c r="O4473" s="18" t="s">
        <v>1997</v>
      </c>
      <c r="P4473" s="18" t="s">
        <v>3781</v>
      </c>
      <c r="Q4473" s="6" t="s">
        <v>4475</v>
      </c>
      <c r="T4473" s="23">
        <v>45978</v>
      </c>
      <c r="U4473" s="23">
        <v>51457</v>
      </c>
      <c r="X4473" s="20">
        <v>20000</v>
      </c>
      <c r="Z4473" s="6" t="s">
        <v>5978</v>
      </c>
      <c r="AA4473" s="14">
        <f t="shared" si="592"/>
        <v>5.9999999999999995E-4</v>
      </c>
      <c r="AB4473">
        <v>11.798532</v>
      </c>
      <c r="AC4473">
        <v>12.270473280000001</v>
      </c>
    </row>
    <row r="4474" spans="1:29" x14ac:dyDescent="0.3">
      <c r="A4474">
        <v>148666</v>
      </c>
      <c r="B4474" s="25" t="s">
        <v>5984</v>
      </c>
      <c r="C4474" t="s">
        <v>20</v>
      </c>
      <c r="D4474" t="s">
        <v>21</v>
      </c>
      <c r="E4474">
        <v>2222222</v>
      </c>
      <c r="F4474" s="8" t="s">
        <v>22</v>
      </c>
      <c r="G4474" s="2">
        <v>98</v>
      </c>
      <c r="H4474" t="s">
        <v>4627</v>
      </c>
      <c r="J4474" s="9" t="s">
        <v>4859</v>
      </c>
      <c r="K4474" t="s">
        <v>5097</v>
      </c>
      <c r="L4474" s="2">
        <v>1</v>
      </c>
      <c r="M4474" s="24" t="s">
        <v>5971</v>
      </c>
      <c r="N4474" s="2" t="s">
        <v>23</v>
      </c>
      <c r="O4474" s="18" t="s">
        <v>2232</v>
      </c>
      <c r="P4474" s="18" t="s">
        <v>3781</v>
      </c>
      <c r="Q4474" s="6" t="s">
        <v>4475</v>
      </c>
      <c r="T4474" s="23">
        <v>45971</v>
      </c>
      <c r="U4474" s="23">
        <v>46522</v>
      </c>
      <c r="X4474" s="20">
        <v>1000</v>
      </c>
      <c r="Z4474" s="6" t="s">
        <v>5978</v>
      </c>
      <c r="AA4474" s="14">
        <f t="shared" si="592"/>
        <v>5.9999999999999995E-4</v>
      </c>
      <c r="AB4474">
        <v>0.54072599999999993</v>
      </c>
      <c r="AC4474">
        <v>0.56235503999999992</v>
      </c>
    </row>
    <row r="4475" spans="1:29" x14ac:dyDescent="0.3">
      <c r="A4475">
        <v>148857</v>
      </c>
      <c r="B4475" s="25" t="s">
        <v>5984</v>
      </c>
      <c r="C4475" t="s">
        <v>20</v>
      </c>
      <c r="D4475" t="s">
        <v>21</v>
      </c>
      <c r="E4475">
        <v>2222222</v>
      </c>
      <c r="F4475" s="8" t="s">
        <v>22</v>
      </c>
      <c r="G4475" s="2">
        <v>98</v>
      </c>
      <c r="H4475" t="s">
        <v>4627</v>
      </c>
      <c r="J4475" s="9" t="s">
        <v>5050</v>
      </c>
      <c r="K4475" t="s">
        <v>5165</v>
      </c>
      <c r="L4475" s="2">
        <v>1</v>
      </c>
      <c r="M4475" s="24" t="s">
        <v>5971</v>
      </c>
      <c r="N4475" s="2" t="s">
        <v>23</v>
      </c>
      <c r="O4475" s="18" t="s">
        <v>3400</v>
      </c>
      <c r="P4475" s="18" t="s">
        <v>3781</v>
      </c>
      <c r="Q4475" s="6" t="s">
        <v>4475</v>
      </c>
      <c r="T4475" s="23">
        <v>45988</v>
      </c>
      <c r="U4475" s="23">
        <v>47088</v>
      </c>
      <c r="X4475" s="20">
        <v>1500</v>
      </c>
      <c r="Z4475" s="6" t="s">
        <v>5978</v>
      </c>
      <c r="AA4475" s="14">
        <f t="shared" si="592"/>
        <v>5.9999999999999995E-4</v>
      </c>
      <c r="AB4475">
        <v>0.75833399999999995</v>
      </c>
      <c r="AC4475">
        <v>0.78866735999999993</v>
      </c>
    </row>
    <row r="4476" spans="1:29" x14ac:dyDescent="0.3">
      <c r="A4476">
        <v>150035</v>
      </c>
      <c r="B4476" s="25" t="s">
        <v>5984</v>
      </c>
      <c r="C4476" t="s">
        <v>20</v>
      </c>
      <c r="D4476" t="s">
        <v>21</v>
      </c>
      <c r="E4476">
        <v>2222222</v>
      </c>
      <c r="F4476" s="8" t="s">
        <v>22</v>
      </c>
      <c r="G4476" s="2">
        <v>98</v>
      </c>
      <c r="H4476" t="s">
        <v>4627</v>
      </c>
      <c r="J4476" s="9" t="s">
        <v>4990</v>
      </c>
      <c r="K4476" t="s">
        <v>4891</v>
      </c>
      <c r="L4476" s="2">
        <v>1</v>
      </c>
      <c r="M4476" s="24" t="s">
        <v>5971</v>
      </c>
      <c r="N4476" s="2" t="s">
        <v>23</v>
      </c>
      <c r="O4476" s="18" t="s">
        <v>3401</v>
      </c>
      <c r="P4476" s="18" t="s">
        <v>3781</v>
      </c>
      <c r="Q4476" s="6" t="s">
        <v>4475</v>
      </c>
      <c r="T4476" s="23">
        <v>46083</v>
      </c>
      <c r="U4476" s="23">
        <v>46753</v>
      </c>
      <c r="X4476" s="20">
        <v>3300</v>
      </c>
      <c r="Z4476" s="6" t="s">
        <v>5978</v>
      </c>
      <c r="AA4476" s="14">
        <f t="shared" si="592"/>
        <v>5.9999999999999995E-4</v>
      </c>
      <c r="AB4476">
        <v>1.6639979999999999</v>
      </c>
      <c r="AC4476">
        <v>1.7305579199999999</v>
      </c>
    </row>
    <row r="4477" spans="1:29" x14ac:dyDescent="0.3">
      <c r="A4477">
        <v>150600</v>
      </c>
      <c r="B4477" s="25" t="s">
        <v>5984</v>
      </c>
      <c r="C4477" t="s">
        <v>20</v>
      </c>
      <c r="D4477" t="s">
        <v>21</v>
      </c>
      <c r="E4477">
        <v>2222222</v>
      </c>
      <c r="F4477" s="8" t="s">
        <v>22</v>
      </c>
      <c r="G4477" s="2">
        <v>98</v>
      </c>
      <c r="H4477" t="s">
        <v>4627</v>
      </c>
      <c r="J4477" s="9" t="s">
        <v>4960</v>
      </c>
      <c r="K4477" t="s">
        <v>4887</v>
      </c>
      <c r="L4477" s="2">
        <v>1</v>
      </c>
      <c r="M4477" s="24" t="s">
        <v>5971</v>
      </c>
      <c r="N4477" s="2" t="s">
        <v>23</v>
      </c>
      <c r="O4477" s="18" t="s">
        <v>3402</v>
      </c>
      <c r="P4477" s="18" t="s">
        <v>3781</v>
      </c>
      <c r="Q4477" s="6" t="s">
        <v>4475</v>
      </c>
      <c r="T4477" s="23">
        <v>46105</v>
      </c>
      <c r="U4477" s="23">
        <v>47200</v>
      </c>
      <c r="X4477" s="20">
        <v>2750</v>
      </c>
      <c r="Z4477" s="6" t="s">
        <v>5978</v>
      </c>
      <c r="AA4477" s="14">
        <f t="shared" si="592"/>
        <v>5.9999999999999995E-4</v>
      </c>
      <c r="AB4477">
        <v>1.505118</v>
      </c>
      <c r="AC4477">
        <v>1.5653227199999999</v>
      </c>
    </row>
    <row r="4478" spans="1:29" x14ac:dyDescent="0.3">
      <c r="A4478">
        <v>150855</v>
      </c>
      <c r="B4478" s="25" t="s">
        <v>5984</v>
      </c>
      <c r="C4478" t="s">
        <v>20</v>
      </c>
      <c r="D4478" t="s">
        <v>21</v>
      </c>
      <c r="E4478">
        <v>2222222</v>
      </c>
      <c r="F4478" s="8" t="s">
        <v>22</v>
      </c>
      <c r="G4478" s="2">
        <v>98</v>
      </c>
      <c r="H4478" t="s">
        <v>4627</v>
      </c>
      <c r="J4478" s="9" t="s">
        <v>4852</v>
      </c>
      <c r="K4478" t="s">
        <v>5261</v>
      </c>
      <c r="L4478" s="2">
        <v>1</v>
      </c>
      <c r="M4478" s="24" t="s">
        <v>5971</v>
      </c>
      <c r="N4478" s="2" t="s">
        <v>23</v>
      </c>
      <c r="O4478" s="18" t="s">
        <v>3403</v>
      </c>
      <c r="P4478" s="18" t="s">
        <v>0</v>
      </c>
      <c r="Q4478" s="6" t="s">
        <v>4475</v>
      </c>
      <c r="T4478" s="23">
        <v>46121</v>
      </c>
      <c r="U4478" s="23">
        <v>46486</v>
      </c>
      <c r="X4478" s="20">
        <v>4000</v>
      </c>
      <c r="Z4478" s="6" t="s">
        <v>5978</v>
      </c>
      <c r="AA4478" s="14">
        <f t="shared" si="592"/>
        <v>5.9999999999999995E-4</v>
      </c>
      <c r="AB4478">
        <v>1.8376739999999998</v>
      </c>
      <c r="AC4478">
        <v>1.9111809599999998</v>
      </c>
    </row>
    <row r="4479" spans="1:29" x14ac:dyDescent="0.3">
      <c r="A4479">
        <v>150971</v>
      </c>
      <c r="B4479" s="25" t="s">
        <v>5984</v>
      </c>
      <c r="C4479" t="s">
        <v>20</v>
      </c>
      <c r="D4479" t="s">
        <v>21</v>
      </c>
      <c r="E4479">
        <v>2222222</v>
      </c>
      <c r="F4479" s="8" t="s">
        <v>22</v>
      </c>
      <c r="G4479" s="2">
        <v>98</v>
      </c>
      <c r="H4479" t="s">
        <v>4627</v>
      </c>
      <c r="J4479" s="9" t="s">
        <v>4962</v>
      </c>
      <c r="K4479" t="s">
        <v>5021</v>
      </c>
      <c r="L4479" s="2">
        <v>1</v>
      </c>
      <c r="M4479" s="24" t="s">
        <v>5971</v>
      </c>
      <c r="N4479" s="2" t="s">
        <v>23</v>
      </c>
      <c r="O4479" s="18" t="s">
        <v>3394</v>
      </c>
      <c r="P4479" s="18" t="s">
        <v>3781</v>
      </c>
      <c r="Q4479" s="6" t="s">
        <v>4475</v>
      </c>
      <c r="T4479" s="23">
        <v>46129</v>
      </c>
      <c r="U4479" s="23">
        <v>46860</v>
      </c>
      <c r="X4479" s="20">
        <v>1100</v>
      </c>
      <c r="Z4479" s="6" t="s">
        <v>5978</v>
      </c>
      <c r="AA4479" s="14">
        <f t="shared" si="592"/>
        <v>5.9999999999999995E-4</v>
      </c>
      <c r="AB4479">
        <v>0.58923599999999987</v>
      </c>
      <c r="AC4479">
        <v>0.61280543999999992</v>
      </c>
    </row>
    <row r="4480" spans="1:29" x14ac:dyDescent="0.3">
      <c r="A4480">
        <v>151049</v>
      </c>
      <c r="B4480" s="25" t="s">
        <v>5984</v>
      </c>
      <c r="C4480" t="s">
        <v>20</v>
      </c>
      <c r="D4480" t="s">
        <v>21</v>
      </c>
      <c r="E4480">
        <v>2222222</v>
      </c>
      <c r="F4480" s="8" t="s">
        <v>22</v>
      </c>
      <c r="G4480" s="2">
        <v>98</v>
      </c>
      <c r="H4480" t="s">
        <v>4627</v>
      </c>
      <c r="J4480" s="9" t="s">
        <v>4905</v>
      </c>
      <c r="K4480" t="s">
        <v>4870</v>
      </c>
      <c r="L4480" s="2">
        <v>1</v>
      </c>
      <c r="M4480" s="24" t="s">
        <v>5971</v>
      </c>
      <c r="N4480" s="2" t="s">
        <v>23</v>
      </c>
      <c r="O4480" s="18" t="s">
        <v>3404</v>
      </c>
      <c r="P4480" s="18" t="s">
        <v>0</v>
      </c>
      <c r="Q4480" s="6" t="s">
        <v>4475</v>
      </c>
      <c r="T4480" s="23">
        <v>46134</v>
      </c>
      <c r="U4480" s="23">
        <v>47595</v>
      </c>
      <c r="X4480" s="20">
        <v>5000</v>
      </c>
      <c r="Z4480" s="6" t="s">
        <v>5978</v>
      </c>
      <c r="AA4480" s="14">
        <f t="shared" si="592"/>
        <v>5.9999999999999995E-4</v>
      </c>
      <c r="AB4480">
        <v>2.8689779999999998</v>
      </c>
      <c r="AC4480">
        <v>2.9837371199999998</v>
      </c>
    </row>
    <row r="4481" spans="1:29" x14ac:dyDescent="0.3">
      <c r="A4481">
        <v>151211</v>
      </c>
      <c r="B4481" s="25" t="s">
        <v>5984</v>
      </c>
      <c r="C4481" t="s">
        <v>20</v>
      </c>
      <c r="D4481" t="s">
        <v>21</v>
      </c>
      <c r="E4481">
        <v>2222222</v>
      </c>
      <c r="F4481" s="8" t="s">
        <v>22</v>
      </c>
      <c r="G4481" s="2">
        <v>98</v>
      </c>
      <c r="H4481" t="s">
        <v>4627</v>
      </c>
      <c r="J4481" s="9" t="s">
        <v>4981</v>
      </c>
      <c r="K4481" t="s">
        <v>5907</v>
      </c>
      <c r="L4481" s="2">
        <v>1</v>
      </c>
      <c r="M4481" s="24" t="s">
        <v>5971</v>
      </c>
      <c r="N4481" s="2" t="s">
        <v>23</v>
      </c>
      <c r="O4481" s="18" t="s">
        <v>3405</v>
      </c>
      <c r="P4481" s="18" t="s">
        <v>3781</v>
      </c>
      <c r="Q4481" s="6" t="s">
        <v>4475</v>
      </c>
      <c r="T4481" s="23">
        <v>46147</v>
      </c>
      <c r="U4481" s="23">
        <v>46262</v>
      </c>
      <c r="X4481" s="20">
        <v>950</v>
      </c>
      <c r="Z4481" s="6" t="s">
        <v>5978</v>
      </c>
      <c r="AA4481" s="14">
        <f t="shared" si="592"/>
        <v>5.9999999999999995E-4</v>
      </c>
      <c r="AB4481">
        <v>0.56999999999999995</v>
      </c>
      <c r="AC4481">
        <v>0.59279999999999999</v>
      </c>
    </row>
    <row r="4482" spans="1:29" x14ac:dyDescent="0.3">
      <c r="A4482">
        <v>151269</v>
      </c>
      <c r="B4482" s="25" t="s">
        <v>5984</v>
      </c>
      <c r="C4482" t="s">
        <v>20</v>
      </c>
      <c r="D4482" t="s">
        <v>21</v>
      </c>
      <c r="E4482">
        <v>2222222</v>
      </c>
      <c r="F4482" s="8" t="s">
        <v>22</v>
      </c>
      <c r="G4482" s="2">
        <v>98</v>
      </c>
      <c r="H4482" t="s">
        <v>4627</v>
      </c>
      <c r="J4482" s="9" t="s">
        <v>5137</v>
      </c>
      <c r="K4482" t="s">
        <v>4932</v>
      </c>
      <c r="L4482" s="2">
        <v>1</v>
      </c>
      <c r="M4482" s="24" t="s">
        <v>5971</v>
      </c>
      <c r="N4482" s="2" t="s">
        <v>23</v>
      </c>
      <c r="O4482" s="18" t="s">
        <v>3399</v>
      </c>
      <c r="P4482" s="18" t="s">
        <v>3781</v>
      </c>
      <c r="Q4482" s="6" t="s">
        <v>4475</v>
      </c>
      <c r="T4482" s="23">
        <v>46171</v>
      </c>
      <c r="U4482" s="23">
        <v>46261</v>
      </c>
      <c r="X4482" s="20">
        <v>80000</v>
      </c>
      <c r="Z4482" s="6" t="s">
        <v>5978</v>
      </c>
      <c r="AA4482" s="14">
        <f t="shared" si="592"/>
        <v>5.9999999999999995E-4</v>
      </c>
      <c r="AB4482">
        <v>47.999999999999993</v>
      </c>
      <c r="AC4482">
        <v>49.919999999999995</v>
      </c>
    </row>
    <row r="4483" spans="1:29" x14ac:dyDescent="0.3">
      <c r="A4483">
        <v>151538</v>
      </c>
      <c r="B4483" s="25" t="s">
        <v>5984</v>
      </c>
      <c r="C4483" t="s">
        <v>20</v>
      </c>
      <c r="D4483" t="s">
        <v>21</v>
      </c>
      <c r="E4483">
        <v>2222222</v>
      </c>
      <c r="F4483" s="8" t="s">
        <v>22</v>
      </c>
      <c r="G4483" s="2">
        <v>98</v>
      </c>
      <c r="H4483" t="s">
        <v>4627</v>
      </c>
      <c r="J4483" s="9" t="s">
        <v>5052</v>
      </c>
      <c r="K4483" t="s">
        <v>4857</v>
      </c>
      <c r="L4483" s="2">
        <v>1</v>
      </c>
      <c r="M4483" s="24" t="s">
        <v>5971</v>
      </c>
      <c r="N4483" s="2" t="s">
        <v>23</v>
      </c>
      <c r="O4483" s="18" t="s">
        <v>3406</v>
      </c>
      <c r="P4483" s="18" t="s">
        <v>0</v>
      </c>
      <c r="Q4483" s="6" t="s">
        <v>4475</v>
      </c>
      <c r="T4483" s="23">
        <v>46171</v>
      </c>
      <c r="U4483" s="23">
        <v>47266</v>
      </c>
      <c r="X4483" s="20">
        <v>3000</v>
      </c>
      <c r="Z4483" s="6" t="s">
        <v>5978</v>
      </c>
      <c r="AA4483" s="14">
        <f t="shared" si="592"/>
        <v>5.9999999999999995E-4</v>
      </c>
      <c r="AB4483">
        <v>1.7216759999999998</v>
      </c>
      <c r="AC4483">
        <v>1.7905430399999998</v>
      </c>
    </row>
    <row r="4484" spans="1:29" x14ac:dyDescent="0.3">
      <c r="A4484">
        <v>151979</v>
      </c>
      <c r="B4484" s="25" t="s">
        <v>5984</v>
      </c>
      <c r="C4484" t="s">
        <v>20</v>
      </c>
      <c r="D4484" t="s">
        <v>21</v>
      </c>
      <c r="E4484">
        <v>2222222</v>
      </c>
      <c r="F4484" s="8" t="s">
        <v>22</v>
      </c>
      <c r="G4484" s="2">
        <v>98</v>
      </c>
      <c r="H4484" t="s">
        <v>4627</v>
      </c>
      <c r="J4484" s="9" t="s">
        <v>5908</v>
      </c>
      <c r="K4484" t="s">
        <v>4856</v>
      </c>
      <c r="L4484" s="2">
        <v>1</v>
      </c>
      <c r="M4484" s="24" t="s">
        <v>5971</v>
      </c>
      <c r="N4484" s="2" t="s">
        <v>23</v>
      </c>
      <c r="O4484" s="18" t="s">
        <v>3126</v>
      </c>
      <c r="P4484" s="18" t="s">
        <v>0</v>
      </c>
      <c r="Q4484" s="6" t="s">
        <v>4475</v>
      </c>
      <c r="T4484" s="23">
        <v>46203</v>
      </c>
      <c r="U4484" s="23">
        <v>47117</v>
      </c>
      <c r="X4484" s="20">
        <v>3720</v>
      </c>
      <c r="Z4484" s="6" t="s">
        <v>5978</v>
      </c>
      <c r="AA4484" s="14">
        <f t="shared" si="592"/>
        <v>5.9999999999999995E-4</v>
      </c>
      <c r="AB4484">
        <v>2.1715199999999997</v>
      </c>
      <c r="AC4484">
        <v>2.2583807999999999</v>
      </c>
    </row>
    <row r="4485" spans="1:29" x14ac:dyDescent="0.3">
      <c r="A4485">
        <v>152067</v>
      </c>
      <c r="B4485" s="25" t="s">
        <v>5984</v>
      </c>
      <c r="C4485" t="s">
        <v>20</v>
      </c>
      <c r="D4485" t="s">
        <v>21</v>
      </c>
      <c r="E4485">
        <v>2222222</v>
      </c>
      <c r="F4485" s="8" t="s">
        <v>22</v>
      </c>
      <c r="G4485" s="2">
        <v>98</v>
      </c>
      <c r="H4485" t="s">
        <v>4627</v>
      </c>
      <c r="J4485" s="9" t="s">
        <v>5093</v>
      </c>
      <c r="K4485" t="s">
        <v>5075</v>
      </c>
      <c r="L4485" s="2">
        <v>1</v>
      </c>
      <c r="M4485" s="24" t="s">
        <v>5971</v>
      </c>
      <c r="N4485" s="2" t="s">
        <v>23</v>
      </c>
      <c r="O4485" s="18" t="s">
        <v>3407</v>
      </c>
      <c r="P4485" s="18" t="s">
        <v>3781</v>
      </c>
      <c r="Q4485" s="6" t="s">
        <v>4475</v>
      </c>
      <c r="T4485" s="23">
        <v>46209</v>
      </c>
      <c r="U4485" s="23">
        <v>46299</v>
      </c>
      <c r="X4485" s="20">
        <v>1930</v>
      </c>
      <c r="Z4485" s="6" t="s">
        <v>5978</v>
      </c>
      <c r="AA4485" s="14">
        <f t="shared" si="592"/>
        <v>5.9999999999999995E-4</v>
      </c>
      <c r="AB4485">
        <v>1.1579999999999999</v>
      </c>
      <c r="AC4485">
        <v>1.2043200000000001</v>
      </c>
    </row>
    <row r="4486" spans="1:29" x14ac:dyDescent="0.3">
      <c r="A4486">
        <v>152098</v>
      </c>
      <c r="B4486" s="25" t="s">
        <v>5984</v>
      </c>
      <c r="C4486" t="s">
        <v>20</v>
      </c>
      <c r="D4486" t="s">
        <v>21</v>
      </c>
      <c r="E4486">
        <v>2222222</v>
      </c>
      <c r="F4486" s="8" t="s">
        <v>22</v>
      </c>
      <c r="G4486" s="2">
        <v>98</v>
      </c>
      <c r="H4486" t="s">
        <v>4627</v>
      </c>
      <c r="J4486" s="9" t="s">
        <v>5379</v>
      </c>
      <c r="K4486" t="s">
        <v>5909</v>
      </c>
      <c r="L4486" s="2">
        <v>1</v>
      </c>
      <c r="M4486" s="24" t="s">
        <v>5971</v>
      </c>
      <c r="N4486" s="2" t="s">
        <v>23</v>
      </c>
      <c r="O4486" s="18" t="s">
        <v>3408</v>
      </c>
      <c r="P4486" s="18" t="s">
        <v>0</v>
      </c>
      <c r="Q4486" s="6" t="s">
        <v>4475</v>
      </c>
      <c r="T4486" s="23">
        <v>46211</v>
      </c>
      <c r="U4486" s="23">
        <v>46301</v>
      </c>
      <c r="X4486" s="20">
        <v>2000</v>
      </c>
      <c r="Z4486" s="6" t="s">
        <v>5978</v>
      </c>
      <c r="AA4486" s="14">
        <f t="shared" si="592"/>
        <v>5.9999999999999995E-4</v>
      </c>
      <c r="AB4486">
        <v>1.2</v>
      </c>
      <c r="AC4486">
        <v>1.248</v>
      </c>
    </row>
    <row r="4487" spans="1:29" x14ac:dyDescent="0.3">
      <c r="A4487">
        <v>152125</v>
      </c>
      <c r="B4487" s="25" t="s">
        <v>5984</v>
      </c>
      <c r="C4487" t="s">
        <v>20</v>
      </c>
      <c r="D4487" t="s">
        <v>21</v>
      </c>
      <c r="E4487">
        <v>2222222</v>
      </c>
      <c r="F4487" s="8" t="s">
        <v>22</v>
      </c>
      <c r="G4487" s="2">
        <v>98</v>
      </c>
      <c r="H4487" t="s">
        <v>4627</v>
      </c>
      <c r="J4487" s="9" t="s">
        <v>5096</v>
      </c>
      <c r="K4487" t="s">
        <v>4893</v>
      </c>
      <c r="L4487" s="2">
        <v>1</v>
      </c>
      <c r="M4487" s="24" t="s">
        <v>5971</v>
      </c>
      <c r="N4487" s="2" t="s">
        <v>23</v>
      </c>
      <c r="O4487" s="18" t="s">
        <v>2751</v>
      </c>
      <c r="P4487" s="18" t="s">
        <v>3781</v>
      </c>
      <c r="Q4487" s="6" t="s">
        <v>4475</v>
      </c>
      <c r="T4487" s="23">
        <v>46213</v>
      </c>
      <c r="U4487" s="23">
        <v>46303</v>
      </c>
      <c r="X4487" s="20">
        <v>1000</v>
      </c>
      <c r="Z4487" s="6" t="s">
        <v>5978</v>
      </c>
      <c r="AA4487" s="14">
        <f t="shared" si="592"/>
        <v>5.9999999999999995E-4</v>
      </c>
      <c r="AB4487">
        <v>0.6</v>
      </c>
      <c r="AC4487">
        <v>0.624</v>
      </c>
    </row>
    <row r="4488" spans="1:29" x14ac:dyDescent="0.3">
      <c r="A4488">
        <v>152270</v>
      </c>
      <c r="B4488" s="25" t="s">
        <v>5984</v>
      </c>
      <c r="C4488" t="s">
        <v>20</v>
      </c>
      <c r="D4488" t="s">
        <v>21</v>
      </c>
      <c r="E4488">
        <v>2222222</v>
      </c>
      <c r="F4488" s="8" t="s">
        <v>22</v>
      </c>
      <c r="G4488" s="2">
        <v>98</v>
      </c>
      <c r="H4488" t="s">
        <v>4627</v>
      </c>
      <c r="J4488" s="9" t="s">
        <v>5669</v>
      </c>
      <c r="K4488" t="s">
        <v>4516</v>
      </c>
      <c r="L4488" s="2">
        <v>1</v>
      </c>
      <c r="M4488" s="24" t="s">
        <v>5971</v>
      </c>
      <c r="N4488" s="2" t="s">
        <v>23</v>
      </c>
      <c r="O4488" s="18" t="s">
        <v>3409</v>
      </c>
      <c r="P4488" s="18" t="s">
        <v>3781</v>
      </c>
      <c r="Q4488" s="6" t="s">
        <v>4475</v>
      </c>
      <c r="T4488" s="23">
        <v>46231</v>
      </c>
      <c r="U4488" s="23">
        <v>46327</v>
      </c>
      <c r="X4488" s="20">
        <v>3000</v>
      </c>
      <c r="Z4488" s="6" t="s">
        <v>5978</v>
      </c>
      <c r="AA4488" s="14">
        <f t="shared" si="592"/>
        <v>5.9999999999999995E-4</v>
      </c>
      <c r="AB4488">
        <v>1.7999999999999998</v>
      </c>
      <c r="AC4488">
        <v>1.8719999999999999</v>
      </c>
    </row>
    <row r="4489" spans="1:29" x14ac:dyDescent="0.3">
      <c r="A4489">
        <v>133029</v>
      </c>
      <c r="B4489" s="25" t="s">
        <v>5984</v>
      </c>
      <c r="C4489" t="s">
        <v>20</v>
      </c>
      <c r="D4489" t="s">
        <v>21</v>
      </c>
      <c r="E4489">
        <v>2222222</v>
      </c>
      <c r="F4489" s="8" t="s">
        <v>22</v>
      </c>
      <c r="G4489" s="2">
        <v>98</v>
      </c>
      <c r="H4489" t="s">
        <v>4628</v>
      </c>
      <c r="J4489" s="9" t="s">
        <v>4838</v>
      </c>
      <c r="K4489" t="s">
        <v>4961</v>
      </c>
      <c r="L4489" s="2">
        <v>1</v>
      </c>
      <c r="M4489" s="24" t="s">
        <v>5971</v>
      </c>
      <c r="N4489" s="2" t="s">
        <v>23</v>
      </c>
      <c r="O4489" s="18" t="s">
        <v>704</v>
      </c>
      <c r="P4489" s="18" t="s">
        <v>0</v>
      </c>
      <c r="Q4489" s="6" t="s">
        <v>4475</v>
      </c>
      <c r="T4489" s="23">
        <v>44980</v>
      </c>
      <c r="U4489" s="23">
        <v>46443</v>
      </c>
      <c r="X4489" s="20">
        <v>7000</v>
      </c>
      <c r="Z4489" s="6" t="s">
        <v>5978</v>
      </c>
      <c r="AA4489" s="13">
        <f t="shared" ref="AA4489:AA4490" si="593">+(0.56/1000)</f>
        <v>5.6000000000000006E-4</v>
      </c>
      <c r="AB4489">
        <v>0.74363520000000016</v>
      </c>
      <c r="AC4489">
        <v>0.77338060800000019</v>
      </c>
    </row>
    <row r="4490" spans="1:29" x14ac:dyDescent="0.3">
      <c r="A4490">
        <v>134154</v>
      </c>
      <c r="B4490" s="25" t="s">
        <v>5984</v>
      </c>
      <c r="C4490" t="s">
        <v>20</v>
      </c>
      <c r="D4490" t="s">
        <v>21</v>
      </c>
      <c r="E4490">
        <v>2222222</v>
      </c>
      <c r="F4490" s="8" t="s">
        <v>22</v>
      </c>
      <c r="G4490" s="2">
        <v>98</v>
      </c>
      <c r="H4490" t="s">
        <v>4628</v>
      </c>
      <c r="J4490" s="9" t="s">
        <v>5910</v>
      </c>
      <c r="K4490" t="s">
        <v>4859</v>
      </c>
      <c r="L4490" s="2">
        <v>1</v>
      </c>
      <c r="M4490" s="24" t="s">
        <v>5971</v>
      </c>
      <c r="N4490" s="2" t="s">
        <v>23</v>
      </c>
      <c r="O4490" s="18" t="s">
        <v>1281</v>
      </c>
      <c r="P4490" s="18" t="s">
        <v>3781</v>
      </c>
      <c r="Q4490" s="6" t="s">
        <v>4475</v>
      </c>
      <c r="T4490" s="23">
        <v>45038</v>
      </c>
      <c r="U4490" s="23">
        <v>46130</v>
      </c>
      <c r="X4490" s="20">
        <v>3465</v>
      </c>
      <c r="Z4490" s="6" t="s">
        <v>5978</v>
      </c>
      <c r="AA4490" s="13">
        <f t="shared" si="593"/>
        <v>5.6000000000000006E-4</v>
      </c>
      <c r="AB4490">
        <v>0.24232320000000004</v>
      </c>
      <c r="AC4490">
        <v>0.25201612800000006</v>
      </c>
    </row>
    <row r="4491" spans="1:29" x14ac:dyDescent="0.3">
      <c r="A4491">
        <v>147567</v>
      </c>
      <c r="B4491" s="25" t="s">
        <v>5984</v>
      </c>
      <c r="C4491" t="s">
        <v>20</v>
      </c>
      <c r="D4491" t="s">
        <v>21</v>
      </c>
      <c r="E4491">
        <v>2222222</v>
      </c>
      <c r="F4491" s="8" t="s">
        <v>22</v>
      </c>
      <c r="G4491" s="2">
        <v>98</v>
      </c>
      <c r="H4491" t="s">
        <v>4628</v>
      </c>
      <c r="J4491" s="9" t="s">
        <v>4921</v>
      </c>
      <c r="K4491" t="s">
        <v>4960</v>
      </c>
      <c r="L4491" s="2">
        <v>1</v>
      </c>
      <c r="M4491" s="24" t="s">
        <v>5971</v>
      </c>
      <c r="N4491" s="2" t="s">
        <v>23</v>
      </c>
      <c r="O4491" s="18" t="s">
        <v>3410</v>
      </c>
      <c r="P4491" s="18" t="s">
        <v>3781</v>
      </c>
      <c r="Q4491" s="6" t="s">
        <v>4475</v>
      </c>
      <c r="T4491" s="23">
        <v>45897</v>
      </c>
      <c r="U4491" s="23">
        <v>46992</v>
      </c>
      <c r="X4491" s="20">
        <v>4000</v>
      </c>
      <c r="Z4491" s="6" t="s">
        <v>5978</v>
      </c>
      <c r="AA4491" s="14">
        <f t="shared" ref="AA4491:AA4500" si="594">+(0.6/1000)</f>
        <v>5.9999999999999995E-4</v>
      </c>
      <c r="AB4491">
        <v>1.797642</v>
      </c>
      <c r="AC4491">
        <v>1.8695476799999999</v>
      </c>
    </row>
    <row r="4492" spans="1:29" x14ac:dyDescent="0.3">
      <c r="A4492">
        <v>150086</v>
      </c>
      <c r="B4492" s="25" t="s">
        <v>5984</v>
      </c>
      <c r="C4492" t="s">
        <v>20</v>
      </c>
      <c r="D4492" t="s">
        <v>21</v>
      </c>
      <c r="E4492">
        <v>2222222</v>
      </c>
      <c r="F4492" s="8" t="s">
        <v>22</v>
      </c>
      <c r="G4492" s="2">
        <v>98</v>
      </c>
      <c r="H4492" t="s">
        <v>4628</v>
      </c>
      <c r="J4492" s="9" t="s">
        <v>5233</v>
      </c>
      <c r="K4492" t="s">
        <v>4913</v>
      </c>
      <c r="L4492" s="2">
        <v>1</v>
      </c>
      <c r="M4492" s="24" t="s">
        <v>5971</v>
      </c>
      <c r="N4492" s="2" t="s">
        <v>23</v>
      </c>
      <c r="O4492" s="18" t="s">
        <v>3411</v>
      </c>
      <c r="P4492" s="18" t="s">
        <v>0</v>
      </c>
      <c r="Q4492" s="6" t="s">
        <v>4475</v>
      </c>
      <c r="T4492" s="23">
        <v>46071</v>
      </c>
      <c r="U4492" s="23">
        <v>46254</v>
      </c>
      <c r="X4492" s="20">
        <v>400</v>
      </c>
      <c r="Z4492" s="6" t="s">
        <v>5978</v>
      </c>
      <c r="AA4492" s="14">
        <f t="shared" si="594"/>
        <v>5.9999999999999995E-4</v>
      </c>
      <c r="AB4492">
        <v>4.1424000000000002E-2</v>
      </c>
      <c r="AC4492">
        <v>4.3080960000000001E-2</v>
      </c>
    </row>
    <row r="4493" spans="1:29" x14ac:dyDescent="0.3">
      <c r="A4493">
        <v>150942</v>
      </c>
      <c r="B4493" s="25" t="s">
        <v>5984</v>
      </c>
      <c r="C4493" t="s">
        <v>20</v>
      </c>
      <c r="D4493" t="s">
        <v>21</v>
      </c>
      <c r="E4493">
        <v>2222222</v>
      </c>
      <c r="F4493" s="8" t="s">
        <v>22</v>
      </c>
      <c r="G4493" s="2">
        <v>98</v>
      </c>
      <c r="H4493" t="s">
        <v>4628</v>
      </c>
      <c r="J4493" s="9" t="s">
        <v>4921</v>
      </c>
      <c r="K4493" t="s">
        <v>4960</v>
      </c>
      <c r="L4493" s="2">
        <v>1</v>
      </c>
      <c r="M4493" s="24" t="s">
        <v>5971</v>
      </c>
      <c r="N4493" s="2" t="s">
        <v>23</v>
      </c>
      <c r="O4493" s="18" t="s">
        <v>3410</v>
      </c>
      <c r="P4493" s="18" t="s">
        <v>3781</v>
      </c>
      <c r="Q4493" s="6" t="s">
        <v>4475</v>
      </c>
      <c r="T4493" s="23">
        <v>46128</v>
      </c>
      <c r="U4493" s="23">
        <v>46676</v>
      </c>
      <c r="X4493" s="20">
        <v>1100</v>
      </c>
      <c r="Z4493" s="6" t="s">
        <v>5978</v>
      </c>
      <c r="AA4493" s="14">
        <f t="shared" si="594"/>
        <v>5.9999999999999995E-4</v>
      </c>
      <c r="AB4493">
        <v>0.56133599999999995</v>
      </c>
      <c r="AC4493">
        <v>0.58378943999999999</v>
      </c>
    </row>
    <row r="4494" spans="1:29" x14ac:dyDescent="0.3">
      <c r="A4494">
        <v>144018</v>
      </c>
      <c r="B4494" s="25" t="s">
        <v>5984</v>
      </c>
      <c r="C4494" t="s">
        <v>20</v>
      </c>
      <c r="D4494" t="s">
        <v>21</v>
      </c>
      <c r="E4494">
        <v>2222222</v>
      </c>
      <c r="F4494" s="8" t="s">
        <v>22</v>
      </c>
      <c r="G4494" s="2">
        <v>98</v>
      </c>
      <c r="H4494" t="s">
        <v>4629</v>
      </c>
      <c r="J4494" s="9" t="s">
        <v>5092</v>
      </c>
      <c r="K4494" t="s">
        <v>4861</v>
      </c>
      <c r="L4494" s="2">
        <v>1</v>
      </c>
      <c r="M4494" s="24" t="s">
        <v>5971</v>
      </c>
      <c r="N4494" s="2" t="s">
        <v>23</v>
      </c>
      <c r="O4494" s="18" t="s">
        <v>2546</v>
      </c>
      <c r="P4494" s="18" t="s">
        <v>3781</v>
      </c>
      <c r="Q4494" s="6" t="s">
        <v>4475</v>
      </c>
      <c r="T4494" s="23">
        <v>45631</v>
      </c>
      <c r="U4494" s="23">
        <v>47091</v>
      </c>
      <c r="X4494" s="20">
        <v>5000</v>
      </c>
      <c r="Z4494" s="6" t="s">
        <v>5978</v>
      </c>
      <c r="AA4494" s="14">
        <f t="shared" si="594"/>
        <v>5.9999999999999995E-4</v>
      </c>
      <c r="AB4494">
        <v>2.7302939999999998</v>
      </c>
      <c r="AC4494">
        <v>2.8395057599999998</v>
      </c>
    </row>
    <row r="4495" spans="1:29" x14ac:dyDescent="0.3">
      <c r="A4495">
        <v>142452</v>
      </c>
      <c r="B4495" s="25" t="s">
        <v>5984</v>
      </c>
      <c r="C4495" t="s">
        <v>20</v>
      </c>
      <c r="D4495" t="s">
        <v>21</v>
      </c>
      <c r="E4495">
        <v>2222222</v>
      </c>
      <c r="F4495" s="8" t="s">
        <v>22</v>
      </c>
      <c r="G4495" s="2">
        <v>98</v>
      </c>
      <c r="H4495" t="s">
        <v>4630</v>
      </c>
      <c r="J4495" s="9" t="s">
        <v>5063</v>
      </c>
      <c r="K4495" t="s">
        <v>5159</v>
      </c>
      <c r="L4495" s="2">
        <v>1</v>
      </c>
      <c r="M4495" s="24" t="s">
        <v>5971</v>
      </c>
      <c r="N4495" s="2" t="s">
        <v>23</v>
      </c>
      <c r="O4495" s="18" t="s">
        <v>3412</v>
      </c>
      <c r="P4495" s="18" t="s">
        <v>0</v>
      </c>
      <c r="Q4495" s="6" t="s">
        <v>4475</v>
      </c>
      <c r="T4495" s="23">
        <v>45525</v>
      </c>
      <c r="U4495" s="23">
        <v>47807</v>
      </c>
      <c r="X4495" s="20">
        <v>10500</v>
      </c>
      <c r="Z4495" s="6" t="s">
        <v>5978</v>
      </c>
      <c r="AA4495" s="14">
        <f t="shared" si="594"/>
        <v>5.9999999999999995E-4</v>
      </c>
      <c r="AB4495">
        <v>5.135364</v>
      </c>
      <c r="AC4495">
        <v>5.3407785600000004</v>
      </c>
    </row>
    <row r="4496" spans="1:29" x14ac:dyDescent="0.3">
      <c r="A4496">
        <v>149160</v>
      </c>
      <c r="B4496" s="25" t="s">
        <v>5984</v>
      </c>
      <c r="C4496" t="s">
        <v>20</v>
      </c>
      <c r="D4496" t="s">
        <v>21</v>
      </c>
      <c r="E4496">
        <v>2222222</v>
      </c>
      <c r="F4496" s="8" t="s">
        <v>22</v>
      </c>
      <c r="G4496" s="2">
        <v>98</v>
      </c>
      <c r="H4496" t="s">
        <v>4630</v>
      </c>
      <c r="J4496" s="9" t="s">
        <v>5063</v>
      </c>
      <c r="K4496" t="s">
        <v>5159</v>
      </c>
      <c r="L4496" s="2">
        <v>1</v>
      </c>
      <c r="M4496" s="24" t="s">
        <v>5971</v>
      </c>
      <c r="N4496" s="2" t="s">
        <v>23</v>
      </c>
      <c r="O4496" s="18" t="s">
        <v>3412</v>
      </c>
      <c r="P4496" s="18" t="s">
        <v>0</v>
      </c>
      <c r="Q4496" s="6" t="s">
        <v>4475</v>
      </c>
      <c r="T4496" s="23">
        <v>46008</v>
      </c>
      <c r="U4496" s="23">
        <v>48569</v>
      </c>
      <c r="X4496" s="20">
        <v>15000</v>
      </c>
      <c r="Z4496" s="6" t="s">
        <v>5978</v>
      </c>
      <c r="AA4496" s="14">
        <f t="shared" si="594"/>
        <v>5.9999999999999995E-4</v>
      </c>
      <c r="AB4496">
        <v>8.5674779999999995</v>
      </c>
      <c r="AC4496">
        <v>8.9101771200000002</v>
      </c>
    </row>
    <row r="4497" spans="1:29" x14ac:dyDescent="0.3">
      <c r="A4497">
        <v>148779</v>
      </c>
      <c r="B4497" s="25" t="s">
        <v>5984</v>
      </c>
      <c r="C4497" t="s">
        <v>20</v>
      </c>
      <c r="D4497" t="s">
        <v>21</v>
      </c>
      <c r="E4497">
        <v>2222222</v>
      </c>
      <c r="F4497" s="8" t="s">
        <v>22</v>
      </c>
      <c r="G4497" s="2">
        <v>98</v>
      </c>
      <c r="H4497" t="s">
        <v>4631</v>
      </c>
      <c r="J4497" s="9" t="s">
        <v>4856</v>
      </c>
      <c r="K4497" t="s">
        <v>4485</v>
      </c>
      <c r="L4497" s="2">
        <v>1</v>
      </c>
      <c r="M4497" s="24" t="s">
        <v>5971</v>
      </c>
      <c r="N4497" s="2" t="s">
        <v>23</v>
      </c>
      <c r="O4497" s="18" t="s">
        <v>3413</v>
      </c>
      <c r="P4497" s="18" t="s">
        <v>0</v>
      </c>
      <c r="Q4497" s="6" t="s">
        <v>4475</v>
      </c>
      <c r="T4497" s="23">
        <v>45979</v>
      </c>
      <c r="U4497" s="23">
        <v>47075</v>
      </c>
      <c r="X4497" s="20">
        <v>4200</v>
      </c>
      <c r="Z4497" s="6" t="s">
        <v>5978</v>
      </c>
      <c r="AA4497" s="14">
        <f t="shared" si="594"/>
        <v>5.9999999999999995E-4</v>
      </c>
      <c r="AB4497">
        <v>2.0702699999999998</v>
      </c>
      <c r="AC4497">
        <v>2.1530807999999997</v>
      </c>
    </row>
    <row r="4498" spans="1:29" x14ac:dyDescent="0.3">
      <c r="A4498">
        <v>144613</v>
      </c>
      <c r="B4498" s="25" t="s">
        <v>5984</v>
      </c>
      <c r="C4498" t="s">
        <v>20</v>
      </c>
      <c r="D4498" t="s">
        <v>21</v>
      </c>
      <c r="E4498">
        <v>2222222</v>
      </c>
      <c r="F4498" s="8" t="s">
        <v>22</v>
      </c>
      <c r="G4498" s="2">
        <v>98</v>
      </c>
      <c r="H4498" t="s">
        <v>4632</v>
      </c>
      <c r="J4498" s="9" t="s">
        <v>4838</v>
      </c>
      <c r="K4498" t="s">
        <v>4826</v>
      </c>
      <c r="L4498" s="2">
        <v>1</v>
      </c>
      <c r="M4498" s="24" t="s">
        <v>5971</v>
      </c>
      <c r="N4498" s="2" t="s">
        <v>23</v>
      </c>
      <c r="O4498" s="18" t="s">
        <v>3414</v>
      </c>
      <c r="P4498" s="18" t="s">
        <v>0</v>
      </c>
      <c r="Q4498" s="6" t="s">
        <v>4475</v>
      </c>
      <c r="T4498" s="23">
        <v>45686</v>
      </c>
      <c r="U4498" s="23">
        <v>49427</v>
      </c>
      <c r="X4498" s="20">
        <v>21600</v>
      </c>
      <c r="Z4498" s="6" t="s">
        <v>5978</v>
      </c>
      <c r="AA4498" s="14">
        <f t="shared" si="594"/>
        <v>5.9999999999999995E-4</v>
      </c>
      <c r="AB4498">
        <v>12.227075999999999</v>
      </c>
      <c r="AC4498">
        <v>12.716159039999999</v>
      </c>
    </row>
    <row r="4499" spans="1:29" x14ac:dyDescent="0.3">
      <c r="A4499">
        <v>149149</v>
      </c>
      <c r="B4499" s="25" t="s">
        <v>5984</v>
      </c>
      <c r="C4499" t="s">
        <v>20</v>
      </c>
      <c r="D4499" t="s">
        <v>21</v>
      </c>
      <c r="E4499">
        <v>2222222</v>
      </c>
      <c r="F4499" s="8" t="s">
        <v>22</v>
      </c>
      <c r="G4499" s="2">
        <v>98</v>
      </c>
      <c r="H4499" t="s">
        <v>4632</v>
      </c>
      <c r="J4499" s="9" t="s">
        <v>5288</v>
      </c>
      <c r="K4499" t="s">
        <v>4983</v>
      </c>
      <c r="L4499" s="2">
        <v>1</v>
      </c>
      <c r="M4499" s="24" t="s">
        <v>5971</v>
      </c>
      <c r="N4499" s="2" t="s">
        <v>23</v>
      </c>
      <c r="O4499" s="18" t="s">
        <v>3415</v>
      </c>
      <c r="P4499" s="18" t="s">
        <v>0</v>
      </c>
      <c r="Q4499" s="6" t="s">
        <v>4475</v>
      </c>
      <c r="T4499" s="23">
        <v>46001</v>
      </c>
      <c r="U4499" s="23">
        <v>46212</v>
      </c>
      <c r="X4499" s="20">
        <v>420</v>
      </c>
      <c r="Z4499" s="6" t="s">
        <v>5978</v>
      </c>
      <c r="AA4499" s="14">
        <f t="shared" si="594"/>
        <v>5.9999999999999995E-4</v>
      </c>
      <c r="AB4499">
        <v>3.7151999999999998E-2</v>
      </c>
      <c r="AC4499">
        <v>3.8638079999999998E-2</v>
      </c>
    </row>
    <row r="4500" spans="1:29" x14ac:dyDescent="0.3">
      <c r="A4500">
        <v>150295</v>
      </c>
      <c r="B4500" s="25" t="s">
        <v>5984</v>
      </c>
      <c r="C4500" t="s">
        <v>20</v>
      </c>
      <c r="D4500" t="s">
        <v>21</v>
      </c>
      <c r="E4500">
        <v>2222222</v>
      </c>
      <c r="F4500" s="8" t="s">
        <v>22</v>
      </c>
      <c r="G4500" s="2">
        <v>98</v>
      </c>
      <c r="H4500" t="s">
        <v>4632</v>
      </c>
      <c r="J4500" s="9" t="s">
        <v>4838</v>
      </c>
      <c r="K4500" t="s">
        <v>4826</v>
      </c>
      <c r="L4500" s="2">
        <v>1</v>
      </c>
      <c r="M4500" s="24" t="s">
        <v>5971</v>
      </c>
      <c r="N4500" s="2" t="s">
        <v>23</v>
      </c>
      <c r="O4500" s="18" t="s">
        <v>3414</v>
      </c>
      <c r="P4500" s="18" t="s">
        <v>0</v>
      </c>
      <c r="Q4500" s="6" t="s">
        <v>4475</v>
      </c>
      <c r="T4500" s="23">
        <v>46086</v>
      </c>
      <c r="U4500" s="23">
        <v>46176</v>
      </c>
      <c r="X4500" s="20">
        <v>2310</v>
      </c>
      <c r="Z4500" s="6" t="s">
        <v>5978</v>
      </c>
      <c r="AA4500" s="14">
        <f t="shared" si="594"/>
        <v>5.9999999999999995E-4</v>
      </c>
      <c r="AB4500">
        <v>1.3859999999999999</v>
      </c>
      <c r="AC4500">
        <v>1.4414400000000001</v>
      </c>
    </row>
    <row r="4501" spans="1:29" x14ac:dyDescent="0.3">
      <c r="A4501">
        <v>148517</v>
      </c>
      <c r="B4501" s="25" t="s">
        <v>5984</v>
      </c>
      <c r="C4501" t="s">
        <v>20</v>
      </c>
      <c r="D4501" t="s">
        <v>21</v>
      </c>
      <c r="E4501">
        <v>2222222</v>
      </c>
      <c r="F4501" s="8" t="s">
        <v>22</v>
      </c>
      <c r="G4501" s="2">
        <v>98</v>
      </c>
      <c r="H4501" t="s">
        <v>4633</v>
      </c>
      <c r="J4501" s="9" t="s">
        <v>4967</v>
      </c>
      <c r="K4501" t="s">
        <v>4832</v>
      </c>
      <c r="L4501" s="2">
        <v>1</v>
      </c>
      <c r="M4501" s="24" t="s">
        <v>5971</v>
      </c>
      <c r="N4501" s="2" t="s">
        <v>23</v>
      </c>
      <c r="O4501" s="18" t="s">
        <v>1113</v>
      </c>
      <c r="P4501" s="18" t="s">
        <v>3781</v>
      </c>
      <c r="Q4501" s="6" t="s">
        <v>4475</v>
      </c>
      <c r="T4501" s="23">
        <v>44616</v>
      </c>
      <c r="U4501" s="23">
        <v>46808</v>
      </c>
      <c r="X4501" s="20">
        <v>5500</v>
      </c>
      <c r="Z4501" s="6" t="s">
        <v>5978</v>
      </c>
      <c r="AA4501" s="15">
        <f>+(0.42/1000)</f>
        <v>4.1999999999999996E-4</v>
      </c>
      <c r="AB4501">
        <v>0.88520879999999991</v>
      </c>
      <c r="AC4501">
        <v>0.92061715199999994</v>
      </c>
    </row>
    <row r="4502" spans="1:29" x14ac:dyDescent="0.3">
      <c r="A4502">
        <v>131946</v>
      </c>
      <c r="B4502" s="25" t="s">
        <v>5984</v>
      </c>
      <c r="C4502" t="s">
        <v>20</v>
      </c>
      <c r="D4502" t="s">
        <v>21</v>
      </c>
      <c r="E4502">
        <v>2222222</v>
      </c>
      <c r="F4502" s="8" t="s">
        <v>22</v>
      </c>
      <c r="G4502" s="2">
        <v>98</v>
      </c>
      <c r="H4502" t="s">
        <v>4634</v>
      </c>
      <c r="J4502" s="9" t="s">
        <v>4815</v>
      </c>
      <c r="K4502" t="s">
        <v>5374</v>
      </c>
      <c r="L4502" s="2">
        <v>1</v>
      </c>
      <c r="M4502" s="24" t="s">
        <v>5971</v>
      </c>
      <c r="N4502" s="2" t="s">
        <v>23</v>
      </c>
      <c r="O4502" s="18" t="s">
        <v>3416</v>
      </c>
      <c r="P4502" s="18" t="s">
        <v>0</v>
      </c>
      <c r="Q4502" s="6" t="s">
        <v>4475</v>
      </c>
      <c r="T4502" s="23">
        <v>44917</v>
      </c>
      <c r="U4502" s="23">
        <v>46377</v>
      </c>
      <c r="X4502" s="20">
        <v>17500</v>
      </c>
      <c r="Z4502" s="6" t="s">
        <v>5978</v>
      </c>
      <c r="AA4502" s="13">
        <f>+(0.56/1000)</f>
        <v>5.6000000000000006E-4</v>
      </c>
      <c r="AB4502">
        <v>6.6478496000000007</v>
      </c>
      <c r="AC4502">
        <v>6.9137635840000007</v>
      </c>
    </row>
    <row r="4503" spans="1:29" x14ac:dyDescent="0.3">
      <c r="A4503">
        <v>123448</v>
      </c>
      <c r="B4503" s="25" t="s">
        <v>5984</v>
      </c>
      <c r="C4503" t="s">
        <v>20</v>
      </c>
      <c r="D4503" t="s">
        <v>21</v>
      </c>
      <c r="E4503">
        <v>2222222</v>
      </c>
      <c r="F4503" s="8" t="s">
        <v>22</v>
      </c>
      <c r="G4503" s="2">
        <v>98</v>
      </c>
      <c r="H4503" t="s">
        <v>4635</v>
      </c>
      <c r="J4503" s="9" t="s">
        <v>5477</v>
      </c>
      <c r="K4503" t="s">
        <v>5049</v>
      </c>
      <c r="L4503" s="2">
        <v>1</v>
      </c>
      <c r="M4503" s="24" t="s">
        <v>5971</v>
      </c>
      <c r="N4503" s="2" t="s">
        <v>23</v>
      </c>
      <c r="O4503" s="18" t="s">
        <v>3417</v>
      </c>
      <c r="P4503" s="18" t="s">
        <v>0</v>
      </c>
      <c r="Q4503" s="6" t="s">
        <v>4475</v>
      </c>
      <c r="T4503" s="23">
        <v>44468</v>
      </c>
      <c r="U4503" s="23">
        <v>44568</v>
      </c>
      <c r="X4503" s="20">
        <v>2410</v>
      </c>
      <c r="Z4503" s="6" t="s">
        <v>5978</v>
      </c>
      <c r="AA4503" s="15">
        <f t="shared" ref="AA4503:AA4508" si="595">+(0.42/1000)</f>
        <v>4.1999999999999996E-4</v>
      </c>
      <c r="AB4503">
        <v>1.0122</v>
      </c>
      <c r="AC4503">
        <v>1.0526880000000001</v>
      </c>
    </row>
    <row r="4504" spans="1:29" x14ac:dyDescent="0.3">
      <c r="A4504">
        <v>114513</v>
      </c>
      <c r="B4504" s="25" t="s">
        <v>5984</v>
      </c>
      <c r="C4504" t="s">
        <v>20</v>
      </c>
      <c r="D4504" t="s">
        <v>21</v>
      </c>
      <c r="E4504">
        <v>2222222</v>
      </c>
      <c r="F4504" s="8" t="s">
        <v>22</v>
      </c>
      <c r="G4504" s="2">
        <v>98</v>
      </c>
      <c r="H4504" t="s">
        <v>4636</v>
      </c>
      <c r="J4504" s="9" t="s">
        <v>5067</v>
      </c>
      <c r="K4504" t="s">
        <v>4999</v>
      </c>
      <c r="L4504" s="2">
        <v>1</v>
      </c>
      <c r="M4504" s="24" t="s">
        <v>5971</v>
      </c>
      <c r="N4504" s="2" t="s">
        <v>23</v>
      </c>
      <c r="O4504" s="18" t="s">
        <v>3418</v>
      </c>
      <c r="P4504" s="18" t="s">
        <v>3781</v>
      </c>
      <c r="Q4504" s="6" t="s">
        <v>4475</v>
      </c>
      <c r="T4504" s="23">
        <v>44057</v>
      </c>
      <c r="U4504" s="23">
        <v>46704</v>
      </c>
      <c r="X4504" s="20">
        <v>15000</v>
      </c>
      <c r="Z4504" s="6" t="s">
        <v>5978</v>
      </c>
      <c r="AA4504" s="15">
        <f t="shared" si="595"/>
        <v>4.1999999999999996E-4</v>
      </c>
      <c r="AB4504">
        <v>2.2305317999999996</v>
      </c>
      <c r="AC4504">
        <v>2.3197530719999997</v>
      </c>
    </row>
    <row r="4505" spans="1:29" x14ac:dyDescent="0.3">
      <c r="A4505">
        <v>124916</v>
      </c>
      <c r="B4505" s="25" t="s">
        <v>5984</v>
      </c>
      <c r="C4505" t="s">
        <v>20</v>
      </c>
      <c r="D4505" t="s">
        <v>21</v>
      </c>
      <c r="E4505">
        <v>2222222</v>
      </c>
      <c r="F4505" s="8" t="s">
        <v>22</v>
      </c>
      <c r="G4505" s="2">
        <v>98</v>
      </c>
      <c r="H4505" t="s">
        <v>4636</v>
      </c>
      <c r="J4505" s="9" t="s">
        <v>4836</v>
      </c>
      <c r="K4505" t="s">
        <v>5329</v>
      </c>
      <c r="L4505" s="2">
        <v>1</v>
      </c>
      <c r="M4505" s="24" t="s">
        <v>5971</v>
      </c>
      <c r="N4505" s="2" t="s">
        <v>23</v>
      </c>
      <c r="O4505" s="18" t="s">
        <v>3419</v>
      </c>
      <c r="P4505" s="18" t="s">
        <v>3781</v>
      </c>
      <c r="Q4505" s="6" t="s">
        <v>4475</v>
      </c>
      <c r="T4505" s="23">
        <v>44539</v>
      </c>
      <c r="U4505" s="23">
        <v>45999</v>
      </c>
      <c r="X4505" s="20">
        <v>5000</v>
      </c>
      <c r="Z4505" s="6" t="s">
        <v>5978</v>
      </c>
      <c r="AA4505" s="15">
        <f t="shared" si="595"/>
        <v>4.1999999999999996E-4</v>
      </c>
      <c r="AB4505">
        <v>1.9460279999999996</v>
      </c>
      <c r="AC4505">
        <v>2.0238691199999996</v>
      </c>
    </row>
    <row r="4506" spans="1:29" x14ac:dyDescent="0.3">
      <c r="A4506">
        <v>126660</v>
      </c>
      <c r="B4506" s="25" t="s">
        <v>5984</v>
      </c>
      <c r="C4506" t="s">
        <v>20</v>
      </c>
      <c r="D4506" t="s">
        <v>21</v>
      </c>
      <c r="E4506">
        <v>2222222</v>
      </c>
      <c r="F4506" s="8" t="s">
        <v>22</v>
      </c>
      <c r="G4506" s="2">
        <v>98</v>
      </c>
      <c r="H4506" t="s">
        <v>4636</v>
      </c>
      <c r="J4506" s="9" t="s">
        <v>4876</v>
      </c>
      <c r="K4506" t="s">
        <v>4894</v>
      </c>
      <c r="L4506" s="2">
        <v>1</v>
      </c>
      <c r="M4506" s="24" t="s">
        <v>5971</v>
      </c>
      <c r="N4506" s="2" t="s">
        <v>23</v>
      </c>
      <c r="O4506" s="18" t="s">
        <v>3420</v>
      </c>
      <c r="P4506" s="18" t="s">
        <v>0</v>
      </c>
      <c r="Q4506" s="6" t="s">
        <v>4475</v>
      </c>
      <c r="T4506" s="23">
        <v>44636</v>
      </c>
      <c r="U4506" s="23">
        <v>47192</v>
      </c>
      <c r="X4506" s="20">
        <v>9000</v>
      </c>
      <c r="Z4506" s="6" t="s">
        <v>5978</v>
      </c>
      <c r="AA4506" s="15">
        <f t="shared" si="595"/>
        <v>4.1999999999999996E-4</v>
      </c>
      <c r="AB4506">
        <v>1.9536467999999998</v>
      </c>
      <c r="AC4506">
        <v>2.0317926719999999</v>
      </c>
    </row>
    <row r="4507" spans="1:29" x14ac:dyDescent="0.3">
      <c r="A4507">
        <v>129034</v>
      </c>
      <c r="B4507" s="25" t="s">
        <v>5984</v>
      </c>
      <c r="C4507" t="s">
        <v>20</v>
      </c>
      <c r="D4507" t="s">
        <v>21</v>
      </c>
      <c r="E4507">
        <v>2222222</v>
      </c>
      <c r="F4507" s="8" t="s">
        <v>22</v>
      </c>
      <c r="G4507" s="2">
        <v>98</v>
      </c>
      <c r="H4507" t="s">
        <v>4636</v>
      </c>
      <c r="J4507" s="9" t="s">
        <v>5800</v>
      </c>
      <c r="K4507" t="s">
        <v>4842</v>
      </c>
      <c r="L4507" s="2">
        <v>1</v>
      </c>
      <c r="M4507" s="24" t="s">
        <v>5971</v>
      </c>
      <c r="N4507" s="2" t="s">
        <v>23</v>
      </c>
      <c r="O4507" s="18" t="s">
        <v>1584</v>
      </c>
      <c r="P4507" s="18" t="s">
        <v>0</v>
      </c>
      <c r="Q4507" s="6" t="s">
        <v>4475</v>
      </c>
      <c r="T4507" s="23">
        <v>44763</v>
      </c>
      <c r="U4507" s="23">
        <v>46588</v>
      </c>
      <c r="X4507" s="20">
        <v>8000</v>
      </c>
      <c r="Z4507" s="6" t="s">
        <v>5978</v>
      </c>
      <c r="AA4507" s="15">
        <f t="shared" si="595"/>
        <v>4.1999999999999996E-4</v>
      </c>
      <c r="AB4507">
        <v>0.88163039999999993</v>
      </c>
      <c r="AC4507">
        <v>0.91689561599999991</v>
      </c>
    </row>
    <row r="4508" spans="1:29" x14ac:dyDescent="0.3">
      <c r="A4508">
        <v>129063</v>
      </c>
      <c r="B4508" s="25" t="s">
        <v>5984</v>
      </c>
      <c r="C4508" t="s">
        <v>20</v>
      </c>
      <c r="D4508" t="s">
        <v>21</v>
      </c>
      <c r="E4508">
        <v>2222222</v>
      </c>
      <c r="F4508" s="8" t="s">
        <v>22</v>
      </c>
      <c r="G4508" s="2">
        <v>98</v>
      </c>
      <c r="H4508" t="s">
        <v>4636</v>
      </c>
      <c r="J4508" s="9" t="s">
        <v>4836</v>
      </c>
      <c r="K4508" t="s">
        <v>5329</v>
      </c>
      <c r="L4508" s="2">
        <v>1</v>
      </c>
      <c r="M4508" s="24" t="s">
        <v>5971</v>
      </c>
      <c r="N4508" s="2" t="s">
        <v>23</v>
      </c>
      <c r="O4508" s="18" t="s">
        <v>3419</v>
      </c>
      <c r="P4508" s="18" t="s">
        <v>3781</v>
      </c>
      <c r="Q4508" s="6" t="s">
        <v>4475</v>
      </c>
      <c r="T4508" s="23">
        <v>44757</v>
      </c>
      <c r="U4508" s="23">
        <v>44847</v>
      </c>
      <c r="X4508" s="20">
        <v>4000</v>
      </c>
      <c r="Z4508" s="6" t="s">
        <v>5978</v>
      </c>
      <c r="AA4508" s="15">
        <f t="shared" si="595"/>
        <v>4.1999999999999996E-4</v>
      </c>
      <c r="AB4508">
        <v>1.68</v>
      </c>
      <c r="AC4508">
        <v>1.7472000000000001</v>
      </c>
    </row>
    <row r="4509" spans="1:29" x14ac:dyDescent="0.3">
      <c r="A4509">
        <v>130002</v>
      </c>
      <c r="B4509" s="25" t="s">
        <v>5984</v>
      </c>
      <c r="C4509" t="s">
        <v>20</v>
      </c>
      <c r="D4509" t="s">
        <v>21</v>
      </c>
      <c r="E4509">
        <v>2222222</v>
      </c>
      <c r="F4509" s="8" t="s">
        <v>22</v>
      </c>
      <c r="G4509" s="2">
        <v>98</v>
      </c>
      <c r="H4509" t="s">
        <v>4636</v>
      </c>
      <c r="J4509" s="9" t="s">
        <v>4981</v>
      </c>
      <c r="K4509" t="s">
        <v>4859</v>
      </c>
      <c r="L4509" s="2">
        <v>1</v>
      </c>
      <c r="M4509" s="24" t="s">
        <v>5971</v>
      </c>
      <c r="N4509" s="2" t="s">
        <v>23</v>
      </c>
      <c r="O4509" s="18" t="s">
        <v>3421</v>
      </c>
      <c r="P4509" s="18" t="s">
        <v>3781</v>
      </c>
      <c r="Q4509" s="6" t="s">
        <v>4475</v>
      </c>
      <c r="T4509" s="23">
        <v>44839</v>
      </c>
      <c r="U4509" s="23">
        <v>47395</v>
      </c>
      <c r="X4509" s="20">
        <v>27000</v>
      </c>
      <c r="Z4509" s="6" t="s">
        <v>5978</v>
      </c>
      <c r="AA4509" s="13">
        <f t="shared" ref="AA4509:AA4515" si="596">+(0.56/1000)</f>
        <v>5.6000000000000006E-4</v>
      </c>
      <c r="AB4509">
        <v>8.8437327999999997</v>
      </c>
      <c r="AC4509">
        <v>9.1974821119999994</v>
      </c>
    </row>
    <row r="4510" spans="1:29" x14ac:dyDescent="0.3">
      <c r="A4510">
        <v>134591</v>
      </c>
      <c r="B4510" s="25" t="s">
        <v>5984</v>
      </c>
      <c r="C4510" t="s">
        <v>20</v>
      </c>
      <c r="D4510" t="s">
        <v>21</v>
      </c>
      <c r="E4510">
        <v>2222222</v>
      </c>
      <c r="F4510" s="8" t="s">
        <v>22</v>
      </c>
      <c r="G4510" s="2">
        <v>98</v>
      </c>
      <c r="H4510" t="s">
        <v>4636</v>
      </c>
      <c r="J4510" s="9" t="s">
        <v>5019</v>
      </c>
      <c r="K4510" t="s">
        <v>5030</v>
      </c>
      <c r="L4510" s="2">
        <v>1</v>
      </c>
      <c r="M4510" s="24" t="s">
        <v>5971</v>
      </c>
      <c r="N4510" s="2" t="s">
        <v>23</v>
      </c>
      <c r="O4510" s="18" t="s">
        <v>3422</v>
      </c>
      <c r="P4510" s="18" t="s">
        <v>3781</v>
      </c>
      <c r="Q4510" s="6" t="s">
        <v>4475</v>
      </c>
      <c r="T4510" s="23">
        <v>45065</v>
      </c>
      <c r="U4510" s="23">
        <v>46556</v>
      </c>
      <c r="X4510" s="20">
        <v>5000</v>
      </c>
      <c r="Z4510" s="6" t="s">
        <v>5978</v>
      </c>
      <c r="AA4510" s="13">
        <f t="shared" si="596"/>
        <v>5.6000000000000006E-4</v>
      </c>
      <c r="AB4510">
        <v>0.79402960000000011</v>
      </c>
      <c r="AC4510">
        <v>0.82579078400000017</v>
      </c>
    </row>
    <row r="4511" spans="1:29" x14ac:dyDescent="0.3">
      <c r="A4511">
        <v>136112</v>
      </c>
      <c r="B4511" s="25" t="s">
        <v>5984</v>
      </c>
      <c r="C4511" t="s">
        <v>20</v>
      </c>
      <c r="D4511" t="s">
        <v>21</v>
      </c>
      <c r="E4511">
        <v>2222222</v>
      </c>
      <c r="F4511" s="8" t="s">
        <v>22</v>
      </c>
      <c r="G4511" s="2">
        <v>98</v>
      </c>
      <c r="H4511" t="s">
        <v>4636</v>
      </c>
      <c r="J4511" s="9" t="s">
        <v>5461</v>
      </c>
      <c r="K4511" t="s">
        <v>5025</v>
      </c>
      <c r="L4511" s="2">
        <v>1</v>
      </c>
      <c r="M4511" s="24" t="s">
        <v>5971</v>
      </c>
      <c r="N4511" s="2" t="s">
        <v>23</v>
      </c>
      <c r="O4511" s="18" t="s">
        <v>3423</v>
      </c>
      <c r="P4511" s="18" t="s">
        <v>3781</v>
      </c>
      <c r="Q4511" s="6" t="s">
        <v>4475</v>
      </c>
      <c r="T4511" s="23">
        <v>45154</v>
      </c>
      <c r="U4511" s="23">
        <v>46249</v>
      </c>
      <c r="X4511" s="20">
        <v>4000</v>
      </c>
      <c r="Z4511" s="6" t="s">
        <v>5978</v>
      </c>
      <c r="AA4511" s="13">
        <f t="shared" si="596"/>
        <v>5.6000000000000006E-4</v>
      </c>
      <c r="AB4511">
        <v>7.9934400000000017E-2</v>
      </c>
      <c r="AC4511">
        <v>8.3131776000000018E-2</v>
      </c>
    </row>
    <row r="4512" spans="1:29" x14ac:dyDescent="0.3">
      <c r="A4512">
        <v>137963</v>
      </c>
      <c r="B4512" s="25" t="s">
        <v>5984</v>
      </c>
      <c r="C4512" t="s">
        <v>20</v>
      </c>
      <c r="D4512" t="s">
        <v>21</v>
      </c>
      <c r="E4512">
        <v>2222222</v>
      </c>
      <c r="F4512" s="8" t="s">
        <v>22</v>
      </c>
      <c r="G4512" s="2">
        <v>98</v>
      </c>
      <c r="H4512" t="s">
        <v>4636</v>
      </c>
      <c r="J4512" s="9" t="s">
        <v>5911</v>
      </c>
      <c r="K4512" t="s">
        <v>4980</v>
      </c>
      <c r="L4512" s="2">
        <v>1</v>
      </c>
      <c r="M4512" s="24" t="s">
        <v>5971</v>
      </c>
      <c r="N4512" s="2" t="s">
        <v>23</v>
      </c>
      <c r="O4512" s="18" t="s">
        <v>3424</v>
      </c>
      <c r="P4512" s="18" t="s">
        <v>3781</v>
      </c>
      <c r="Q4512" s="6" t="s">
        <v>4475</v>
      </c>
      <c r="T4512" s="23">
        <v>45251</v>
      </c>
      <c r="U4512" s="23">
        <v>46352</v>
      </c>
      <c r="X4512" s="20">
        <v>3000</v>
      </c>
      <c r="Z4512" s="6" t="s">
        <v>5978</v>
      </c>
      <c r="AA4512" s="13">
        <f t="shared" si="596"/>
        <v>5.6000000000000006E-4</v>
      </c>
      <c r="AB4512">
        <v>0.23512720000000004</v>
      </c>
      <c r="AC4512">
        <v>0.24453228800000004</v>
      </c>
    </row>
    <row r="4513" spans="1:29" x14ac:dyDescent="0.3">
      <c r="A4513">
        <v>138615</v>
      </c>
      <c r="B4513" s="25" t="s">
        <v>5984</v>
      </c>
      <c r="C4513" t="s">
        <v>20</v>
      </c>
      <c r="D4513" t="s">
        <v>21</v>
      </c>
      <c r="E4513">
        <v>2222222</v>
      </c>
      <c r="F4513" s="8" t="s">
        <v>22</v>
      </c>
      <c r="G4513" s="2">
        <v>98</v>
      </c>
      <c r="H4513" t="s">
        <v>4636</v>
      </c>
      <c r="J4513" s="9" t="s">
        <v>5067</v>
      </c>
      <c r="K4513" t="s">
        <v>4999</v>
      </c>
      <c r="L4513" s="2">
        <v>1</v>
      </c>
      <c r="M4513" s="24" t="s">
        <v>5971</v>
      </c>
      <c r="N4513" s="2" t="s">
        <v>23</v>
      </c>
      <c r="O4513" s="18" t="s">
        <v>3418</v>
      </c>
      <c r="P4513" s="18" t="s">
        <v>3781</v>
      </c>
      <c r="Q4513" s="6" t="s">
        <v>4475</v>
      </c>
      <c r="T4513" s="23">
        <v>45287</v>
      </c>
      <c r="U4513" s="23">
        <v>46747</v>
      </c>
      <c r="X4513" s="20">
        <v>3500</v>
      </c>
      <c r="Z4513" s="6" t="s">
        <v>5978</v>
      </c>
      <c r="AA4513" s="13">
        <f t="shared" si="596"/>
        <v>5.6000000000000006E-4</v>
      </c>
      <c r="AB4513">
        <v>0.99848560000000008</v>
      </c>
      <c r="AC4513">
        <v>1.0384250240000001</v>
      </c>
    </row>
    <row r="4514" spans="1:29" x14ac:dyDescent="0.3">
      <c r="A4514">
        <v>140222</v>
      </c>
      <c r="B4514" s="25" t="s">
        <v>5984</v>
      </c>
      <c r="C4514" t="s">
        <v>20</v>
      </c>
      <c r="D4514" t="s">
        <v>21</v>
      </c>
      <c r="E4514">
        <v>2222222</v>
      </c>
      <c r="F4514" s="8" t="s">
        <v>22</v>
      </c>
      <c r="G4514" s="2">
        <v>98</v>
      </c>
      <c r="H4514" t="s">
        <v>4636</v>
      </c>
      <c r="J4514" s="9" t="s">
        <v>5912</v>
      </c>
      <c r="K4514" t="s">
        <v>4942</v>
      </c>
      <c r="L4514" s="2">
        <v>1</v>
      </c>
      <c r="M4514" s="24" t="s">
        <v>5971</v>
      </c>
      <c r="N4514" s="2" t="s">
        <v>23</v>
      </c>
      <c r="O4514" s="18" t="s">
        <v>3425</v>
      </c>
      <c r="P4514" s="18" t="s">
        <v>3781</v>
      </c>
      <c r="Q4514" s="6" t="s">
        <v>4475</v>
      </c>
      <c r="T4514" s="23">
        <v>45373</v>
      </c>
      <c r="U4514" s="23">
        <v>46102</v>
      </c>
      <c r="X4514" s="20">
        <v>1270</v>
      </c>
      <c r="Z4514" s="6" t="s">
        <v>5978</v>
      </c>
      <c r="AA4514" s="13">
        <f t="shared" si="596"/>
        <v>5.6000000000000006E-4</v>
      </c>
      <c r="AB4514">
        <v>0.71120000000000005</v>
      </c>
      <c r="AC4514">
        <v>0.73964800000000008</v>
      </c>
    </row>
    <row r="4515" spans="1:29" x14ac:dyDescent="0.3">
      <c r="A4515">
        <v>140628</v>
      </c>
      <c r="B4515" s="25" t="s">
        <v>5984</v>
      </c>
      <c r="C4515" t="s">
        <v>20</v>
      </c>
      <c r="D4515" t="s">
        <v>21</v>
      </c>
      <c r="E4515">
        <v>2222222</v>
      </c>
      <c r="F4515" s="8" t="s">
        <v>22</v>
      </c>
      <c r="G4515" s="2">
        <v>98</v>
      </c>
      <c r="H4515" t="s">
        <v>4636</v>
      </c>
      <c r="J4515" s="9" t="s">
        <v>4826</v>
      </c>
      <c r="K4515" t="s">
        <v>4937</v>
      </c>
      <c r="L4515" s="2">
        <v>1</v>
      </c>
      <c r="M4515" s="24" t="s">
        <v>5971</v>
      </c>
      <c r="N4515" s="2" t="s">
        <v>23</v>
      </c>
      <c r="O4515" s="18" t="s">
        <v>3426</v>
      </c>
      <c r="P4515" s="18" t="s">
        <v>0</v>
      </c>
      <c r="Q4515" s="6" t="s">
        <v>4475</v>
      </c>
      <c r="T4515" s="23">
        <v>45406</v>
      </c>
      <c r="U4515" s="23">
        <v>47232</v>
      </c>
      <c r="X4515" s="20">
        <v>21000</v>
      </c>
      <c r="Z4515" s="6" t="s">
        <v>5978</v>
      </c>
      <c r="AA4515" s="13">
        <f t="shared" si="596"/>
        <v>5.6000000000000006E-4</v>
      </c>
      <c r="AB4515">
        <v>7.4730880000000006</v>
      </c>
      <c r="AC4515">
        <v>7.7720115200000013</v>
      </c>
    </row>
    <row r="4516" spans="1:29" x14ac:dyDescent="0.3">
      <c r="A4516">
        <v>140896</v>
      </c>
      <c r="B4516" s="25" t="s">
        <v>5984</v>
      </c>
      <c r="C4516" t="s">
        <v>20</v>
      </c>
      <c r="D4516" t="s">
        <v>21</v>
      </c>
      <c r="E4516">
        <v>2222222</v>
      </c>
      <c r="F4516" s="8" t="s">
        <v>22</v>
      </c>
      <c r="G4516" s="2">
        <v>98</v>
      </c>
      <c r="H4516" t="s">
        <v>4636</v>
      </c>
      <c r="J4516" s="9" t="s">
        <v>4970</v>
      </c>
      <c r="K4516" t="s">
        <v>4832</v>
      </c>
      <c r="L4516" s="2">
        <v>1</v>
      </c>
      <c r="M4516" s="24" t="s">
        <v>5971</v>
      </c>
      <c r="N4516" s="2" t="s">
        <v>23</v>
      </c>
      <c r="O4516" s="18" t="s">
        <v>3427</v>
      </c>
      <c r="P4516" s="18" t="s">
        <v>3781</v>
      </c>
      <c r="Q4516" s="6" t="s">
        <v>4475</v>
      </c>
      <c r="T4516" s="23">
        <v>45419</v>
      </c>
      <c r="U4516" s="23">
        <v>46879</v>
      </c>
      <c r="X4516" s="20">
        <v>5000</v>
      </c>
      <c r="Z4516" s="6" t="s">
        <v>5978</v>
      </c>
      <c r="AA4516" s="14">
        <f t="shared" ref="AA4516:AA4542" si="597">+(0.6/1000)</f>
        <v>5.9999999999999995E-4</v>
      </c>
      <c r="AB4516">
        <v>1.5996299999999999</v>
      </c>
      <c r="AC4516">
        <v>1.6636152</v>
      </c>
    </row>
    <row r="4517" spans="1:29" x14ac:dyDescent="0.3">
      <c r="A4517">
        <v>141166</v>
      </c>
      <c r="B4517" s="25" t="s">
        <v>5984</v>
      </c>
      <c r="C4517" t="s">
        <v>20</v>
      </c>
      <c r="D4517" t="s">
        <v>21</v>
      </c>
      <c r="E4517">
        <v>2222222</v>
      </c>
      <c r="F4517" s="8" t="s">
        <v>22</v>
      </c>
      <c r="G4517" s="2">
        <v>98</v>
      </c>
      <c r="H4517" t="s">
        <v>4636</v>
      </c>
      <c r="J4517" s="9" t="s">
        <v>5310</v>
      </c>
      <c r="K4517" t="s">
        <v>4980</v>
      </c>
      <c r="L4517" s="2">
        <v>1</v>
      </c>
      <c r="M4517" s="24" t="s">
        <v>5971</v>
      </c>
      <c r="N4517" s="2" t="s">
        <v>23</v>
      </c>
      <c r="O4517" s="18" t="s">
        <v>2665</v>
      </c>
      <c r="P4517" s="18" t="s">
        <v>3781</v>
      </c>
      <c r="Q4517" s="6" t="s">
        <v>4475</v>
      </c>
      <c r="T4517" s="23">
        <v>45448</v>
      </c>
      <c r="U4517" s="23">
        <v>46543</v>
      </c>
      <c r="X4517" s="20">
        <v>2770</v>
      </c>
      <c r="Z4517" s="6" t="s">
        <v>5978</v>
      </c>
      <c r="AA4517" s="14">
        <f t="shared" si="597"/>
        <v>5.9999999999999995E-4</v>
      </c>
      <c r="AB4517">
        <v>0.60662999999999989</v>
      </c>
      <c r="AC4517">
        <v>0.63089519999999988</v>
      </c>
    </row>
    <row r="4518" spans="1:29" x14ac:dyDescent="0.3">
      <c r="A4518">
        <v>142078</v>
      </c>
      <c r="B4518" s="25" t="s">
        <v>5984</v>
      </c>
      <c r="C4518" t="s">
        <v>20</v>
      </c>
      <c r="D4518" t="s">
        <v>21</v>
      </c>
      <c r="E4518">
        <v>2222222</v>
      </c>
      <c r="F4518" s="8" t="s">
        <v>22</v>
      </c>
      <c r="G4518" s="2">
        <v>98</v>
      </c>
      <c r="H4518" t="s">
        <v>4636</v>
      </c>
      <c r="J4518" s="9" t="s">
        <v>5160</v>
      </c>
      <c r="K4518" t="s">
        <v>5271</v>
      </c>
      <c r="L4518" s="2">
        <v>1</v>
      </c>
      <c r="M4518" s="24" t="s">
        <v>5971</v>
      </c>
      <c r="N4518" s="2" t="s">
        <v>23</v>
      </c>
      <c r="O4518" s="18" t="s">
        <v>3428</v>
      </c>
      <c r="P4518" s="18" t="s">
        <v>0</v>
      </c>
      <c r="Q4518" s="6" t="s">
        <v>4475</v>
      </c>
      <c r="T4518" s="23">
        <v>45502</v>
      </c>
      <c r="U4518" s="23">
        <v>46965</v>
      </c>
      <c r="X4518" s="20">
        <v>23700</v>
      </c>
      <c r="Z4518" s="6" t="s">
        <v>5978</v>
      </c>
      <c r="AA4518" s="14">
        <f t="shared" si="597"/>
        <v>5.9999999999999995E-4</v>
      </c>
      <c r="AB4518">
        <v>7.625189999999999</v>
      </c>
      <c r="AC4518">
        <v>7.9301975999999996</v>
      </c>
    </row>
    <row r="4519" spans="1:29" x14ac:dyDescent="0.3">
      <c r="A4519">
        <v>142618</v>
      </c>
      <c r="B4519" s="25" t="s">
        <v>5984</v>
      </c>
      <c r="C4519" t="s">
        <v>20</v>
      </c>
      <c r="D4519" t="s">
        <v>21</v>
      </c>
      <c r="E4519">
        <v>2222222</v>
      </c>
      <c r="F4519" s="8" t="s">
        <v>22</v>
      </c>
      <c r="G4519" s="2">
        <v>98</v>
      </c>
      <c r="H4519" t="s">
        <v>4636</v>
      </c>
      <c r="J4519" s="9" t="s">
        <v>5913</v>
      </c>
      <c r="K4519" t="s">
        <v>4761</v>
      </c>
      <c r="L4519" s="2">
        <v>1</v>
      </c>
      <c r="M4519" s="24" t="s">
        <v>5971</v>
      </c>
      <c r="N4519" s="2" t="s">
        <v>23</v>
      </c>
      <c r="O4519" s="18" t="s">
        <v>3429</v>
      </c>
      <c r="P4519" s="18" t="s">
        <v>3781</v>
      </c>
      <c r="Q4519" s="6" t="s">
        <v>4475</v>
      </c>
      <c r="T4519" s="23">
        <v>45533</v>
      </c>
      <c r="U4519" s="23">
        <v>46262</v>
      </c>
      <c r="X4519" s="20">
        <v>520</v>
      </c>
      <c r="Z4519" s="6" t="s">
        <v>5978</v>
      </c>
      <c r="AA4519" s="14">
        <f t="shared" si="597"/>
        <v>5.9999999999999995E-4</v>
      </c>
      <c r="AB4519">
        <v>1.5281999999999999E-2</v>
      </c>
      <c r="AC4519">
        <v>1.5893279999999999E-2</v>
      </c>
    </row>
    <row r="4520" spans="1:29" x14ac:dyDescent="0.3">
      <c r="A4520">
        <v>142753</v>
      </c>
      <c r="B4520" s="25" t="s">
        <v>5984</v>
      </c>
      <c r="C4520" t="s">
        <v>20</v>
      </c>
      <c r="D4520" t="s">
        <v>21</v>
      </c>
      <c r="E4520">
        <v>2222222</v>
      </c>
      <c r="F4520" s="8" t="s">
        <v>22</v>
      </c>
      <c r="G4520" s="2">
        <v>98</v>
      </c>
      <c r="H4520" t="s">
        <v>4636</v>
      </c>
      <c r="J4520" s="9" t="s">
        <v>4988</v>
      </c>
      <c r="K4520" t="s">
        <v>4935</v>
      </c>
      <c r="L4520" s="2">
        <v>1</v>
      </c>
      <c r="M4520" s="24" t="s">
        <v>5971</v>
      </c>
      <c r="N4520" s="2" t="s">
        <v>23</v>
      </c>
      <c r="O4520" s="18" t="s">
        <v>3430</v>
      </c>
      <c r="P4520" s="18" t="s">
        <v>3781</v>
      </c>
      <c r="Q4520" s="6" t="s">
        <v>4475</v>
      </c>
      <c r="T4520" s="23">
        <v>45543</v>
      </c>
      <c r="U4520" s="23">
        <v>50022</v>
      </c>
      <c r="X4520" s="20">
        <v>25000</v>
      </c>
      <c r="Z4520" s="6" t="s">
        <v>5978</v>
      </c>
      <c r="AA4520" s="14">
        <f t="shared" si="597"/>
        <v>5.9999999999999995E-4</v>
      </c>
      <c r="AB4520">
        <v>14.089397999999999</v>
      </c>
      <c r="AC4520">
        <v>14.652973919999999</v>
      </c>
    </row>
    <row r="4521" spans="1:29" x14ac:dyDescent="0.3">
      <c r="A4521">
        <v>142764</v>
      </c>
      <c r="B4521" s="25" t="s">
        <v>5984</v>
      </c>
      <c r="C4521" t="s">
        <v>20</v>
      </c>
      <c r="D4521" t="s">
        <v>21</v>
      </c>
      <c r="E4521">
        <v>2222222</v>
      </c>
      <c r="F4521" s="8" t="s">
        <v>22</v>
      </c>
      <c r="G4521" s="2">
        <v>98</v>
      </c>
      <c r="H4521" t="s">
        <v>4636</v>
      </c>
      <c r="J4521" s="9" t="s">
        <v>4988</v>
      </c>
      <c r="K4521" t="s">
        <v>4935</v>
      </c>
      <c r="L4521" s="2">
        <v>1</v>
      </c>
      <c r="M4521" s="24" t="s">
        <v>5971</v>
      </c>
      <c r="N4521" s="2" t="s">
        <v>23</v>
      </c>
      <c r="O4521" s="18" t="s">
        <v>3430</v>
      </c>
      <c r="P4521" s="18" t="s">
        <v>3781</v>
      </c>
      <c r="Q4521" s="6" t="s">
        <v>4475</v>
      </c>
      <c r="T4521" s="23">
        <v>45544</v>
      </c>
      <c r="U4521" s="23">
        <v>47096</v>
      </c>
      <c r="X4521" s="20">
        <v>2600</v>
      </c>
      <c r="Z4521" s="6" t="s">
        <v>5978</v>
      </c>
      <c r="AA4521" s="14">
        <f t="shared" si="597"/>
        <v>5.9999999999999995E-4</v>
      </c>
      <c r="AB4521">
        <v>1.079064</v>
      </c>
      <c r="AC4521">
        <v>1.1222265600000001</v>
      </c>
    </row>
    <row r="4522" spans="1:29" x14ac:dyDescent="0.3">
      <c r="A4522">
        <v>144096</v>
      </c>
      <c r="B4522" s="25" t="s">
        <v>5984</v>
      </c>
      <c r="C4522" t="s">
        <v>20</v>
      </c>
      <c r="D4522" t="s">
        <v>21</v>
      </c>
      <c r="E4522">
        <v>2222222</v>
      </c>
      <c r="F4522" s="8" t="s">
        <v>22</v>
      </c>
      <c r="G4522" s="2">
        <v>98</v>
      </c>
      <c r="H4522" t="s">
        <v>4636</v>
      </c>
      <c r="J4522" s="9" t="s">
        <v>5021</v>
      </c>
      <c r="K4522" t="s">
        <v>4861</v>
      </c>
      <c r="L4522" s="2">
        <v>1</v>
      </c>
      <c r="M4522" s="24" t="s">
        <v>5971</v>
      </c>
      <c r="N4522" s="2" t="s">
        <v>23</v>
      </c>
      <c r="O4522" s="18" t="s">
        <v>3431</v>
      </c>
      <c r="P4522" s="18" t="s">
        <v>3781</v>
      </c>
      <c r="Q4522" s="6" t="s">
        <v>4475</v>
      </c>
      <c r="T4522" s="23">
        <v>45645</v>
      </c>
      <c r="U4522" s="23">
        <v>45825</v>
      </c>
      <c r="X4522" s="20">
        <v>42000</v>
      </c>
      <c r="Z4522" s="6" t="s">
        <v>5978</v>
      </c>
      <c r="AA4522" s="14">
        <f t="shared" si="597"/>
        <v>5.9999999999999995E-4</v>
      </c>
      <c r="AB4522">
        <v>24.974207999999997</v>
      </c>
      <c r="AC4522">
        <v>25.973176319999997</v>
      </c>
    </row>
    <row r="4523" spans="1:29" x14ac:dyDescent="0.3">
      <c r="A4523">
        <v>144135</v>
      </c>
      <c r="B4523" s="25" t="s">
        <v>5984</v>
      </c>
      <c r="C4523" t="s">
        <v>20</v>
      </c>
      <c r="D4523" t="s">
        <v>21</v>
      </c>
      <c r="E4523">
        <v>2222222</v>
      </c>
      <c r="F4523" s="8" t="s">
        <v>22</v>
      </c>
      <c r="G4523" s="2">
        <v>98</v>
      </c>
      <c r="H4523" t="s">
        <v>4636</v>
      </c>
      <c r="J4523" s="9" t="s">
        <v>5310</v>
      </c>
      <c r="K4523" t="s">
        <v>4980</v>
      </c>
      <c r="L4523" s="2">
        <v>1</v>
      </c>
      <c r="M4523" s="24" t="s">
        <v>5971</v>
      </c>
      <c r="N4523" s="2" t="s">
        <v>23</v>
      </c>
      <c r="O4523" s="18" t="s">
        <v>2665</v>
      </c>
      <c r="P4523" s="18" t="s">
        <v>3781</v>
      </c>
      <c r="Q4523" s="6" t="s">
        <v>4475</v>
      </c>
      <c r="T4523" s="23">
        <v>45643</v>
      </c>
      <c r="U4523" s="23">
        <v>46737</v>
      </c>
      <c r="X4523" s="20">
        <v>8000</v>
      </c>
      <c r="Z4523" s="6" t="s">
        <v>5978</v>
      </c>
      <c r="AA4523" s="14">
        <f t="shared" si="597"/>
        <v>5.9999999999999995E-4</v>
      </c>
      <c r="AB4523">
        <v>2.4810840000000001</v>
      </c>
      <c r="AC4523">
        <v>2.5803273600000001</v>
      </c>
    </row>
    <row r="4524" spans="1:29" x14ac:dyDescent="0.3">
      <c r="A4524">
        <v>145714</v>
      </c>
      <c r="B4524" s="25" t="s">
        <v>5984</v>
      </c>
      <c r="C4524" t="s">
        <v>20</v>
      </c>
      <c r="D4524" t="s">
        <v>21</v>
      </c>
      <c r="E4524">
        <v>2222222</v>
      </c>
      <c r="F4524" s="8" t="s">
        <v>22</v>
      </c>
      <c r="G4524" s="2">
        <v>98</v>
      </c>
      <c r="H4524" t="s">
        <v>4636</v>
      </c>
      <c r="J4524" s="9" t="s">
        <v>4852</v>
      </c>
      <c r="K4524" t="s">
        <v>4827</v>
      </c>
      <c r="L4524" s="2">
        <v>1</v>
      </c>
      <c r="M4524" s="24" t="s">
        <v>5971</v>
      </c>
      <c r="N4524" s="2" t="s">
        <v>23</v>
      </c>
      <c r="O4524" s="18" t="s">
        <v>3432</v>
      </c>
      <c r="P4524" s="18" t="s">
        <v>0</v>
      </c>
      <c r="Q4524" s="6" t="s">
        <v>4475</v>
      </c>
      <c r="T4524" s="23">
        <v>45769</v>
      </c>
      <c r="U4524" s="23">
        <v>47230</v>
      </c>
      <c r="X4524" s="20">
        <v>20000</v>
      </c>
      <c r="Z4524" s="6" t="s">
        <v>5978</v>
      </c>
      <c r="AA4524" s="14">
        <f t="shared" si="597"/>
        <v>5.9999999999999995E-4</v>
      </c>
      <c r="AB4524">
        <v>8.9478839999999984</v>
      </c>
      <c r="AC4524">
        <v>9.3057993599999982</v>
      </c>
    </row>
    <row r="4525" spans="1:29" x14ac:dyDescent="0.3">
      <c r="A4525">
        <v>146332</v>
      </c>
      <c r="B4525" s="25" t="s">
        <v>5984</v>
      </c>
      <c r="C4525" t="s">
        <v>20</v>
      </c>
      <c r="D4525" t="s">
        <v>21</v>
      </c>
      <c r="E4525">
        <v>2222222</v>
      </c>
      <c r="F4525" s="8" t="s">
        <v>22</v>
      </c>
      <c r="G4525" s="2">
        <v>98</v>
      </c>
      <c r="H4525" t="s">
        <v>4636</v>
      </c>
      <c r="J4525" s="9" t="s">
        <v>5913</v>
      </c>
      <c r="K4525" t="s">
        <v>4761</v>
      </c>
      <c r="L4525" s="2">
        <v>1</v>
      </c>
      <c r="M4525" s="24" t="s">
        <v>5971</v>
      </c>
      <c r="N4525" s="2" t="s">
        <v>23</v>
      </c>
      <c r="O4525" s="18" t="s">
        <v>3429</v>
      </c>
      <c r="P4525" s="18" t="s">
        <v>3781</v>
      </c>
      <c r="Q4525" s="6" t="s">
        <v>4475</v>
      </c>
      <c r="T4525" s="23">
        <v>45810</v>
      </c>
      <c r="U4525" s="23">
        <v>46908</v>
      </c>
      <c r="X4525" s="20">
        <v>1740</v>
      </c>
      <c r="Z4525" s="6" t="s">
        <v>5978</v>
      </c>
      <c r="AA4525" s="14">
        <f t="shared" si="597"/>
        <v>5.9999999999999995E-4</v>
      </c>
      <c r="AB4525">
        <v>0.72698399999999996</v>
      </c>
      <c r="AC4525">
        <v>0.75606335999999996</v>
      </c>
    </row>
    <row r="4526" spans="1:29" x14ac:dyDescent="0.3">
      <c r="A4526">
        <v>147454</v>
      </c>
      <c r="B4526" s="25" t="s">
        <v>5984</v>
      </c>
      <c r="C4526" t="s">
        <v>20</v>
      </c>
      <c r="D4526" t="s">
        <v>21</v>
      </c>
      <c r="E4526">
        <v>2222222</v>
      </c>
      <c r="F4526" s="8" t="s">
        <v>22</v>
      </c>
      <c r="G4526" s="2">
        <v>98</v>
      </c>
      <c r="H4526" t="s">
        <v>4636</v>
      </c>
      <c r="J4526" s="9" t="s">
        <v>5914</v>
      </c>
      <c r="K4526" t="s">
        <v>4516</v>
      </c>
      <c r="L4526" s="2">
        <v>1</v>
      </c>
      <c r="M4526" s="24" t="s">
        <v>5971</v>
      </c>
      <c r="N4526" s="2" t="s">
        <v>23</v>
      </c>
      <c r="O4526" s="18" t="s">
        <v>3390</v>
      </c>
      <c r="P4526" s="18" t="s">
        <v>3781</v>
      </c>
      <c r="Q4526" s="6" t="s">
        <v>4475</v>
      </c>
      <c r="T4526" s="23">
        <v>45890</v>
      </c>
      <c r="U4526" s="23">
        <v>46438</v>
      </c>
      <c r="X4526" s="20">
        <v>4000</v>
      </c>
      <c r="Z4526" s="6" t="s">
        <v>5978</v>
      </c>
      <c r="AA4526" s="14">
        <f t="shared" si="597"/>
        <v>5.9999999999999995E-4</v>
      </c>
      <c r="AB4526">
        <v>1.141764</v>
      </c>
      <c r="AC4526">
        <v>1.18743456</v>
      </c>
    </row>
    <row r="4527" spans="1:29" x14ac:dyDescent="0.3">
      <c r="A4527">
        <v>147455</v>
      </c>
      <c r="B4527" s="25" t="s">
        <v>5984</v>
      </c>
      <c r="C4527" t="s">
        <v>20</v>
      </c>
      <c r="D4527" t="s">
        <v>21</v>
      </c>
      <c r="E4527">
        <v>2222222</v>
      </c>
      <c r="F4527" s="8" t="s">
        <v>22</v>
      </c>
      <c r="G4527" s="2">
        <v>98</v>
      </c>
      <c r="H4527" t="s">
        <v>4636</v>
      </c>
      <c r="J4527" s="9" t="s">
        <v>4916</v>
      </c>
      <c r="K4527" t="s">
        <v>4880</v>
      </c>
      <c r="L4527" s="2">
        <v>1</v>
      </c>
      <c r="M4527" s="24" t="s">
        <v>5971</v>
      </c>
      <c r="N4527" s="2" t="s">
        <v>23</v>
      </c>
      <c r="O4527" s="18" t="s">
        <v>3433</v>
      </c>
      <c r="P4527" s="18" t="s">
        <v>3781</v>
      </c>
      <c r="Q4527" s="6" t="s">
        <v>4475</v>
      </c>
      <c r="T4527" s="23">
        <v>45890</v>
      </c>
      <c r="U4527" s="23">
        <v>46803</v>
      </c>
      <c r="X4527" s="20">
        <v>5000</v>
      </c>
      <c r="Z4527" s="6" t="s">
        <v>5978</v>
      </c>
      <c r="AA4527" s="14">
        <f t="shared" si="597"/>
        <v>5.9999999999999995E-4</v>
      </c>
      <c r="AB4527">
        <v>2.0024219999999997</v>
      </c>
      <c r="AC4527">
        <v>2.0825188799999999</v>
      </c>
    </row>
    <row r="4528" spans="1:29" x14ac:dyDescent="0.3">
      <c r="A4528">
        <v>147533</v>
      </c>
      <c r="B4528" s="25" t="s">
        <v>5984</v>
      </c>
      <c r="C4528" t="s">
        <v>20</v>
      </c>
      <c r="D4528" t="s">
        <v>21</v>
      </c>
      <c r="E4528">
        <v>2222222</v>
      </c>
      <c r="F4528" s="8" t="s">
        <v>22</v>
      </c>
      <c r="G4528" s="2">
        <v>98</v>
      </c>
      <c r="H4528" t="s">
        <v>4636</v>
      </c>
      <c r="J4528" s="9" t="s">
        <v>4953</v>
      </c>
      <c r="K4528" t="s">
        <v>4853</v>
      </c>
      <c r="L4528" s="2">
        <v>1</v>
      </c>
      <c r="M4528" s="24" t="s">
        <v>5971</v>
      </c>
      <c r="N4528" s="2" t="s">
        <v>23</v>
      </c>
      <c r="O4528" s="18" t="s">
        <v>2159</v>
      </c>
      <c r="P4528" s="18" t="s">
        <v>0</v>
      </c>
      <c r="Q4528" s="6" t="s">
        <v>4475</v>
      </c>
      <c r="T4528" s="23">
        <v>45897</v>
      </c>
      <c r="U4528" s="23">
        <v>47722</v>
      </c>
      <c r="X4528" s="20">
        <v>10300</v>
      </c>
      <c r="Z4528" s="6" t="s">
        <v>5978</v>
      </c>
      <c r="AA4528" s="14">
        <f t="shared" si="597"/>
        <v>5.9999999999999995E-4</v>
      </c>
      <c r="AB4528">
        <v>5.3811720000000003</v>
      </c>
      <c r="AC4528">
        <v>5.5964188800000008</v>
      </c>
    </row>
    <row r="4529" spans="1:29" x14ac:dyDescent="0.3">
      <c r="A4529">
        <v>147847</v>
      </c>
      <c r="B4529" s="25" t="s">
        <v>5984</v>
      </c>
      <c r="C4529" t="s">
        <v>20</v>
      </c>
      <c r="D4529" t="s">
        <v>21</v>
      </c>
      <c r="E4529">
        <v>2222222</v>
      </c>
      <c r="F4529" s="8" t="s">
        <v>22</v>
      </c>
      <c r="G4529" s="2">
        <v>98</v>
      </c>
      <c r="H4529" t="s">
        <v>4636</v>
      </c>
      <c r="J4529" s="9" t="s">
        <v>4981</v>
      </c>
      <c r="K4529" t="s">
        <v>4859</v>
      </c>
      <c r="L4529" s="2">
        <v>1</v>
      </c>
      <c r="M4529" s="24" t="s">
        <v>5971</v>
      </c>
      <c r="N4529" s="2" t="s">
        <v>23</v>
      </c>
      <c r="O4529" s="18" t="s">
        <v>3421</v>
      </c>
      <c r="P4529" s="18" t="s">
        <v>3781</v>
      </c>
      <c r="Q4529" s="6" t="s">
        <v>4475</v>
      </c>
      <c r="T4529" s="23">
        <v>45932</v>
      </c>
      <c r="U4529" s="23">
        <v>51410</v>
      </c>
      <c r="X4529" s="20">
        <v>16500</v>
      </c>
      <c r="Z4529" s="6" t="s">
        <v>5978</v>
      </c>
      <c r="AA4529" s="14">
        <f t="shared" si="597"/>
        <v>5.9999999999999995E-4</v>
      </c>
      <c r="AB4529">
        <v>9.711155999999999</v>
      </c>
      <c r="AC4529">
        <v>10.099602239999999</v>
      </c>
    </row>
    <row r="4530" spans="1:29" x14ac:dyDescent="0.3">
      <c r="A4530">
        <v>148073</v>
      </c>
      <c r="B4530" s="25" t="s">
        <v>5984</v>
      </c>
      <c r="C4530" t="s">
        <v>20</v>
      </c>
      <c r="D4530" t="s">
        <v>21</v>
      </c>
      <c r="E4530">
        <v>2222222</v>
      </c>
      <c r="F4530" s="8" t="s">
        <v>22</v>
      </c>
      <c r="G4530" s="2">
        <v>98</v>
      </c>
      <c r="H4530" t="s">
        <v>4636</v>
      </c>
      <c r="J4530" s="9" t="s">
        <v>4838</v>
      </c>
      <c r="K4530" t="s">
        <v>5068</v>
      </c>
      <c r="L4530" s="2">
        <v>1</v>
      </c>
      <c r="M4530" s="24" t="s">
        <v>5971</v>
      </c>
      <c r="N4530" s="2" t="s">
        <v>23</v>
      </c>
      <c r="O4530" s="18" t="s">
        <v>3434</v>
      </c>
      <c r="P4530" s="18" t="s">
        <v>0</v>
      </c>
      <c r="Q4530" s="6" t="s">
        <v>4475</v>
      </c>
      <c r="T4530" s="23">
        <v>45939</v>
      </c>
      <c r="U4530" s="23">
        <v>48860</v>
      </c>
      <c r="X4530" s="20">
        <v>20000</v>
      </c>
      <c r="Z4530" s="6" t="s">
        <v>5978</v>
      </c>
      <c r="AA4530" s="14">
        <f t="shared" si="597"/>
        <v>5.9999999999999995E-4</v>
      </c>
      <c r="AB4530">
        <v>11.294777999999999</v>
      </c>
      <c r="AC4530">
        <v>11.74656912</v>
      </c>
    </row>
    <row r="4531" spans="1:29" x14ac:dyDescent="0.3">
      <c r="A4531">
        <v>148486</v>
      </c>
      <c r="B4531" s="25" t="s">
        <v>5984</v>
      </c>
      <c r="C4531" t="s">
        <v>20</v>
      </c>
      <c r="D4531" t="s">
        <v>21</v>
      </c>
      <c r="E4531">
        <v>2222222</v>
      </c>
      <c r="F4531" s="8" t="s">
        <v>22</v>
      </c>
      <c r="G4531" s="2">
        <v>98</v>
      </c>
      <c r="H4531" t="s">
        <v>4636</v>
      </c>
      <c r="J4531" s="9" t="s">
        <v>4955</v>
      </c>
      <c r="K4531" t="s">
        <v>5133</v>
      </c>
      <c r="L4531" s="2">
        <v>1</v>
      </c>
      <c r="M4531" s="24" t="s">
        <v>5971</v>
      </c>
      <c r="N4531" s="2" t="s">
        <v>23</v>
      </c>
      <c r="O4531" s="18" t="s">
        <v>3435</v>
      </c>
      <c r="P4531" s="18" t="s">
        <v>3781</v>
      </c>
      <c r="Q4531" s="6" t="s">
        <v>4475</v>
      </c>
      <c r="T4531" s="23">
        <v>45807</v>
      </c>
      <c r="U4531" s="23">
        <v>46878</v>
      </c>
      <c r="X4531" s="20">
        <v>3000</v>
      </c>
      <c r="Z4531" s="6" t="s">
        <v>5978</v>
      </c>
      <c r="AA4531" s="14">
        <f t="shared" si="597"/>
        <v>5.9999999999999995E-4</v>
      </c>
      <c r="AB4531">
        <v>1.2268319999999999</v>
      </c>
      <c r="AC4531">
        <v>1.2759052799999999</v>
      </c>
    </row>
    <row r="4532" spans="1:29" x14ac:dyDescent="0.3">
      <c r="A4532">
        <v>149487</v>
      </c>
      <c r="B4532" s="25" t="s">
        <v>5984</v>
      </c>
      <c r="C4532" t="s">
        <v>20</v>
      </c>
      <c r="D4532" t="s">
        <v>21</v>
      </c>
      <c r="E4532">
        <v>2222222</v>
      </c>
      <c r="F4532" s="8" t="s">
        <v>22</v>
      </c>
      <c r="G4532" s="2">
        <v>98</v>
      </c>
      <c r="H4532" t="s">
        <v>4636</v>
      </c>
      <c r="J4532" s="9" t="s">
        <v>4826</v>
      </c>
      <c r="K4532" t="s">
        <v>4937</v>
      </c>
      <c r="L4532" s="2">
        <v>1</v>
      </c>
      <c r="M4532" s="24" t="s">
        <v>5971</v>
      </c>
      <c r="N4532" s="2" t="s">
        <v>23</v>
      </c>
      <c r="O4532" s="18" t="s">
        <v>3436</v>
      </c>
      <c r="P4532" s="18" t="s">
        <v>0</v>
      </c>
      <c r="Q4532" s="6" t="s">
        <v>4475</v>
      </c>
      <c r="T4532" s="23">
        <v>46034</v>
      </c>
      <c r="U4532" s="23">
        <v>47130</v>
      </c>
      <c r="X4532" s="20">
        <v>5000</v>
      </c>
      <c r="Z4532" s="6" t="s">
        <v>5978</v>
      </c>
      <c r="AA4532" s="14">
        <f t="shared" si="597"/>
        <v>5.9999999999999995E-4</v>
      </c>
      <c r="AB4532">
        <v>2.6021100000000001</v>
      </c>
      <c r="AC4532">
        <v>2.7061944000000002</v>
      </c>
    </row>
    <row r="4533" spans="1:29" x14ac:dyDescent="0.3">
      <c r="A4533">
        <v>149505</v>
      </c>
      <c r="B4533" s="25" t="s">
        <v>5984</v>
      </c>
      <c r="C4533" t="s">
        <v>20</v>
      </c>
      <c r="D4533" t="s">
        <v>21</v>
      </c>
      <c r="E4533">
        <v>2222222</v>
      </c>
      <c r="F4533" s="8" t="s">
        <v>22</v>
      </c>
      <c r="G4533" s="2">
        <v>98</v>
      </c>
      <c r="H4533" t="s">
        <v>4636</v>
      </c>
      <c r="J4533" s="9" t="s">
        <v>4916</v>
      </c>
      <c r="K4533" t="s">
        <v>4926</v>
      </c>
      <c r="L4533" s="2">
        <v>1</v>
      </c>
      <c r="M4533" s="24" t="s">
        <v>5971</v>
      </c>
      <c r="N4533" s="2" t="s">
        <v>23</v>
      </c>
      <c r="O4533" s="18" t="s">
        <v>3437</v>
      </c>
      <c r="P4533" s="18" t="s">
        <v>3781</v>
      </c>
      <c r="Q4533" s="6" t="s">
        <v>4475</v>
      </c>
      <c r="T4533" s="23">
        <v>46032</v>
      </c>
      <c r="U4533" s="23">
        <v>47492</v>
      </c>
      <c r="X4533" s="20">
        <v>3000</v>
      </c>
      <c r="Z4533" s="6" t="s">
        <v>5978</v>
      </c>
      <c r="AA4533" s="14">
        <f t="shared" si="597"/>
        <v>5.9999999999999995E-4</v>
      </c>
      <c r="AB4533">
        <v>1.6247039999999999</v>
      </c>
      <c r="AC4533">
        <v>1.6896921599999999</v>
      </c>
    </row>
    <row r="4534" spans="1:29" x14ac:dyDescent="0.3">
      <c r="A4534">
        <v>150187</v>
      </c>
      <c r="B4534" s="25" t="s">
        <v>5984</v>
      </c>
      <c r="C4534" t="s">
        <v>20</v>
      </c>
      <c r="D4534" t="s">
        <v>21</v>
      </c>
      <c r="E4534">
        <v>2222222</v>
      </c>
      <c r="F4534" s="8" t="s">
        <v>22</v>
      </c>
      <c r="G4534" s="2">
        <v>98</v>
      </c>
      <c r="H4534" t="s">
        <v>4636</v>
      </c>
      <c r="J4534" s="9" t="s">
        <v>4859</v>
      </c>
      <c r="K4534" t="s">
        <v>5083</v>
      </c>
      <c r="L4534" s="2">
        <v>1</v>
      </c>
      <c r="M4534" s="24" t="s">
        <v>5971</v>
      </c>
      <c r="N4534" s="2" t="s">
        <v>23</v>
      </c>
      <c r="O4534" s="18" t="s">
        <v>3438</v>
      </c>
      <c r="P4534" s="18" t="s">
        <v>3781</v>
      </c>
      <c r="Q4534" s="6" t="s">
        <v>4475</v>
      </c>
      <c r="T4534" s="23">
        <v>46078</v>
      </c>
      <c r="U4534" s="23">
        <v>47176</v>
      </c>
      <c r="X4534" s="20">
        <v>3660</v>
      </c>
      <c r="Z4534" s="6" t="s">
        <v>5978</v>
      </c>
      <c r="AA4534" s="14">
        <f t="shared" si="597"/>
        <v>5.9999999999999995E-4</v>
      </c>
      <c r="AB4534">
        <v>1.9540139999999999</v>
      </c>
      <c r="AC4534">
        <v>2.0321745600000001</v>
      </c>
    </row>
    <row r="4535" spans="1:29" x14ac:dyDescent="0.3">
      <c r="A4535">
        <v>150343</v>
      </c>
      <c r="B4535" s="25" t="s">
        <v>5984</v>
      </c>
      <c r="C4535" t="s">
        <v>20</v>
      </c>
      <c r="D4535" t="s">
        <v>21</v>
      </c>
      <c r="E4535">
        <v>2222222</v>
      </c>
      <c r="F4535" s="8" t="s">
        <v>22</v>
      </c>
      <c r="G4535" s="2">
        <v>98</v>
      </c>
      <c r="H4535" t="s">
        <v>4636</v>
      </c>
      <c r="J4535" s="9" t="s">
        <v>5068</v>
      </c>
      <c r="K4535" t="s">
        <v>5290</v>
      </c>
      <c r="L4535" s="2">
        <v>1</v>
      </c>
      <c r="M4535" s="24" t="s">
        <v>5971</v>
      </c>
      <c r="N4535" s="2" t="s">
        <v>23</v>
      </c>
      <c r="O4535" s="18" t="s">
        <v>3439</v>
      </c>
      <c r="P4535" s="18" t="s">
        <v>0</v>
      </c>
      <c r="Q4535" s="6" t="s">
        <v>4475</v>
      </c>
      <c r="T4535" s="23">
        <v>46094</v>
      </c>
      <c r="U4535" s="23">
        <v>48285</v>
      </c>
      <c r="X4535" s="20">
        <v>30000</v>
      </c>
      <c r="Z4535" s="6" t="s">
        <v>5978</v>
      </c>
      <c r="AA4535" s="14">
        <f t="shared" si="597"/>
        <v>5.9999999999999995E-4</v>
      </c>
      <c r="AB4535">
        <v>17.301605999999996</v>
      </c>
      <c r="AC4535">
        <v>17.993670239999997</v>
      </c>
    </row>
    <row r="4536" spans="1:29" x14ac:dyDescent="0.3">
      <c r="A4536">
        <v>150445</v>
      </c>
      <c r="B4536" s="25" t="s">
        <v>5984</v>
      </c>
      <c r="C4536" t="s">
        <v>20</v>
      </c>
      <c r="D4536" t="s">
        <v>21</v>
      </c>
      <c r="E4536">
        <v>2222222</v>
      </c>
      <c r="F4536" s="8" t="s">
        <v>22</v>
      </c>
      <c r="G4536" s="2">
        <v>98</v>
      </c>
      <c r="H4536" t="s">
        <v>4636</v>
      </c>
      <c r="J4536" s="9" t="s">
        <v>4939</v>
      </c>
      <c r="K4536" t="s">
        <v>4949</v>
      </c>
      <c r="L4536" s="2">
        <v>1</v>
      </c>
      <c r="M4536" s="24" t="s">
        <v>5971</v>
      </c>
      <c r="N4536" s="2" t="s">
        <v>23</v>
      </c>
      <c r="O4536" s="18" t="s">
        <v>3440</v>
      </c>
      <c r="P4536" s="18" t="s">
        <v>0</v>
      </c>
      <c r="Q4536" s="6" t="s">
        <v>4475</v>
      </c>
      <c r="T4536" s="23">
        <v>46094</v>
      </c>
      <c r="U4536" s="23">
        <v>47012</v>
      </c>
      <c r="X4536" s="20">
        <v>5000</v>
      </c>
      <c r="Z4536" s="6" t="s">
        <v>5978</v>
      </c>
      <c r="AA4536" s="14">
        <f t="shared" si="597"/>
        <v>5.9999999999999995E-4</v>
      </c>
      <c r="AB4536">
        <v>2.6729939999999996</v>
      </c>
      <c r="AC4536">
        <v>2.7799137599999999</v>
      </c>
    </row>
    <row r="4537" spans="1:29" x14ac:dyDescent="0.3">
      <c r="A4537">
        <v>150507</v>
      </c>
      <c r="B4537" s="25" t="s">
        <v>5984</v>
      </c>
      <c r="C4537" t="s">
        <v>20</v>
      </c>
      <c r="D4537" t="s">
        <v>21</v>
      </c>
      <c r="E4537">
        <v>2222222</v>
      </c>
      <c r="F4537" s="8" t="s">
        <v>22</v>
      </c>
      <c r="G4537" s="2">
        <v>98</v>
      </c>
      <c r="H4537" t="s">
        <v>4636</v>
      </c>
      <c r="J4537" s="9" t="s">
        <v>4864</v>
      </c>
      <c r="K4537" t="s">
        <v>4875</v>
      </c>
      <c r="L4537" s="2">
        <v>1</v>
      </c>
      <c r="M4537" s="24" t="s">
        <v>5971</v>
      </c>
      <c r="N4537" s="2" t="s">
        <v>23</v>
      </c>
      <c r="O4537" s="18" t="s">
        <v>3441</v>
      </c>
      <c r="P4537" s="18" t="s">
        <v>0</v>
      </c>
      <c r="Q4537" s="6" t="s">
        <v>4475</v>
      </c>
      <c r="T4537" s="23">
        <v>46099</v>
      </c>
      <c r="U4537" s="23">
        <v>46708</v>
      </c>
      <c r="X4537" s="20">
        <v>1500</v>
      </c>
      <c r="Z4537" s="6" t="s">
        <v>5978</v>
      </c>
      <c r="AA4537" s="14">
        <f t="shared" si="597"/>
        <v>5.9999999999999995E-4</v>
      </c>
      <c r="AB4537">
        <v>0.73964399999999997</v>
      </c>
      <c r="AC4537">
        <v>0.76922975999999998</v>
      </c>
    </row>
    <row r="4538" spans="1:29" x14ac:dyDescent="0.3">
      <c r="A4538">
        <v>150935</v>
      </c>
      <c r="B4538" s="25" t="s">
        <v>5984</v>
      </c>
      <c r="C4538" t="s">
        <v>20</v>
      </c>
      <c r="D4538" t="s">
        <v>21</v>
      </c>
      <c r="E4538">
        <v>2222222</v>
      </c>
      <c r="F4538" s="8" t="s">
        <v>22</v>
      </c>
      <c r="G4538" s="2">
        <v>98</v>
      </c>
      <c r="H4538" t="s">
        <v>4636</v>
      </c>
      <c r="J4538" s="9" t="s">
        <v>5241</v>
      </c>
      <c r="K4538" t="s">
        <v>5421</v>
      </c>
      <c r="L4538" s="2">
        <v>1</v>
      </c>
      <c r="M4538" s="24" t="s">
        <v>5971</v>
      </c>
      <c r="N4538" s="2" t="s">
        <v>23</v>
      </c>
      <c r="O4538" s="18" t="s">
        <v>3442</v>
      </c>
      <c r="P4538" s="18" t="s">
        <v>0</v>
      </c>
      <c r="Q4538" s="6" t="s">
        <v>4475</v>
      </c>
      <c r="T4538" s="23">
        <v>46128</v>
      </c>
      <c r="U4538" s="23">
        <v>47954</v>
      </c>
      <c r="X4538" s="20">
        <v>1780</v>
      </c>
      <c r="Z4538" s="6" t="s">
        <v>5978</v>
      </c>
      <c r="AA4538" s="14">
        <f t="shared" si="597"/>
        <v>5.9999999999999995E-4</v>
      </c>
      <c r="AB4538">
        <v>1.0304819999999999</v>
      </c>
      <c r="AC4538">
        <v>1.0717012799999999</v>
      </c>
    </row>
    <row r="4539" spans="1:29" x14ac:dyDescent="0.3">
      <c r="A4539">
        <v>152233</v>
      </c>
      <c r="B4539" s="25" t="s">
        <v>5984</v>
      </c>
      <c r="C4539" t="s">
        <v>20</v>
      </c>
      <c r="D4539" t="s">
        <v>21</v>
      </c>
      <c r="E4539">
        <v>2222222</v>
      </c>
      <c r="F4539" s="8" t="s">
        <v>22</v>
      </c>
      <c r="G4539" s="2">
        <v>98</v>
      </c>
      <c r="H4539" t="s">
        <v>4636</v>
      </c>
      <c r="J4539" s="9" t="s">
        <v>5913</v>
      </c>
      <c r="K4539" t="s">
        <v>4761</v>
      </c>
      <c r="L4539" s="2">
        <v>1</v>
      </c>
      <c r="M4539" s="24" t="s">
        <v>5971</v>
      </c>
      <c r="N4539" s="2" t="s">
        <v>23</v>
      </c>
      <c r="O4539" s="18" t="s">
        <v>3429</v>
      </c>
      <c r="P4539" s="18" t="s">
        <v>3781</v>
      </c>
      <c r="Q4539" s="6" t="s">
        <v>4475</v>
      </c>
      <c r="T4539" s="23">
        <v>46220</v>
      </c>
      <c r="U4539" s="23">
        <v>46310</v>
      </c>
      <c r="X4539" s="20">
        <v>400</v>
      </c>
      <c r="Z4539" s="6" t="s">
        <v>5978</v>
      </c>
      <c r="AA4539" s="14">
        <f t="shared" si="597"/>
        <v>5.9999999999999995E-4</v>
      </c>
      <c r="AB4539">
        <v>0.24</v>
      </c>
      <c r="AC4539">
        <v>0.24959999999999999</v>
      </c>
    </row>
    <row r="4540" spans="1:29" x14ac:dyDescent="0.3">
      <c r="A4540">
        <v>152239</v>
      </c>
      <c r="B4540" s="25" t="s">
        <v>5984</v>
      </c>
      <c r="C4540" t="s">
        <v>20</v>
      </c>
      <c r="D4540" t="s">
        <v>21</v>
      </c>
      <c r="E4540">
        <v>2222222</v>
      </c>
      <c r="F4540" s="8" t="s">
        <v>22</v>
      </c>
      <c r="G4540" s="2">
        <v>98</v>
      </c>
      <c r="H4540" t="s">
        <v>4636</v>
      </c>
      <c r="J4540" s="9" t="s">
        <v>5067</v>
      </c>
      <c r="K4540" t="s">
        <v>4999</v>
      </c>
      <c r="L4540" s="2">
        <v>1</v>
      </c>
      <c r="M4540" s="24" t="s">
        <v>5971</v>
      </c>
      <c r="N4540" s="2" t="s">
        <v>23</v>
      </c>
      <c r="O4540" s="18" t="s">
        <v>3418</v>
      </c>
      <c r="P4540" s="18" t="s">
        <v>3781</v>
      </c>
      <c r="Q4540" s="6" t="s">
        <v>4475</v>
      </c>
      <c r="T4540" s="23">
        <v>46221</v>
      </c>
      <c r="U4540" s="23">
        <v>46311</v>
      </c>
      <c r="X4540" s="20">
        <v>3970</v>
      </c>
      <c r="Z4540" s="6" t="s">
        <v>5978</v>
      </c>
      <c r="AA4540" s="14">
        <f t="shared" si="597"/>
        <v>5.9999999999999995E-4</v>
      </c>
      <c r="AB4540">
        <v>2.3819999999999997</v>
      </c>
      <c r="AC4540">
        <v>2.4772799999999999</v>
      </c>
    </row>
    <row r="4541" spans="1:29" x14ac:dyDescent="0.3">
      <c r="A4541">
        <v>152272</v>
      </c>
      <c r="B4541" s="25" t="s">
        <v>5984</v>
      </c>
      <c r="C4541" t="s">
        <v>20</v>
      </c>
      <c r="D4541" t="s">
        <v>21</v>
      </c>
      <c r="E4541">
        <v>2222222</v>
      </c>
      <c r="F4541" s="8" t="s">
        <v>22</v>
      </c>
      <c r="G4541" s="2">
        <v>98</v>
      </c>
      <c r="H4541" t="s">
        <v>4636</v>
      </c>
      <c r="J4541" s="9" t="s">
        <v>4859</v>
      </c>
      <c r="K4541" t="s">
        <v>4832</v>
      </c>
      <c r="L4541" s="2">
        <v>1</v>
      </c>
      <c r="M4541" s="24" t="s">
        <v>5971</v>
      </c>
      <c r="N4541" s="2" t="s">
        <v>23</v>
      </c>
      <c r="O4541" s="18" t="s">
        <v>2080</v>
      </c>
      <c r="P4541" s="18" t="s">
        <v>3781</v>
      </c>
      <c r="Q4541" s="6" t="s">
        <v>4475</v>
      </c>
      <c r="T4541" s="23">
        <v>46231</v>
      </c>
      <c r="U4541" s="23">
        <v>51709</v>
      </c>
      <c r="X4541" s="20">
        <v>60000</v>
      </c>
      <c r="Z4541" s="6" t="s">
        <v>5978</v>
      </c>
      <c r="AA4541" s="14">
        <f t="shared" si="597"/>
        <v>5.9999999999999995E-4</v>
      </c>
      <c r="AB4541">
        <v>36</v>
      </c>
      <c r="AC4541">
        <v>37.44</v>
      </c>
    </row>
    <row r="4542" spans="1:29" x14ac:dyDescent="0.3">
      <c r="A4542">
        <v>152304</v>
      </c>
      <c r="B4542" s="25" t="s">
        <v>5984</v>
      </c>
      <c r="C4542" t="s">
        <v>20</v>
      </c>
      <c r="D4542" t="s">
        <v>21</v>
      </c>
      <c r="E4542">
        <v>2222222</v>
      </c>
      <c r="F4542" s="8" t="s">
        <v>22</v>
      </c>
      <c r="G4542" s="2">
        <v>98</v>
      </c>
      <c r="H4542" t="s">
        <v>4636</v>
      </c>
      <c r="J4542" s="9" t="s">
        <v>5915</v>
      </c>
      <c r="K4542" t="s">
        <v>5130</v>
      </c>
      <c r="L4542" s="2">
        <v>1</v>
      </c>
      <c r="M4542" s="24" t="s">
        <v>5971</v>
      </c>
      <c r="N4542" s="2" t="s">
        <v>23</v>
      </c>
      <c r="O4542" s="18" t="s">
        <v>185</v>
      </c>
      <c r="P4542" s="18" t="s">
        <v>0</v>
      </c>
      <c r="Q4542" s="6" t="s">
        <v>4475</v>
      </c>
      <c r="T4542" s="23">
        <v>46226</v>
      </c>
      <c r="U4542" s="23">
        <v>46956</v>
      </c>
      <c r="X4542" s="20">
        <v>2000</v>
      </c>
      <c r="Z4542" s="6" t="s">
        <v>5978</v>
      </c>
      <c r="AA4542" s="14">
        <f t="shared" si="597"/>
        <v>5.9999999999999995E-4</v>
      </c>
      <c r="AB4542">
        <v>1.2</v>
      </c>
      <c r="AC4542">
        <v>1.248</v>
      </c>
    </row>
    <row r="4543" spans="1:29" x14ac:dyDescent="0.3">
      <c r="A4543">
        <v>137445</v>
      </c>
      <c r="B4543" s="25" t="s">
        <v>5984</v>
      </c>
      <c r="C4543" t="s">
        <v>20</v>
      </c>
      <c r="D4543" t="s">
        <v>21</v>
      </c>
      <c r="E4543">
        <v>2222222</v>
      </c>
      <c r="F4543" s="8" t="s">
        <v>22</v>
      </c>
      <c r="G4543" s="2">
        <v>98</v>
      </c>
      <c r="H4543" t="s">
        <v>4637</v>
      </c>
      <c r="J4543" s="9" t="s">
        <v>5204</v>
      </c>
      <c r="K4543" t="s">
        <v>5457</v>
      </c>
      <c r="L4543" s="2">
        <v>1</v>
      </c>
      <c r="M4543" s="24" t="s">
        <v>5971</v>
      </c>
      <c r="N4543" s="2" t="s">
        <v>23</v>
      </c>
      <c r="O4543" s="18" t="s">
        <v>3443</v>
      </c>
      <c r="P4543" s="18" t="s">
        <v>0</v>
      </c>
      <c r="Q4543" s="6" t="s">
        <v>4475</v>
      </c>
      <c r="T4543" s="23">
        <v>45229</v>
      </c>
      <c r="U4543" s="23">
        <v>47420</v>
      </c>
      <c r="X4543" s="20">
        <v>14000</v>
      </c>
      <c r="Z4543" s="6" t="s">
        <v>5978</v>
      </c>
      <c r="AA4543" s="13">
        <f t="shared" ref="AA4543:AA4544" si="598">+(0.56/1000)</f>
        <v>5.6000000000000006E-4</v>
      </c>
      <c r="AB4543">
        <v>5.1281216000000009</v>
      </c>
      <c r="AC4543">
        <v>5.333246464000001</v>
      </c>
    </row>
    <row r="4544" spans="1:29" x14ac:dyDescent="0.3">
      <c r="A4544">
        <v>140249</v>
      </c>
      <c r="B4544" s="25" t="s">
        <v>5984</v>
      </c>
      <c r="C4544" t="s">
        <v>20</v>
      </c>
      <c r="D4544" t="s">
        <v>21</v>
      </c>
      <c r="E4544">
        <v>2222222</v>
      </c>
      <c r="F4544" s="8" t="s">
        <v>22</v>
      </c>
      <c r="G4544" s="2">
        <v>98</v>
      </c>
      <c r="H4544" t="s">
        <v>4637</v>
      </c>
      <c r="J4544" s="9" t="s">
        <v>5916</v>
      </c>
      <c r="K4544" t="s">
        <v>5917</v>
      </c>
      <c r="L4544" s="2">
        <v>1</v>
      </c>
      <c r="M4544" s="24" t="s">
        <v>5971</v>
      </c>
      <c r="N4544" s="2" t="s">
        <v>23</v>
      </c>
      <c r="O4544" s="18" t="s">
        <v>3444</v>
      </c>
      <c r="P4544" s="18" t="s">
        <v>3781</v>
      </c>
      <c r="Q4544" s="6" t="s">
        <v>4475</v>
      </c>
      <c r="T4544" s="23">
        <v>45383</v>
      </c>
      <c r="U4544" s="23">
        <v>47300</v>
      </c>
      <c r="X4544" s="20">
        <v>16300</v>
      </c>
      <c r="Z4544" s="6" t="s">
        <v>5978</v>
      </c>
      <c r="AA4544" s="13">
        <f t="shared" si="598"/>
        <v>5.6000000000000006E-4</v>
      </c>
      <c r="AB4544">
        <v>6.1225248000000008</v>
      </c>
      <c r="AC4544">
        <v>6.3674257920000006</v>
      </c>
    </row>
    <row r="4545" spans="1:29" x14ac:dyDescent="0.3">
      <c r="A4545">
        <v>142197</v>
      </c>
      <c r="B4545" s="25" t="s">
        <v>5984</v>
      </c>
      <c r="C4545" t="s">
        <v>20</v>
      </c>
      <c r="D4545" t="s">
        <v>21</v>
      </c>
      <c r="E4545">
        <v>2222222</v>
      </c>
      <c r="F4545" s="8" t="s">
        <v>22</v>
      </c>
      <c r="G4545" s="2">
        <v>98</v>
      </c>
      <c r="H4545" t="s">
        <v>4637</v>
      </c>
      <c r="J4545" s="9" t="s">
        <v>5204</v>
      </c>
      <c r="K4545" t="s">
        <v>4900</v>
      </c>
      <c r="L4545" s="2">
        <v>1</v>
      </c>
      <c r="M4545" s="24" t="s">
        <v>5971</v>
      </c>
      <c r="N4545" s="2" t="s">
        <v>23</v>
      </c>
      <c r="O4545" s="18" t="s">
        <v>105</v>
      </c>
      <c r="P4545" s="18" t="s">
        <v>0</v>
      </c>
      <c r="Q4545" s="6" t="s">
        <v>4475</v>
      </c>
      <c r="T4545" s="23">
        <v>45502</v>
      </c>
      <c r="U4545" s="23">
        <v>46962</v>
      </c>
      <c r="X4545" s="20">
        <v>5000</v>
      </c>
      <c r="Z4545" s="6" t="s">
        <v>5978</v>
      </c>
      <c r="AA4545" s="14">
        <f t="shared" ref="AA4545:AA4553" si="599">+(0.6/1000)</f>
        <v>5.9999999999999995E-4</v>
      </c>
      <c r="AB4545">
        <v>1.781892</v>
      </c>
      <c r="AC4545">
        <v>1.8531676800000001</v>
      </c>
    </row>
    <row r="4546" spans="1:29" x14ac:dyDescent="0.3">
      <c r="A4546">
        <v>142274</v>
      </c>
      <c r="B4546" s="25" t="s">
        <v>5984</v>
      </c>
      <c r="C4546" t="s">
        <v>20</v>
      </c>
      <c r="D4546" t="s">
        <v>21</v>
      </c>
      <c r="E4546">
        <v>2222222</v>
      </c>
      <c r="F4546" s="8" t="s">
        <v>22</v>
      </c>
      <c r="G4546" s="2">
        <v>98</v>
      </c>
      <c r="H4546" t="s">
        <v>4637</v>
      </c>
      <c r="J4546" s="9" t="s">
        <v>5605</v>
      </c>
      <c r="K4546" t="s">
        <v>4893</v>
      </c>
      <c r="L4546" s="2">
        <v>1</v>
      </c>
      <c r="M4546" s="24" t="s">
        <v>5971</v>
      </c>
      <c r="N4546" s="2" t="s">
        <v>23</v>
      </c>
      <c r="O4546" s="18" t="s">
        <v>3445</v>
      </c>
      <c r="P4546" s="18" t="s">
        <v>3781</v>
      </c>
      <c r="Q4546" s="6" t="s">
        <v>4475</v>
      </c>
      <c r="T4546" s="23">
        <v>45509</v>
      </c>
      <c r="U4546" s="23">
        <v>46422</v>
      </c>
      <c r="X4546" s="20">
        <v>1070</v>
      </c>
      <c r="Z4546" s="6" t="s">
        <v>5978</v>
      </c>
      <c r="AA4546" s="14">
        <f t="shared" si="599"/>
        <v>5.9999999999999995E-4</v>
      </c>
      <c r="AB4546">
        <v>0.17785799999999999</v>
      </c>
      <c r="AC4546">
        <v>0.18497232</v>
      </c>
    </row>
    <row r="4547" spans="1:29" x14ac:dyDescent="0.3">
      <c r="A4547">
        <v>144229</v>
      </c>
      <c r="B4547" s="25" t="s">
        <v>5984</v>
      </c>
      <c r="C4547" t="s">
        <v>20</v>
      </c>
      <c r="D4547" t="s">
        <v>21</v>
      </c>
      <c r="E4547">
        <v>2222222</v>
      </c>
      <c r="F4547" s="8" t="s">
        <v>22</v>
      </c>
      <c r="G4547" s="2">
        <v>98</v>
      </c>
      <c r="H4547" t="s">
        <v>4637</v>
      </c>
      <c r="J4547" s="9" t="s">
        <v>4826</v>
      </c>
      <c r="K4547" t="s">
        <v>5523</v>
      </c>
      <c r="L4547" s="2">
        <v>1</v>
      </c>
      <c r="M4547" s="24" t="s">
        <v>5971</v>
      </c>
      <c r="N4547" s="2" t="s">
        <v>23</v>
      </c>
      <c r="O4547" s="18" t="s">
        <v>3446</v>
      </c>
      <c r="P4547" s="18" t="s">
        <v>0</v>
      </c>
      <c r="Q4547" s="6" t="s">
        <v>4475</v>
      </c>
      <c r="T4547" s="23">
        <v>45667</v>
      </c>
      <c r="U4547" s="23">
        <v>48588</v>
      </c>
      <c r="X4547" s="20">
        <v>12000</v>
      </c>
      <c r="Z4547" s="6" t="s">
        <v>5978</v>
      </c>
      <c r="AA4547" s="14">
        <f t="shared" si="599"/>
        <v>5.9999999999999995E-4</v>
      </c>
      <c r="AB4547">
        <v>6.7581239999999996</v>
      </c>
      <c r="AC4547">
        <v>7.0284489599999995</v>
      </c>
    </row>
    <row r="4548" spans="1:29" x14ac:dyDescent="0.3">
      <c r="A4548">
        <v>144675</v>
      </c>
      <c r="B4548" s="25" t="s">
        <v>5984</v>
      </c>
      <c r="C4548" t="s">
        <v>20</v>
      </c>
      <c r="D4548" t="s">
        <v>21</v>
      </c>
      <c r="E4548">
        <v>2222222</v>
      </c>
      <c r="F4548" s="8" t="s">
        <v>22</v>
      </c>
      <c r="G4548" s="2">
        <v>98</v>
      </c>
      <c r="H4548" t="s">
        <v>4637</v>
      </c>
      <c r="J4548" s="9" t="s">
        <v>5373</v>
      </c>
      <c r="K4548" t="s">
        <v>5072</v>
      </c>
      <c r="L4548" s="2">
        <v>1</v>
      </c>
      <c r="M4548" s="24" t="s">
        <v>5971</v>
      </c>
      <c r="N4548" s="2" t="s">
        <v>23</v>
      </c>
      <c r="O4548" s="18" t="s">
        <v>3447</v>
      </c>
      <c r="P4548" s="18" t="s">
        <v>3781</v>
      </c>
      <c r="Q4548" s="6" t="s">
        <v>4475</v>
      </c>
      <c r="T4548" s="23">
        <v>45680</v>
      </c>
      <c r="U4548" s="23">
        <v>46409</v>
      </c>
      <c r="X4548" s="20">
        <v>5000</v>
      </c>
      <c r="Z4548" s="6" t="s">
        <v>5978</v>
      </c>
      <c r="AA4548" s="14">
        <f t="shared" si="599"/>
        <v>5.9999999999999995E-4</v>
      </c>
      <c r="AB4548">
        <v>0.85087199999999985</v>
      </c>
      <c r="AC4548">
        <v>0.88490687999999984</v>
      </c>
    </row>
    <row r="4549" spans="1:29" x14ac:dyDescent="0.3">
      <c r="A4549">
        <v>149017</v>
      </c>
      <c r="B4549" s="25" t="s">
        <v>5984</v>
      </c>
      <c r="C4549" t="s">
        <v>20</v>
      </c>
      <c r="D4549" t="s">
        <v>21</v>
      </c>
      <c r="E4549">
        <v>2222222</v>
      </c>
      <c r="F4549" s="8" t="s">
        <v>22</v>
      </c>
      <c r="G4549" s="2">
        <v>98</v>
      </c>
      <c r="H4549" t="s">
        <v>4637</v>
      </c>
      <c r="J4549" s="9" t="s">
        <v>4901</v>
      </c>
      <c r="K4549" t="s">
        <v>5191</v>
      </c>
      <c r="L4549" s="2">
        <v>1</v>
      </c>
      <c r="M4549" s="24" t="s">
        <v>5971</v>
      </c>
      <c r="N4549" s="2" t="s">
        <v>23</v>
      </c>
      <c r="O4549" s="18" t="s">
        <v>605</v>
      </c>
      <c r="P4549" s="18" t="s">
        <v>0</v>
      </c>
      <c r="Q4549" s="6" t="s">
        <v>4475</v>
      </c>
      <c r="T4549" s="23">
        <v>45993</v>
      </c>
      <c r="U4549" s="23">
        <v>47088</v>
      </c>
      <c r="X4549" s="20">
        <v>5000</v>
      </c>
      <c r="Z4549" s="6" t="s">
        <v>5978</v>
      </c>
      <c r="AA4549" s="14">
        <f t="shared" si="599"/>
        <v>5.9999999999999995E-4</v>
      </c>
      <c r="AB4549">
        <v>2.5338899999999995</v>
      </c>
      <c r="AC4549">
        <v>2.6352455999999997</v>
      </c>
    </row>
    <row r="4550" spans="1:29" x14ac:dyDescent="0.3">
      <c r="A4550">
        <v>151061</v>
      </c>
      <c r="B4550" s="25" t="s">
        <v>5984</v>
      </c>
      <c r="C4550" t="s">
        <v>20</v>
      </c>
      <c r="D4550" t="s">
        <v>21</v>
      </c>
      <c r="E4550">
        <v>2222222</v>
      </c>
      <c r="F4550" s="8" t="s">
        <v>22</v>
      </c>
      <c r="G4550" s="2">
        <v>98</v>
      </c>
      <c r="H4550" t="s">
        <v>4637</v>
      </c>
      <c r="J4550" s="9" t="s">
        <v>5204</v>
      </c>
      <c r="K4550" t="s">
        <v>5457</v>
      </c>
      <c r="L4550" s="2">
        <v>1</v>
      </c>
      <c r="M4550" s="24" t="s">
        <v>5971</v>
      </c>
      <c r="N4550" s="2" t="s">
        <v>23</v>
      </c>
      <c r="O4550" s="18" t="s">
        <v>3443</v>
      </c>
      <c r="P4550" s="18" t="s">
        <v>0</v>
      </c>
      <c r="Q4550" s="6" t="s">
        <v>4475</v>
      </c>
      <c r="T4550" s="23">
        <v>46135</v>
      </c>
      <c r="U4550" s="23">
        <v>47231</v>
      </c>
      <c r="X4550" s="20">
        <v>3000</v>
      </c>
      <c r="Z4550" s="6" t="s">
        <v>5978</v>
      </c>
      <c r="AA4550" s="14">
        <f t="shared" si="599"/>
        <v>5.9999999999999995E-4</v>
      </c>
      <c r="AB4550">
        <v>1.682526</v>
      </c>
      <c r="AC4550">
        <v>1.74982704</v>
      </c>
    </row>
    <row r="4551" spans="1:29" x14ac:dyDescent="0.3">
      <c r="A4551">
        <v>151746</v>
      </c>
      <c r="B4551" s="25" t="s">
        <v>5984</v>
      </c>
      <c r="C4551" t="s">
        <v>20</v>
      </c>
      <c r="D4551" t="s">
        <v>21</v>
      </c>
      <c r="E4551">
        <v>2222222</v>
      </c>
      <c r="F4551" s="8" t="s">
        <v>22</v>
      </c>
      <c r="G4551" s="2">
        <v>98</v>
      </c>
      <c r="H4551" t="s">
        <v>4637</v>
      </c>
      <c r="J4551" s="9" t="s">
        <v>5107</v>
      </c>
      <c r="K4551" t="s">
        <v>5440</v>
      </c>
      <c r="L4551" s="2">
        <v>1</v>
      </c>
      <c r="M4551" s="24" t="s">
        <v>5971</v>
      </c>
      <c r="N4551" s="2" t="s">
        <v>23</v>
      </c>
      <c r="O4551" s="18" t="s">
        <v>3448</v>
      </c>
      <c r="P4551" s="18" t="s">
        <v>0</v>
      </c>
      <c r="Q4551" s="6" t="s">
        <v>4475</v>
      </c>
      <c r="T4551" s="23">
        <v>46184</v>
      </c>
      <c r="U4551" s="23">
        <v>46274</v>
      </c>
      <c r="X4551" s="20">
        <v>550</v>
      </c>
      <c r="Z4551" s="6" t="s">
        <v>5978</v>
      </c>
      <c r="AA4551" s="14">
        <f t="shared" si="599"/>
        <v>5.9999999999999995E-4</v>
      </c>
      <c r="AB4551">
        <v>0.32999999999999996</v>
      </c>
      <c r="AC4551">
        <v>0.34319999999999995</v>
      </c>
    </row>
    <row r="4552" spans="1:29" x14ac:dyDescent="0.3">
      <c r="A4552">
        <v>152372</v>
      </c>
      <c r="B4552" s="25" t="s">
        <v>5984</v>
      </c>
      <c r="C4552" t="s">
        <v>20</v>
      </c>
      <c r="D4552" t="s">
        <v>21</v>
      </c>
      <c r="E4552">
        <v>2222222</v>
      </c>
      <c r="F4552" s="8" t="s">
        <v>22</v>
      </c>
      <c r="G4552" s="2">
        <v>98</v>
      </c>
      <c r="H4552" t="s">
        <v>4637</v>
      </c>
      <c r="J4552" s="9" t="s">
        <v>4901</v>
      </c>
      <c r="K4552" t="s">
        <v>5191</v>
      </c>
      <c r="L4552" s="2">
        <v>1</v>
      </c>
      <c r="M4552" s="24" t="s">
        <v>5971</v>
      </c>
      <c r="N4552" s="2" t="s">
        <v>23</v>
      </c>
      <c r="O4552" s="18" t="s">
        <v>605</v>
      </c>
      <c r="P4552" s="18" t="s">
        <v>0</v>
      </c>
      <c r="Q4552" s="6" t="s">
        <v>4475</v>
      </c>
      <c r="T4552" s="23">
        <v>46233</v>
      </c>
      <c r="U4552" s="23">
        <v>47328</v>
      </c>
      <c r="X4552" s="20">
        <v>5000</v>
      </c>
      <c r="Z4552" s="6" t="s">
        <v>5978</v>
      </c>
      <c r="AA4552" s="14">
        <f t="shared" si="599"/>
        <v>5.9999999999999995E-4</v>
      </c>
      <c r="AB4552">
        <v>2.9999999999999996</v>
      </c>
      <c r="AC4552">
        <v>3.1199999999999997</v>
      </c>
    </row>
    <row r="4553" spans="1:29" x14ac:dyDescent="0.3">
      <c r="A4553">
        <v>150449</v>
      </c>
      <c r="B4553" s="25" t="s">
        <v>5984</v>
      </c>
      <c r="C4553" t="s">
        <v>20</v>
      </c>
      <c r="D4553" t="s">
        <v>21</v>
      </c>
      <c r="E4553">
        <v>2222222</v>
      </c>
      <c r="F4553" s="8" t="s">
        <v>22</v>
      </c>
      <c r="G4553" s="2">
        <v>98</v>
      </c>
      <c r="H4553" t="s">
        <v>4638</v>
      </c>
      <c r="J4553" s="9" t="s">
        <v>4900</v>
      </c>
      <c r="K4553" t="s">
        <v>4870</v>
      </c>
      <c r="L4553" s="2">
        <v>1</v>
      </c>
      <c r="M4553" s="24" t="s">
        <v>5971</v>
      </c>
      <c r="N4553" s="2" t="s">
        <v>23</v>
      </c>
      <c r="O4553" s="18" t="s">
        <v>3449</v>
      </c>
      <c r="P4553" s="18" t="s">
        <v>0</v>
      </c>
      <c r="Q4553" s="6" t="s">
        <v>4475</v>
      </c>
      <c r="T4553" s="23">
        <v>46094</v>
      </c>
      <c r="U4553" s="23">
        <v>46279</v>
      </c>
      <c r="X4553" s="20">
        <v>900</v>
      </c>
      <c r="Z4553" s="6" t="s">
        <v>5978</v>
      </c>
      <c r="AA4553" s="14">
        <f t="shared" si="599"/>
        <v>5.9999999999999995E-4</v>
      </c>
      <c r="AB4553">
        <v>0.53999999999999992</v>
      </c>
      <c r="AC4553">
        <v>0.56159999999999999</v>
      </c>
    </row>
    <row r="4554" spans="1:29" x14ac:dyDescent="0.3">
      <c r="A4554">
        <v>138942</v>
      </c>
      <c r="B4554" s="25" t="s">
        <v>5984</v>
      </c>
      <c r="C4554" t="s">
        <v>20</v>
      </c>
      <c r="D4554" t="s">
        <v>21</v>
      </c>
      <c r="E4554">
        <v>2222222</v>
      </c>
      <c r="F4554" s="8" t="s">
        <v>22</v>
      </c>
      <c r="G4554" s="2">
        <v>98</v>
      </c>
      <c r="H4554" t="s">
        <v>4639</v>
      </c>
      <c r="J4554" s="9" t="s">
        <v>4901</v>
      </c>
      <c r="K4554" t="s">
        <v>4968</v>
      </c>
      <c r="L4554" s="2">
        <v>1</v>
      </c>
      <c r="M4554" s="24" t="s">
        <v>5971</v>
      </c>
      <c r="N4554" s="2" t="s">
        <v>23</v>
      </c>
      <c r="O4554" s="18" t="s">
        <v>3450</v>
      </c>
      <c r="P4554" s="18" t="s">
        <v>0</v>
      </c>
      <c r="Q4554" s="6" t="s">
        <v>4475</v>
      </c>
      <c r="T4554" s="23">
        <v>45307</v>
      </c>
      <c r="U4554" s="23">
        <v>46402</v>
      </c>
      <c r="X4554" s="20">
        <v>5000</v>
      </c>
      <c r="Z4554" s="6" t="s">
        <v>5978</v>
      </c>
      <c r="AA4554" s="13">
        <f>+(0.56/1000)</f>
        <v>5.6000000000000006E-4</v>
      </c>
      <c r="AB4554">
        <v>0.58245040000000003</v>
      </c>
      <c r="AC4554">
        <v>0.60574841600000007</v>
      </c>
    </row>
    <row r="4555" spans="1:29" x14ac:dyDescent="0.3">
      <c r="A4555">
        <v>142348</v>
      </c>
      <c r="B4555" s="25" t="s">
        <v>5984</v>
      </c>
      <c r="C4555" t="s">
        <v>20</v>
      </c>
      <c r="D4555" t="s">
        <v>21</v>
      </c>
      <c r="E4555">
        <v>2222222</v>
      </c>
      <c r="F4555" s="8" t="s">
        <v>22</v>
      </c>
      <c r="G4555" s="2">
        <v>98</v>
      </c>
      <c r="H4555" t="s">
        <v>4639</v>
      </c>
      <c r="J4555" s="9" t="s">
        <v>5096</v>
      </c>
      <c r="K4555" t="s">
        <v>5118</v>
      </c>
      <c r="L4555" s="2">
        <v>1</v>
      </c>
      <c r="M4555" s="24" t="s">
        <v>5971</v>
      </c>
      <c r="N4555" s="2" t="s">
        <v>23</v>
      </c>
      <c r="O4555" s="18" t="s">
        <v>3451</v>
      </c>
      <c r="P4555" s="18" t="s">
        <v>3781</v>
      </c>
      <c r="Q4555" s="6" t="s">
        <v>4475</v>
      </c>
      <c r="T4555" s="23">
        <v>45512</v>
      </c>
      <c r="U4555" s="23">
        <v>46972</v>
      </c>
      <c r="X4555" s="20">
        <v>5000</v>
      </c>
      <c r="Z4555" s="6" t="s">
        <v>5978</v>
      </c>
      <c r="AA4555" s="14">
        <f t="shared" ref="AA4555:AA4567" si="600">+(0.6/1000)</f>
        <v>5.9999999999999995E-4</v>
      </c>
      <c r="AB4555">
        <v>1.8410879999999998</v>
      </c>
      <c r="AC4555">
        <v>1.9147315199999999</v>
      </c>
    </row>
    <row r="4556" spans="1:29" x14ac:dyDescent="0.3">
      <c r="A4556">
        <v>145668</v>
      </c>
      <c r="B4556" s="25" t="s">
        <v>5984</v>
      </c>
      <c r="C4556" t="s">
        <v>20</v>
      </c>
      <c r="D4556" t="s">
        <v>21</v>
      </c>
      <c r="E4556">
        <v>2222222</v>
      </c>
      <c r="F4556" s="8" t="s">
        <v>22</v>
      </c>
      <c r="G4556" s="2">
        <v>98</v>
      </c>
      <c r="H4556" t="s">
        <v>4639</v>
      </c>
      <c r="J4556" s="9" t="s">
        <v>4901</v>
      </c>
      <c r="K4556" t="s">
        <v>4966</v>
      </c>
      <c r="L4556" s="2">
        <v>1</v>
      </c>
      <c r="M4556" s="24" t="s">
        <v>5971</v>
      </c>
      <c r="N4556" s="2" t="s">
        <v>23</v>
      </c>
      <c r="O4556" s="18" t="s">
        <v>3452</v>
      </c>
      <c r="P4556" s="18" t="s">
        <v>0</v>
      </c>
      <c r="Q4556" s="6" t="s">
        <v>4475</v>
      </c>
      <c r="T4556" s="23">
        <v>45755</v>
      </c>
      <c r="U4556" s="23">
        <v>47218</v>
      </c>
      <c r="X4556" s="20">
        <v>4850</v>
      </c>
      <c r="Z4556" s="6" t="s">
        <v>5978</v>
      </c>
      <c r="AA4556" s="14">
        <f t="shared" si="600"/>
        <v>5.9999999999999995E-4</v>
      </c>
      <c r="AB4556">
        <v>2.2148879999999997</v>
      </c>
      <c r="AC4556">
        <v>2.3034835199999999</v>
      </c>
    </row>
    <row r="4557" spans="1:29" x14ac:dyDescent="0.3">
      <c r="A4557">
        <v>148681</v>
      </c>
      <c r="B4557" s="25" t="s">
        <v>5984</v>
      </c>
      <c r="C4557" t="s">
        <v>20</v>
      </c>
      <c r="D4557" t="s">
        <v>21</v>
      </c>
      <c r="E4557">
        <v>2222222</v>
      </c>
      <c r="F4557" s="8" t="s">
        <v>22</v>
      </c>
      <c r="G4557" s="2">
        <v>98</v>
      </c>
      <c r="H4557" t="s">
        <v>4639</v>
      </c>
      <c r="J4557" s="9" t="s">
        <v>5235</v>
      </c>
      <c r="K4557" t="s">
        <v>4829</v>
      </c>
      <c r="L4557" s="2">
        <v>1</v>
      </c>
      <c r="M4557" s="24" t="s">
        <v>5971</v>
      </c>
      <c r="N4557" s="2" t="s">
        <v>23</v>
      </c>
      <c r="O4557" s="18" t="s">
        <v>3453</v>
      </c>
      <c r="P4557" s="18" t="s">
        <v>3781</v>
      </c>
      <c r="Q4557" s="6" t="s">
        <v>4475</v>
      </c>
      <c r="T4557" s="23">
        <v>45972</v>
      </c>
      <c r="U4557" s="23">
        <v>46337</v>
      </c>
      <c r="X4557" s="20">
        <v>1270</v>
      </c>
      <c r="Z4557" s="6" t="s">
        <v>5978</v>
      </c>
      <c r="AA4557" s="14">
        <f t="shared" si="600"/>
        <v>5.9999999999999995E-4</v>
      </c>
      <c r="AB4557">
        <v>0.26826</v>
      </c>
      <c r="AC4557">
        <v>0.27899040000000003</v>
      </c>
    </row>
    <row r="4558" spans="1:29" x14ac:dyDescent="0.3">
      <c r="A4558">
        <v>149251</v>
      </c>
      <c r="B4558" s="25" t="s">
        <v>5984</v>
      </c>
      <c r="C4558" t="s">
        <v>20</v>
      </c>
      <c r="D4558" t="s">
        <v>21</v>
      </c>
      <c r="E4558">
        <v>2222222</v>
      </c>
      <c r="F4558" s="8" t="s">
        <v>22</v>
      </c>
      <c r="G4558" s="2">
        <v>98</v>
      </c>
      <c r="H4558" t="s">
        <v>4639</v>
      </c>
      <c r="J4558" s="9" t="s">
        <v>4836</v>
      </c>
      <c r="K4558" t="s">
        <v>5586</v>
      </c>
      <c r="L4558" s="2">
        <v>1</v>
      </c>
      <c r="M4558" s="24" t="s">
        <v>5971</v>
      </c>
      <c r="N4558" s="2" t="s">
        <v>23</v>
      </c>
      <c r="O4558" s="18" t="s">
        <v>3454</v>
      </c>
      <c r="P4558" s="18" t="s">
        <v>3781</v>
      </c>
      <c r="Q4558" s="6" t="s">
        <v>4475</v>
      </c>
      <c r="T4558" s="23">
        <v>46008</v>
      </c>
      <c r="U4558" s="23">
        <v>46373</v>
      </c>
      <c r="X4558" s="20">
        <v>4000</v>
      </c>
      <c r="Z4558" s="6" t="s">
        <v>5978</v>
      </c>
      <c r="AA4558" s="14">
        <f t="shared" si="600"/>
        <v>5.9999999999999995E-4</v>
      </c>
      <c r="AB4558">
        <v>1.249614</v>
      </c>
      <c r="AC4558">
        <v>1.29959856</v>
      </c>
    </row>
    <row r="4559" spans="1:29" x14ac:dyDescent="0.3">
      <c r="A4559">
        <v>149612</v>
      </c>
      <c r="B4559" s="25" t="s">
        <v>5984</v>
      </c>
      <c r="C4559" t="s">
        <v>20</v>
      </c>
      <c r="D4559" t="s">
        <v>21</v>
      </c>
      <c r="E4559">
        <v>2222222</v>
      </c>
      <c r="F4559" s="8" t="s">
        <v>22</v>
      </c>
      <c r="G4559" s="2">
        <v>98</v>
      </c>
      <c r="H4559" t="s">
        <v>4639</v>
      </c>
      <c r="J4559" s="9" t="s">
        <v>5096</v>
      </c>
      <c r="K4559" t="s">
        <v>5118</v>
      </c>
      <c r="L4559" s="2">
        <v>1</v>
      </c>
      <c r="M4559" s="24" t="s">
        <v>5971</v>
      </c>
      <c r="N4559" s="2" t="s">
        <v>23</v>
      </c>
      <c r="O4559" s="18" t="s">
        <v>3455</v>
      </c>
      <c r="P4559" s="18" t="s">
        <v>3781</v>
      </c>
      <c r="Q4559" s="6" t="s">
        <v>4475</v>
      </c>
      <c r="T4559" s="23">
        <v>46036</v>
      </c>
      <c r="U4559" s="23">
        <v>47496</v>
      </c>
      <c r="X4559" s="20">
        <v>4880</v>
      </c>
      <c r="Z4559" s="6" t="s">
        <v>5978</v>
      </c>
      <c r="AA4559" s="14">
        <f t="shared" si="600"/>
        <v>5.9999999999999995E-4</v>
      </c>
      <c r="AB4559">
        <v>2.6632199999999995</v>
      </c>
      <c r="AC4559">
        <v>2.7697487999999995</v>
      </c>
    </row>
    <row r="4560" spans="1:29" x14ac:dyDescent="0.3">
      <c r="A4560">
        <v>150590</v>
      </c>
      <c r="B4560" s="25" t="s">
        <v>5984</v>
      </c>
      <c r="C4560" t="s">
        <v>20</v>
      </c>
      <c r="D4560" t="s">
        <v>21</v>
      </c>
      <c r="E4560">
        <v>2222222</v>
      </c>
      <c r="F4560" s="8" t="s">
        <v>22</v>
      </c>
      <c r="G4560" s="2">
        <v>98</v>
      </c>
      <c r="H4560" t="s">
        <v>4639</v>
      </c>
      <c r="J4560" s="9" t="s">
        <v>4901</v>
      </c>
      <c r="K4560" t="s">
        <v>4968</v>
      </c>
      <c r="L4560" s="2">
        <v>1</v>
      </c>
      <c r="M4560" s="24" t="s">
        <v>5971</v>
      </c>
      <c r="N4560" s="2" t="s">
        <v>23</v>
      </c>
      <c r="O4560" s="18" t="s">
        <v>3450</v>
      </c>
      <c r="P4560" s="18" t="s">
        <v>0</v>
      </c>
      <c r="Q4560" s="6" t="s">
        <v>4475</v>
      </c>
      <c r="T4560" s="23">
        <v>46104</v>
      </c>
      <c r="U4560" s="23">
        <v>46349</v>
      </c>
      <c r="X4560" s="20">
        <v>800</v>
      </c>
      <c r="Z4560" s="6" t="s">
        <v>5978</v>
      </c>
      <c r="AA4560" s="14">
        <f t="shared" si="600"/>
        <v>5.9999999999999995E-4</v>
      </c>
      <c r="AB4560">
        <v>0.246696</v>
      </c>
      <c r="AC4560">
        <v>0.25656383999999999</v>
      </c>
    </row>
    <row r="4561" spans="1:29" x14ac:dyDescent="0.3">
      <c r="A4561">
        <v>150712</v>
      </c>
      <c r="B4561" s="25" t="s">
        <v>5984</v>
      </c>
      <c r="C4561" t="s">
        <v>20</v>
      </c>
      <c r="D4561" t="s">
        <v>21</v>
      </c>
      <c r="E4561">
        <v>2222222</v>
      </c>
      <c r="F4561" s="8" t="s">
        <v>22</v>
      </c>
      <c r="G4561" s="2">
        <v>98</v>
      </c>
      <c r="H4561" t="s">
        <v>4639</v>
      </c>
      <c r="J4561" s="9" t="s">
        <v>4901</v>
      </c>
      <c r="K4561" t="s">
        <v>4966</v>
      </c>
      <c r="L4561" s="2">
        <v>1</v>
      </c>
      <c r="M4561" s="24" t="s">
        <v>5971</v>
      </c>
      <c r="N4561" s="2" t="s">
        <v>23</v>
      </c>
      <c r="O4561" s="18" t="s">
        <v>3452</v>
      </c>
      <c r="P4561" s="18" t="s">
        <v>0</v>
      </c>
      <c r="Q4561" s="6" t="s">
        <v>4475</v>
      </c>
      <c r="T4561" s="23">
        <v>46111</v>
      </c>
      <c r="U4561" s="23">
        <v>47206</v>
      </c>
      <c r="X4561" s="20">
        <v>3000</v>
      </c>
      <c r="Z4561" s="6" t="s">
        <v>5978</v>
      </c>
      <c r="AA4561" s="14">
        <f t="shared" si="600"/>
        <v>5.9999999999999995E-4</v>
      </c>
      <c r="AB4561">
        <v>1.6419479999999997</v>
      </c>
      <c r="AC4561">
        <v>1.7076259199999997</v>
      </c>
    </row>
    <row r="4562" spans="1:29" x14ac:dyDescent="0.3">
      <c r="A4562">
        <v>151311</v>
      </c>
      <c r="B4562" s="25" t="s">
        <v>5984</v>
      </c>
      <c r="C4562" t="s">
        <v>20</v>
      </c>
      <c r="D4562" t="s">
        <v>21</v>
      </c>
      <c r="E4562">
        <v>2222222</v>
      </c>
      <c r="F4562" s="8" t="s">
        <v>22</v>
      </c>
      <c r="G4562" s="2">
        <v>98</v>
      </c>
      <c r="H4562" t="s">
        <v>4639</v>
      </c>
      <c r="J4562" s="9" t="s">
        <v>4836</v>
      </c>
      <c r="K4562" t="s">
        <v>5073</v>
      </c>
      <c r="L4562" s="2">
        <v>1</v>
      </c>
      <c r="M4562" s="24" t="s">
        <v>5971</v>
      </c>
      <c r="N4562" s="2" t="s">
        <v>23</v>
      </c>
      <c r="O4562" s="18" t="s">
        <v>3456</v>
      </c>
      <c r="P4562" s="18" t="s">
        <v>3781</v>
      </c>
      <c r="Q4562" s="6" t="s">
        <v>4475</v>
      </c>
      <c r="T4562" s="23">
        <v>46155</v>
      </c>
      <c r="U4562" s="23">
        <v>46399</v>
      </c>
      <c r="X4562" s="20">
        <v>2000</v>
      </c>
      <c r="Z4562" s="6" t="s">
        <v>5978</v>
      </c>
      <c r="AA4562" s="14">
        <f t="shared" si="600"/>
        <v>5.9999999999999995E-4</v>
      </c>
      <c r="AB4562">
        <v>0.91225800000000001</v>
      </c>
      <c r="AC4562">
        <v>0.94874832000000009</v>
      </c>
    </row>
    <row r="4563" spans="1:29" x14ac:dyDescent="0.3">
      <c r="A4563">
        <v>151647</v>
      </c>
      <c r="B4563" s="25" t="s">
        <v>5984</v>
      </c>
      <c r="C4563" t="s">
        <v>20</v>
      </c>
      <c r="D4563" t="s">
        <v>21</v>
      </c>
      <c r="E4563">
        <v>2222222</v>
      </c>
      <c r="F4563" s="8" t="s">
        <v>22</v>
      </c>
      <c r="G4563" s="2">
        <v>98</v>
      </c>
      <c r="H4563" t="s">
        <v>4639</v>
      </c>
      <c r="J4563" s="9" t="s">
        <v>5347</v>
      </c>
      <c r="K4563" t="s">
        <v>5075</v>
      </c>
      <c r="L4563" s="2">
        <v>1</v>
      </c>
      <c r="M4563" s="24" t="s">
        <v>5971</v>
      </c>
      <c r="N4563" s="2" t="s">
        <v>23</v>
      </c>
      <c r="O4563" s="18" t="s">
        <v>3135</v>
      </c>
      <c r="P4563" s="18" t="s">
        <v>3781</v>
      </c>
      <c r="Q4563" s="6" t="s">
        <v>4475</v>
      </c>
      <c r="T4563" s="23">
        <v>46181</v>
      </c>
      <c r="U4563" s="23">
        <v>48373</v>
      </c>
      <c r="X4563" s="20">
        <v>10000</v>
      </c>
      <c r="Z4563" s="6" t="s">
        <v>5978</v>
      </c>
      <c r="AA4563" s="14">
        <f t="shared" si="600"/>
        <v>5.9999999999999995E-4</v>
      </c>
      <c r="AB4563">
        <v>5.9491139999999998</v>
      </c>
      <c r="AC4563">
        <v>6.1870785599999998</v>
      </c>
    </row>
    <row r="4564" spans="1:29" x14ac:dyDescent="0.3">
      <c r="A4564">
        <v>151798</v>
      </c>
      <c r="B4564" s="25" t="s">
        <v>5984</v>
      </c>
      <c r="C4564" t="s">
        <v>20</v>
      </c>
      <c r="D4564" t="s">
        <v>21</v>
      </c>
      <c r="E4564">
        <v>2222222</v>
      </c>
      <c r="F4564" s="8" t="s">
        <v>22</v>
      </c>
      <c r="G4564" s="2">
        <v>98</v>
      </c>
      <c r="H4564" t="s">
        <v>4639</v>
      </c>
      <c r="J4564" s="9" t="s">
        <v>4943</v>
      </c>
      <c r="K4564" t="s">
        <v>4966</v>
      </c>
      <c r="L4564" s="2">
        <v>1</v>
      </c>
      <c r="M4564" s="24" t="s">
        <v>5971</v>
      </c>
      <c r="N4564" s="2" t="s">
        <v>23</v>
      </c>
      <c r="O4564" s="18" t="s">
        <v>3457</v>
      </c>
      <c r="P4564" s="18" t="s">
        <v>0</v>
      </c>
      <c r="Q4564" s="6" t="s">
        <v>4475</v>
      </c>
      <c r="T4564" s="23">
        <v>46188</v>
      </c>
      <c r="U4564" s="23">
        <v>46371</v>
      </c>
      <c r="X4564" s="20">
        <v>1500</v>
      </c>
      <c r="Z4564" s="6" t="s">
        <v>5978</v>
      </c>
      <c r="AA4564" s="14">
        <f t="shared" si="600"/>
        <v>5.9999999999999995E-4</v>
      </c>
      <c r="AB4564">
        <v>0.75511799999999996</v>
      </c>
      <c r="AC4564">
        <v>0.78532272000000003</v>
      </c>
    </row>
    <row r="4565" spans="1:29" x14ac:dyDescent="0.3">
      <c r="A4565">
        <v>151934</v>
      </c>
      <c r="B4565" s="25" t="s">
        <v>5984</v>
      </c>
      <c r="C4565" t="s">
        <v>20</v>
      </c>
      <c r="D4565" t="s">
        <v>21</v>
      </c>
      <c r="E4565">
        <v>2222222</v>
      </c>
      <c r="F4565" s="8" t="s">
        <v>22</v>
      </c>
      <c r="G4565" s="2">
        <v>98</v>
      </c>
      <c r="H4565" t="s">
        <v>4639</v>
      </c>
      <c r="J4565" s="9" t="s">
        <v>5347</v>
      </c>
      <c r="K4565" t="s">
        <v>5075</v>
      </c>
      <c r="L4565" s="2">
        <v>1</v>
      </c>
      <c r="M4565" s="24" t="s">
        <v>5971</v>
      </c>
      <c r="N4565" s="2" t="s">
        <v>23</v>
      </c>
      <c r="O4565" s="18" t="s">
        <v>3135</v>
      </c>
      <c r="P4565" s="18" t="s">
        <v>3781</v>
      </c>
      <c r="Q4565" s="6" t="s">
        <v>4475</v>
      </c>
      <c r="T4565" s="23">
        <v>46198</v>
      </c>
      <c r="U4565" s="23">
        <v>46288</v>
      </c>
      <c r="X4565" s="20">
        <v>5000</v>
      </c>
      <c r="Z4565" s="6" t="s">
        <v>5978</v>
      </c>
      <c r="AA4565" s="14">
        <f t="shared" si="600"/>
        <v>5.9999999999999995E-4</v>
      </c>
      <c r="AB4565">
        <v>2.9999999999999996</v>
      </c>
      <c r="AC4565">
        <v>3.1199999999999997</v>
      </c>
    </row>
    <row r="4566" spans="1:29" x14ac:dyDescent="0.3">
      <c r="A4566">
        <v>152084</v>
      </c>
      <c r="B4566" s="25" t="s">
        <v>5984</v>
      </c>
      <c r="C4566" t="s">
        <v>20</v>
      </c>
      <c r="D4566" t="s">
        <v>21</v>
      </c>
      <c r="E4566">
        <v>2222222</v>
      </c>
      <c r="F4566" s="8" t="s">
        <v>22</v>
      </c>
      <c r="G4566" s="2">
        <v>98</v>
      </c>
      <c r="H4566" t="s">
        <v>4639</v>
      </c>
      <c r="J4566" s="9" t="s">
        <v>5918</v>
      </c>
      <c r="K4566" t="s">
        <v>5919</v>
      </c>
      <c r="L4566" s="2">
        <v>1</v>
      </c>
      <c r="M4566" s="24" t="s">
        <v>5971</v>
      </c>
      <c r="N4566" s="2" t="s">
        <v>23</v>
      </c>
      <c r="O4566" s="18" t="s">
        <v>3458</v>
      </c>
      <c r="P4566" s="18" t="s">
        <v>3781</v>
      </c>
      <c r="Q4566" s="6" t="s">
        <v>4475</v>
      </c>
      <c r="T4566" s="23">
        <v>46210</v>
      </c>
      <c r="U4566" s="23">
        <v>47671</v>
      </c>
      <c r="X4566" s="20">
        <v>5000</v>
      </c>
      <c r="Z4566" s="6" t="s">
        <v>5978</v>
      </c>
      <c r="AA4566" s="14">
        <f t="shared" si="600"/>
        <v>5.9999999999999995E-4</v>
      </c>
      <c r="AB4566">
        <v>2.9999999999999996</v>
      </c>
      <c r="AC4566">
        <v>3.1199999999999997</v>
      </c>
    </row>
    <row r="4567" spans="1:29" x14ac:dyDescent="0.3">
      <c r="A4567">
        <v>152298</v>
      </c>
      <c r="B4567" s="25" t="s">
        <v>5984</v>
      </c>
      <c r="C4567" t="s">
        <v>20</v>
      </c>
      <c r="D4567" t="s">
        <v>21</v>
      </c>
      <c r="E4567">
        <v>2222222</v>
      </c>
      <c r="F4567" s="8" t="s">
        <v>22</v>
      </c>
      <c r="G4567" s="2">
        <v>98</v>
      </c>
      <c r="H4567" t="s">
        <v>4639</v>
      </c>
      <c r="J4567" s="9" t="s">
        <v>5347</v>
      </c>
      <c r="K4567" t="s">
        <v>5075</v>
      </c>
      <c r="L4567" s="2">
        <v>1</v>
      </c>
      <c r="M4567" s="24" t="s">
        <v>5971</v>
      </c>
      <c r="N4567" s="2" t="s">
        <v>23</v>
      </c>
      <c r="O4567" s="18" t="s">
        <v>3135</v>
      </c>
      <c r="P4567" s="18" t="s">
        <v>3781</v>
      </c>
      <c r="Q4567" s="6" t="s">
        <v>4475</v>
      </c>
      <c r="T4567" s="23">
        <v>46226</v>
      </c>
      <c r="U4567" s="23">
        <v>46316</v>
      </c>
      <c r="X4567" s="20">
        <v>2945</v>
      </c>
      <c r="Z4567" s="6" t="s">
        <v>5978</v>
      </c>
      <c r="AA4567" s="14">
        <f t="shared" si="600"/>
        <v>5.9999999999999995E-4</v>
      </c>
      <c r="AB4567">
        <v>1.7669999999999999</v>
      </c>
      <c r="AC4567">
        <v>1.83768</v>
      </c>
    </row>
    <row r="4568" spans="1:29" x14ac:dyDescent="0.3">
      <c r="A4568">
        <v>140494</v>
      </c>
      <c r="B4568" s="25" t="s">
        <v>5984</v>
      </c>
      <c r="C4568" t="s">
        <v>20</v>
      </c>
      <c r="D4568" t="s">
        <v>21</v>
      </c>
      <c r="E4568">
        <v>2222222</v>
      </c>
      <c r="F4568" s="8" t="s">
        <v>22</v>
      </c>
      <c r="G4568" s="2">
        <v>98</v>
      </c>
      <c r="H4568" t="s">
        <v>4640</v>
      </c>
      <c r="J4568" s="9" t="s">
        <v>4898</v>
      </c>
      <c r="K4568" t="s">
        <v>4887</v>
      </c>
      <c r="L4568" s="2">
        <v>1</v>
      </c>
      <c r="M4568" s="24" t="s">
        <v>5971</v>
      </c>
      <c r="N4568" s="2" t="s">
        <v>23</v>
      </c>
      <c r="O4568" s="18" t="s">
        <v>3459</v>
      </c>
      <c r="P4568" s="18" t="s">
        <v>3781</v>
      </c>
      <c r="Q4568" s="6" t="s">
        <v>4475</v>
      </c>
      <c r="T4568" s="23">
        <v>45391</v>
      </c>
      <c r="U4568" s="23">
        <v>46486</v>
      </c>
      <c r="X4568" s="20">
        <v>4000</v>
      </c>
      <c r="Z4568" s="6" t="s">
        <v>5978</v>
      </c>
      <c r="AA4568" s="13">
        <f>+(0.56/1000)</f>
        <v>5.6000000000000006E-4</v>
      </c>
      <c r="AB4568">
        <v>0.67919039999999997</v>
      </c>
      <c r="AC4568">
        <v>0.70635801600000003</v>
      </c>
    </row>
    <row r="4569" spans="1:29" x14ac:dyDescent="0.3">
      <c r="A4569">
        <v>151593</v>
      </c>
      <c r="B4569" s="25" t="s">
        <v>5984</v>
      </c>
      <c r="C4569" t="s">
        <v>20</v>
      </c>
      <c r="D4569" t="s">
        <v>21</v>
      </c>
      <c r="E4569">
        <v>2222222</v>
      </c>
      <c r="F4569" s="8" t="s">
        <v>22</v>
      </c>
      <c r="G4569" s="2">
        <v>98</v>
      </c>
      <c r="H4569" t="s">
        <v>4641</v>
      </c>
      <c r="J4569" s="9" t="s">
        <v>4998</v>
      </c>
      <c r="K4569" t="s">
        <v>5118</v>
      </c>
      <c r="L4569" s="2">
        <v>1</v>
      </c>
      <c r="M4569" s="24" t="s">
        <v>5971</v>
      </c>
      <c r="N4569" s="2" t="s">
        <v>23</v>
      </c>
      <c r="O4569" s="18" t="s">
        <v>3460</v>
      </c>
      <c r="P4569" s="18" t="s">
        <v>3781</v>
      </c>
      <c r="Q4569" s="6" t="s">
        <v>4475</v>
      </c>
      <c r="T4569" s="23">
        <v>46174</v>
      </c>
      <c r="U4569" s="23">
        <v>47270</v>
      </c>
      <c r="X4569" s="20">
        <v>5000</v>
      </c>
      <c r="Z4569" s="6" t="s">
        <v>5978</v>
      </c>
      <c r="AA4569" s="14">
        <f>+(0.6/1000)</f>
        <v>5.9999999999999995E-4</v>
      </c>
      <c r="AB4569">
        <v>2.9361659999999996</v>
      </c>
      <c r="AC4569">
        <v>3.0536126399999999</v>
      </c>
    </row>
    <row r="4570" spans="1:29" x14ac:dyDescent="0.3">
      <c r="A4570">
        <v>138986</v>
      </c>
      <c r="B4570" s="25" t="s">
        <v>5984</v>
      </c>
      <c r="C4570" t="s">
        <v>20</v>
      </c>
      <c r="D4570" t="s">
        <v>21</v>
      </c>
      <c r="E4570">
        <v>2222222</v>
      </c>
      <c r="F4570" s="8" t="s">
        <v>22</v>
      </c>
      <c r="G4570" s="2">
        <v>98</v>
      </c>
      <c r="H4570" t="s">
        <v>4642</v>
      </c>
      <c r="J4570" s="9" t="s">
        <v>4836</v>
      </c>
      <c r="K4570" t="s">
        <v>4956</v>
      </c>
      <c r="L4570" s="2">
        <v>1</v>
      </c>
      <c r="M4570" s="24" t="s">
        <v>5971</v>
      </c>
      <c r="N4570" s="2" t="s">
        <v>23</v>
      </c>
      <c r="O4570" s="18" t="s">
        <v>3461</v>
      </c>
      <c r="P4570" s="18" t="s">
        <v>3781</v>
      </c>
      <c r="Q4570" s="6" t="s">
        <v>4475</v>
      </c>
      <c r="T4570" s="23">
        <v>45324</v>
      </c>
      <c r="U4570" s="23">
        <v>47152</v>
      </c>
      <c r="X4570" s="20">
        <v>16000</v>
      </c>
      <c r="Z4570" s="6" t="s">
        <v>5978</v>
      </c>
      <c r="AA4570" s="13">
        <f>+(0.56/1000)</f>
        <v>5.6000000000000006E-4</v>
      </c>
      <c r="AB4570">
        <v>5.6940464000000013</v>
      </c>
      <c r="AC4570">
        <v>5.9218082560000012</v>
      </c>
    </row>
    <row r="4571" spans="1:29" x14ac:dyDescent="0.3">
      <c r="A4571">
        <v>147329</v>
      </c>
      <c r="B4571" s="25" t="s">
        <v>5984</v>
      </c>
      <c r="C4571" t="s">
        <v>20</v>
      </c>
      <c r="D4571" t="s">
        <v>21</v>
      </c>
      <c r="E4571">
        <v>2222222</v>
      </c>
      <c r="F4571" s="8" t="s">
        <v>22</v>
      </c>
      <c r="G4571" s="2">
        <v>98</v>
      </c>
      <c r="H4571" t="s">
        <v>4642</v>
      </c>
      <c r="J4571" s="9" t="s">
        <v>5206</v>
      </c>
      <c r="K4571" t="s">
        <v>4884</v>
      </c>
      <c r="L4571" s="2">
        <v>1</v>
      </c>
      <c r="M4571" s="24" t="s">
        <v>5971</v>
      </c>
      <c r="N4571" s="2" t="s">
        <v>23</v>
      </c>
      <c r="O4571" s="18" t="s">
        <v>3462</v>
      </c>
      <c r="P4571" s="18" t="s">
        <v>3781</v>
      </c>
      <c r="Q4571" s="6" t="s">
        <v>4475</v>
      </c>
      <c r="T4571" s="23">
        <v>45882</v>
      </c>
      <c r="U4571" s="23">
        <v>47343</v>
      </c>
      <c r="X4571" s="20">
        <v>4500</v>
      </c>
      <c r="Z4571" s="6" t="s">
        <v>5978</v>
      </c>
      <c r="AA4571" s="14">
        <f t="shared" ref="AA4571:AA4574" si="601">+(0.6/1000)</f>
        <v>5.9999999999999995E-4</v>
      </c>
      <c r="AB4571">
        <v>2.2393799999999997</v>
      </c>
      <c r="AC4571">
        <v>2.3289551999999998</v>
      </c>
    </row>
    <row r="4572" spans="1:29" x14ac:dyDescent="0.3">
      <c r="A4572">
        <v>151687</v>
      </c>
      <c r="B4572" s="25" t="s">
        <v>5984</v>
      </c>
      <c r="C4572" t="s">
        <v>20</v>
      </c>
      <c r="D4572" t="s">
        <v>21</v>
      </c>
      <c r="E4572">
        <v>2222222</v>
      </c>
      <c r="F4572" s="8" t="s">
        <v>22</v>
      </c>
      <c r="G4572" s="2">
        <v>98</v>
      </c>
      <c r="H4572" t="s">
        <v>4642</v>
      </c>
      <c r="J4572" s="9" t="s">
        <v>4836</v>
      </c>
      <c r="K4572" t="s">
        <v>5092</v>
      </c>
      <c r="L4572" s="2">
        <v>1</v>
      </c>
      <c r="M4572" s="24" t="s">
        <v>5971</v>
      </c>
      <c r="N4572" s="2" t="s">
        <v>23</v>
      </c>
      <c r="O4572" s="18" t="s">
        <v>825</v>
      </c>
      <c r="P4572" s="18" t="s">
        <v>3781</v>
      </c>
      <c r="Q4572" s="6" t="s">
        <v>4475</v>
      </c>
      <c r="T4572" s="23">
        <v>46181</v>
      </c>
      <c r="U4572" s="23">
        <v>47277</v>
      </c>
      <c r="X4572" s="20">
        <v>5000</v>
      </c>
      <c r="Z4572" s="6" t="s">
        <v>5978</v>
      </c>
      <c r="AA4572" s="14">
        <f t="shared" si="601"/>
        <v>5.9999999999999995E-4</v>
      </c>
      <c r="AB4572">
        <v>2.9361659999999996</v>
      </c>
      <c r="AC4572">
        <v>3.0536126399999999</v>
      </c>
    </row>
    <row r="4573" spans="1:29" x14ac:dyDescent="0.3">
      <c r="A4573">
        <v>144078</v>
      </c>
      <c r="B4573" s="25" t="s">
        <v>5984</v>
      </c>
      <c r="C4573" t="s">
        <v>20</v>
      </c>
      <c r="D4573" t="s">
        <v>21</v>
      </c>
      <c r="E4573">
        <v>2222222</v>
      </c>
      <c r="F4573" s="8" t="s">
        <v>22</v>
      </c>
      <c r="G4573" s="2">
        <v>98</v>
      </c>
      <c r="H4573" t="s">
        <v>4643</v>
      </c>
      <c r="J4573" s="9" t="s">
        <v>4950</v>
      </c>
      <c r="K4573" t="s">
        <v>4966</v>
      </c>
      <c r="L4573" s="2">
        <v>1</v>
      </c>
      <c r="M4573" s="24" t="s">
        <v>5971</v>
      </c>
      <c r="N4573" s="2" t="s">
        <v>23</v>
      </c>
      <c r="O4573" s="18" t="s">
        <v>3234</v>
      </c>
      <c r="P4573" s="18" t="s">
        <v>0</v>
      </c>
      <c r="Q4573" s="6" t="s">
        <v>4475</v>
      </c>
      <c r="T4573" s="23">
        <v>45652</v>
      </c>
      <c r="U4573" s="23">
        <v>48207</v>
      </c>
      <c r="X4573" s="20">
        <v>12000</v>
      </c>
      <c r="Z4573" s="6" t="s">
        <v>5978</v>
      </c>
      <c r="AA4573" s="14">
        <f t="shared" si="601"/>
        <v>5.9999999999999995E-4</v>
      </c>
      <c r="AB4573">
        <v>6.1914660000000001</v>
      </c>
      <c r="AC4573">
        <v>6.4391246400000002</v>
      </c>
    </row>
    <row r="4574" spans="1:29" x14ac:dyDescent="0.3">
      <c r="A4574">
        <v>149034</v>
      </c>
      <c r="B4574" s="25" t="s">
        <v>5984</v>
      </c>
      <c r="C4574" t="s">
        <v>20</v>
      </c>
      <c r="D4574" t="s">
        <v>21</v>
      </c>
      <c r="E4574">
        <v>2222222</v>
      </c>
      <c r="F4574" s="8" t="s">
        <v>22</v>
      </c>
      <c r="G4574" s="2">
        <v>98</v>
      </c>
      <c r="H4574" t="s">
        <v>4643</v>
      </c>
      <c r="J4574" s="9" t="s">
        <v>4950</v>
      </c>
      <c r="K4574" t="s">
        <v>4966</v>
      </c>
      <c r="L4574" s="2">
        <v>1</v>
      </c>
      <c r="M4574" s="24" t="s">
        <v>5971</v>
      </c>
      <c r="N4574" s="2" t="s">
        <v>23</v>
      </c>
      <c r="O4574" s="18" t="s">
        <v>2441</v>
      </c>
      <c r="P4574" s="18" t="s">
        <v>0</v>
      </c>
      <c r="Q4574" s="6" t="s">
        <v>4475</v>
      </c>
      <c r="T4574" s="23">
        <v>46014</v>
      </c>
      <c r="U4574" s="23">
        <v>49665</v>
      </c>
      <c r="X4574" s="20">
        <v>20000</v>
      </c>
      <c r="Z4574" s="6" t="s">
        <v>5978</v>
      </c>
      <c r="AA4574" s="14">
        <f t="shared" si="601"/>
        <v>5.9999999999999995E-4</v>
      </c>
      <c r="AB4574">
        <v>11.694329999999999</v>
      </c>
      <c r="AC4574">
        <v>12.162103199999999</v>
      </c>
    </row>
    <row r="4575" spans="1:29" x14ac:dyDescent="0.3">
      <c r="A4575">
        <v>132629</v>
      </c>
      <c r="B4575" s="25" t="s">
        <v>5984</v>
      </c>
      <c r="C4575" t="s">
        <v>20</v>
      </c>
      <c r="D4575" t="s">
        <v>21</v>
      </c>
      <c r="E4575">
        <v>2222222</v>
      </c>
      <c r="F4575" s="8" t="s">
        <v>22</v>
      </c>
      <c r="G4575" s="2">
        <v>98</v>
      </c>
      <c r="H4575" t="s">
        <v>4644</v>
      </c>
      <c r="J4575" s="9" t="s">
        <v>4901</v>
      </c>
      <c r="K4575" t="s">
        <v>5193</v>
      </c>
      <c r="L4575" s="2">
        <v>1</v>
      </c>
      <c r="M4575" s="24" t="s">
        <v>5971</v>
      </c>
      <c r="N4575" s="2" t="s">
        <v>23</v>
      </c>
      <c r="O4575" s="18" t="s">
        <v>3463</v>
      </c>
      <c r="P4575" s="18" t="s">
        <v>0</v>
      </c>
      <c r="Q4575" s="6" t="s">
        <v>4475</v>
      </c>
      <c r="T4575" s="23">
        <v>44953</v>
      </c>
      <c r="U4575" s="23">
        <v>45864</v>
      </c>
      <c r="X4575" s="20">
        <v>885</v>
      </c>
      <c r="Z4575" s="6" t="s">
        <v>5978</v>
      </c>
      <c r="AA4575" s="13">
        <f t="shared" ref="AA4575:AA4577" si="602">+(0.56/1000)</f>
        <v>5.6000000000000006E-4</v>
      </c>
      <c r="AB4575">
        <v>0.48174560000000005</v>
      </c>
      <c r="AC4575">
        <v>0.5010154240000001</v>
      </c>
    </row>
    <row r="4576" spans="1:29" x14ac:dyDescent="0.3">
      <c r="A4576">
        <v>136600</v>
      </c>
      <c r="B4576" s="25" t="s">
        <v>5984</v>
      </c>
      <c r="C4576" t="s">
        <v>20</v>
      </c>
      <c r="D4576" t="s">
        <v>21</v>
      </c>
      <c r="E4576">
        <v>2222222</v>
      </c>
      <c r="F4576" s="8" t="s">
        <v>22</v>
      </c>
      <c r="G4576" s="2">
        <v>98</v>
      </c>
      <c r="H4576" t="s">
        <v>4645</v>
      </c>
      <c r="J4576" s="9" t="s">
        <v>5613</v>
      </c>
      <c r="K4576" t="s">
        <v>5070</v>
      </c>
      <c r="L4576" s="2">
        <v>1</v>
      </c>
      <c r="M4576" s="24" t="s">
        <v>5971</v>
      </c>
      <c r="N4576" s="2" t="s">
        <v>23</v>
      </c>
      <c r="O4576" s="18" t="s">
        <v>3464</v>
      </c>
      <c r="P4576" s="18" t="s">
        <v>3781</v>
      </c>
      <c r="Q4576" s="6" t="s">
        <v>4475</v>
      </c>
      <c r="T4576" s="23">
        <v>45181</v>
      </c>
      <c r="U4576" s="23">
        <v>46733</v>
      </c>
      <c r="X4576" s="20">
        <v>3000</v>
      </c>
      <c r="Z4576" s="6" t="s">
        <v>5978</v>
      </c>
      <c r="AA4576" s="13">
        <f t="shared" si="602"/>
        <v>5.6000000000000006E-4</v>
      </c>
      <c r="AB4576">
        <v>0.76812960000000008</v>
      </c>
      <c r="AC4576">
        <v>0.7988547840000001</v>
      </c>
    </row>
    <row r="4577" spans="1:29" x14ac:dyDescent="0.3">
      <c r="A4577">
        <v>140511</v>
      </c>
      <c r="B4577" s="25" t="s">
        <v>5984</v>
      </c>
      <c r="C4577" t="s">
        <v>20</v>
      </c>
      <c r="D4577" t="s">
        <v>21</v>
      </c>
      <c r="E4577">
        <v>2222222</v>
      </c>
      <c r="F4577" s="8" t="s">
        <v>22</v>
      </c>
      <c r="G4577" s="2">
        <v>98</v>
      </c>
      <c r="H4577" t="s">
        <v>4645</v>
      </c>
      <c r="J4577" s="9" t="s">
        <v>4829</v>
      </c>
      <c r="K4577" t="s">
        <v>4980</v>
      </c>
      <c r="L4577" s="2">
        <v>1</v>
      </c>
      <c r="M4577" s="24" t="s">
        <v>5971</v>
      </c>
      <c r="N4577" s="2" t="s">
        <v>23</v>
      </c>
      <c r="O4577" s="18" t="s">
        <v>3465</v>
      </c>
      <c r="P4577" s="18" t="s">
        <v>3781</v>
      </c>
      <c r="Q4577" s="6" t="s">
        <v>4475</v>
      </c>
      <c r="T4577" s="23">
        <v>45392</v>
      </c>
      <c r="U4577" s="23">
        <v>46487</v>
      </c>
      <c r="X4577" s="20">
        <v>4000</v>
      </c>
      <c r="Z4577" s="6" t="s">
        <v>5978</v>
      </c>
      <c r="AA4577" s="13">
        <f t="shared" si="602"/>
        <v>5.6000000000000006E-4</v>
      </c>
      <c r="AB4577">
        <v>0.67919039999999997</v>
      </c>
      <c r="AC4577">
        <v>0.70635801600000003</v>
      </c>
    </row>
    <row r="4578" spans="1:29" x14ac:dyDescent="0.3">
      <c r="A4578">
        <v>142739</v>
      </c>
      <c r="B4578" s="25" t="s">
        <v>5984</v>
      </c>
      <c r="C4578" t="s">
        <v>20</v>
      </c>
      <c r="D4578" t="s">
        <v>21</v>
      </c>
      <c r="E4578">
        <v>2222222</v>
      </c>
      <c r="F4578" s="8" t="s">
        <v>22</v>
      </c>
      <c r="G4578" s="2">
        <v>98</v>
      </c>
      <c r="H4578" t="s">
        <v>4645</v>
      </c>
      <c r="J4578" s="9" t="s">
        <v>5306</v>
      </c>
      <c r="K4578" t="s">
        <v>5042</v>
      </c>
      <c r="L4578" s="2">
        <v>1</v>
      </c>
      <c r="M4578" s="24" t="s">
        <v>5971</v>
      </c>
      <c r="N4578" s="2" t="s">
        <v>23</v>
      </c>
      <c r="O4578" s="18" t="s">
        <v>3466</v>
      </c>
      <c r="P4578" s="18" t="s">
        <v>3781</v>
      </c>
      <c r="Q4578" s="6" t="s">
        <v>4475</v>
      </c>
      <c r="T4578" s="23">
        <v>45540</v>
      </c>
      <c r="U4578" s="23">
        <v>47001</v>
      </c>
      <c r="X4578" s="20">
        <v>5000</v>
      </c>
      <c r="Z4578" s="6" t="s">
        <v>5978</v>
      </c>
      <c r="AA4578" s="14">
        <f t="shared" ref="AA4578:AA4583" si="603">+(0.6/1000)</f>
        <v>5.9999999999999995E-4</v>
      </c>
      <c r="AB4578">
        <v>1.9015679999999999</v>
      </c>
      <c r="AC4578">
        <v>1.9776307200000001</v>
      </c>
    </row>
    <row r="4579" spans="1:29" x14ac:dyDescent="0.3">
      <c r="A4579">
        <v>146477</v>
      </c>
      <c r="B4579" s="25" t="s">
        <v>5984</v>
      </c>
      <c r="C4579" t="s">
        <v>20</v>
      </c>
      <c r="D4579" t="s">
        <v>21</v>
      </c>
      <c r="E4579">
        <v>2222222</v>
      </c>
      <c r="F4579" s="8" t="s">
        <v>22</v>
      </c>
      <c r="G4579" s="2">
        <v>98</v>
      </c>
      <c r="H4579" t="s">
        <v>4645</v>
      </c>
      <c r="J4579" s="9" t="s">
        <v>4838</v>
      </c>
      <c r="K4579" t="s">
        <v>4826</v>
      </c>
      <c r="L4579" s="2">
        <v>1</v>
      </c>
      <c r="M4579" s="24" t="s">
        <v>5971</v>
      </c>
      <c r="N4579" s="2" t="s">
        <v>23</v>
      </c>
      <c r="O4579" s="18" t="s">
        <v>3467</v>
      </c>
      <c r="P4579" s="18" t="s">
        <v>0</v>
      </c>
      <c r="Q4579" s="6" t="s">
        <v>4475</v>
      </c>
      <c r="T4579" s="23">
        <v>45819</v>
      </c>
      <c r="U4579" s="23">
        <v>47280</v>
      </c>
      <c r="X4579" s="20">
        <v>5000</v>
      </c>
      <c r="Z4579" s="6" t="s">
        <v>5978</v>
      </c>
      <c r="AA4579" s="14">
        <f t="shared" si="603"/>
        <v>5.9999999999999995E-4</v>
      </c>
      <c r="AB4579">
        <v>2.3882219999999998</v>
      </c>
      <c r="AC4579">
        <v>2.4837508800000001</v>
      </c>
    </row>
    <row r="4580" spans="1:29" x14ac:dyDescent="0.3">
      <c r="A4580">
        <v>149397</v>
      </c>
      <c r="B4580" s="25" t="s">
        <v>5984</v>
      </c>
      <c r="C4580" t="s">
        <v>20</v>
      </c>
      <c r="D4580" t="s">
        <v>21</v>
      </c>
      <c r="E4580">
        <v>2222222</v>
      </c>
      <c r="F4580" s="8" t="s">
        <v>22</v>
      </c>
      <c r="G4580" s="2">
        <v>98</v>
      </c>
      <c r="H4580" t="s">
        <v>4645</v>
      </c>
      <c r="J4580" s="9" t="s">
        <v>4836</v>
      </c>
      <c r="K4580" t="s">
        <v>5920</v>
      </c>
      <c r="L4580" s="2">
        <v>1</v>
      </c>
      <c r="M4580" s="24" t="s">
        <v>5971</v>
      </c>
      <c r="N4580" s="2" t="s">
        <v>23</v>
      </c>
      <c r="O4580" s="18" t="s">
        <v>3468</v>
      </c>
      <c r="P4580" s="18" t="s">
        <v>3781</v>
      </c>
      <c r="Q4580" s="6" t="s">
        <v>4475</v>
      </c>
      <c r="T4580" s="23">
        <v>46020</v>
      </c>
      <c r="U4580" s="23">
        <v>46749</v>
      </c>
      <c r="X4580" s="20">
        <v>1785</v>
      </c>
      <c r="Z4580" s="6" t="s">
        <v>5978</v>
      </c>
      <c r="AA4580" s="14">
        <f t="shared" si="603"/>
        <v>5.9999999999999995E-4</v>
      </c>
      <c r="AB4580">
        <v>0.87604199999999988</v>
      </c>
      <c r="AC4580">
        <v>0.91108367999999995</v>
      </c>
    </row>
    <row r="4581" spans="1:29" x14ac:dyDescent="0.3">
      <c r="A4581">
        <v>150022</v>
      </c>
      <c r="B4581" s="25" t="s">
        <v>5984</v>
      </c>
      <c r="C4581" t="s">
        <v>20</v>
      </c>
      <c r="D4581" t="s">
        <v>21</v>
      </c>
      <c r="E4581">
        <v>2222222</v>
      </c>
      <c r="F4581" s="8" t="s">
        <v>22</v>
      </c>
      <c r="G4581" s="2">
        <v>98</v>
      </c>
      <c r="H4581" t="s">
        <v>4645</v>
      </c>
      <c r="J4581" s="9" t="s">
        <v>4981</v>
      </c>
      <c r="K4581" t="s">
        <v>4887</v>
      </c>
      <c r="L4581" s="2">
        <v>1</v>
      </c>
      <c r="M4581" s="24" t="s">
        <v>5971</v>
      </c>
      <c r="N4581" s="2" t="s">
        <v>23</v>
      </c>
      <c r="O4581" s="18" t="s">
        <v>3469</v>
      </c>
      <c r="P4581" s="18" t="s">
        <v>3781</v>
      </c>
      <c r="Q4581" s="6" t="s">
        <v>4475</v>
      </c>
      <c r="T4581" s="23">
        <v>46064</v>
      </c>
      <c r="U4581" s="23">
        <v>46612</v>
      </c>
      <c r="X4581" s="20">
        <v>3080</v>
      </c>
      <c r="Z4581" s="6" t="s">
        <v>5978</v>
      </c>
      <c r="AA4581" s="14">
        <f t="shared" si="603"/>
        <v>5.9999999999999995E-4</v>
      </c>
      <c r="AB4581">
        <v>1.3812359999999999</v>
      </c>
      <c r="AC4581">
        <v>1.43648544</v>
      </c>
    </row>
    <row r="4582" spans="1:29" x14ac:dyDescent="0.3">
      <c r="A4582">
        <v>150398</v>
      </c>
      <c r="B4582" s="25" t="s">
        <v>5984</v>
      </c>
      <c r="C4582" t="s">
        <v>20</v>
      </c>
      <c r="D4582" t="s">
        <v>21</v>
      </c>
      <c r="E4582">
        <v>2222222</v>
      </c>
      <c r="F4582" s="8" t="s">
        <v>22</v>
      </c>
      <c r="G4582" s="2">
        <v>98</v>
      </c>
      <c r="H4582" t="s">
        <v>4645</v>
      </c>
      <c r="J4582" s="9" t="s">
        <v>5301</v>
      </c>
      <c r="K4582" t="s">
        <v>5427</v>
      </c>
      <c r="L4582" s="2">
        <v>1</v>
      </c>
      <c r="M4582" s="24" t="s">
        <v>5971</v>
      </c>
      <c r="N4582" s="2" t="s">
        <v>23</v>
      </c>
      <c r="O4582" s="18" t="s">
        <v>2050</v>
      </c>
      <c r="P4582" s="18" t="s">
        <v>3781</v>
      </c>
      <c r="Q4582" s="6" t="s">
        <v>4475</v>
      </c>
      <c r="T4582" s="23">
        <v>46098</v>
      </c>
      <c r="U4582" s="23">
        <v>48289</v>
      </c>
      <c r="X4582" s="20">
        <v>19000</v>
      </c>
      <c r="Z4582" s="6" t="s">
        <v>5978</v>
      </c>
      <c r="AA4582" s="14">
        <f t="shared" si="603"/>
        <v>5.9999999999999995E-4</v>
      </c>
      <c r="AB4582">
        <v>11.010509999999998</v>
      </c>
      <c r="AC4582">
        <v>11.450930399999999</v>
      </c>
    </row>
    <row r="4583" spans="1:29" x14ac:dyDescent="0.3">
      <c r="A4583">
        <v>152323</v>
      </c>
      <c r="B4583" s="25" t="s">
        <v>5984</v>
      </c>
      <c r="C4583" t="s">
        <v>20</v>
      </c>
      <c r="D4583" t="s">
        <v>21</v>
      </c>
      <c r="E4583">
        <v>2222222</v>
      </c>
      <c r="F4583" s="8" t="s">
        <v>22</v>
      </c>
      <c r="G4583" s="2">
        <v>98</v>
      </c>
      <c r="H4583" t="s">
        <v>4645</v>
      </c>
      <c r="J4583" s="9" t="s">
        <v>5234</v>
      </c>
      <c r="K4583" t="s">
        <v>5007</v>
      </c>
      <c r="L4583" s="2">
        <v>1</v>
      </c>
      <c r="M4583" s="24" t="s">
        <v>5971</v>
      </c>
      <c r="N4583" s="2" t="s">
        <v>23</v>
      </c>
      <c r="O4583" s="18" t="s">
        <v>3470</v>
      </c>
      <c r="P4583" s="18" t="s">
        <v>0</v>
      </c>
      <c r="Q4583" s="6" t="s">
        <v>4475</v>
      </c>
      <c r="T4583" s="23">
        <v>46230</v>
      </c>
      <c r="U4583" s="23">
        <v>46966</v>
      </c>
      <c r="X4583" s="20">
        <v>1000</v>
      </c>
      <c r="Z4583" s="6" t="s">
        <v>5978</v>
      </c>
      <c r="AA4583" s="14">
        <f t="shared" si="603"/>
        <v>5.9999999999999995E-4</v>
      </c>
      <c r="AB4583">
        <v>0.6</v>
      </c>
      <c r="AC4583">
        <v>0.624</v>
      </c>
    </row>
    <row r="4584" spans="1:29" x14ac:dyDescent="0.3">
      <c r="A4584">
        <v>54893</v>
      </c>
      <c r="B4584" s="25" t="s">
        <v>5984</v>
      </c>
      <c r="C4584" t="s">
        <v>20</v>
      </c>
      <c r="D4584" t="s">
        <v>21</v>
      </c>
      <c r="E4584">
        <v>2222222</v>
      </c>
      <c r="F4584" s="8" t="s">
        <v>22</v>
      </c>
      <c r="G4584" s="2">
        <v>98</v>
      </c>
      <c r="H4584" t="s">
        <v>4646</v>
      </c>
      <c r="J4584" s="9" t="s">
        <v>4969</v>
      </c>
      <c r="K4584" t="s">
        <v>5025</v>
      </c>
      <c r="L4584" s="2">
        <v>1</v>
      </c>
      <c r="M4584" s="24" t="s">
        <v>5971</v>
      </c>
      <c r="N4584" s="2" t="s">
        <v>23</v>
      </c>
      <c r="O4584" s="18" t="s">
        <v>3471</v>
      </c>
      <c r="P4584" s="18" t="s">
        <v>3781</v>
      </c>
      <c r="Q4584" s="6" t="s">
        <v>4475</v>
      </c>
      <c r="T4584" s="23">
        <v>41604</v>
      </c>
      <c r="U4584" s="23">
        <v>43065</v>
      </c>
      <c r="X4584" s="20">
        <v>5400</v>
      </c>
      <c r="Z4584" s="6" t="s">
        <v>5978</v>
      </c>
      <c r="AA4584" s="16">
        <f>+(0.36/1000)</f>
        <v>3.5999999999999997E-4</v>
      </c>
      <c r="AB4584">
        <v>1.7011295999999998</v>
      </c>
      <c r="AC4584">
        <v>1.7691747839999998</v>
      </c>
    </row>
    <row r="4585" spans="1:29" x14ac:dyDescent="0.3">
      <c r="A4585">
        <v>135211</v>
      </c>
      <c r="B4585" s="25" t="s">
        <v>5984</v>
      </c>
      <c r="C4585" t="s">
        <v>20</v>
      </c>
      <c r="D4585" t="s">
        <v>21</v>
      </c>
      <c r="E4585">
        <v>2222222</v>
      </c>
      <c r="F4585" s="8" t="s">
        <v>22</v>
      </c>
      <c r="G4585" s="2">
        <v>98</v>
      </c>
      <c r="H4585" t="s">
        <v>4646</v>
      </c>
      <c r="J4585" s="9" t="s">
        <v>4955</v>
      </c>
      <c r="K4585" t="s">
        <v>4972</v>
      </c>
      <c r="L4585" s="2">
        <v>1</v>
      </c>
      <c r="M4585" s="24" t="s">
        <v>5971</v>
      </c>
      <c r="N4585" s="2" t="s">
        <v>23</v>
      </c>
      <c r="O4585" s="18" t="s">
        <v>3472</v>
      </c>
      <c r="P4585" s="18" t="s">
        <v>3781</v>
      </c>
      <c r="Q4585" s="6" t="s">
        <v>4475</v>
      </c>
      <c r="T4585" s="23">
        <v>45099</v>
      </c>
      <c r="U4585" s="23">
        <v>46560</v>
      </c>
      <c r="X4585" s="20">
        <v>5000</v>
      </c>
      <c r="Z4585" s="6" t="s">
        <v>5978</v>
      </c>
      <c r="AA4585" s="13">
        <f>+(0.56/1000)</f>
        <v>5.6000000000000006E-4</v>
      </c>
      <c r="AB4585">
        <v>0.84437360000000006</v>
      </c>
      <c r="AC4585">
        <v>0.87814854400000009</v>
      </c>
    </row>
    <row r="4586" spans="1:29" x14ac:dyDescent="0.3">
      <c r="A4586">
        <v>141668</v>
      </c>
      <c r="B4586" s="25" t="s">
        <v>5984</v>
      </c>
      <c r="C4586" t="s">
        <v>20</v>
      </c>
      <c r="D4586" t="s">
        <v>21</v>
      </c>
      <c r="E4586">
        <v>2222222</v>
      </c>
      <c r="F4586" s="8" t="s">
        <v>22</v>
      </c>
      <c r="G4586" s="2">
        <v>98</v>
      </c>
      <c r="H4586" t="s">
        <v>4646</v>
      </c>
      <c r="J4586" s="9" t="s">
        <v>4969</v>
      </c>
      <c r="K4586" t="s">
        <v>5749</v>
      </c>
      <c r="L4586" s="2">
        <v>1</v>
      </c>
      <c r="M4586" s="24" t="s">
        <v>5971</v>
      </c>
      <c r="N4586" s="2" t="s">
        <v>23</v>
      </c>
      <c r="O4586" s="18" t="s">
        <v>3473</v>
      </c>
      <c r="P4586" s="18" t="s">
        <v>3781</v>
      </c>
      <c r="Q4586" s="6" t="s">
        <v>4475</v>
      </c>
      <c r="T4586" s="23">
        <v>45470</v>
      </c>
      <c r="U4586" s="23">
        <v>47296</v>
      </c>
      <c r="X4586" s="20">
        <v>6070</v>
      </c>
      <c r="Z4586" s="6" t="s">
        <v>5978</v>
      </c>
      <c r="AA4586" s="14">
        <f t="shared" ref="AA4586:AA4595" si="604">+(0.6/1000)</f>
        <v>5.9999999999999995E-4</v>
      </c>
      <c r="AB4586">
        <v>2.4480779999999998</v>
      </c>
      <c r="AC4586">
        <v>2.5460011199999997</v>
      </c>
    </row>
    <row r="4587" spans="1:29" x14ac:dyDescent="0.3">
      <c r="A4587">
        <v>141979</v>
      </c>
      <c r="B4587" s="25" t="s">
        <v>5984</v>
      </c>
      <c r="C4587" t="s">
        <v>20</v>
      </c>
      <c r="D4587" t="s">
        <v>21</v>
      </c>
      <c r="E4587">
        <v>2222222</v>
      </c>
      <c r="F4587" s="8" t="s">
        <v>22</v>
      </c>
      <c r="G4587" s="2">
        <v>98</v>
      </c>
      <c r="H4587" t="s">
        <v>4646</v>
      </c>
      <c r="J4587" s="9" t="s">
        <v>5159</v>
      </c>
      <c r="K4587" t="s">
        <v>5024</v>
      </c>
      <c r="L4587" s="2">
        <v>1</v>
      </c>
      <c r="M4587" s="24" t="s">
        <v>5971</v>
      </c>
      <c r="N4587" s="2" t="s">
        <v>23</v>
      </c>
      <c r="O4587" s="18" t="s">
        <v>3474</v>
      </c>
      <c r="P4587" s="18" t="s">
        <v>0</v>
      </c>
      <c r="Q4587" s="6" t="s">
        <v>4475</v>
      </c>
      <c r="T4587" s="23">
        <v>45489</v>
      </c>
      <c r="U4587" s="23">
        <v>46583</v>
      </c>
      <c r="X4587" s="20">
        <v>4100</v>
      </c>
      <c r="Z4587" s="6" t="s">
        <v>5978</v>
      </c>
      <c r="AA4587" s="14">
        <f t="shared" si="604"/>
        <v>5.9999999999999995E-4</v>
      </c>
      <c r="AB4587">
        <v>2.4052199999999995</v>
      </c>
      <c r="AC4587">
        <v>2.5014287999999993</v>
      </c>
    </row>
    <row r="4588" spans="1:29" x14ac:dyDescent="0.3">
      <c r="A4588">
        <v>145072</v>
      </c>
      <c r="B4588" s="25" t="s">
        <v>5984</v>
      </c>
      <c r="C4588" t="s">
        <v>20</v>
      </c>
      <c r="D4588" t="s">
        <v>21</v>
      </c>
      <c r="E4588">
        <v>2222222</v>
      </c>
      <c r="F4588" s="8" t="s">
        <v>22</v>
      </c>
      <c r="G4588" s="2">
        <v>98</v>
      </c>
      <c r="H4588" t="s">
        <v>4646</v>
      </c>
      <c r="J4588" s="9" t="s">
        <v>5063</v>
      </c>
      <c r="K4588" t="s">
        <v>4961</v>
      </c>
      <c r="L4588" s="2">
        <v>1</v>
      </c>
      <c r="M4588" s="24" t="s">
        <v>5971</v>
      </c>
      <c r="N4588" s="2" t="s">
        <v>23</v>
      </c>
      <c r="O4588" s="18" t="s">
        <v>3475</v>
      </c>
      <c r="P4588" s="18" t="s">
        <v>0</v>
      </c>
      <c r="Q4588" s="6" t="s">
        <v>4475</v>
      </c>
      <c r="T4588" s="23">
        <v>45734</v>
      </c>
      <c r="U4588" s="23">
        <v>47104</v>
      </c>
      <c r="X4588" s="20">
        <v>35000</v>
      </c>
      <c r="Z4588" s="6" t="s">
        <v>5978</v>
      </c>
      <c r="AA4588" s="14">
        <f t="shared" si="604"/>
        <v>5.9999999999999995E-4</v>
      </c>
      <c r="AB4588">
        <v>14.275373999999999</v>
      </c>
      <c r="AC4588">
        <v>14.846388960000001</v>
      </c>
    </row>
    <row r="4589" spans="1:29" x14ac:dyDescent="0.3">
      <c r="A4589">
        <v>147187</v>
      </c>
      <c r="B4589" s="25" t="s">
        <v>5984</v>
      </c>
      <c r="C4589" t="s">
        <v>20</v>
      </c>
      <c r="D4589" t="s">
        <v>21</v>
      </c>
      <c r="E4589">
        <v>2222222</v>
      </c>
      <c r="F4589" s="8" t="s">
        <v>22</v>
      </c>
      <c r="G4589" s="2">
        <v>98</v>
      </c>
      <c r="H4589" t="s">
        <v>4646</v>
      </c>
      <c r="J4589" s="9" t="s">
        <v>4826</v>
      </c>
      <c r="K4589" t="s">
        <v>5089</v>
      </c>
      <c r="L4589" s="2">
        <v>1</v>
      </c>
      <c r="M4589" s="24" t="s">
        <v>5971</v>
      </c>
      <c r="N4589" s="2" t="s">
        <v>23</v>
      </c>
      <c r="O4589" s="18" t="s">
        <v>3476</v>
      </c>
      <c r="P4589" s="18" t="s">
        <v>0</v>
      </c>
      <c r="Q4589" s="6" t="s">
        <v>4475</v>
      </c>
      <c r="T4589" s="23">
        <v>45870</v>
      </c>
      <c r="U4589" s="23">
        <v>46419</v>
      </c>
      <c r="X4589" s="20">
        <v>1500</v>
      </c>
      <c r="Z4589" s="6" t="s">
        <v>5978</v>
      </c>
      <c r="AA4589" s="14">
        <f t="shared" si="604"/>
        <v>5.9999999999999995E-4</v>
      </c>
      <c r="AB4589">
        <v>0.37715399999999999</v>
      </c>
      <c r="AC4589">
        <v>0.39224016</v>
      </c>
    </row>
    <row r="4590" spans="1:29" x14ac:dyDescent="0.3">
      <c r="A4590">
        <v>147511</v>
      </c>
      <c r="B4590" s="25" t="s">
        <v>5984</v>
      </c>
      <c r="C4590" t="s">
        <v>20</v>
      </c>
      <c r="D4590" t="s">
        <v>21</v>
      </c>
      <c r="E4590">
        <v>2222222</v>
      </c>
      <c r="F4590" s="8" t="s">
        <v>22</v>
      </c>
      <c r="G4590" s="2">
        <v>98</v>
      </c>
      <c r="H4590" t="s">
        <v>4646</v>
      </c>
      <c r="J4590" s="9" t="s">
        <v>4901</v>
      </c>
      <c r="K4590" t="s">
        <v>5375</v>
      </c>
      <c r="L4590" s="2">
        <v>1</v>
      </c>
      <c r="M4590" s="24" t="s">
        <v>5971</v>
      </c>
      <c r="N4590" s="2" t="s">
        <v>23</v>
      </c>
      <c r="O4590" s="18" t="s">
        <v>3477</v>
      </c>
      <c r="P4590" s="18" t="s">
        <v>0</v>
      </c>
      <c r="Q4590" s="6" t="s">
        <v>4475</v>
      </c>
      <c r="T4590" s="23">
        <v>45894</v>
      </c>
      <c r="U4590" s="23">
        <v>46258</v>
      </c>
      <c r="X4590" s="20">
        <v>605</v>
      </c>
      <c r="Z4590" s="6" t="s">
        <v>5978</v>
      </c>
      <c r="AA4590" s="14">
        <f t="shared" si="604"/>
        <v>5.9999999999999995E-4</v>
      </c>
      <c r="AB4590">
        <v>0.362844</v>
      </c>
      <c r="AC4590">
        <v>0.37735775999999999</v>
      </c>
    </row>
    <row r="4591" spans="1:29" x14ac:dyDescent="0.3">
      <c r="A4591">
        <v>149185</v>
      </c>
      <c r="B4591" s="25" t="s">
        <v>5984</v>
      </c>
      <c r="C4591" t="s">
        <v>20</v>
      </c>
      <c r="D4591" t="s">
        <v>21</v>
      </c>
      <c r="E4591">
        <v>2222222</v>
      </c>
      <c r="F4591" s="8" t="s">
        <v>22</v>
      </c>
      <c r="G4591" s="2">
        <v>98</v>
      </c>
      <c r="H4591" t="s">
        <v>4646</v>
      </c>
      <c r="J4591" s="9" t="s">
        <v>5921</v>
      </c>
      <c r="K4591" t="s">
        <v>4926</v>
      </c>
      <c r="L4591" s="2">
        <v>1</v>
      </c>
      <c r="M4591" s="24" t="s">
        <v>5971</v>
      </c>
      <c r="N4591" s="2" t="s">
        <v>23</v>
      </c>
      <c r="O4591" s="18" t="s">
        <v>3478</v>
      </c>
      <c r="P4591" s="18" t="s">
        <v>3781</v>
      </c>
      <c r="Q4591" s="6" t="s">
        <v>4475</v>
      </c>
      <c r="T4591" s="23">
        <v>46003</v>
      </c>
      <c r="U4591" s="23">
        <v>46732</v>
      </c>
      <c r="X4591" s="20">
        <v>3000</v>
      </c>
      <c r="Z4591" s="6" t="s">
        <v>5978</v>
      </c>
      <c r="AA4591" s="14">
        <f t="shared" si="604"/>
        <v>5.9999999999999995E-4</v>
      </c>
      <c r="AB4591">
        <v>1.3353839999999999</v>
      </c>
      <c r="AC4591">
        <v>1.3887993599999999</v>
      </c>
    </row>
    <row r="4592" spans="1:29" x14ac:dyDescent="0.3">
      <c r="A4592">
        <v>149872</v>
      </c>
      <c r="B4592" s="25" t="s">
        <v>5984</v>
      </c>
      <c r="C4592" t="s">
        <v>20</v>
      </c>
      <c r="D4592" t="s">
        <v>21</v>
      </c>
      <c r="E4592">
        <v>2222222</v>
      </c>
      <c r="F4592" s="8" t="s">
        <v>22</v>
      </c>
      <c r="G4592" s="2">
        <v>98</v>
      </c>
      <c r="H4592" t="s">
        <v>4646</v>
      </c>
      <c r="J4592" s="9" t="s">
        <v>4933</v>
      </c>
      <c r="K4592" t="s">
        <v>5494</v>
      </c>
      <c r="L4592" s="2">
        <v>1</v>
      </c>
      <c r="M4592" s="24" t="s">
        <v>5971</v>
      </c>
      <c r="N4592" s="2" t="s">
        <v>23</v>
      </c>
      <c r="O4592" s="18" t="s">
        <v>3479</v>
      </c>
      <c r="P4592" s="18" t="s">
        <v>3781</v>
      </c>
      <c r="Q4592" s="6" t="s">
        <v>4475</v>
      </c>
      <c r="T4592" s="23">
        <v>46053</v>
      </c>
      <c r="U4592" s="23">
        <v>47881</v>
      </c>
      <c r="X4592" s="20">
        <v>6680</v>
      </c>
      <c r="Z4592" s="6" t="s">
        <v>5978</v>
      </c>
      <c r="AA4592" s="14">
        <f t="shared" si="604"/>
        <v>5.9999999999999995E-4</v>
      </c>
      <c r="AB4592">
        <v>3.7710479999999995</v>
      </c>
      <c r="AC4592">
        <v>3.9218899199999995</v>
      </c>
    </row>
    <row r="4593" spans="1:29" x14ac:dyDescent="0.3">
      <c r="A4593">
        <v>150751</v>
      </c>
      <c r="B4593" s="25" t="s">
        <v>5984</v>
      </c>
      <c r="C4593" t="s">
        <v>20</v>
      </c>
      <c r="D4593" t="s">
        <v>21</v>
      </c>
      <c r="E4593">
        <v>2222222</v>
      </c>
      <c r="F4593" s="8" t="s">
        <v>22</v>
      </c>
      <c r="G4593" s="2">
        <v>98</v>
      </c>
      <c r="H4593" t="s">
        <v>4646</v>
      </c>
      <c r="J4593" s="9" t="s">
        <v>5778</v>
      </c>
      <c r="K4593" t="s">
        <v>4872</v>
      </c>
      <c r="L4593" s="2">
        <v>1</v>
      </c>
      <c r="M4593" s="24" t="s">
        <v>5971</v>
      </c>
      <c r="N4593" s="2" t="s">
        <v>23</v>
      </c>
      <c r="O4593" s="18" t="s">
        <v>3480</v>
      </c>
      <c r="P4593" s="18" t="s">
        <v>3781</v>
      </c>
      <c r="Q4593" s="6" t="s">
        <v>4475</v>
      </c>
      <c r="T4593" s="23">
        <v>46112</v>
      </c>
      <c r="U4593" s="23">
        <v>47937</v>
      </c>
      <c r="X4593" s="20">
        <v>6700</v>
      </c>
      <c r="Z4593" s="6" t="s">
        <v>5978</v>
      </c>
      <c r="AA4593" s="14">
        <f t="shared" si="604"/>
        <v>5.9999999999999995E-4</v>
      </c>
      <c r="AB4593">
        <v>3.8787479999999994</v>
      </c>
      <c r="AC4593">
        <v>4.0338979199999994</v>
      </c>
    </row>
    <row r="4594" spans="1:29" x14ac:dyDescent="0.3">
      <c r="A4594">
        <v>151168</v>
      </c>
      <c r="B4594" s="25" t="s">
        <v>5984</v>
      </c>
      <c r="C4594" t="s">
        <v>20</v>
      </c>
      <c r="D4594" t="s">
        <v>21</v>
      </c>
      <c r="E4594">
        <v>2222222</v>
      </c>
      <c r="F4594" s="8" t="s">
        <v>22</v>
      </c>
      <c r="G4594" s="2">
        <v>98</v>
      </c>
      <c r="H4594" t="s">
        <v>4646</v>
      </c>
      <c r="J4594" s="9" t="s">
        <v>4911</v>
      </c>
      <c r="K4594" t="s">
        <v>5196</v>
      </c>
      <c r="L4594" s="2">
        <v>1</v>
      </c>
      <c r="M4594" s="24" t="s">
        <v>5971</v>
      </c>
      <c r="N4594" s="2" t="s">
        <v>23</v>
      </c>
      <c r="O4594" s="18" t="s">
        <v>3481</v>
      </c>
      <c r="P4594" s="18" t="s">
        <v>3781</v>
      </c>
      <c r="Q4594" s="6" t="s">
        <v>4475</v>
      </c>
      <c r="T4594" s="23">
        <v>46142</v>
      </c>
      <c r="U4594" s="23">
        <v>46873</v>
      </c>
      <c r="X4594" s="20">
        <v>2900</v>
      </c>
      <c r="Z4594" s="6" t="s">
        <v>5978</v>
      </c>
      <c r="AA4594" s="14">
        <f t="shared" si="604"/>
        <v>5.9999999999999995E-4</v>
      </c>
      <c r="AB4594">
        <v>1.7399999999999998</v>
      </c>
      <c r="AC4594">
        <v>1.8095999999999999</v>
      </c>
    </row>
    <row r="4595" spans="1:29" x14ac:dyDescent="0.3">
      <c r="A4595">
        <v>151289</v>
      </c>
      <c r="B4595" s="25" t="s">
        <v>5984</v>
      </c>
      <c r="C4595" t="s">
        <v>20</v>
      </c>
      <c r="D4595" t="s">
        <v>21</v>
      </c>
      <c r="E4595">
        <v>2222222</v>
      </c>
      <c r="F4595" s="8" t="s">
        <v>22</v>
      </c>
      <c r="G4595" s="2">
        <v>98</v>
      </c>
      <c r="H4595" t="s">
        <v>4646</v>
      </c>
      <c r="J4595" s="9" t="s">
        <v>4909</v>
      </c>
      <c r="K4595" t="s">
        <v>5260</v>
      </c>
      <c r="L4595" s="2">
        <v>1</v>
      </c>
      <c r="M4595" s="24" t="s">
        <v>5971</v>
      </c>
      <c r="N4595" s="2" t="s">
        <v>23</v>
      </c>
      <c r="O4595" s="18" t="s">
        <v>3482</v>
      </c>
      <c r="P4595" s="18" t="s">
        <v>3781</v>
      </c>
      <c r="Q4595" s="6" t="s">
        <v>4475</v>
      </c>
      <c r="T4595" s="23">
        <v>46157</v>
      </c>
      <c r="U4595" s="23">
        <v>47252</v>
      </c>
      <c r="X4595" s="20">
        <v>6000</v>
      </c>
      <c r="Z4595" s="6" t="s">
        <v>5978</v>
      </c>
      <c r="AA4595" s="14">
        <f t="shared" si="604"/>
        <v>5.9999999999999995E-4</v>
      </c>
      <c r="AB4595">
        <v>3.4456439999999997</v>
      </c>
      <c r="AC4595">
        <v>3.5834697599999998</v>
      </c>
    </row>
    <row r="4596" spans="1:29" x14ac:dyDescent="0.3">
      <c r="A4596">
        <v>139895</v>
      </c>
      <c r="B4596" s="25" t="s">
        <v>5984</v>
      </c>
      <c r="C4596" t="s">
        <v>20</v>
      </c>
      <c r="D4596" t="s">
        <v>21</v>
      </c>
      <c r="E4596">
        <v>2222222</v>
      </c>
      <c r="F4596" s="8" t="s">
        <v>22</v>
      </c>
      <c r="G4596" s="2">
        <v>98</v>
      </c>
      <c r="H4596" t="s">
        <v>4647</v>
      </c>
      <c r="J4596" s="9" t="s">
        <v>5063</v>
      </c>
      <c r="K4596" t="s">
        <v>5529</v>
      </c>
      <c r="L4596" s="2">
        <v>1</v>
      </c>
      <c r="M4596" s="24" t="s">
        <v>5971</v>
      </c>
      <c r="N4596" s="2" t="s">
        <v>23</v>
      </c>
      <c r="O4596" s="18" t="s">
        <v>1854</v>
      </c>
      <c r="P4596" s="18" t="s">
        <v>0</v>
      </c>
      <c r="Q4596" s="6" t="s">
        <v>4475</v>
      </c>
      <c r="T4596" s="23">
        <v>45355</v>
      </c>
      <c r="U4596" s="23">
        <v>46633</v>
      </c>
      <c r="X4596" s="20">
        <v>5000</v>
      </c>
      <c r="Z4596" s="6" t="s">
        <v>5978</v>
      </c>
      <c r="AA4596" s="13">
        <f t="shared" ref="AA4596:AA4597" si="605">+(0.56/1000)</f>
        <v>5.6000000000000006E-4</v>
      </c>
      <c r="AB4596">
        <v>1.1469864000000001</v>
      </c>
      <c r="AC4596">
        <v>1.1928658560000001</v>
      </c>
    </row>
    <row r="4597" spans="1:29" x14ac:dyDescent="0.3">
      <c r="A4597">
        <v>132823</v>
      </c>
      <c r="B4597" s="25" t="s">
        <v>5984</v>
      </c>
      <c r="C4597" t="s">
        <v>20</v>
      </c>
      <c r="D4597" t="s">
        <v>21</v>
      </c>
      <c r="E4597">
        <v>2222222</v>
      </c>
      <c r="F4597" s="8" t="s">
        <v>22</v>
      </c>
      <c r="G4597" s="2">
        <v>98</v>
      </c>
      <c r="H4597" t="s">
        <v>4648</v>
      </c>
      <c r="J4597" s="9" t="s">
        <v>5049</v>
      </c>
      <c r="K4597" t="s">
        <v>5006</v>
      </c>
      <c r="L4597" s="2">
        <v>1</v>
      </c>
      <c r="M4597" s="24" t="s">
        <v>5971</v>
      </c>
      <c r="N4597" s="2" t="s">
        <v>23</v>
      </c>
      <c r="O4597" s="18" t="s">
        <v>3483</v>
      </c>
      <c r="P4597" s="18" t="s">
        <v>0</v>
      </c>
      <c r="Q4597" s="6" t="s">
        <v>4475</v>
      </c>
      <c r="T4597" s="23">
        <v>44959</v>
      </c>
      <c r="U4597" s="23">
        <v>46057</v>
      </c>
      <c r="X4597" s="20">
        <v>3000</v>
      </c>
      <c r="Z4597" s="6" t="s">
        <v>5978</v>
      </c>
      <c r="AA4597" s="13">
        <f t="shared" si="605"/>
        <v>5.6000000000000006E-4</v>
      </c>
      <c r="AB4597">
        <v>1.1760280000000003</v>
      </c>
      <c r="AC4597">
        <v>1.2230691200000003</v>
      </c>
    </row>
    <row r="4598" spans="1:29" x14ac:dyDescent="0.3">
      <c r="A4598">
        <v>115090</v>
      </c>
      <c r="B4598" s="25" t="s">
        <v>5984</v>
      </c>
      <c r="C4598" t="s">
        <v>20</v>
      </c>
      <c r="D4598" t="s">
        <v>21</v>
      </c>
      <c r="E4598">
        <v>2222222</v>
      </c>
      <c r="F4598" s="8" t="s">
        <v>22</v>
      </c>
      <c r="G4598" s="2">
        <v>98</v>
      </c>
      <c r="H4598" t="s">
        <v>4649</v>
      </c>
      <c r="J4598" s="9" t="s">
        <v>4942</v>
      </c>
      <c r="K4598" t="s">
        <v>5922</v>
      </c>
      <c r="L4598" s="2">
        <v>1</v>
      </c>
      <c r="M4598" s="24" t="s">
        <v>5971</v>
      </c>
      <c r="N4598" s="2" t="s">
        <v>23</v>
      </c>
      <c r="O4598" s="18" t="s">
        <v>2062</v>
      </c>
      <c r="P4598" s="18" t="s">
        <v>3781</v>
      </c>
      <c r="Q4598" s="6" t="s">
        <v>4475</v>
      </c>
      <c r="T4598" s="23">
        <v>44077</v>
      </c>
      <c r="U4598" s="23">
        <v>45172</v>
      </c>
      <c r="X4598" s="20">
        <v>29720</v>
      </c>
      <c r="Z4598" s="6" t="s">
        <v>5978</v>
      </c>
      <c r="AA4598" s="15">
        <f>+(0.42/1000)</f>
        <v>4.1999999999999996E-4</v>
      </c>
      <c r="AB4598">
        <v>12.482399999999998</v>
      </c>
      <c r="AC4598">
        <v>12.981695999999999</v>
      </c>
    </row>
    <row r="4599" spans="1:29" x14ac:dyDescent="0.3">
      <c r="A4599">
        <v>136850</v>
      </c>
      <c r="B4599" s="25" t="s">
        <v>5984</v>
      </c>
      <c r="C4599" t="s">
        <v>20</v>
      </c>
      <c r="D4599" t="s">
        <v>21</v>
      </c>
      <c r="E4599">
        <v>2222222</v>
      </c>
      <c r="F4599" s="8" t="s">
        <v>22</v>
      </c>
      <c r="G4599" s="2">
        <v>98</v>
      </c>
      <c r="H4599" t="s">
        <v>4649</v>
      </c>
      <c r="J4599" s="9" t="s">
        <v>5644</v>
      </c>
      <c r="K4599" t="s">
        <v>4932</v>
      </c>
      <c r="L4599" s="2">
        <v>1</v>
      </c>
      <c r="M4599" s="24" t="s">
        <v>5971</v>
      </c>
      <c r="N4599" s="2" t="s">
        <v>23</v>
      </c>
      <c r="O4599" s="18" t="s">
        <v>3484</v>
      </c>
      <c r="P4599" s="18" t="s">
        <v>3781</v>
      </c>
      <c r="Q4599" s="6" t="s">
        <v>4475</v>
      </c>
      <c r="T4599" s="23">
        <v>45198</v>
      </c>
      <c r="U4599" s="23">
        <v>46663</v>
      </c>
      <c r="X4599" s="20">
        <v>7000</v>
      </c>
      <c r="Z4599" s="6" t="s">
        <v>5978</v>
      </c>
      <c r="AA4599" s="13">
        <f>+(0.56/1000)</f>
        <v>5.6000000000000006E-4</v>
      </c>
      <c r="AB4599">
        <v>1.5043224000000002</v>
      </c>
      <c r="AC4599">
        <v>1.5644952960000003</v>
      </c>
    </row>
    <row r="4600" spans="1:29" x14ac:dyDescent="0.3">
      <c r="A4600">
        <v>151157</v>
      </c>
      <c r="B4600" s="25" t="s">
        <v>5984</v>
      </c>
      <c r="C4600" t="s">
        <v>20</v>
      </c>
      <c r="D4600" t="s">
        <v>21</v>
      </c>
      <c r="E4600">
        <v>2222222</v>
      </c>
      <c r="F4600" s="8" t="s">
        <v>22</v>
      </c>
      <c r="G4600" s="2">
        <v>98</v>
      </c>
      <c r="H4600" t="s">
        <v>4649</v>
      </c>
      <c r="J4600" s="9" t="s">
        <v>5322</v>
      </c>
      <c r="K4600" t="s">
        <v>5271</v>
      </c>
      <c r="L4600" s="2">
        <v>1</v>
      </c>
      <c r="M4600" s="24" t="s">
        <v>5971</v>
      </c>
      <c r="N4600" s="2" t="s">
        <v>23</v>
      </c>
      <c r="O4600" s="18" t="s">
        <v>3485</v>
      </c>
      <c r="P4600" s="18" t="s">
        <v>0</v>
      </c>
      <c r="Q4600" s="6" t="s">
        <v>4475</v>
      </c>
      <c r="T4600" s="23">
        <v>46141</v>
      </c>
      <c r="U4600" s="23">
        <v>47967</v>
      </c>
      <c r="X4600" s="20">
        <v>5440</v>
      </c>
      <c r="Z4600" s="6" t="s">
        <v>5978</v>
      </c>
      <c r="AA4600" s="14">
        <f>+(0.6/1000)</f>
        <v>5.9999999999999995E-4</v>
      </c>
      <c r="AB4600">
        <v>3.1493340000000001</v>
      </c>
      <c r="AC4600">
        <v>3.2753073600000002</v>
      </c>
    </row>
    <row r="4601" spans="1:29" x14ac:dyDescent="0.3">
      <c r="A4601">
        <v>134147</v>
      </c>
      <c r="B4601" s="25" t="s">
        <v>5984</v>
      </c>
      <c r="C4601" t="s">
        <v>20</v>
      </c>
      <c r="D4601" t="s">
        <v>21</v>
      </c>
      <c r="E4601">
        <v>2222222</v>
      </c>
      <c r="F4601" s="8" t="s">
        <v>22</v>
      </c>
      <c r="G4601" s="2">
        <v>98</v>
      </c>
      <c r="H4601" t="s">
        <v>4650</v>
      </c>
      <c r="J4601" s="9" t="s">
        <v>5295</v>
      </c>
      <c r="K4601" t="s">
        <v>4997</v>
      </c>
      <c r="L4601" s="2">
        <v>1</v>
      </c>
      <c r="M4601" s="24" t="s">
        <v>5971</v>
      </c>
      <c r="N4601" s="2" t="s">
        <v>23</v>
      </c>
      <c r="O4601" s="18" t="s">
        <v>2934</v>
      </c>
      <c r="P4601" s="18" t="s">
        <v>3781</v>
      </c>
      <c r="Q4601" s="6" t="s">
        <v>4475</v>
      </c>
      <c r="T4601" s="23">
        <v>45043</v>
      </c>
      <c r="U4601" s="23">
        <v>46876</v>
      </c>
      <c r="X4601" s="20">
        <v>8000</v>
      </c>
      <c r="Z4601" s="6" t="s">
        <v>5978</v>
      </c>
      <c r="AA4601" s="13">
        <f>+(0.56/1000)</f>
        <v>5.6000000000000006E-4</v>
      </c>
      <c r="AB4601">
        <v>0.45702160000000008</v>
      </c>
      <c r="AC4601">
        <v>0.47530246400000009</v>
      </c>
    </row>
    <row r="4602" spans="1:29" x14ac:dyDescent="0.3">
      <c r="A4602">
        <v>147147</v>
      </c>
      <c r="B4602" s="25" t="s">
        <v>5984</v>
      </c>
      <c r="C4602" t="s">
        <v>20</v>
      </c>
      <c r="D4602" t="s">
        <v>21</v>
      </c>
      <c r="E4602">
        <v>2222222</v>
      </c>
      <c r="F4602" s="8" t="s">
        <v>22</v>
      </c>
      <c r="G4602" s="2">
        <v>98</v>
      </c>
      <c r="H4602" t="s">
        <v>4651</v>
      </c>
      <c r="J4602" s="9" t="s">
        <v>4911</v>
      </c>
      <c r="K4602" t="s">
        <v>5169</v>
      </c>
      <c r="L4602" s="2">
        <v>1</v>
      </c>
      <c r="M4602" s="24" t="s">
        <v>5971</v>
      </c>
      <c r="N4602" s="2" t="s">
        <v>23</v>
      </c>
      <c r="O4602" s="18" t="s">
        <v>3486</v>
      </c>
      <c r="P4602" s="18" t="s">
        <v>3781</v>
      </c>
      <c r="Q4602" s="6" t="s">
        <v>4475</v>
      </c>
      <c r="T4602" s="23">
        <v>45868</v>
      </c>
      <c r="U4602" s="23">
        <v>46597</v>
      </c>
      <c r="X4602" s="20">
        <v>5000</v>
      </c>
      <c r="Z4602" s="6" t="s">
        <v>5978</v>
      </c>
      <c r="AA4602" s="14">
        <f t="shared" ref="AA4602:AA4609" si="606">+(0.6/1000)</f>
        <v>5.9999999999999995E-4</v>
      </c>
      <c r="AB4602">
        <v>1.6343579999999998</v>
      </c>
      <c r="AC4602">
        <v>1.6997323199999999</v>
      </c>
    </row>
    <row r="4603" spans="1:29" x14ac:dyDescent="0.3">
      <c r="A4603">
        <v>151387</v>
      </c>
      <c r="B4603" s="25" t="s">
        <v>5984</v>
      </c>
      <c r="C4603" t="s">
        <v>20</v>
      </c>
      <c r="D4603" t="s">
        <v>21</v>
      </c>
      <c r="E4603">
        <v>2222222</v>
      </c>
      <c r="F4603" s="8" t="s">
        <v>22</v>
      </c>
      <c r="G4603" s="2">
        <v>98</v>
      </c>
      <c r="H4603" t="s">
        <v>4651</v>
      </c>
      <c r="J4603" s="9" t="s">
        <v>5605</v>
      </c>
      <c r="K4603" t="s">
        <v>5923</v>
      </c>
      <c r="L4603" s="2">
        <v>1</v>
      </c>
      <c r="M4603" s="24" t="s">
        <v>5971</v>
      </c>
      <c r="N4603" s="2" t="s">
        <v>23</v>
      </c>
      <c r="O4603" s="18" t="s">
        <v>3487</v>
      </c>
      <c r="P4603" s="18" t="s">
        <v>3781</v>
      </c>
      <c r="Q4603" s="6" t="s">
        <v>4475</v>
      </c>
      <c r="T4603" s="23">
        <v>46161</v>
      </c>
      <c r="U4603" s="23">
        <v>47621</v>
      </c>
      <c r="X4603" s="20">
        <v>5000</v>
      </c>
      <c r="Z4603" s="6" t="s">
        <v>5978</v>
      </c>
      <c r="AA4603" s="14">
        <f t="shared" si="606"/>
        <v>5.9999999999999995E-4</v>
      </c>
      <c r="AB4603">
        <v>2.9123100000000002</v>
      </c>
      <c r="AC4603">
        <v>3.0288024000000004</v>
      </c>
    </row>
    <row r="4604" spans="1:29" x14ac:dyDescent="0.3">
      <c r="A4604">
        <v>146923</v>
      </c>
      <c r="B4604" s="25" t="s">
        <v>5984</v>
      </c>
      <c r="C4604" t="s">
        <v>20</v>
      </c>
      <c r="D4604" t="s">
        <v>21</v>
      </c>
      <c r="E4604">
        <v>2222222</v>
      </c>
      <c r="F4604" s="8" t="s">
        <v>22</v>
      </c>
      <c r="G4604" s="2">
        <v>98</v>
      </c>
      <c r="H4604" t="s">
        <v>4652</v>
      </c>
      <c r="J4604" s="9" t="s">
        <v>5924</v>
      </c>
      <c r="K4604" t="s">
        <v>5401</v>
      </c>
      <c r="L4604" s="2">
        <v>1</v>
      </c>
      <c r="M4604" s="24" t="s">
        <v>5971</v>
      </c>
      <c r="N4604" s="2" t="s">
        <v>23</v>
      </c>
      <c r="O4604" s="18" t="s">
        <v>3488</v>
      </c>
      <c r="P4604" s="18" t="s">
        <v>3781</v>
      </c>
      <c r="Q4604" s="6" t="s">
        <v>4475</v>
      </c>
      <c r="T4604" s="23">
        <v>45853</v>
      </c>
      <c r="U4604" s="23">
        <v>47313</v>
      </c>
      <c r="X4604" s="20">
        <v>5000</v>
      </c>
      <c r="Z4604" s="6" t="s">
        <v>5978</v>
      </c>
      <c r="AA4604" s="14">
        <f t="shared" si="606"/>
        <v>5.9999999999999995E-4</v>
      </c>
      <c r="AB4604">
        <v>2.4386099999999997</v>
      </c>
      <c r="AC4604">
        <v>2.5361543999999996</v>
      </c>
    </row>
    <row r="4605" spans="1:29" x14ac:dyDescent="0.3">
      <c r="A4605">
        <v>149757</v>
      </c>
      <c r="B4605" s="25" t="s">
        <v>5984</v>
      </c>
      <c r="C4605" t="s">
        <v>20</v>
      </c>
      <c r="D4605" t="s">
        <v>21</v>
      </c>
      <c r="E4605">
        <v>2222222</v>
      </c>
      <c r="F4605" s="8" t="s">
        <v>22</v>
      </c>
      <c r="G4605" s="2">
        <v>98</v>
      </c>
      <c r="H4605" t="s">
        <v>4652</v>
      </c>
      <c r="J4605" s="9" t="s">
        <v>5924</v>
      </c>
      <c r="K4605" t="s">
        <v>5401</v>
      </c>
      <c r="L4605" s="2">
        <v>1</v>
      </c>
      <c r="M4605" s="24" t="s">
        <v>5971</v>
      </c>
      <c r="N4605" s="2" t="s">
        <v>23</v>
      </c>
      <c r="O4605" s="18" t="s">
        <v>3488</v>
      </c>
      <c r="P4605" s="18" t="s">
        <v>3781</v>
      </c>
      <c r="Q4605" s="6" t="s">
        <v>4475</v>
      </c>
      <c r="T4605" s="23">
        <v>46047</v>
      </c>
      <c r="U4605" s="23">
        <v>46411</v>
      </c>
      <c r="X4605" s="20">
        <v>4000</v>
      </c>
      <c r="Z4605" s="6" t="s">
        <v>5978</v>
      </c>
      <c r="AA4605" s="14">
        <f t="shared" si="606"/>
        <v>5.9999999999999995E-4</v>
      </c>
      <c r="AB4605">
        <v>1.2485099999999998</v>
      </c>
      <c r="AC4605">
        <v>1.2984503999999999</v>
      </c>
    </row>
    <row r="4606" spans="1:29" x14ac:dyDescent="0.3">
      <c r="A4606">
        <v>146539</v>
      </c>
      <c r="B4606" s="25" t="s">
        <v>5984</v>
      </c>
      <c r="C4606" t="s">
        <v>20</v>
      </c>
      <c r="D4606" t="s">
        <v>21</v>
      </c>
      <c r="E4606">
        <v>2222222</v>
      </c>
      <c r="F4606" s="8" t="s">
        <v>22</v>
      </c>
      <c r="G4606" s="2">
        <v>98</v>
      </c>
      <c r="H4606" t="s">
        <v>4653</v>
      </c>
      <c r="J4606" s="9" t="s">
        <v>5647</v>
      </c>
      <c r="K4606" t="s">
        <v>5414</v>
      </c>
      <c r="L4606" s="2">
        <v>1</v>
      </c>
      <c r="M4606" s="24" t="s">
        <v>5971</v>
      </c>
      <c r="N4606" s="2" t="s">
        <v>23</v>
      </c>
      <c r="O4606" s="18" t="s">
        <v>3489</v>
      </c>
      <c r="P4606" s="18" t="s">
        <v>3781</v>
      </c>
      <c r="Q4606" s="6" t="s">
        <v>4475</v>
      </c>
      <c r="T4606" s="23">
        <v>45826</v>
      </c>
      <c r="U4606" s="23">
        <v>46374</v>
      </c>
      <c r="X4606" s="20">
        <v>5000</v>
      </c>
      <c r="Z4606" s="6" t="s">
        <v>5978</v>
      </c>
      <c r="AA4606" s="14">
        <f t="shared" si="606"/>
        <v>5.9999999999999995E-4</v>
      </c>
      <c r="AB4606">
        <v>0.91674</v>
      </c>
      <c r="AC4606">
        <v>0.95340960000000008</v>
      </c>
    </row>
    <row r="4607" spans="1:29" x14ac:dyDescent="0.3">
      <c r="A4607">
        <v>149722</v>
      </c>
      <c r="B4607" s="25" t="s">
        <v>5984</v>
      </c>
      <c r="C4607" t="s">
        <v>20</v>
      </c>
      <c r="D4607" t="s">
        <v>21</v>
      </c>
      <c r="E4607">
        <v>2222222</v>
      </c>
      <c r="F4607" s="8" t="s">
        <v>22</v>
      </c>
      <c r="G4607" s="2">
        <v>98</v>
      </c>
      <c r="H4607" t="s">
        <v>4653</v>
      </c>
      <c r="J4607" s="9" t="s">
        <v>5426</v>
      </c>
      <c r="K4607" t="s">
        <v>4878</v>
      </c>
      <c r="L4607" s="2">
        <v>1</v>
      </c>
      <c r="M4607" s="24" t="s">
        <v>5971</v>
      </c>
      <c r="N4607" s="2" t="s">
        <v>23</v>
      </c>
      <c r="O4607" s="18" t="s">
        <v>124</v>
      </c>
      <c r="P4607" s="18" t="s">
        <v>0</v>
      </c>
      <c r="Q4607" s="6" t="s">
        <v>4475</v>
      </c>
      <c r="T4607" s="23">
        <v>46053</v>
      </c>
      <c r="U4607" s="23">
        <v>47516</v>
      </c>
      <c r="X4607" s="20">
        <v>15000</v>
      </c>
      <c r="Z4607" s="6" t="s">
        <v>5978</v>
      </c>
      <c r="AA4607" s="14">
        <f t="shared" si="606"/>
        <v>5.9999999999999995E-4</v>
      </c>
      <c r="AB4607">
        <v>8.2375619999999987</v>
      </c>
      <c r="AC4607">
        <v>8.5670644799999991</v>
      </c>
    </row>
    <row r="4608" spans="1:29" x14ac:dyDescent="0.3">
      <c r="A4608">
        <v>151271</v>
      </c>
      <c r="B4608" s="25" t="s">
        <v>5984</v>
      </c>
      <c r="C4608" t="s">
        <v>20</v>
      </c>
      <c r="D4608" t="s">
        <v>21</v>
      </c>
      <c r="E4608">
        <v>2222222</v>
      </c>
      <c r="F4608" s="8" t="s">
        <v>22</v>
      </c>
      <c r="G4608" s="2">
        <v>98</v>
      </c>
      <c r="H4608" t="s">
        <v>4653</v>
      </c>
      <c r="J4608" s="9" t="s">
        <v>4836</v>
      </c>
      <c r="K4608" t="s">
        <v>4880</v>
      </c>
      <c r="L4608" s="2">
        <v>1</v>
      </c>
      <c r="M4608" s="24" t="s">
        <v>5971</v>
      </c>
      <c r="N4608" s="2" t="s">
        <v>23</v>
      </c>
      <c r="O4608" s="18" t="s">
        <v>3490</v>
      </c>
      <c r="P4608" s="18" t="s">
        <v>3781</v>
      </c>
      <c r="Q4608" s="6" t="s">
        <v>4475</v>
      </c>
      <c r="T4608" s="23">
        <v>46153</v>
      </c>
      <c r="U4608" s="23">
        <v>46517</v>
      </c>
      <c r="X4608" s="20">
        <v>2000</v>
      </c>
      <c r="Z4608" s="6" t="s">
        <v>5978</v>
      </c>
      <c r="AA4608" s="14">
        <f t="shared" si="606"/>
        <v>5.9999999999999995E-4</v>
      </c>
      <c r="AB4608">
        <v>1.1074199999999998</v>
      </c>
      <c r="AC4608">
        <v>1.1517168</v>
      </c>
    </row>
    <row r="4609" spans="1:29" x14ac:dyDescent="0.3">
      <c r="A4609">
        <v>152040</v>
      </c>
      <c r="B4609" s="25" t="s">
        <v>5984</v>
      </c>
      <c r="C4609" t="s">
        <v>20</v>
      </c>
      <c r="D4609" t="s">
        <v>21</v>
      </c>
      <c r="E4609">
        <v>2222222</v>
      </c>
      <c r="F4609" s="8" t="s">
        <v>22</v>
      </c>
      <c r="G4609" s="2">
        <v>98</v>
      </c>
      <c r="H4609" t="s">
        <v>4653</v>
      </c>
      <c r="J4609" s="9" t="s">
        <v>4836</v>
      </c>
      <c r="K4609" t="s">
        <v>4991</v>
      </c>
      <c r="L4609" s="2">
        <v>1</v>
      </c>
      <c r="M4609" s="24" t="s">
        <v>5971</v>
      </c>
      <c r="N4609" s="2" t="s">
        <v>23</v>
      </c>
      <c r="O4609" s="18" t="s">
        <v>3491</v>
      </c>
      <c r="P4609" s="18" t="s">
        <v>3781</v>
      </c>
      <c r="Q4609" s="6" t="s">
        <v>4475</v>
      </c>
      <c r="T4609" s="23">
        <v>46225</v>
      </c>
      <c r="U4609" s="23">
        <v>46315</v>
      </c>
      <c r="X4609" s="20">
        <v>4190</v>
      </c>
      <c r="Z4609" s="6" t="s">
        <v>5978</v>
      </c>
      <c r="AA4609" s="14">
        <f t="shared" si="606"/>
        <v>5.9999999999999995E-4</v>
      </c>
      <c r="AB4609">
        <v>2.5139999999999998</v>
      </c>
      <c r="AC4609">
        <v>2.61456</v>
      </c>
    </row>
    <row r="4610" spans="1:29" x14ac:dyDescent="0.3">
      <c r="A4610">
        <v>129722</v>
      </c>
      <c r="B4610" s="25" t="s">
        <v>5984</v>
      </c>
      <c r="C4610" t="s">
        <v>20</v>
      </c>
      <c r="D4610" t="s">
        <v>21</v>
      </c>
      <c r="E4610">
        <v>2222222</v>
      </c>
      <c r="F4610" s="8" t="s">
        <v>22</v>
      </c>
      <c r="G4610" s="2">
        <v>98</v>
      </c>
      <c r="H4610" t="s">
        <v>4654</v>
      </c>
      <c r="J4610" s="9" t="s">
        <v>5039</v>
      </c>
      <c r="K4610" t="s">
        <v>4924</v>
      </c>
      <c r="L4610" s="2">
        <v>1</v>
      </c>
      <c r="M4610" s="24" t="s">
        <v>5971</v>
      </c>
      <c r="N4610" s="2" t="s">
        <v>23</v>
      </c>
      <c r="O4610" s="18" t="s">
        <v>2302</v>
      </c>
      <c r="P4610" s="18" t="s">
        <v>3781</v>
      </c>
      <c r="Q4610" s="6" t="s">
        <v>4475</v>
      </c>
      <c r="T4610" s="23">
        <v>44796</v>
      </c>
      <c r="U4610" s="23">
        <v>46621</v>
      </c>
      <c r="X4610" s="20">
        <v>25000</v>
      </c>
      <c r="Z4610" s="6" t="s">
        <v>5978</v>
      </c>
      <c r="AA4610" s="13">
        <f t="shared" ref="AA4610:AA4614" si="607">+(0.56/1000)</f>
        <v>5.6000000000000006E-4</v>
      </c>
      <c r="AB4610">
        <v>4.3336104000000004</v>
      </c>
      <c r="AC4610">
        <v>4.5069548160000004</v>
      </c>
    </row>
    <row r="4611" spans="1:29" x14ac:dyDescent="0.3">
      <c r="A4611">
        <v>133901</v>
      </c>
      <c r="B4611" s="25" t="s">
        <v>5984</v>
      </c>
      <c r="C4611" t="s">
        <v>20</v>
      </c>
      <c r="D4611" t="s">
        <v>21</v>
      </c>
      <c r="E4611">
        <v>2222222</v>
      </c>
      <c r="F4611" s="8" t="s">
        <v>22</v>
      </c>
      <c r="G4611" s="2">
        <v>98</v>
      </c>
      <c r="H4611" t="s">
        <v>4655</v>
      </c>
      <c r="J4611" s="9" t="s">
        <v>5152</v>
      </c>
      <c r="K4611" t="s">
        <v>4926</v>
      </c>
      <c r="L4611" s="2">
        <v>1</v>
      </c>
      <c r="M4611" s="24" t="s">
        <v>5971</v>
      </c>
      <c r="N4611" s="2" t="s">
        <v>23</v>
      </c>
      <c r="O4611" s="18" t="s">
        <v>3492</v>
      </c>
      <c r="P4611" s="18" t="s">
        <v>3781</v>
      </c>
      <c r="Q4611" s="6" t="s">
        <v>4475</v>
      </c>
      <c r="T4611" s="23">
        <v>45042</v>
      </c>
      <c r="U4611" s="23">
        <v>46874</v>
      </c>
      <c r="X4611" s="20">
        <v>8400</v>
      </c>
      <c r="Z4611" s="6" t="s">
        <v>5978</v>
      </c>
      <c r="AA4611" s="13">
        <f t="shared" si="607"/>
        <v>5.6000000000000006E-4</v>
      </c>
      <c r="AB4611">
        <v>2.2613752000000003</v>
      </c>
      <c r="AC4611">
        <v>2.3518302080000004</v>
      </c>
    </row>
    <row r="4612" spans="1:29" x14ac:dyDescent="0.3">
      <c r="A4612">
        <v>130354</v>
      </c>
      <c r="B4612" s="25" t="s">
        <v>5984</v>
      </c>
      <c r="C4612" t="s">
        <v>20</v>
      </c>
      <c r="D4612" t="s">
        <v>21</v>
      </c>
      <c r="E4612">
        <v>2222222</v>
      </c>
      <c r="F4612" s="8" t="s">
        <v>22</v>
      </c>
      <c r="G4612" s="2">
        <v>98</v>
      </c>
      <c r="H4612" t="s">
        <v>4656</v>
      </c>
      <c r="J4612" s="9" t="s">
        <v>5373</v>
      </c>
      <c r="K4612" t="s">
        <v>5057</v>
      </c>
      <c r="L4612" s="2">
        <v>1</v>
      </c>
      <c r="M4612" s="24" t="s">
        <v>5971</v>
      </c>
      <c r="N4612" s="2" t="s">
        <v>23</v>
      </c>
      <c r="O4612" s="18" t="s">
        <v>3493</v>
      </c>
      <c r="P4612" s="18" t="s">
        <v>3781</v>
      </c>
      <c r="Q4612" s="6" t="s">
        <v>4475</v>
      </c>
      <c r="T4612" s="23">
        <v>44831</v>
      </c>
      <c r="U4612" s="23">
        <v>46388</v>
      </c>
      <c r="X4612" s="20">
        <v>4060</v>
      </c>
      <c r="Z4612" s="6" t="s">
        <v>5978</v>
      </c>
      <c r="AA4612" s="13">
        <f t="shared" si="607"/>
        <v>5.6000000000000006E-4</v>
      </c>
      <c r="AB4612">
        <v>0.38664080000000001</v>
      </c>
      <c r="AC4612">
        <v>0.40210643200000001</v>
      </c>
    </row>
    <row r="4613" spans="1:29" x14ac:dyDescent="0.3">
      <c r="A4613">
        <v>138659</v>
      </c>
      <c r="B4613" s="25" t="s">
        <v>5984</v>
      </c>
      <c r="C4613" t="s">
        <v>20</v>
      </c>
      <c r="D4613" t="s">
        <v>21</v>
      </c>
      <c r="E4613">
        <v>2222222</v>
      </c>
      <c r="F4613" s="8" t="s">
        <v>22</v>
      </c>
      <c r="G4613" s="2">
        <v>98</v>
      </c>
      <c r="H4613" t="s">
        <v>4656</v>
      </c>
      <c r="J4613" s="9" t="s">
        <v>4920</v>
      </c>
      <c r="K4613" t="s">
        <v>5228</v>
      </c>
      <c r="L4613" s="2">
        <v>1</v>
      </c>
      <c r="M4613" s="24" t="s">
        <v>5971</v>
      </c>
      <c r="N4613" s="2" t="s">
        <v>23</v>
      </c>
      <c r="O4613" s="18" t="s">
        <v>3494</v>
      </c>
      <c r="P4613" s="18" t="s">
        <v>0</v>
      </c>
      <c r="Q4613" s="6" t="s">
        <v>4475</v>
      </c>
      <c r="T4613" s="23">
        <v>45372</v>
      </c>
      <c r="U4613" s="23">
        <v>47197</v>
      </c>
      <c r="X4613" s="20">
        <v>12100</v>
      </c>
      <c r="Z4613" s="6" t="s">
        <v>5978</v>
      </c>
      <c r="AA4613" s="13">
        <f t="shared" si="607"/>
        <v>5.6000000000000006E-4</v>
      </c>
      <c r="AB4613">
        <v>4.4102464000000001</v>
      </c>
      <c r="AC4613">
        <v>4.5866562560000004</v>
      </c>
    </row>
    <row r="4614" spans="1:29" x14ac:dyDescent="0.3">
      <c r="A4614">
        <v>140504</v>
      </c>
      <c r="B4614" s="25" t="s">
        <v>5984</v>
      </c>
      <c r="C4614" t="s">
        <v>20</v>
      </c>
      <c r="D4614" t="s">
        <v>21</v>
      </c>
      <c r="E4614">
        <v>2222222</v>
      </c>
      <c r="F4614" s="8" t="s">
        <v>22</v>
      </c>
      <c r="G4614" s="2">
        <v>98</v>
      </c>
      <c r="H4614" t="s">
        <v>4656</v>
      </c>
      <c r="J4614" s="9" t="s">
        <v>4981</v>
      </c>
      <c r="K4614" t="s">
        <v>4829</v>
      </c>
      <c r="L4614" s="2">
        <v>1</v>
      </c>
      <c r="M4614" s="24" t="s">
        <v>5971</v>
      </c>
      <c r="N4614" s="2" t="s">
        <v>23</v>
      </c>
      <c r="O4614" s="18" t="s">
        <v>3495</v>
      </c>
      <c r="P4614" s="18" t="s">
        <v>3781</v>
      </c>
      <c r="Q4614" s="6" t="s">
        <v>4475</v>
      </c>
      <c r="T4614" s="23">
        <v>45391</v>
      </c>
      <c r="U4614" s="23">
        <v>46577</v>
      </c>
      <c r="X4614" s="20">
        <v>4000</v>
      </c>
      <c r="Z4614" s="6" t="s">
        <v>5978</v>
      </c>
      <c r="AA4614" s="13">
        <f t="shared" si="607"/>
        <v>5.6000000000000006E-4</v>
      </c>
      <c r="AB4614">
        <v>1.2718608</v>
      </c>
      <c r="AC4614">
        <v>1.3227352320000001</v>
      </c>
    </row>
    <row r="4615" spans="1:29" x14ac:dyDescent="0.3">
      <c r="A4615">
        <v>141004</v>
      </c>
      <c r="B4615" s="25" t="s">
        <v>5984</v>
      </c>
      <c r="C4615" t="s">
        <v>20</v>
      </c>
      <c r="D4615" t="s">
        <v>21</v>
      </c>
      <c r="E4615">
        <v>2222222</v>
      </c>
      <c r="F4615" s="8" t="s">
        <v>22</v>
      </c>
      <c r="G4615" s="2">
        <v>98</v>
      </c>
      <c r="H4615" t="s">
        <v>4656</v>
      </c>
      <c r="J4615" s="9" t="s">
        <v>4830</v>
      </c>
      <c r="K4615" t="s">
        <v>4956</v>
      </c>
      <c r="L4615" s="2">
        <v>1</v>
      </c>
      <c r="M4615" s="24" t="s">
        <v>5971</v>
      </c>
      <c r="N4615" s="2" t="s">
        <v>23</v>
      </c>
      <c r="O4615" s="18" t="s">
        <v>3496</v>
      </c>
      <c r="P4615" s="18" t="s">
        <v>3781</v>
      </c>
      <c r="Q4615" s="6" t="s">
        <v>4475</v>
      </c>
      <c r="T4615" s="23">
        <v>45425</v>
      </c>
      <c r="U4615" s="23">
        <v>46519</v>
      </c>
      <c r="X4615" s="20">
        <v>5000</v>
      </c>
      <c r="Z4615" s="6" t="s">
        <v>5978</v>
      </c>
      <c r="AA4615" s="14">
        <f t="shared" ref="AA4615:AA4616" si="608">+(0.6/1000)</f>
        <v>5.9999999999999995E-4</v>
      </c>
      <c r="AB4615">
        <v>1.011414</v>
      </c>
      <c r="AC4615">
        <v>1.05187056</v>
      </c>
    </row>
    <row r="4616" spans="1:29" x14ac:dyDescent="0.3">
      <c r="A4616">
        <v>150940</v>
      </c>
      <c r="B4616" s="25" t="s">
        <v>5984</v>
      </c>
      <c r="C4616" t="s">
        <v>20</v>
      </c>
      <c r="D4616" t="s">
        <v>21</v>
      </c>
      <c r="E4616">
        <v>2222222</v>
      </c>
      <c r="F4616" s="8" t="s">
        <v>22</v>
      </c>
      <c r="G4616" s="2">
        <v>98</v>
      </c>
      <c r="H4616" t="s">
        <v>4656</v>
      </c>
      <c r="J4616" s="9" t="s">
        <v>4836</v>
      </c>
      <c r="K4616" t="s">
        <v>5409</v>
      </c>
      <c r="L4616" s="2">
        <v>1</v>
      </c>
      <c r="M4616" s="24" t="s">
        <v>5971</v>
      </c>
      <c r="N4616" s="2" t="s">
        <v>23</v>
      </c>
      <c r="O4616" s="18" t="s">
        <v>3497</v>
      </c>
      <c r="P4616" s="18" t="s">
        <v>3781</v>
      </c>
      <c r="Q4616" s="6" t="s">
        <v>4475</v>
      </c>
      <c r="T4616" s="23">
        <v>46134</v>
      </c>
      <c r="U4616" s="23">
        <v>46865</v>
      </c>
      <c r="X4616" s="20">
        <v>30000</v>
      </c>
      <c r="Z4616" s="6" t="s">
        <v>5978</v>
      </c>
      <c r="AA4616" s="14">
        <f t="shared" si="608"/>
        <v>5.9999999999999995E-4</v>
      </c>
      <c r="AB4616">
        <v>16.034237999999998</v>
      </c>
      <c r="AC4616">
        <v>16.67560752</v>
      </c>
    </row>
    <row r="4617" spans="1:29" x14ac:dyDescent="0.3">
      <c r="A4617">
        <v>140776</v>
      </c>
      <c r="B4617" s="25" t="s">
        <v>5984</v>
      </c>
      <c r="C4617" t="s">
        <v>20</v>
      </c>
      <c r="D4617" t="s">
        <v>21</v>
      </c>
      <c r="E4617">
        <v>2222222</v>
      </c>
      <c r="F4617" s="8" t="s">
        <v>22</v>
      </c>
      <c r="G4617" s="2">
        <v>98</v>
      </c>
      <c r="H4617" t="s">
        <v>4657</v>
      </c>
      <c r="J4617" s="9" t="s">
        <v>4911</v>
      </c>
      <c r="K4617" t="s">
        <v>4872</v>
      </c>
      <c r="L4617" s="2">
        <v>1</v>
      </c>
      <c r="M4617" s="24" t="s">
        <v>5971</v>
      </c>
      <c r="N4617" s="2" t="s">
        <v>23</v>
      </c>
      <c r="O4617" s="18" t="s">
        <v>2832</v>
      </c>
      <c r="P4617" s="18" t="s">
        <v>3781</v>
      </c>
      <c r="Q4617" s="6" t="s">
        <v>4475</v>
      </c>
      <c r="T4617" s="23">
        <v>45411</v>
      </c>
      <c r="U4617" s="23">
        <v>46506</v>
      </c>
      <c r="X4617" s="20">
        <v>4000</v>
      </c>
      <c r="Z4617" s="6" t="s">
        <v>5978</v>
      </c>
      <c r="AA4617" s="13">
        <f>+(0.56/1000)</f>
        <v>5.6000000000000006E-4</v>
      </c>
      <c r="AB4617">
        <v>0.67908400000000013</v>
      </c>
      <c r="AC4617">
        <v>0.70624736000000021</v>
      </c>
    </row>
    <row r="4618" spans="1:29" x14ac:dyDescent="0.3">
      <c r="A4618">
        <v>144634</v>
      </c>
      <c r="B4618" s="25" t="s">
        <v>5984</v>
      </c>
      <c r="C4618" t="s">
        <v>20</v>
      </c>
      <c r="D4618" t="s">
        <v>21</v>
      </c>
      <c r="E4618">
        <v>2222222</v>
      </c>
      <c r="F4618" s="8" t="s">
        <v>22</v>
      </c>
      <c r="G4618" s="2">
        <v>98</v>
      </c>
      <c r="H4618" t="s">
        <v>4657</v>
      </c>
      <c r="J4618" s="9" t="s">
        <v>5056</v>
      </c>
      <c r="K4618" t="s">
        <v>5925</v>
      </c>
      <c r="L4618" s="2">
        <v>1</v>
      </c>
      <c r="M4618" s="24" t="s">
        <v>5971</v>
      </c>
      <c r="N4618" s="2" t="s">
        <v>23</v>
      </c>
      <c r="O4618" s="18" t="s">
        <v>894</v>
      </c>
      <c r="P4618" s="18" t="s">
        <v>3781</v>
      </c>
      <c r="Q4618" s="6" t="s">
        <v>4475</v>
      </c>
      <c r="T4618" s="23">
        <v>45694</v>
      </c>
      <c r="U4618" s="23">
        <v>47522</v>
      </c>
      <c r="X4618" s="20">
        <v>20000</v>
      </c>
      <c r="Z4618" s="6" t="s">
        <v>5978</v>
      </c>
      <c r="AA4618" s="14">
        <f t="shared" ref="AA4618:AA4621" si="609">+(0.6/1000)</f>
        <v>5.9999999999999995E-4</v>
      </c>
      <c r="AB4618">
        <v>9.3013319999999986</v>
      </c>
      <c r="AC4618">
        <v>9.6733852799999998</v>
      </c>
    </row>
    <row r="4619" spans="1:29" x14ac:dyDescent="0.3">
      <c r="A4619">
        <v>151353</v>
      </c>
      <c r="B4619" s="25" t="s">
        <v>5984</v>
      </c>
      <c r="C4619" t="s">
        <v>20</v>
      </c>
      <c r="D4619" t="s">
        <v>21</v>
      </c>
      <c r="E4619">
        <v>2222222</v>
      </c>
      <c r="F4619" s="8" t="s">
        <v>22</v>
      </c>
      <c r="G4619" s="2">
        <v>98</v>
      </c>
      <c r="H4619" t="s">
        <v>4657</v>
      </c>
      <c r="J4619" s="9" t="s">
        <v>5252</v>
      </c>
      <c r="K4619" t="s">
        <v>5733</v>
      </c>
      <c r="L4619" s="2">
        <v>1</v>
      </c>
      <c r="M4619" s="24" t="s">
        <v>5971</v>
      </c>
      <c r="N4619" s="2" t="s">
        <v>23</v>
      </c>
      <c r="O4619" s="18" t="s">
        <v>2753</v>
      </c>
      <c r="P4619" s="18" t="s">
        <v>3781</v>
      </c>
      <c r="Q4619" s="6" t="s">
        <v>4475</v>
      </c>
      <c r="T4619" s="23">
        <v>46162</v>
      </c>
      <c r="U4619" s="23">
        <v>47987</v>
      </c>
      <c r="X4619" s="20">
        <v>13100</v>
      </c>
      <c r="Z4619" s="6" t="s">
        <v>5978</v>
      </c>
      <c r="AA4619" s="14">
        <f t="shared" si="609"/>
        <v>5.9999999999999995E-4</v>
      </c>
      <c r="AB4619">
        <v>7.6550759999999984</v>
      </c>
      <c r="AC4619">
        <v>7.9612790399999991</v>
      </c>
    </row>
    <row r="4620" spans="1:29" x14ac:dyDescent="0.3">
      <c r="A4620">
        <v>151466</v>
      </c>
      <c r="B4620" s="25" t="s">
        <v>5984</v>
      </c>
      <c r="C4620" t="s">
        <v>20</v>
      </c>
      <c r="D4620" t="s">
        <v>21</v>
      </c>
      <c r="E4620">
        <v>2222222</v>
      </c>
      <c r="F4620" s="8" t="s">
        <v>22</v>
      </c>
      <c r="G4620" s="2">
        <v>98</v>
      </c>
      <c r="H4620" t="s">
        <v>4657</v>
      </c>
      <c r="J4620" s="9" t="s">
        <v>4846</v>
      </c>
      <c r="K4620" t="s">
        <v>5421</v>
      </c>
      <c r="L4620" s="2">
        <v>1</v>
      </c>
      <c r="M4620" s="24" t="s">
        <v>5971</v>
      </c>
      <c r="N4620" s="2" t="s">
        <v>23</v>
      </c>
      <c r="O4620" s="18" t="s">
        <v>3498</v>
      </c>
      <c r="P4620" s="18" t="s">
        <v>0</v>
      </c>
      <c r="Q4620" s="6" t="s">
        <v>4475</v>
      </c>
      <c r="T4620" s="23">
        <v>46166</v>
      </c>
      <c r="U4620" s="23">
        <v>46258</v>
      </c>
      <c r="X4620" s="20">
        <v>300</v>
      </c>
      <c r="Z4620" s="6" t="s">
        <v>5978</v>
      </c>
      <c r="AA4620" s="14">
        <f t="shared" si="609"/>
        <v>5.9999999999999995E-4</v>
      </c>
      <c r="AB4620">
        <v>6.0791999999999992E-2</v>
      </c>
      <c r="AC4620">
        <v>6.322367999999999E-2</v>
      </c>
    </row>
    <row r="4621" spans="1:29" x14ac:dyDescent="0.3">
      <c r="A4621">
        <v>151976</v>
      </c>
      <c r="B4621" s="25" t="s">
        <v>5984</v>
      </c>
      <c r="C4621" t="s">
        <v>20</v>
      </c>
      <c r="D4621" t="s">
        <v>21</v>
      </c>
      <c r="E4621">
        <v>2222222</v>
      </c>
      <c r="F4621" s="8" t="s">
        <v>22</v>
      </c>
      <c r="G4621" s="2">
        <v>98</v>
      </c>
      <c r="H4621" t="s">
        <v>4657</v>
      </c>
      <c r="J4621" s="9" t="s">
        <v>5926</v>
      </c>
      <c r="K4621" t="s">
        <v>4924</v>
      </c>
      <c r="L4621" s="2">
        <v>1</v>
      </c>
      <c r="M4621" s="24" t="s">
        <v>5971</v>
      </c>
      <c r="N4621" s="2" t="s">
        <v>23</v>
      </c>
      <c r="O4621" s="18" t="s">
        <v>3499</v>
      </c>
      <c r="P4621" s="18" t="s">
        <v>3781</v>
      </c>
      <c r="Q4621" s="6" t="s">
        <v>4475</v>
      </c>
      <c r="T4621" s="23">
        <v>46203</v>
      </c>
      <c r="U4621" s="23">
        <v>46293</v>
      </c>
      <c r="X4621" s="20">
        <v>1300</v>
      </c>
      <c r="Z4621" s="6" t="s">
        <v>5978</v>
      </c>
      <c r="AA4621" s="14">
        <f t="shared" si="609"/>
        <v>5.9999999999999995E-4</v>
      </c>
      <c r="AB4621">
        <v>0.77999999999999992</v>
      </c>
      <c r="AC4621">
        <v>0.81119999999999992</v>
      </c>
    </row>
    <row r="4622" spans="1:29" x14ac:dyDescent="0.3">
      <c r="A4622">
        <v>123966</v>
      </c>
      <c r="B4622" s="25" t="s">
        <v>5984</v>
      </c>
      <c r="C4622" t="s">
        <v>20</v>
      </c>
      <c r="D4622" t="s">
        <v>21</v>
      </c>
      <c r="E4622">
        <v>2222222</v>
      </c>
      <c r="F4622" s="8" t="s">
        <v>22</v>
      </c>
      <c r="G4622" s="2">
        <v>98</v>
      </c>
      <c r="H4622" t="s">
        <v>4658</v>
      </c>
      <c r="J4622" s="9" t="s">
        <v>4935</v>
      </c>
      <c r="K4622" t="s">
        <v>4983</v>
      </c>
      <c r="L4622" s="2">
        <v>1</v>
      </c>
      <c r="M4622" s="24" t="s">
        <v>5971</v>
      </c>
      <c r="N4622" s="2" t="s">
        <v>23</v>
      </c>
      <c r="O4622" s="18" t="s">
        <v>2200</v>
      </c>
      <c r="P4622" s="18" t="s">
        <v>0</v>
      </c>
      <c r="Q4622" s="6" t="s">
        <v>4475</v>
      </c>
      <c r="T4622" s="23">
        <v>44497</v>
      </c>
      <c r="U4622" s="23">
        <v>47161</v>
      </c>
      <c r="X4622" s="20">
        <v>50600</v>
      </c>
      <c r="Z4622" s="6" t="s">
        <v>5978</v>
      </c>
      <c r="AA4622" s="15">
        <f>+(0.42/1000)</f>
        <v>4.1999999999999996E-4</v>
      </c>
      <c r="AB4622">
        <v>10.7198574</v>
      </c>
      <c r="AC4622">
        <v>11.148651696</v>
      </c>
    </row>
    <row r="4623" spans="1:29" x14ac:dyDescent="0.3">
      <c r="A4623">
        <v>131727</v>
      </c>
      <c r="B4623" s="25" t="s">
        <v>5984</v>
      </c>
      <c r="C4623" t="s">
        <v>20</v>
      </c>
      <c r="D4623" t="s">
        <v>21</v>
      </c>
      <c r="E4623">
        <v>2222222</v>
      </c>
      <c r="F4623" s="8" t="s">
        <v>22</v>
      </c>
      <c r="G4623" s="2">
        <v>98</v>
      </c>
      <c r="H4623" t="s">
        <v>4658</v>
      </c>
      <c r="J4623" s="9" t="s">
        <v>4870</v>
      </c>
      <c r="K4623" t="s">
        <v>5035</v>
      </c>
      <c r="L4623" s="2">
        <v>1</v>
      </c>
      <c r="M4623" s="24" t="s">
        <v>5971</v>
      </c>
      <c r="N4623" s="2" t="s">
        <v>23</v>
      </c>
      <c r="O4623" s="18" t="s">
        <v>3500</v>
      </c>
      <c r="P4623" s="18" t="s">
        <v>0</v>
      </c>
      <c r="Q4623" s="6" t="s">
        <v>4475</v>
      </c>
      <c r="T4623" s="23">
        <v>44936</v>
      </c>
      <c r="U4623" s="23">
        <v>46761</v>
      </c>
      <c r="X4623" s="20">
        <v>8600</v>
      </c>
      <c r="Z4623" s="6" t="s">
        <v>5978</v>
      </c>
      <c r="AA4623" s="13">
        <f t="shared" ref="AA4623:AA4624" si="610">+(0.56/1000)</f>
        <v>5.6000000000000006E-4</v>
      </c>
      <c r="AB4623">
        <v>0.7481656000000001</v>
      </c>
      <c r="AC4623">
        <v>0.77809222400000011</v>
      </c>
    </row>
    <row r="4624" spans="1:29" x14ac:dyDescent="0.3">
      <c r="A4624">
        <v>140002</v>
      </c>
      <c r="B4624" s="25" t="s">
        <v>5984</v>
      </c>
      <c r="C4624" t="s">
        <v>20</v>
      </c>
      <c r="D4624" t="s">
        <v>21</v>
      </c>
      <c r="E4624">
        <v>2222222</v>
      </c>
      <c r="F4624" s="8" t="s">
        <v>22</v>
      </c>
      <c r="G4624" s="2">
        <v>98</v>
      </c>
      <c r="H4624" t="s">
        <v>4658</v>
      </c>
      <c r="J4624" s="9" t="s">
        <v>4870</v>
      </c>
      <c r="K4624" t="s">
        <v>5035</v>
      </c>
      <c r="L4624" s="2">
        <v>1</v>
      </c>
      <c r="M4624" s="24" t="s">
        <v>5971</v>
      </c>
      <c r="N4624" s="2" t="s">
        <v>23</v>
      </c>
      <c r="O4624" s="18" t="s">
        <v>3500</v>
      </c>
      <c r="P4624" s="18" t="s">
        <v>0</v>
      </c>
      <c r="Q4624" s="6" t="s">
        <v>4475</v>
      </c>
      <c r="T4624" s="23">
        <v>45362</v>
      </c>
      <c r="U4624" s="23">
        <v>47917</v>
      </c>
      <c r="X4624" s="20">
        <v>20000</v>
      </c>
      <c r="Z4624" s="6" t="s">
        <v>5978</v>
      </c>
      <c r="AA4624" s="13">
        <f t="shared" si="610"/>
        <v>5.6000000000000006E-4</v>
      </c>
      <c r="AB4624">
        <v>8.4945784</v>
      </c>
      <c r="AC4624">
        <v>8.8343615359999994</v>
      </c>
    </row>
    <row r="4625" spans="1:29" x14ac:dyDescent="0.3">
      <c r="A4625">
        <v>149577</v>
      </c>
      <c r="B4625" s="25" t="s">
        <v>5984</v>
      </c>
      <c r="C4625" t="s">
        <v>20</v>
      </c>
      <c r="D4625" t="s">
        <v>21</v>
      </c>
      <c r="E4625">
        <v>2222222</v>
      </c>
      <c r="F4625" s="8" t="s">
        <v>22</v>
      </c>
      <c r="G4625" s="2">
        <v>98</v>
      </c>
      <c r="H4625" t="s">
        <v>4658</v>
      </c>
      <c r="J4625" s="9" t="s">
        <v>4836</v>
      </c>
      <c r="K4625" t="s">
        <v>4837</v>
      </c>
      <c r="L4625" s="2">
        <v>1</v>
      </c>
      <c r="M4625" s="24" t="s">
        <v>5971</v>
      </c>
      <c r="N4625" s="2" t="s">
        <v>23</v>
      </c>
      <c r="O4625" s="18" t="s">
        <v>3501</v>
      </c>
      <c r="P4625" s="18" t="s">
        <v>3781</v>
      </c>
      <c r="Q4625" s="6" t="s">
        <v>4475</v>
      </c>
      <c r="T4625" s="23">
        <v>46034</v>
      </c>
      <c r="U4625" s="23">
        <v>47495</v>
      </c>
      <c r="X4625" s="20">
        <v>5000</v>
      </c>
      <c r="Z4625" s="6" t="s">
        <v>5978</v>
      </c>
      <c r="AA4625" s="14">
        <f>+(0.6/1000)</f>
        <v>5.9999999999999995E-4</v>
      </c>
      <c r="AB4625">
        <v>2.7287159999999995</v>
      </c>
      <c r="AC4625">
        <v>2.8378646399999994</v>
      </c>
    </row>
    <row r="4626" spans="1:29" x14ac:dyDescent="0.3">
      <c r="A4626">
        <v>140212</v>
      </c>
      <c r="B4626" s="25" t="s">
        <v>5984</v>
      </c>
      <c r="C4626" t="s">
        <v>20</v>
      </c>
      <c r="D4626" t="s">
        <v>21</v>
      </c>
      <c r="E4626">
        <v>2222222</v>
      </c>
      <c r="F4626" s="8" t="s">
        <v>22</v>
      </c>
      <c r="G4626" s="2">
        <v>98</v>
      </c>
      <c r="H4626" t="s">
        <v>4659</v>
      </c>
      <c r="J4626" s="9" t="s">
        <v>4852</v>
      </c>
      <c r="K4626" t="s">
        <v>5519</v>
      </c>
      <c r="L4626" s="2">
        <v>1</v>
      </c>
      <c r="M4626" s="24" t="s">
        <v>5971</v>
      </c>
      <c r="N4626" s="2" t="s">
        <v>23</v>
      </c>
      <c r="O4626" s="18" t="s">
        <v>3502</v>
      </c>
      <c r="P4626" s="18" t="s">
        <v>0</v>
      </c>
      <c r="Q4626" s="6" t="s">
        <v>4475</v>
      </c>
      <c r="T4626" s="23">
        <v>45392</v>
      </c>
      <c r="U4626" s="23">
        <v>46853</v>
      </c>
      <c r="X4626" s="20">
        <v>10000</v>
      </c>
      <c r="Z4626" s="6" t="s">
        <v>5978</v>
      </c>
      <c r="AA4626" s="13">
        <f t="shared" ref="AA4626:AA4627" si="611">+(0.56/1000)</f>
        <v>5.6000000000000006E-4</v>
      </c>
      <c r="AB4626">
        <v>2.8968856000000005</v>
      </c>
      <c r="AC4626">
        <v>3.0127610240000005</v>
      </c>
    </row>
    <row r="4627" spans="1:29" x14ac:dyDescent="0.3">
      <c r="A4627">
        <v>140491</v>
      </c>
      <c r="B4627" s="25" t="s">
        <v>5984</v>
      </c>
      <c r="C4627" t="s">
        <v>20</v>
      </c>
      <c r="D4627" t="s">
        <v>21</v>
      </c>
      <c r="E4627">
        <v>2222222</v>
      </c>
      <c r="F4627" s="8" t="s">
        <v>22</v>
      </c>
      <c r="G4627" s="2">
        <v>98</v>
      </c>
      <c r="H4627" t="s">
        <v>4659</v>
      </c>
      <c r="J4627" s="9" t="s">
        <v>5110</v>
      </c>
      <c r="K4627" t="s">
        <v>4872</v>
      </c>
      <c r="L4627" s="2">
        <v>1</v>
      </c>
      <c r="M4627" s="24" t="s">
        <v>5971</v>
      </c>
      <c r="N4627" s="2" t="s">
        <v>23</v>
      </c>
      <c r="O4627" s="18" t="s">
        <v>3503</v>
      </c>
      <c r="P4627" s="18" t="s">
        <v>3781</v>
      </c>
      <c r="Q4627" s="6" t="s">
        <v>4475</v>
      </c>
      <c r="T4627" s="23">
        <v>45391</v>
      </c>
      <c r="U4627" s="23">
        <v>46486</v>
      </c>
      <c r="X4627" s="20">
        <v>3000</v>
      </c>
      <c r="Z4627" s="6" t="s">
        <v>5978</v>
      </c>
      <c r="AA4627" s="13">
        <f t="shared" si="611"/>
        <v>5.6000000000000006E-4</v>
      </c>
      <c r="AB4627">
        <v>0.50940400000000008</v>
      </c>
      <c r="AC4627">
        <v>0.52978016000000006</v>
      </c>
    </row>
    <row r="4628" spans="1:29" x14ac:dyDescent="0.3">
      <c r="A4628">
        <v>142701</v>
      </c>
      <c r="B4628" s="25" t="s">
        <v>5984</v>
      </c>
      <c r="C4628" t="s">
        <v>20</v>
      </c>
      <c r="D4628" t="s">
        <v>21</v>
      </c>
      <c r="E4628">
        <v>2222222</v>
      </c>
      <c r="F4628" s="8" t="s">
        <v>22</v>
      </c>
      <c r="G4628" s="2">
        <v>98</v>
      </c>
      <c r="H4628" t="s">
        <v>4659</v>
      </c>
      <c r="J4628" s="9" t="s">
        <v>4836</v>
      </c>
      <c r="K4628" t="s">
        <v>4911</v>
      </c>
      <c r="L4628" s="2">
        <v>1</v>
      </c>
      <c r="M4628" s="24" t="s">
        <v>5971</v>
      </c>
      <c r="N4628" s="2" t="s">
        <v>23</v>
      </c>
      <c r="O4628" s="18" t="s">
        <v>3504</v>
      </c>
      <c r="P4628" s="18" t="s">
        <v>3781</v>
      </c>
      <c r="Q4628" s="6" t="s">
        <v>4475</v>
      </c>
      <c r="T4628" s="23">
        <v>45538</v>
      </c>
      <c r="U4628" s="23">
        <v>46268</v>
      </c>
      <c r="X4628" s="20">
        <v>4600</v>
      </c>
      <c r="Z4628" s="6" t="s">
        <v>5978</v>
      </c>
      <c r="AA4628" s="14">
        <f t="shared" ref="AA4628:AA4635" si="612">+(0.6/1000)</f>
        <v>5.9999999999999995E-4</v>
      </c>
      <c r="AB4628">
        <v>0.26247599999999999</v>
      </c>
      <c r="AC4628">
        <v>0.27297504</v>
      </c>
    </row>
    <row r="4629" spans="1:29" x14ac:dyDescent="0.3">
      <c r="A4629">
        <v>146053</v>
      </c>
      <c r="B4629" s="25" t="s">
        <v>5984</v>
      </c>
      <c r="C4629" t="s">
        <v>20</v>
      </c>
      <c r="D4629" t="s">
        <v>21</v>
      </c>
      <c r="E4629">
        <v>2222222</v>
      </c>
      <c r="F4629" s="8" t="s">
        <v>22</v>
      </c>
      <c r="G4629" s="2">
        <v>98</v>
      </c>
      <c r="H4629" t="s">
        <v>4659</v>
      </c>
      <c r="J4629" s="9" t="s">
        <v>5110</v>
      </c>
      <c r="K4629" t="s">
        <v>4872</v>
      </c>
      <c r="L4629" s="2">
        <v>1</v>
      </c>
      <c r="M4629" s="24" t="s">
        <v>5971</v>
      </c>
      <c r="N4629" s="2" t="s">
        <v>23</v>
      </c>
      <c r="O4629" s="18" t="s">
        <v>3503</v>
      </c>
      <c r="P4629" s="18" t="s">
        <v>3781</v>
      </c>
      <c r="Q4629" s="6" t="s">
        <v>4475</v>
      </c>
      <c r="T4629" s="23">
        <v>45786</v>
      </c>
      <c r="U4629" s="23">
        <v>46338</v>
      </c>
      <c r="X4629" s="20">
        <v>1200</v>
      </c>
      <c r="Z4629" s="6" t="s">
        <v>5978</v>
      </c>
      <c r="AA4629" s="14">
        <f t="shared" si="612"/>
        <v>5.9999999999999995E-4</v>
      </c>
      <c r="AB4629">
        <v>0.17718599999999998</v>
      </c>
      <c r="AC4629">
        <v>0.18427343999999998</v>
      </c>
    </row>
    <row r="4630" spans="1:29" x14ac:dyDescent="0.3">
      <c r="A4630">
        <v>149515</v>
      </c>
      <c r="B4630" s="25" t="s">
        <v>5984</v>
      </c>
      <c r="C4630" t="s">
        <v>20</v>
      </c>
      <c r="D4630" t="s">
        <v>21</v>
      </c>
      <c r="E4630">
        <v>2222222</v>
      </c>
      <c r="F4630" s="8" t="s">
        <v>22</v>
      </c>
      <c r="G4630" s="2">
        <v>98</v>
      </c>
      <c r="H4630" t="s">
        <v>4659</v>
      </c>
      <c r="J4630" s="9" t="s">
        <v>4836</v>
      </c>
      <c r="K4630" t="s">
        <v>4911</v>
      </c>
      <c r="L4630" s="2">
        <v>1</v>
      </c>
      <c r="M4630" s="24" t="s">
        <v>5971</v>
      </c>
      <c r="N4630" s="2" t="s">
        <v>23</v>
      </c>
      <c r="O4630" s="18" t="s">
        <v>3504</v>
      </c>
      <c r="P4630" s="18" t="s">
        <v>3781</v>
      </c>
      <c r="Q4630" s="6" t="s">
        <v>4475</v>
      </c>
      <c r="T4630" s="23">
        <v>46032</v>
      </c>
      <c r="U4630" s="23">
        <v>47857</v>
      </c>
      <c r="X4630" s="20">
        <v>20000</v>
      </c>
      <c r="Z4630" s="6" t="s">
        <v>5978</v>
      </c>
      <c r="AA4630" s="14">
        <f t="shared" si="612"/>
        <v>5.9999999999999995E-4</v>
      </c>
      <c r="AB4630">
        <v>11.132016</v>
      </c>
      <c r="AC4630">
        <v>11.57729664</v>
      </c>
    </row>
    <row r="4631" spans="1:29" x14ac:dyDescent="0.3">
      <c r="A4631">
        <v>149916</v>
      </c>
      <c r="B4631" s="25" t="s">
        <v>5984</v>
      </c>
      <c r="C4631" t="s">
        <v>20</v>
      </c>
      <c r="D4631" t="s">
        <v>21</v>
      </c>
      <c r="E4631">
        <v>2222222</v>
      </c>
      <c r="F4631" s="8" t="s">
        <v>22</v>
      </c>
      <c r="G4631" s="2">
        <v>98</v>
      </c>
      <c r="H4631" t="s">
        <v>4659</v>
      </c>
      <c r="J4631" s="9" t="s">
        <v>4892</v>
      </c>
      <c r="K4631" t="s">
        <v>4884</v>
      </c>
      <c r="L4631" s="2">
        <v>1</v>
      </c>
      <c r="M4631" s="24" t="s">
        <v>5971</v>
      </c>
      <c r="N4631" s="2" t="s">
        <v>23</v>
      </c>
      <c r="O4631" s="18" t="s">
        <v>3505</v>
      </c>
      <c r="P4631" s="18" t="s">
        <v>3781</v>
      </c>
      <c r="Q4631" s="6" t="s">
        <v>4475</v>
      </c>
      <c r="T4631" s="23">
        <v>46057</v>
      </c>
      <c r="U4631" s="23">
        <v>47160</v>
      </c>
      <c r="X4631" s="20">
        <v>4000</v>
      </c>
      <c r="Z4631" s="6" t="s">
        <v>5978</v>
      </c>
      <c r="AA4631" s="14">
        <f t="shared" si="612"/>
        <v>5.9999999999999995E-4</v>
      </c>
      <c r="AB4631">
        <v>2.1355439999999999</v>
      </c>
      <c r="AC4631">
        <v>2.2209657599999999</v>
      </c>
    </row>
    <row r="4632" spans="1:29" x14ac:dyDescent="0.3">
      <c r="A4632">
        <v>150586</v>
      </c>
      <c r="B4632" s="25" t="s">
        <v>5984</v>
      </c>
      <c r="C4632" t="s">
        <v>20</v>
      </c>
      <c r="D4632" t="s">
        <v>21</v>
      </c>
      <c r="E4632">
        <v>2222222</v>
      </c>
      <c r="F4632" s="8" t="s">
        <v>22</v>
      </c>
      <c r="G4632" s="2">
        <v>98</v>
      </c>
      <c r="H4632" t="s">
        <v>4659</v>
      </c>
      <c r="J4632" s="9" t="s">
        <v>5112</v>
      </c>
      <c r="K4632" t="s">
        <v>4842</v>
      </c>
      <c r="L4632" s="2">
        <v>1</v>
      </c>
      <c r="M4632" s="24" t="s">
        <v>5971</v>
      </c>
      <c r="N4632" s="2" t="s">
        <v>23</v>
      </c>
      <c r="O4632" s="18" t="s">
        <v>3506</v>
      </c>
      <c r="P4632" s="18" t="s">
        <v>0</v>
      </c>
      <c r="Q4632" s="6" t="s">
        <v>4475</v>
      </c>
      <c r="T4632" s="23">
        <v>46103</v>
      </c>
      <c r="U4632" s="23">
        <v>46467</v>
      </c>
      <c r="X4632" s="20">
        <v>2910</v>
      </c>
      <c r="Z4632" s="6" t="s">
        <v>5978</v>
      </c>
      <c r="AA4632" s="14">
        <f t="shared" si="612"/>
        <v>5.9999999999999995E-4</v>
      </c>
      <c r="AB4632">
        <v>1.196334</v>
      </c>
      <c r="AC4632">
        <v>1.24418736</v>
      </c>
    </row>
    <row r="4633" spans="1:29" x14ac:dyDescent="0.3">
      <c r="A4633">
        <v>150771</v>
      </c>
      <c r="B4633" s="25" t="s">
        <v>5984</v>
      </c>
      <c r="C4633" t="s">
        <v>20</v>
      </c>
      <c r="D4633" t="s">
        <v>21</v>
      </c>
      <c r="E4633">
        <v>2222222</v>
      </c>
      <c r="F4633" s="8" t="s">
        <v>22</v>
      </c>
      <c r="G4633" s="2">
        <v>98</v>
      </c>
      <c r="H4633" t="s">
        <v>4659</v>
      </c>
      <c r="J4633" s="9" t="s">
        <v>5139</v>
      </c>
      <c r="K4633" t="s">
        <v>5075</v>
      </c>
      <c r="L4633" s="2">
        <v>1</v>
      </c>
      <c r="M4633" s="24" t="s">
        <v>5971</v>
      </c>
      <c r="N4633" s="2" t="s">
        <v>23</v>
      </c>
      <c r="O4633" s="18" t="s">
        <v>3507</v>
      </c>
      <c r="P4633" s="18" t="s">
        <v>3781</v>
      </c>
      <c r="Q4633" s="6" t="s">
        <v>4475</v>
      </c>
      <c r="T4633" s="23">
        <v>46114</v>
      </c>
      <c r="U4633" s="23">
        <v>46479</v>
      </c>
      <c r="X4633" s="20">
        <v>600</v>
      </c>
      <c r="Z4633" s="6" t="s">
        <v>5978</v>
      </c>
      <c r="AA4633" s="14">
        <f t="shared" si="612"/>
        <v>5.9999999999999995E-4</v>
      </c>
      <c r="AB4633">
        <v>0.27565200000000001</v>
      </c>
      <c r="AC4633">
        <v>0.28667808</v>
      </c>
    </row>
    <row r="4634" spans="1:29" x14ac:dyDescent="0.3">
      <c r="A4634">
        <v>147237</v>
      </c>
      <c r="B4634" s="25" t="s">
        <v>5984</v>
      </c>
      <c r="C4634" t="s">
        <v>20</v>
      </c>
      <c r="D4634" t="s">
        <v>21</v>
      </c>
      <c r="E4634">
        <v>2222222</v>
      </c>
      <c r="F4634" s="8" t="s">
        <v>22</v>
      </c>
      <c r="G4634" s="2">
        <v>98</v>
      </c>
      <c r="H4634" t="s">
        <v>4660</v>
      </c>
      <c r="J4634" s="9" t="s">
        <v>5750</v>
      </c>
      <c r="K4634" t="s">
        <v>4953</v>
      </c>
      <c r="L4634" s="2">
        <v>1</v>
      </c>
      <c r="M4634" s="24" t="s">
        <v>5971</v>
      </c>
      <c r="N4634" s="2" t="s">
        <v>23</v>
      </c>
      <c r="O4634" s="18" t="s">
        <v>3508</v>
      </c>
      <c r="P4634" s="18" t="s">
        <v>0</v>
      </c>
      <c r="Q4634" s="6" t="s">
        <v>4475</v>
      </c>
      <c r="T4634" s="23">
        <v>45952</v>
      </c>
      <c r="U4634" s="23">
        <v>49603</v>
      </c>
      <c r="X4634" s="20">
        <v>70000</v>
      </c>
      <c r="Z4634" s="6" t="s">
        <v>5978</v>
      </c>
      <c r="AA4634" s="14">
        <f t="shared" si="612"/>
        <v>5.9999999999999995E-4</v>
      </c>
      <c r="AB4634">
        <v>40.279961999999998</v>
      </c>
      <c r="AC4634">
        <v>41.891160479999996</v>
      </c>
    </row>
    <row r="4635" spans="1:29" x14ac:dyDescent="0.3">
      <c r="A4635">
        <v>150525</v>
      </c>
      <c r="B4635" s="25" t="s">
        <v>5984</v>
      </c>
      <c r="C4635" t="s">
        <v>20</v>
      </c>
      <c r="D4635" t="s">
        <v>21</v>
      </c>
      <c r="E4635">
        <v>2222222</v>
      </c>
      <c r="F4635" s="8" t="s">
        <v>22</v>
      </c>
      <c r="G4635" s="2">
        <v>98</v>
      </c>
      <c r="H4635" t="s">
        <v>4660</v>
      </c>
      <c r="J4635" s="9" t="s">
        <v>5098</v>
      </c>
      <c r="K4635" t="s">
        <v>4947</v>
      </c>
      <c r="L4635" s="2">
        <v>1</v>
      </c>
      <c r="M4635" s="24" t="s">
        <v>5971</v>
      </c>
      <c r="N4635" s="2" t="s">
        <v>23</v>
      </c>
      <c r="O4635" s="18" t="s">
        <v>3509</v>
      </c>
      <c r="P4635" s="18" t="s">
        <v>3781</v>
      </c>
      <c r="Q4635" s="6" t="s">
        <v>4475</v>
      </c>
      <c r="T4635" s="23">
        <v>46100</v>
      </c>
      <c r="U4635" s="23">
        <v>47195</v>
      </c>
      <c r="X4635" s="20">
        <v>2000</v>
      </c>
      <c r="Z4635" s="6" t="s">
        <v>5978</v>
      </c>
      <c r="AA4635" s="14">
        <f t="shared" si="612"/>
        <v>5.9999999999999995E-4</v>
      </c>
      <c r="AB4635">
        <v>1.0946219999999998</v>
      </c>
      <c r="AC4635">
        <v>1.1384068799999998</v>
      </c>
    </row>
    <row r="4636" spans="1:29" x14ac:dyDescent="0.3">
      <c r="A4636">
        <v>1365</v>
      </c>
      <c r="B4636" s="25" t="s">
        <v>5984</v>
      </c>
      <c r="C4636" t="s">
        <v>20</v>
      </c>
      <c r="D4636" t="s">
        <v>21</v>
      </c>
      <c r="E4636">
        <v>2222222</v>
      </c>
      <c r="F4636" s="8" t="s">
        <v>22</v>
      </c>
      <c r="G4636" s="2">
        <v>98</v>
      </c>
      <c r="H4636" t="s">
        <v>4661</v>
      </c>
      <c r="J4636" s="9" t="s">
        <v>5214</v>
      </c>
      <c r="K4636" t="s">
        <v>5144</v>
      </c>
      <c r="L4636" s="2">
        <v>1</v>
      </c>
      <c r="M4636" s="24" t="s">
        <v>5971</v>
      </c>
      <c r="N4636" s="2" t="s">
        <v>23</v>
      </c>
      <c r="O4636" s="18" t="s">
        <v>3510</v>
      </c>
      <c r="P4636" s="18" t="s">
        <v>0</v>
      </c>
      <c r="Q4636" s="6" t="s">
        <v>4475</v>
      </c>
      <c r="T4636" s="23">
        <v>39580</v>
      </c>
      <c r="U4636" s="23">
        <v>41041</v>
      </c>
      <c r="X4636" s="20">
        <v>4000</v>
      </c>
      <c r="Z4636" s="6" t="s">
        <v>5978</v>
      </c>
      <c r="AA4636" s="16">
        <f t="shared" ref="AA4636:AA4637" si="613">+(0.36/1000)</f>
        <v>3.5999999999999997E-4</v>
      </c>
      <c r="AB4636">
        <v>1.063134</v>
      </c>
      <c r="AC4636">
        <v>1.10565936</v>
      </c>
    </row>
    <row r="4637" spans="1:29" x14ac:dyDescent="0.3">
      <c r="A4637">
        <v>11810</v>
      </c>
      <c r="B4637" s="25" t="s">
        <v>5984</v>
      </c>
      <c r="C4637" t="s">
        <v>20</v>
      </c>
      <c r="D4637" t="s">
        <v>21</v>
      </c>
      <c r="E4637">
        <v>2222222</v>
      </c>
      <c r="F4637" s="8" t="s">
        <v>22</v>
      </c>
      <c r="G4637" s="2">
        <v>98</v>
      </c>
      <c r="H4637" t="s">
        <v>4661</v>
      </c>
      <c r="J4637" s="9" t="s">
        <v>5214</v>
      </c>
      <c r="K4637" t="s">
        <v>5144</v>
      </c>
      <c r="L4637" s="2">
        <v>1</v>
      </c>
      <c r="M4637" s="24" t="s">
        <v>5971</v>
      </c>
      <c r="N4637" s="2" t="s">
        <v>23</v>
      </c>
      <c r="O4637" s="18" t="s">
        <v>3510</v>
      </c>
      <c r="P4637" s="18" t="s">
        <v>0</v>
      </c>
      <c r="Q4637" s="6" t="s">
        <v>4475</v>
      </c>
      <c r="T4637" s="23">
        <v>40265</v>
      </c>
      <c r="U4637" s="23">
        <v>40357</v>
      </c>
      <c r="X4637" s="20">
        <v>279.14999999999998</v>
      </c>
      <c r="Z4637" s="6" t="s">
        <v>5978</v>
      </c>
      <c r="AA4637" s="16">
        <f t="shared" si="613"/>
        <v>3.5999999999999997E-4</v>
      </c>
      <c r="AB4637">
        <v>0.10049399999999999</v>
      </c>
      <c r="AC4637">
        <v>0.10451375999999998</v>
      </c>
    </row>
    <row r="4638" spans="1:29" x14ac:dyDescent="0.3">
      <c r="A4638">
        <v>116507</v>
      </c>
      <c r="B4638" s="25" t="s">
        <v>5984</v>
      </c>
      <c r="C4638" t="s">
        <v>20</v>
      </c>
      <c r="D4638" t="s">
        <v>21</v>
      </c>
      <c r="E4638">
        <v>2222222</v>
      </c>
      <c r="F4638" s="8" t="s">
        <v>22</v>
      </c>
      <c r="G4638" s="2">
        <v>98</v>
      </c>
      <c r="H4638" t="s">
        <v>4661</v>
      </c>
      <c r="J4638" s="9" t="s">
        <v>5556</v>
      </c>
      <c r="K4638" t="s">
        <v>5192</v>
      </c>
      <c r="L4638" s="2">
        <v>1</v>
      </c>
      <c r="M4638" s="24" t="s">
        <v>5971</v>
      </c>
      <c r="N4638" s="2" t="s">
        <v>23</v>
      </c>
      <c r="O4638" s="18" t="s">
        <v>2704</v>
      </c>
      <c r="P4638" s="18" t="s">
        <v>3781</v>
      </c>
      <c r="Q4638" s="6" t="s">
        <v>4475</v>
      </c>
      <c r="T4638" s="23">
        <v>44154</v>
      </c>
      <c r="U4638" s="23">
        <v>46710</v>
      </c>
      <c r="X4638" s="20">
        <v>40000</v>
      </c>
      <c r="Z4638" s="6" t="s">
        <v>5978</v>
      </c>
      <c r="AA4638" s="15">
        <f>+(0.42/1000)</f>
        <v>4.1999999999999996E-4</v>
      </c>
      <c r="AB4638">
        <v>4.7969333999999995</v>
      </c>
      <c r="AC4638">
        <v>4.9888107359999996</v>
      </c>
    </row>
    <row r="4639" spans="1:29" x14ac:dyDescent="0.3">
      <c r="A4639">
        <v>141343</v>
      </c>
      <c r="B4639" s="25" t="s">
        <v>5984</v>
      </c>
      <c r="C4639" t="s">
        <v>20</v>
      </c>
      <c r="D4639" t="s">
        <v>21</v>
      </c>
      <c r="E4639">
        <v>2222222</v>
      </c>
      <c r="F4639" s="8" t="s">
        <v>22</v>
      </c>
      <c r="G4639" s="2">
        <v>98</v>
      </c>
      <c r="H4639" t="s">
        <v>4661</v>
      </c>
      <c r="J4639" s="9" t="s">
        <v>5927</v>
      </c>
      <c r="K4639" t="s">
        <v>5928</v>
      </c>
      <c r="L4639" s="2">
        <v>1</v>
      </c>
      <c r="M4639" s="24" t="s">
        <v>5971</v>
      </c>
      <c r="N4639" s="2" t="s">
        <v>23</v>
      </c>
      <c r="O4639" s="18" t="s">
        <v>1279</v>
      </c>
      <c r="P4639" s="18" t="s">
        <v>0</v>
      </c>
      <c r="Q4639" s="6" t="s">
        <v>4475</v>
      </c>
      <c r="T4639" s="23">
        <v>45447</v>
      </c>
      <c r="U4639" s="23">
        <v>46242</v>
      </c>
      <c r="X4639" s="20">
        <v>4300</v>
      </c>
      <c r="Z4639" s="6" t="s">
        <v>5978</v>
      </c>
      <c r="AA4639" s="14">
        <f t="shared" ref="AA4639:AA4651" si="614">+(0.6/1000)</f>
        <v>5.9999999999999995E-4</v>
      </c>
      <c r="AB4639">
        <v>0.6165179999999999</v>
      </c>
      <c r="AC4639">
        <v>0.64117871999999987</v>
      </c>
    </row>
    <row r="4640" spans="1:29" x14ac:dyDescent="0.3">
      <c r="A4640">
        <v>144574</v>
      </c>
      <c r="B4640" s="25" t="s">
        <v>5984</v>
      </c>
      <c r="C4640" t="s">
        <v>20</v>
      </c>
      <c r="D4640" t="s">
        <v>21</v>
      </c>
      <c r="E4640">
        <v>2222222</v>
      </c>
      <c r="F4640" s="8" t="s">
        <v>22</v>
      </c>
      <c r="G4640" s="2">
        <v>98</v>
      </c>
      <c r="H4640" t="s">
        <v>4661</v>
      </c>
      <c r="J4640" s="9" t="s">
        <v>5281</v>
      </c>
      <c r="K4640" t="s">
        <v>5929</v>
      </c>
      <c r="L4640" s="2">
        <v>1</v>
      </c>
      <c r="M4640" s="24" t="s">
        <v>5971</v>
      </c>
      <c r="N4640" s="2" t="s">
        <v>23</v>
      </c>
      <c r="O4640" s="18" t="s">
        <v>3225</v>
      </c>
      <c r="P4640" s="18" t="s">
        <v>0</v>
      </c>
      <c r="Q4640" s="6" t="s">
        <v>4475</v>
      </c>
      <c r="T4640" s="23">
        <v>45673</v>
      </c>
      <c r="U4640" s="23">
        <v>46402</v>
      </c>
      <c r="X4640" s="20">
        <v>2000</v>
      </c>
      <c r="Z4640" s="6" t="s">
        <v>5978</v>
      </c>
      <c r="AA4640" s="14">
        <f t="shared" si="614"/>
        <v>5.9999999999999995E-4</v>
      </c>
      <c r="AB4640">
        <v>0.338088</v>
      </c>
      <c r="AC4640">
        <v>0.35161152000000001</v>
      </c>
    </row>
    <row r="4641" spans="1:29" x14ac:dyDescent="0.3">
      <c r="A4641">
        <v>146014</v>
      </c>
      <c r="B4641" s="25" t="s">
        <v>5984</v>
      </c>
      <c r="C4641" t="s">
        <v>20</v>
      </c>
      <c r="D4641" t="s">
        <v>21</v>
      </c>
      <c r="E4641">
        <v>2222222</v>
      </c>
      <c r="F4641" s="8" t="s">
        <v>22</v>
      </c>
      <c r="G4641" s="2">
        <v>98</v>
      </c>
      <c r="H4641" t="s">
        <v>4661</v>
      </c>
      <c r="J4641" s="9" t="s">
        <v>4031</v>
      </c>
      <c r="K4641" t="s">
        <v>5165</v>
      </c>
      <c r="L4641" s="2">
        <v>1</v>
      </c>
      <c r="M4641" s="24" t="s">
        <v>5971</v>
      </c>
      <c r="N4641" s="2" t="s">
        <v>23</v>
      </c>
      <c r="O4641" s="18" t="s">
        <v>3511</v>
      </c>
      <c r="P4641" s="18" t="s">
        <v>3781</v>
      </c>
      <c r="Q4641" s="6" t="s">
        <v>4475</v>
      </c>
      <c r="T4641" s="23">
        <v>45784</v>
      </c>
      <c r="U4641" s="23">
        <v>49435</v>
      </c>
      <c r="X4641" s="20">
        <v>28000</v>
      </c>
      <c r="Z4641" s="6" t="s">
        <v>5978</v>
      </c>
      <c r="AA4641" s="14">
        <f t="shared" si="614"/>
        <v>5.9999999999999995E-4</v>
      </c>
      <c r="AB4641">
        <v>15.824915999999998</v>
      </c>
      <c r="AC4641">
        <v>16.45791264</v>
      </c>
    </row>
    <row r="4642" spans="1:29" x14ac:dyDescent="0.3">
      <c r="A4642">
        <v>147410</v>
      </c>
      <c r="B4642" s="25" t="s">
        <v>5984</v>
      </c>
      <c r="C4642" t="s">
        <v>20</v>
      </c>
      <c r="D4642" t="s">
        <v>21</v>
      </c>
      <c r="E4642">
        <v>2222222</v>
      </c>
      <c r="F4642" s="8" t="s">
        <v>22</v>
      </c>
      <c r="G4642" s="2">
        <v>98</v>
      </c>
      <c r="H4642" t="s">
        <v>4661</v>
      </c>
      <c r="J4642" s="9" t="s">
        <v>5072</v>
      </c>
      <c r="K4642" t="s">
        <v>5930</v>
      </c>
      <c r="L4642" s="2">
        <v>1</v>
      </c>
      <c r="M4642" s="24" t="s">
        <v>5971</v>
      </c>
      <c r="N4642" s="2" t="s">
        <v>23</v>
      </c>
      <c r="O4642" s="18" t="s">
        <v>3512</v>
      </c>
      <c r="P4642" s="18" t="s">
        <v>3781</v>
      </c>
      <c r="Q4642" s="6" t="s">
        <v>4475</v>
      </c>
      <c r="T4642" s="23">
        <v>45910</v>
      </c>
      <c r="U4642" s="23">
        <v>47736</v>
      </c>
      <c r="X4642" s="20">
        <v>100000</v>
      </c>
      <c r="Z4642" s="6" t="s">
        <v>5978</v>
      </c>
      <c r="AA4642" s="14">
        <f t="shared" si="614"/>
        <v>5.9999999999999995E-4</v>
      </c>
      <c r="AB4642">
        <v>52.838729999999998</v>
      </c>
      <c r="AC4642">
        <v>54.9522792</v>
      </c>
    </row>
    <row r="4643" spans="1:29" x14ac:dyDescent="0.3">
      <c r="A4643">
        <v>148895</v>
      </c>
      <c r="B4643" s="25" t="s">
        <v>5984</v>
      </c>
      <c r="C4643" t="s">
        <v>20</v>
      </c>
      <c r="D4643" t="s">
        <v>21</v>
      </c>
      <c r="E4643">
        <v>2222222</v>
      </c>
      <c r="F4643" s="8" t="s">
        <v>22</v>
      </c>
      <c r="G4643" s="2">
        <v>98</v>
      </c>
      <c r="H4643" t="s">
        <v>4661</v>
      </c>
      <c r="J4643" s="9" t="s">
        <v>4911</v>
      </c>
      <c r="K4643" t="s">
        <v>4941</v>
      </c>
      <c r="L4643" s="2">
        <v>1</v>
      </c>
      <c r="M4643" s="24" t="s">
        <v>5971</v>
      </c>
      <c r="N4643" s="2" t="s">
        <v>23</v>
      </c>
      <c r="O4643" s="18" t="s">
        <v>3214</v>
      </c>
      <c r="P4643" s="18" t="s">
        <v>0</v>
      </c>
      <c r="Q4643" s="6" t="s">
        <v>4475</v>
      </c>
      <c r="T4643" s="23">
        <v>46009</v>
      </c>
      <c r="U4643" s="23">
        <v>49660</v>
      </c>
      <c r="X4643" s="20">
        <v>90000</v>
      </c>
      <c r="Z4643" s="6" t="s">
        <v>5978</v>
      </c>
      <c r="AA4643" s="14">
        <f t="shared" si="614"/>
        <v>5.9999999999999995E-4</v>
      </c>
      <c r="AB4643">
        <v>47.665619999999997</v>
      </c>
      <c r="AC4643">
        <v>49.5722448</v>
      </c>
    </row>
    <row r="4644" spans="1:29" x14ac:dyDescent="0.3">
      <c r="A4644">
        <v>149616</v>
      </c>
      <c r="B4644" s="25" t="s">
        <v>5984</v>
      </c>
      <c r="C4644" t="s">
        <v>20</v>
      </c>
      <c r="D4644" t="s">
        <v>21</v>
      </c>
      <c r="E4644">
        <v>2222222</v>
      </c>
      <c r="F4644" s="8" t="s">
        <v>22</v>
      </c>
      <c r="G4644" s="2">
        <v>98</v>
      </c>
      <c r="H4644" t="s">
        <v>4661</v>
      </c>
      <c r="J4644" s="9" t="s">
        <v>5072</v>
      </c>
      <c r="K4644" t="s">
        <v>5930</v>
      </c>
      <c r="L4644" s="2">
        <v>1</v>
      </c>
      <c r="M4644" s="24" t="s">
        <v>5971</v>
      </c>
      <c r="N4644" s="2" t="s">
        <v>23</v>
      </c>
      <c r="O4644" s="18" t="s">
        <v>3512</v>
      </c>
      <c r="P4644" s="18" t="s">
        <v>3781</v>
      </c>
      <c r="Q4644" s="6" t="s">
        <v>4475</v>
      </c>
      <c r="T4644" s="23">
        <v>46050</v>
      </c>
      <c r="U4644" s="23">
        <v>46779</v>
      </c>
      <c r="X4644" s="20">
        <v>15000</v>
      </c>
      <c r="Z4644" s="6" t="s">
        <v>5978</v>
      </c>
      <c r="AA4644" s="14">
        <f t="shared" si="614"/>
        <v>5.9999999999999995E-4</v>
      </c>
      <c r="AB4644">
        <v>6.9733619999999998</v>
      </c>
      <c r="AC4644">
        <v>7.25229648</v>
      </c>
    </row>
    <row r="4645" spans="1:29" x14ac:dyDescent="0.3">
      <c r="A4645">
        <v>151002</v>
      </c>
      <c r="B4645" s="25" t="s">
        <v>5984</v>
      </c>
      <c r="C4645" t="s">
        <v>20</v>
      </c>
      <c r="D4645" t="s">
        <v>21</v>
      </c>
      <c r="E4645">
        <v>2222222</v>
      </c>
      <c r="F4645" s="8" t="s">
        <v>22</v>
      </c>
      <c r="G4645" s="2">
        <v>98</v>
      </c>
      <c r="H4645" t="s">
        <v>4661</v>
      </c>
      <c r="J4645" s="9" t="s">
        <v>5931</v>
      </c>
      <c r="K4645" t="s">
        <v>4853</v>
      </c>
      <c r="L4645" s="2">
        <v>1</v>
      </c>
      <c r="M4645" s="24" t="s">
        <v>5971</v>
      </c>
      <c r="N4645" s="2" t="s">
        <v>23</v>
      </c>
      <c r="O4645" s="18" t="s">
        <v>3513</v>
      </c>
      <c r="P4645" s="18" t="s">
        <v>0</v>
      </c>
      <c r="Q4645" s="6" t="s">
        <v>4475</v>
      </c>
      <c r="T4645" s="23">
        <v>46200</v>
      </c>
      <c r="U4645" s="23">
        <v>53505</v>
      </c>
      <c r="X4645" s="20">
        <v>140000</v>
      </c>
      <c r="Z4645" s="6" t="s">
        <v>5978</v>
      </c>
      <c r="AA4645" s="14">
        <f t="shared" si="614"/>
        <v>5.9999999999999995E-4</v>
      </c>
      <c r="AB4645">
        <v>83.884277999999995</v>
      </c>
      <c r="AC4645">
        <v>87.239649119999996</v>
      </c>
    </row>
    <row r="4646" spans="1:29" x14ac:dyDescent="0.3">
      <c r="A4646">
        <v>151348</v>
      </c>
      <c r="B4646" s="25" t="s">
        <v>5984</v>
      </c>
      <c r="C4646" t="s">
        <v>20</v>
      </c>
      <c r="D4646" t="s">
        <v>21</v>
      </c>
      <c r="E4646">
        <v>2222222</v>
      </c>
      <c r="F4646" s="8" t="s">
        <v>22</v>
      </c>
      <c r="G4646" s="2">
        <v>98</v>
      </c>
      <c r="H4646" t="s">
        <v>4661</v>
      </c>
      <c r="J4646" s="9" t="s">
        <v>4911</v>
      </c>
      <c r="K4646" t="s">
        <v>5075</v>
      </c>
      <c r="L4646" s="2">
        <v>1</v>
      </c>
      <c r="M4646" s="24" t="s">
        <v>5971</v>
      </c>
      <c r="N4646" s="2" t="s">
        <v>23</v>
      </c>
      <c r="O4646" s="18" t="s">
        <v>3514</v>
      </c>
      <c r="P4646" s="18" t="s">
        <v>3781</v>
      </c>
      <c r="Q4646" s="6" t="s">
        <v>4475</v>
      </c>
      <c r="T4646" s="23">
        <v>46157</v>
      </c>
      <c r="U4646" s="23">
        <v>46247</v>
      </c>
      <c r="X4646" s="20">
        <v>5000</v>
      </c>
      <c r="Z4646" s="6" t="s">
        <v>5978</v>
      </c>
      <c r="AA4646" s="14">
        <f t="shared" si="614"/>
        <v>5.9999999999999995E-4</v>
      </c>
      <c r="AB4646">
        <v>2.9999999999999996</v>
      </c>
      <c r="AC4646">
        <v>3.1199999999999997</v>
      </c>
    </row>
    <row r="4647" spans="1:29" x14ac:dyDescent="0.3">
      <c r="A4647">
        <v>151738</v>
      </c>
      <c r="B4647" s="25" t="s">
        <v>5984</v>
      </c>
      <c r="C4647" t="s">
        <v>20</v>
      </c>
      <c r="D4647" t="s">
        <v>21</v>
      </c>
      <c r="E4647">
        <v>2222222</v>
      </c>
      <c r="F4647" s="8" t="s">
        <v>22</v>
      </c>
      <c r="G4647" s="2">
        <v>98</v>
      </c>
      <c r="H4647" t="s">
        <v>4661</v>
      </c>
      <c r="J4647" s="9" t="s">
        <v>5269</v>
      </c>
      <c r="K4647" t="s">
        <v>5193</v>
      </c>
      <c r="L4647" s="2">
        <v>1</v>
      </c>
      <c r="M4647" s="24" t="s">
        <v>5971</v>
      </c>
      <c r="N4647" s="2" t="s">
        <v>23</v>
      </c>
      <c r="O4647" s="18" t="s">
        <v>3515</v>
      </c>
      <c r="P4647" s="18" t="s">
        <v>0</v>
      </c>
      <c r="Q4647" s="6" t="s">
        <v>4475</v>
      </c>
      <c r="T4647" s="23">
        <v>46184</v>
      </c>
      <c r="U4647" s="23">
        <v>46337</v>
      </c>
      <c r="X4647" s="20">
        <v>2500</v>
      </c>
      <c r="Z4647" s="6" t="s">
        <v>5978</v>
      </c>
      <c r="AA4647" s="14">
        <f t="shared" si="614"/>
        <v>5.9999999999999995E-4</v>
      </c>
      <c r="AB4647">
        <v>1.208202</v>
      </c>
      <c r="AC4647">
        <v>1.2565300800000001</v>
      </c>
    </row>
    <row r="4648" spans="1:29" x14ac:dyDescent="0.3">
      <c r="A4648">
        <v>151771</v>
      </c>
      <c r="B4648" s="25" t="s">
        <v>5984</v>
      </c>
      <c r="C4648" t="s">
        <v>20</v>
      </c>
      <c r="D4648" t="s">
        <v>21</v>
      </c>
      <c r="E4648">
        <v>2222222</v>
      </c>
      <c r="F4648" s="8" t="s">
        <v>22</v>
      </c>
      <c r="G4648" s="2">
        <v>98</v>
      </c>
      <c r="H4648" t="s">
        <v>4661</v>
      </c>
      <c r="J4648" s="9" t="s">
        <v>5063</v>
      </c>
      <c r="K4648" t="s">
        <v>5085</v>
      </c>
      <c r="L4648" s="2">
        <v>1</v>
      </c>
      <c r="M4648" s="24" t="s">
        <v>5971</v>
      </c>
      <c r="N4648" s="2" t="s">
        <v>23</v>
      </c>
      <c r="O4648" s="18" t="s">
        <v>3516</v>
      </c>
      <c r="P4648" s="18" t="s">
        <v>0</v>
      </c>
      <c r="Q4648" s="6" t="s">
        <v>4475</v>
      </c>
      <c r="T4648" s="23">
        <v>46185</v>
      </c>
      <c r="U4648" s="23">
        <v>47281</v>
      </c>
      <c r="X4648" s="20">
        <v>1670</v>
      </c>
      <c r="Z4648" s="6" t="s">
        <v>5978</v>
      </c>
      <c r="AA4648" s="14">
        <f t="shared" si="614"/>
        <v>5.9999999999999995E-4</v>
      </c>
      <c r="AB4648">
        <v>0.980352</v>
      </c>
      <c r="AC4648">
        <v>1.0195660799999999</v>
      </c>
    </row>
    <row r="4649" spans="1:29" x14ac:dyDescent="0.3">
      <c r="A4649">
        <v>151796</v>
      </c>
      <c r="B4649" s="25" t="s">
        <v>5984</v>
      </c>
      <c r="C4649" t="s">
        <v>20</v>
      </c>
      <c r="D4649" t="s">
        <v>21</v>
      </c>
      <c r="E4649">
        <v>2222222</v>
      </c>
      <c r="F4649" s="8" t="s">
        <v>22</v>
      </c>
      <c r="G4649" s="2">
        <v>98</v>
      </c>
      <c r="H4649" t="s">
        <v>4661</v>
      </c>
      <c r="J4649" s="9" t="s">
        <v>5617</v>
      </c>
      <c r="K4649" t="s">
        <v>4980</v>
      </c>
      <c r="L4649" s="2">
        <v>1</v>
      </c>
      <c r="M4649" s="24" t="s">
        <v>5971</v>
      </c>
      <c r="N4649" s="2" t="s">
        <v>23</v>
      </c>
      <c r="O4649" s="18" t="s">
        <v>3517</v>
      </c>
      <c r="P4649" s="18" t="s">
        <v>3781</v>
      </c>
      <c r="Q4649" s="6" t="s">
        <v>4475</v>
      </c>
      <c r="T4649" s="23">
        <v>46196</v>
      </c>
      <c r="U4649" s="23">
        <v>47292</v>
      </c>
      <c r="X4649" s="20">
        <v>8240</v>
      </c>
      <c r="Z4649" s="6" t="s">
        <v>5978</v>
      </c>
      <c r="AA4649" s="14">
        <f t="shared" si="614"/>
        <v>5.9999999999999995E-4</v>
      </c>
      <c r="AB4649">
        <v>4.8355619999999995</v>
      </c>
      <c r="AC4649">
        <v>5.0289844799999992</v>
      </c>
    </row>
    <row r="4650" spans="1:29" x14ac:dyDescent="0.3">
      <c r="A4650">
        <v>151915</v>
      </c>
      <c r="B4650" s="25" t="s">
        <v>5984</v>
      </c>
      <c r="C4650" t="s">
        <v>20</v>
      </c>
      <c r="D4650" t="s">
        <v>21</v>
      </c>
      <c r="E4650">
        <v>2222222</v>
      </c>
      <c r="F4650" s="8" t="s">
        <v>22</v>
      </c>
      <c r="G4650" s="2">
        <v>98</v>
      </c>
      <c r="H4650" t="s">
        <v>4661</v>
      </c>
      <c r="J4650" s="9" t="s">
        <v>4843</v>
      </c>
      <c r="K4650" t="s">
        <v>5035</v>
      </c>
      <c r="L4650" s="2">
        <v>1</v>
      </c>
      <c r="M4650" s="24" t="s">
        <v>5971</v>
      </c>
      <c r="N4650" s="2" t="s">
        <v>23</v>
      </c>
      <c r="O4650" s="18" t="s">
        <v>3518</v>
      </c>
      <c r="P4650" s="18" t="s">
        <v>0</v>
      </c>
      <c r="Q4650" s="6" t="s">
        <v>4475</v>
      </c>
      <c r="T4650" s="23">
        <v>46202</v>
      </c>
      <c r="U4650" s="23">
        <v>48028</v>
      </c>
      <c r="X4650" s="20">
        <v>5800</v>
      </c>
      <c r="Z4650" s="6" t="s">
        <v>5978</v>
      </c>
      <c r="AA4650" s="14">
        <f t="shared" si="614"/>
        <v>5.9999999999999995E-4</v>
      </c>
      <c r="AB4650">
        <v>3.4392779999999998</v>
      </c>
      <c r="AC4650">
        <v>3.5768491199999999</v>
      </c>
    </row>
    <row r="4651" spans="1:29" x14ac:dyDescent="0.3">
      <c r="A4651">
        <v>152294</v>
      </c>
      <c r="B4651" s="25" t="s">
        <v>5984</v>
      </c>
      <c r="C4651" t="s">
        <v>20</v>
      </c>
      <c r="D4651" t="s">
        <v>21</v>
      </c>
      <c r="E4651">
        <v>2222222</v>
      </c>
      <c r="F4651" s="8" t="s">
        <v>22</v>
      </c>
      <c r="G4651" s="2">
        <v>98</v>
      </c>
      <c r="H4651" t="s">
        <v>4661</v>
      </c>
      <c r="J4651" s="9" t="s">
        <v>5891</v>
      </c>
      <c r="K4651" t="s">
        <v>5432</v>
      </c>
      <c r="L4651" s="2">
        <v>1</v>
      </c>
      <c r="M4651" s="24" t="s">
        <v>5971</v>
      </c>
      <c r="N4651" s="2" t="s">
        <v>23</v>
      </c>
      <c r="O4651" s="18" t="s">
        <v>1029</v>
      </c>
      <c r="P4651" s="18" t="s">
        <v>0</v>
      </c>
      <c r="Q4651" s="6" t="s">
        <v>4475</v>
      </c>
      <c r="T4651" s="23">
        <v>46225</v>
      </c>
      <c r="U4651" s="23">
        <v>47320</v>
      </c>
      <c r="X4651" s="20">
        <v>3920</v>
      </c>
      <c r="Z4651" s="6" t="s">
        <v>5978</v>
      </c>
      <c r="AA4651" s="14">
        <f t="shared" si="614"/>
        <v>5.9999999999999995E-4</v>
      </c>
      <c r="AB4651">
        <v>2.3519999999999999</v>
      </c>
      <c r="AC4651">
        <v>2.4460799999999998</v>
      </c>
    </row>
    <row r="4652" spans="1:29" x14ac:dyDescent="0.3">
      <c r="A4652">
        <v>103562</v>
      </c>
      <c r="B4652" s="25" t="s">
        <v>5984</v>
      </c>
      <c r="C4652" t="s">
        <v>20</v>
      </c>
      <c r="D4652" t="s">
        <v>21</v>
      </c>
      <c r="E4652">
        <v>2222222</v>
      </c>
      <c r="F4652" s="8" t="s">
        <v>22</v>
      </c>
      <c r="G4652" s="2">
        <v>98</v>
      </c>
      <c r="H4652" t="s">
        <v>4662</v>
      </c>
      <c r="J4652" s="9" t="s">
        <v>4891</v>
      </c>
      <c r="K4652" t="s">
        <v>5518</v>
      </c>
      <c r="L4652" s="2">
        <v>1</v>
      </c>
      <c r="M4652" s="24" t="s">
        <v>5971</v>
      </c>
      <c r="N4652" s="2" t="s">
        <v>23</v>
      </c>
      <c r="O4652" s="18" t="s">
        <v>1399</v>
      </c>
      <c r="P4652" s="18" t="s">
        <v>3781</v>
      </c>
      <c r="Q4652" s="6" t="s">
        <v>4475</v>
      </c>
      <c r="T4652" s="23">
        <v>43554</v>
      </c>
      <c r="U4652" s="23">
        <v>46117</v>
      </c>
      <c r="X4652" s="20">
        <v>7900</v>
      </c>
      <c r="Z4652" s="6" t="s">
        <v>5978</v>
      </c>
      <c r="AA4652" s="15">
        <f t="shared" ref="AA4652:AA4654" si="615">+(0.42/1000)</f>
        <v>4.1999999999999996E-4</v>
      </c>
      <c r="AB4652">
        <v>3.2959163999999999</v>
      </c>
      <c r="AC4652">
        <v>3.4277530559999998</v>
      </c>
    </row>
    <row r="4653" spans="1:29" x14ac:dyDescent="0.3">
      <c r="A4653">
        <v>114608</v>
      </c>
      <c r="B4653" s="25" t="s">
        <v>5984</v>
      </c>
      <c r="C4653" t="s">
        <v>20</v>
      </c>
      <c r="D4653" t="s">
        <v>21</v>
      </c>
      <c r="E4653">
        <v>2222222</v>
      </c>
      <c r="F4653" s="8" t="s">
        <v>22</v>
      </c>
      <c r="G4653" s="2">
        <v>98</v>
      </c>
      <c r="H4653" t="s">
        <v>4663</v>
      </c>
      <c r="J4653" s="9" t="s">
        <v>5240</v>
      </c>
      <c r="K4653" t="s">
        <v>5035</v>
      </c>
      <c r="L4653" s="2">
        <v>1</v>
      </c>
      <c r="M4653" s="24" t="s">
        <v>5971</v>
      </c>
      <c r="N4653" s="2" t="s">
        <v>23</v>
      </c>
      <c r="O4653" s="18" t="s">
        <v>2638</v>
      </c>
      <c r="P4653" s="18" t="s">
        <v>0</v>
      </c>
      <c r="Q4653" s="6" t="s">
        <v>4475</v>
      </c>
      <c r="T4653" s="23">
        <v>44061</v>
      </c>
      <c r="U4653" s="23">
        <v>46404</v>
      </c>
      <c r="X4653" s="20">
        <v>20465.3</v>
      </c>
      <c r="Z4653" s="6" t="s">
        <v>5978</v>
      </c>
      <c r="AA4653" s="15">
        <f t="shared" si="615"/>
        <v>4.1999999999999996E-4</v>
      </c>
      <c r="AB4653">
        <v>1.6321914</v>
      </c>
      <c r="AC4653">
        <v>1.6974790559999999</v>
      </c>
    </row>
    <row r="4654" spans="1:29" x14ac:dyDescent="0.3">
      <c r="A4654">
        <v>120583</v>
      </c>
      <c r="B4654" s="25" t="s">
        <v>5984</v>
      </c>
      <c r="C4654" t="s">
        <v>20</v>
      </c>
      <c r="D4654" t="s">
        <v>21</v>
      </c>
      <c r="E4654">
        <v>2222222</v>
      </c>
      <c r="F4654" s="8" t="s">
        <v>22</v>
      </c>
      <c r="G4654" s="2">
        <v>98</v>
      </c>
      <c r="H4654" t="s">
        <v>4663</v>
      </c>
      <c r="J4654" s="9" t="s">
        <v>4838</v>
      </c>
      <c r="K4654" t="s">
        <v>4853</v>
      </c>
      <c r="L4654" s="2">
        <v>1</v>
      </c>
      <c r="M4654" s="24" t="s">
        <v>5971</v>
      </c>
      <c r="N4654" s="2" t="s">
        <v>23</v>
      </c>
      <c r="O4654" s="18" t="s">
        <v>3519</v>
      </c>
      <c r="P4654" s="18" t="s">
        <v>0</v>
      </c>
      <c r="Q4654" s="6" t="s">
        <v>4475</v>
      </c>
      <c r="T4654" s="23">
        <v>44335</v>
      </c>
      <c r="U4654" s="23">
        <v>46891</v>
      </c>
      <c r="X4654" s="20">
        <v>22000</v>
      </c>
      <c r="Z4654" s="6" t="s">
        <v>5978</v>
      </c>
      <c r="AA4654" s="15">
        <f t="shared" si="615"/>
        <v>4.1999999999999996E-4</v>
      </c>
      <c r="AB4654">
        <v>3.1163621999999997</v>
      </c>
      <c r="AC4654">
        <v>3.2410166879999998</v>
      </c>
    </row>
    <row r="4655" spans="1:29" x14ac:dyDescent="0.3">
      <c r="A4655">
        <v>134285</v>
      </c>
      <c r="B4655" s="25" t="s">
        <v>5984</v>
      </c>
      <c r="C4655" t="s">
        <v>20</v>
      </c>
      <c r="D4655" t="s">
        <v>21</v>
      </c>
      <c r="E4655">
        <v>2222222</v>
      </c>
      <c r="F4655" s="8" t="s">
        <v>22</v>
      </c>
      <c r="G4655" s="2">
        <v>98</v>
      </c>
      <c r="H4655" t="s">
        <v>4663</v>
      </c>
      <c r="J4655" s="9" t="s">
        <v>4836</v>
      </c>
      <c r="K4655" t="s">
        <v>4941</v>
      </c>
      <c r="L4655" s="2">
        <v>1</v>
      </c>
      <c r="M4655" s="24" t="s">
        <v>5971</v>
      </c>
      <c r="N4655" s="2" t="s">
        <v>23</v>
      </c>
      <c r="O4655" s="18" t="s">
        <v>3520</v>
      </c>
      <c r="P4655" s="18" t="s">
        <v>3781</v>
      </c>
      <c r="Q4655" s="6" t="s">
        <v>4475</v>
      </c>
      <c r="T4655" s="23">
        <v>45046</v>
      </c>
      <c r="U4655" s="23">
        <v>47696</v>
      </c>
      <c r="X4655" s="20">
        <v>20000</v>
      </c>
      <c r="Z4655" s="6" t="s">
        <v>5978</v>
      </c>
      <c r="AA4655" s="13">
        <f t="shared" ref="AA4655:AA4661" si="616">+(0.56/1000)</f>
        <v>5.6000000000000006E-4</v>
      </c>
      <c r="AB4655">
        <v>7.2540048000000006</v>
      </c>
      <c r="AC4655">
        <v>7.5441649920000007</v>
      </c>
    </row>
    <row r="4656" spans="1:29" x14ac:dyDescent="0.3">
      <c r="A4656">
        <v>134431</v>
      </c>
      <c r="B4656" s="25" t="s">
        <v>5984</v>
      </c>
      <c r="C4656" t="s">
        <v>20</v>
      </c>
      <c r="D4656" t="s">
        <v>21</v>
      </c>
      <c r="E4656">
        <v>2222222</v>
      </c>
      <c r="F4656" s="8" t="s">
        <v>22</v>
      </c>
      <c r="G4656" s="2">
        <v>98</v>
      </c>
      <c r="H4656" t="s">
        <v>4663</v>
      </c>
      <c r="J4656" s="9" t="s">
        <v>5008</v>
      </c>
      <c r="K4656" t="s">
        <v>4966</v>
      </c>
      <c r="L4656" s="2">
        <v>1</v>
      </c>
      <c r="M4656" s="24" t="s">
        <v>5971</v>
      </c>
      <c r="N4656" s="2" t="s">
        <v>23</v>
      </c>
      <c r="O4656" s="18" t="s">
        <v>2463</v>
      </c>
      <c r="P4656" s="18" t="s">
        <v>0</v>
      </c>
      <c r="Q4656" s="6" t="s">
        <v>4475</v>
      </c>
      <c r="T4656" s="23">
        <v>45067</v>
      </c>
      <c r="U4656" s="23">
        <v>47715</v>
      </c>
      <c r="X4656" s="20">
        <v>30000</v>
      </c>
      <c r="Z4656" s="6" t="s">
        <v>5978</v>
      </c>
      <c r="AA4656" s="13">
        <f t="shared" si="616"/>
        <v>5.6000000000000006E-4</v>
      </c>
      <c r="AB4656">
        <v>11.728948000000001</v>
      </c>
      <c r="AC4656">
        <v>12.198105920000001</v>
      </c>
    </row>
    <row r="4657" spans="1:29" x14ac:dyDescent="0.3">
      <c r="A4657">
        <v>137079</v>
      </c>
      <c r="B4657" s="25" t="s">
        <v>5984</v>
      </c>
      <c r="C4657" t="s">
        <v>20</v>
      </c>
      <c r="D4657" t="s">
        <v>21</v>
      </c>
      <c r="E4657">
        <v>2222222</v>
      </c>
      <c r="F4657" s="8" t="s">
        <v>22</v>
      </c>
      <c r="G4657" s="2">
        <v>98</v>
      </c>
      <c r="H4657" t="s">
        <v>4663</v>
      </c>
      <c r="J4657" s="9" t="s">
        <v>5132</v>
      </c>
      <c r="K4657" t="s">
        <v>5025</v>
      </c>
      <c r="L4657" s="2">
        <v>1</v>
      </c>
      <c r="M4657" s="24" t="s">
        <v>5971</v>
      </c>
      <c r="N4657" s="2" t="s">
        <v>23</v>
      </c>
      <c r="O4657" s="18" t="s">
        <v>3521</v>
      </c>
      <c r="P4657" s="18" t="s">
        <v>3781</v>
      </c>
      <c r="Q4657" s="6" t="s">
        <v>4475</v>
      </c>
      <c r="T4657" s="23">
        <v>45211</v>
      </c>
      <c r="U4657" s="23">
        <v>47037</v>
      </c>
      <c r="X4657" s="20">
        <v>12000</v>
      </c>
      <c r="Z4657" s="6" t="s">
        <v>5978</v>
      </c>
      <c r="AA4657" s="13">
        <f t="shared" si="616"/>
        <v>5.6000000000000006E-4</v>
      </c>
      <c r="AB4657">
        <v>3.6718528000000004</v>
      </c>
      <c r="AC4657">
        <v>3.8187269120000007</v>
      </c>
    </row>
    <row r="4658" spans="1:29" x14ac:dyDescent="0.3">
      <c r="A4658">
        <v>138693</v>
      </c>
      <c r="B4658" s="25" t="s">
        <v>5984</v>
      </c>
      <c r="C4658" t="s">
        <v>20</v>
      </c>
      <c r="D4658" t="s">
        <v>21</v>
      </c>
      <c r="E4658">
        <v>2222222</v>
      </c>
      <c r="F4658" s="8" t="s">
        <v>22</v>
      </c>
      <c r="G4658" s="2">
        <v>98</v>
      </c>
      <c r="H4658" t="s">
        <v>4663</v>
      </c>
      <c r="J4658" s="9" t="s">
        <v>4901</v>
      </c>
      <c r="K4658" t="s">
        <v>5085</v>
      </c>
      <c r="L4658" s="2">
        <v>1</v>
      </c>
      <c r="M4658" s="24" t="s">
        <v>5971</v>
      </c>
      <c r="N4658" s="2" t="s">
        <v>23</v>
      </c>
      <c r="O4658" s="18" t="s">
        <v>3522</v>
      </c>
      <c r="P4658" s="18" t="s">
        <v>0</v>
      </c>
      <c r="Q4658" s="6" t="s">
        <v>4475</v>
      </c>
      <c r="T4658" s="23">
        <v>45293</v>
      </c>
      <c r="U4658" s="23">
        <v>47119</v>
      </c>
      <c r="X4658" s="20">
        <v>4090</v>
      </c>
      <c r="Z4658" s="6" t="s">
        <v>5978</v>
      </c>
      <c r="AA4658" s="13">
        <f t="shared" si="616"/>
        <v>5.6000000000000006E-4</v>
      </c>
      <c r="AB4658">
        <v>1.3505912000000002</v>
      </c>
      <c r="AC4658">
        <v>1.4046148480000002</v>
      </c>
    </row>
    <row r="4659" spans="1:29" x14ac:dyDescent="0.3">
      <c r="A4659">
        <v>138889</v>
      </c>
      <c r="B4659" s="25" t="s">
        <v>5984</v>
      </c>
      <c r="C4659" t="s">
        <v>20</v>
      </c>
      <c r="D4659" t="s">
        <v>21</v>
      </c>
      <c r="E4659">
        <v>2222222</v>
      </c>
      <c r="F4659" s="8" t="s">
        <v>22</v>
      </c>
      <c r="G4659" s="2">
        <v>98</v>
      </c>
      <c r="H4659" t="s">
        <v>4663</v>
      </c>
      <c r="J4659" s="9" t="s">
        <v>4925</v>
      </c>
      <c r="K4659" t="s">
        <v>4911</v>
      </c>
      <c r="L4659" s="2">
        <v>1</v>
      </c>
      <c r="M4659" s="24" t="s">
        <v>5971</v>
      </c>
      <c r="N4659" s="2" t="s">
        <v>23</v>
      </c>
      <c r="O4659" s="18" t="s">
        <v>3523</v>
      </c>
      <c r="P4659" s="18" t="s">
        <v>3781</v>
      </c>
      <c r="Q4659" s="6" t="s">
        <v>4475</v>
      </c>
      <c r="T4659" s="23">
        <v>45304</v>
      </c>
      <c r="U4659" s="23">
        <v>46399</v>
      </c>
      <c r="X4659" s="20">
        <v>3000</v>
      </c>
      <c r="Z4659" s="6" t="s">
        <v>5978</v>
      </c>
      <c r="AA4659" s="13">
        <f t="shared" si="616"/>
        <v>5.6000000000000006E-4</v>
      </c>
      <c r="AB4659">
        <v>0.33447680000000002</v>
      </c>
      <c r="AC4659">
        <v>0.34785587200000001</v>
      </c>
    </row>
    <row r="4660" spans="1:29" x14ac:dyDescent="0.3">
      <c r="A4660">
        <v>140186</v>
      </c>
      <c r="B4660" s="25" t="s">
        <v>5984</v>
      </c>
      <c r="C4660" t="s">
        <v>20</v>
      </c>
      <c r="D4660" t="s">
        <v>21</v>
      </c>
      <c r="E4660">
        <v>2222222</v>
      </c>
      <c r="F4660" s="8" t="s">
        <v>22</v>
      </c>
      <c r="G4660" s="2">
        <v>98</v>
      </c>
      <c r="H4660" t="s">
        <v>4663</v>
      </c>
      <c r="J4660" s="9" t="s">
        <v>4873</v>
      </c>
      <c r="K4660" t="s">
        <v>5600</v>
      </c>
      <c r="L4660" s="2">
        <v>1</v>
      </c>
      <c r="M4660" s="24" t="s">
        <v>5971</v>
      </c>
      <c r="N4660" s="2" t="s">
        <v>23</v>
      </c>
      <c r="O4660" s="18" t="s">
        <v>3524</v>
      </c>
      <c r="P4660" s="18" t="s">
        <v>3781</v>
      </c>
      <c r="Q4660" s="6" t="s">
        <v>4475</v>
      </c>
      <c r="T4660" s="23">
        <v>45371</v>
      </c>
      <c r="U4660" s="23">
        <v>47288</v>
      </c>
      <c r="X4660" s="20">
        <v>5000</v>
      </c>
      <c r="Z4660" s="6" t="s">
        <v>5978</v>
      </c>
      <c r="AA4660" s="13">
        <f t="shared" si="616"/>
        <v>5.6000000000000006E-4</v>
      </c>
      <c r="AB4660">
        <v>2.1295120000000001</v>
      </c>
      <c r="AC4660">
        <v>2.2146924800000001</v>
      </c>
    </row>
    <row r="4661" spans="1:29" x14ac:dyDescent="0.3">
      <c r="A4661">
        <v>140298</v>
      </c>
      <c r="B4661" s="25" t="s">
        <v>5984</v>
      </c>
      <c r="C4661" t="s">
        <v>20</v>
      </c>
      <c r="D4661" t="s">
        <v>21</v>
      </c>
      <c r="E4661">
        <v>2222222</v>
      </c>
      <c r="F4661" s="8" t="s">
        <v>22</v>
      </c>
      <c r="G4661" s="2">
        <v>98</v>
      </c>
      <c r="H4661" t="s">
        <v>4663</v>
      </c>
      <c r="J4661" s="9" t="s">
        <v>4838</v>
      </c>
      <c r="K4661" t="s">
        <v>4826</v>
      </c>
      <c r="L4661" s="2">
        <v>1</v>
      </c>
      <c r="M4661" s="24" t="s">
        <v>5971</v>
      </c>
      <c r="N4661" s="2" t="s">
        <v>23</v>
      </c>
      <c r="O4661" s="18" t="s">
        <v>2350</v>
      </c>
      <c r="P4661" s="18" t="s">
        <v>0</v>
      </c>
      <c r="Q4661" s="6" t="s">
        <v>4475</v>
      </c>
      <c r="T4661" s="23">
        <v>45382</v>
      </c>
      <c r="U4661" s="23">
        <v>47209</v>
      </c>
      <c r="X4661" s="20">
        <v>16720</v>
      </c>
      <c r="Z4661" s="6" t="s">
        <v>5978</v>
      </c>
      <c r="AA4661" s="13">
        <f t="shared" si="616"/>
        <v>5.6000000000000006E-4</v>
      </c>
      <c r="AB4661">
        <v>6.0047960000000007</v>
      </c>
      <c r="AC4661">
        <v>6.2449878400000012</v>
      </c>
    </row>
    <row r="4662" spans="1:29" x14ac:dyDescent="0.3">
      <c r="A4662">
        <v>141716</v>
      </c>
      <c r="B4662" s="25" t="s">
        <v>5984</v>
      </c>
      <c r="C4662" t="s">
        <v>20</v>
      </c>
      <c r="D4662" t="s">
        <v>21</v>
      </c>
      <c r="E4662">
        <v>2222222</v>
      </c>
      <c r="F4662" s="8" t="s">
        <v>22</v>
      </c>
      <c r="G4662" s="2">
        <v>98</v>
      </c>
      <c r="H4662" t="s">
        <v>4663</v>
      </c>
      <c r="J4662" s="9" t="s">
        <v>4873</v>
      </c>
      <c r="K4662" t="s">
        <v>5600</v>
      </c>
      <c r="L4662" s="2">
        <v>1</v>
      </c>
      <c r="M4662" s="24" t="s">
        <v>5971</v>
      </c>
      <c r="N4662" s="2" t="s">
        <v>23</v>
      </c>
      <c r="O4662" s="18" t="s">
        <v>3524</v>
      </c>
      <c r="P4662" s="18" t="s">
        <v>3781</v>
      </c>
      <c r="Q4662" s="6" t="s">
        <v>4475</v>
      </c>
      <c r="T4662" s="23">
        <v>45471</v>
      </c>
      <c r="U4662" s="23">
        <v>47024</v>
      </c>
      <c r="X4662" s="20">
        <v>5000</v>
      </c>
      <c r="Z4662" s="6" t="s">
        <v>5978</v>
      </c>
      <c r="AA4662" s="14">
        <f t="shared" ref="AA4662:AA4685" si="617">+(0.6/1000)</f>
        <v>5.9999999999999995E-4</v>
      </c>
      <c r="AB4662">
        <v>2.242038</v>
      </c>
      <c r="AC4662">
        <v>2.33171952</v>
      </c>
    </row>
    <row r="4663" spans="1:29" x14ac:dyDescent="0.3">
      <c r="A4663">
        <v>143953</v>
      </c>
      <c r="B4663" s="25" t="s">
        <v>5984</v>
      </c>
      <c r="C4663" t="s">
        <v>20</v>
      </c>
      <c r="D4663" t="s">
        <v>21</v>
      </c>
      <c r="E4663">
        <v>2222222</v>
      </c>
      <c r="F4663" s="8" t="s">
        <v>22</v>
      </c>
      <c r="G4663" s="2">
        <v>98</v>
      </c>
      <c r="H4663" t="s">
        <v>4663</v>
      </c>
      <c r="J4663" s="9" t="s">
        <v>4898</v>
      </c>
      <c r="K4663" t="s">
        <v>5048</v>
      </c>
      <c r="L4663" s="2">
        <v>1</v>
      </c>
      <c r="M4663" s="24" t="s">
        <v>5971</v>
      </c>
      <c r="N4663" s="2" t="s">
        <v>23</v>
      </c>
      <c r="O4663" s="18" t="s">
        <v>3525</v>
      </c>
      <c r="P4663" s="18" t="s">
        <v>3781</v>
      </c>
      <c r="Q4663" s="6" t="s">
        <v>4475</v>
      </c>
      <c r="T4663" s="23">
        <v>45630</v>
      </c>
      <c r="U4663" s="23">
        <v>46602</v>
      </c>
      <c r="X4663" s="20">
        <v>3250</v>
      </c>
      <c r="Z4663" s="6" t="s">
        <v>5978</v>
      </c>
      <c r="AA4663" s="14">
        <f t="shared" si="617"/>
        <v>5.9999999999999995E-4</v>
      </c>
      <c r="AB4663">
        <v>0.86749199999999993</v>
      </c>
      <c r="AC4663">
        <v>0.90219167999999994</v>
      </c>
    </row>
    <row r="4664" spans="1:29" x14ac:dyDescent="0.3">
      <c r="A4664">
        <v>144600</v>
      </c>
      <c r="B4664" s="25" t="s">
        <v>5984</v>
      </c>
      <c r="C4664" t="s">
        <v>20</v>
      </c>
      <c r="D4664" t="s">
        <v>21</v>
      </c>
      <c r="E4664">
        <v>2222222</v>
      </c>
      <c r="F4664" s="8" t="s">
        <v>22</v>
      </c>
      <c r="G4664" s="2">
        <v>98</v>
      </c>
      <c r="H4664" t="s">
        <v>4663</v>
      </c>
      <c r="J4664" s="9" t="s">
        <v>5605</v>
      </c>
      <c r="K4664" t="s">
        <v>4923</v>
      </c>
      <c r="L4664" s="2">
        <v>1</v>
      </c>
      <c r="M4664" s="24" t="s">
        <v>5971</v>
      </c>
      <c r="N4664" s="2" t="s">
        <v>23</v>
      </c>
      <c r="O4664" s="18" t="s">
        <v>2163</v>
      </c>
      <c r="P4664" s="18" t="s">
        <v>3781</v>
      </c>
      <c r="Q4664" s="6" t="s">
        <v>4475</v>
      </c>
      <c r="T4664" s="23">
        <v>45677</v>
      </c>
      <c r="U4664" s="23">
        <v>46771</v>
      </c>
      <c r="X4664" s="20">
        <v>5000</v>
      </c>
      <c r="Z4664" s="6" t="s">
        <v>5978</v>
      </c>
      <c r="AA4664" s="14">
        <f t="shared" si="617"/>
        <v>5.9999999999999995E-4</v>
      </c>
      <c r="AB4664">
        <v>1.8604379999999998</v>
      </c>
      <c r="AC4664">
        <v>1.9348555199999999</v>
      </c>
    </row>
    <row r="4665" spans="1:29" x14ac:dyDescent="0.3">
      <c r="A4665">
        <v>144639</v>
      </c>
      <c r="B4665" s="25" t="s">
        <v>5984</v>
      </c>
      <c r="C4665" t="s">
        <v>20</v>
      </c>
      <c r="D4665" t="s">
        <v>21</v>
      </c>
      <c r="E4665">
        <v>2222222</v>
      </c>
      <c r="F4665" s="8" t="s">
        <v>22</v>
      </c>
      <c r="G4665" s="2">
        <v>98</v>
      </c>
      <c r="H4665" t="s">
        <v>4663</v>
      </c>
      <c r="J4665" s="9" t="s">
        <v>5796</v>
      </c>
      <c r="K4665" t="s">
        <v>5030</v>
      </c>
      <c r="L4665" s="2">
        <v>1</v>
      </c>
      <c r="M4665" s="24" t="s">
        <v>5971</v>
      </c>
      <c r="N4665" s="2" t="s">
        <v>23</v>
      </c>
      <c r="O4665" s="18" t="s">
        <v>3526</v>
      </c>
      <c r="P4665" s="18" t="s">
        <v>3781</v>
      </c>
      <c r="Q4665" s="6" t="s">
        <v>4475</v>
      </c>
      <c r="T4665" s="23">
        <v>45678</v>
      </c>
      <c r="U4665" s="23">
        <v>46772</v>
      </c>
      <c r="X4665" s="20">
        <v>4000</v>
      </c>
      <c r="Z4665" s="6" t="s">
        <v>5978</v>
      </c>
      <c r="AA4665" s="14">
        <f t="shared" si="617"/>
        <v>5.9999999999999995E-4</v>
      </c>
      <c r="AB4665">
        <v>1.3500839999999998</v>
      </c>
      <c r="AC4665">
        <v>1.4040873599999999</v>
      </c>
    </row>
    <row r="4666" spans="1:29" x14ac:dyDescent="0.3">
      <c r="A4666">
        <v>146329</v>
      </c>
      <c r="B4666" s="25" t="s">
        <v>5984</v>
      </c>
      <c r="C4666" t="s">
        <v>20</v>
      </c>
      <c r="D4666" t="s">
        <v>21</v>
      </c>
      <c r="E4666">
        <v>2222222</v>
      </c>
      <c r="F4666" s="8" t="s">
        <v>22</v>
      </c>
      <c r="G4666" s="2">
        <v>98</v>
      </c>
      <c r="H4666" t="s">
        <v>4663</v>
      </c>
      <c r="J4666" s="9" t="s">
        <v>4836</v>
      </c>
      <c r="K4666" t="s">
        <v>4980</v>
      </c>
      <c r="L4666" s="2">
        <v>1</v>
      </c>
      <c r="M4666" s="24" t="s">
        <v>5971</v>
      </c>
      <c r="N4666" s="2" t="s">
        <v>23</v>
      </c>
      <c r="O4666" s="18" t="s">
        <v>3527</v>
      </c>
      <c r="P4666" s="18" t="s">
        <v>3781</v>
      </c>
      <c r="Q4666" s="6" t="s">
        <v>4475</v>
      </c>
      <c r="T4666" s="23">
        <v>45810</v>
      </c>
      <c r="U4666" s="23">
        <v>46540</v>
      </c>
      <c r="X4666" s="20">
        <v>1500</v>
      </c>
      <c r="Z4666" s="6" t="s">
        <v>5978</v>
      </c>
      <c r="AA4666" s="14">
        <f t="shared" si="617"/>
        <v>5.9999999999999995E-4</v>
      </c>
      <c r="AB4666">
        <v>0.45083399999999996</v>
      </c>
      <c r="AC4666">
        <v>0.46886735999999996</v>
      </c>
    </row>
    <row r="4667" spans="1:29" x14ac:dyDescent="0.3">
      <c r="A4667">
        <v>146896</v>
      </c>
      <c r="B4667" s="25" t="s">
        <v>5984</v>
      </c>
      <c r="C4667" t="s">
        <v>20</v>
      </c>
      <c r="D4667" t="s">
        <v>21</v>
      </c>
      <c r="E4667">
        <v>2222222</v>
      </c>
      <c r="F4667" s="8" t="s">
        <v>22</v>
      </c>
      <c r="G4667" s="2">
        <v>98</v>
      </c>
      <c r="H4667" t="s">
        <v>4663</v>
      </c>
      <c r="J4667" s="9" t="s">
        <v>5605</v>
      </c>
      <c r="K4667" t="s">
        <v>4923</v>
      </c>
      <c r="L4667" s="2">
        <v>1</v>
      </c>
      <c r="M4667" s="24" t="s">
        <v>5971</v>
      </c>
      <c r="N4667" s="2" t="s">
        <v>23</v>
      </c>
      <c r="O4667" s="18" t="s">
        <v>2163</v>
      </c>
      <c r="P4667" s="18" t="s">
        <v>3781</v>
      </c>
      <c r="Q4667" s="6" t="s">
        <v>4475</v>
      </c>
      <c r="T4667" s="23">
        <v>45860</v>
      </c>
      <c r="U4667" s="23">
        <v>46991</v>
      </c>
      <c r="X4667" s="20">
        <v>14500</v>
      </c>
      <c r="Z4667" s="6" t="s">
        <v>5978</v>
      </c>
      <c r="AA4667" s="14">
        <f t="shared" si="617"/>
        <v>5.9999999999999995E-4</v>
      </c>
      <c r="AB4667">
        <v>4.2963839999999998</v>
      </c>
      <c r="AC4667">
        <v>4.4682393600000001</v>
      </c>
    </row>
    <row r="4668" spans="1:29" x14ac:dyDescent="0.3">
      <c r="A4668">
        <v>147626</v>
      </c>
      <c r="B4668" s="25" t="s">
        <v>5984</v>
      </c>
      <c r="C4668" t="s">
        <v>20</v>
      </c>
      <c r="D4668" t="s">
        <v>21</v>
      </c>
      <c r="E4668">
        <v>2222222</v>
      </c>
      <c r="F4668" s="8" t="s">
        <v>22</v>
      </c>
      <c r="G4668" s="2">
        <v>98</v>
      </c>
      <c r="H4668" t="s">
        <v>4663</v>
      </c>
      <c r="J4668" s="9" t="s">
        <v>5091</v>
      </c>
      <c r="K4668" t="s">
        <v>5101</v>
      </c>
      <c r="L4668" s="2">
        <v>1</v>
      </c>
      <c r="M4668" s="24" t="s">
        <v>5971</v>
      </c>
      <c r="N4668" s="2" t="s">
        <v>23</v>
      </c>
      <c r="O4668" s="18" t="s">
        <v>3528</v>
      </c>
      <c r="P4668" s="18" t="s">
        <v>3781</v>
      </c>
      <c r="Q4668" s="6" t="s">
        <v>4475</v>
      </c>
      <c r="T4668" s="23">
        <v>45901</v>
      </c>
      <c r="U4668" s="23">
        <v>46447</v>
      </c>
      <c r="X4668" s="20">
        <v>3500</v>
      </c>
      <c r="Z4668" s="6" t="s">
        <v>5978</v>
      </c>
      <c r="AA4668" s="14">
        <f t="shared" si="617"/>
        <v>5.9999999999999995E-4</v>
      </c>
      <c r="AB4668">
        <v>0.99923399999999996</v>
      </c>
      <c r="AC4668">
        <v>1.0392033599999999</v>
      </c>
    </row>
    <row r="4669" spans="1:29" x14ac:dyDescent="0.3">
      <c r="A4669">
        <v>147946</v>
      </c>
      <c r="B4669" s="25" t="s">
        <v>5984</v>
      </c>
      <c r="C4669" t="s">
        <v>20</v>
      </c>
      <c r="D4669" t="s">
        <v>21</v>
      </c>
      <c r="E4669">
        <v>2222222</v>
      </c>
      <c r="F4669" s="8" t="s">
        <v>22</v>
      </c>
      <c r="G4669" s="2">
        <v>98</v>
      </c>
      <c r="H4669" t="s">
        <v>4663</v>
      </c>
      <c r="J4669" s="9" t="s">
        <v>4970</v>
      </c>
      <c r="K4669" t="s">
        <v>4863</v>
      </c>
      <c r="L4669" s="2">
        <v>1</v>
      </c>
      <c r="M4669" s="24" t="s">
        <v>5971</v>
      </c>
      <c r="N4669" s="2" t="s">
        <v>23</v>
      </c>
      <c r="O4669" s="18" t="s">
        <v>3529</v>
      </c>
      <c r="P4669" s="18" t="s">
        <v>3781</v>
      </c>
      <c r="Q4669" s="6" t="s">
        <v>4475</v>
      </c>
      <c r="T4669" s="23">
        <v>45924</v>
      </c>
      <c r="U4669" s="23">
        <v>47385</v>
      </c>
      <c r="X4669" s="20">
        <v>5000</v>
      </c>
      <c r="Z4669" s="6" t="s">
        <v>5978</v>
      </c>
      <c r="AA4669" s="14">
        <f t="shared" si="617"/>
        <v>5.9999999999999995E-4</v>
      </c>
      <c r="AB4669">
        <v>2.5388099999999998</v>
      </c>
      <c r="AC4669">
        <v>2.6403623999999999</v>
      </c>
    </row>
    <row r="4670" spans="1:29" x14ac:dyDescent="0.3">
      <c r="A4670">
        <v>148160</v>
      </c>
      <c r="B4670" s="25" t="s">
        <v>5984</v>
      </c>
      <c r="C4670" t="s">
        <v>20</v>
      </c>
      <c r="D4670" t="s">
        <v>21</v>
      </c>
      <c r="E4670">
        <v>2222222</v>
      </c>
      <c r="F4670" s="8" t="s">
        <v>22</v>
      </c>
      <c r="G4670" s="2">
        <v>98</v>
      </c>
      <c r="H4670" t="s">
        <v>4663</v>
      </c>
      <c r="J4670" s="9" t="s">
        <v>5193</v>
      </c>
      <c r="K4670" t="s">
        <v>5270</v>
      </c>
      <c r="L4670" s="2">
        <v>1</v>
      </c>
      <c r="M4670" s="24" t="s">
        <v>5971</v>
      </c>
      <c r="N4670" s="2" t="s">
        <v>23</v>
      </c>
      <c r="O4670" s="18" t="s">
        <v>3530</v>
      </c>
      <c r="P4670" s="18" t="s">
        <v>0</v>
      </c>
      <c r="Q4670" s="6" t="s">
        <v>4475</v>
      </c>
      <c r="T4670" s="23">
        <v>45943</v>
      </c>
      <c r="U4670" s="23">
        <v>46856</v>
      </c>
      <c r="X4670" s="20">
        <v>3000</v>
      </c>
      <c r="Z4670" s="6" t="s">
        <v>5978</v>
      </c>
      <c r="AA4670" s="14">
        <f t="shared" si="617"/>
        <v>5.9999999999999995E-4</v>
      </c>
      <c r="AB4670">
        <v>1.3368899999999999</v>
      </c>
      <c r="AC4670">
        <v>1.3903656</v>
      </c>
    </row>
    <row r="4671" spans="1:29" x14ac:dyDescent="0.3">
      <c r="A4671">
        <v>148386</v>
      </c>
      <c r="B4671" s="25" t="s">
        <v>5984</v>
      </c>
      <c r="C4671" t="s">
        <v>20</v>
      </c>
      <c r="D4671" t="s">
        <v>21</v>
      </c>
      <c r="E4671">
        <v>2222222</v>
      </c>
      <c r="F4671" s="8" t="s">
        <v>22</v>
      </c>
      <c r="G4671" s="2">
        <v>98</v>
      </c>
      <c r="H4671" t="s">
        <v>4663</v>
      </c>
      <c r="J4671" s="9" t="s">
        <v>4898</v>
      </c>
      <c r="K4671" t="s">
        <v>5048</v>
      </c>
      <c r="L4671" s="2">
        <v>1</v>
      </c>
      <c r="M4671" s="24" t="s">
        <v>5971</v>
      </c>
      <c r="N4671" s="2" t="s">
        <v>23</v>
      </c>
      <c r="O4671" s="18" t="s">
        <v>3525</v>
      </c>
      <c r="P4671" s="18" t="s">
        <v>3781</v>
      </c>
      <c r="Q4671" s="6" t="s">
        <v>4475</v>
      </c>
      <c r="T4671" s="23">
        <v>45959</v>
      </c>
      <c r="U4671" s="23">
        <v>49614</v>
      </c>
      <c r="X4671" s="20">
        <v>20000</v>
      </c>
      <c r="Z4671" s="6" t="s">
        <v>5978</v>
      </c>
      <c r="AA4671" s="14">
        <f t="shared" si="617"/>
        <v>5.9999999999999995E-4</v>
      </c>
      <c r="AB4671">
        <v>11.566349999999998</v>
      </c>
      <c r="AC4671">
        <v>12.029003999999999</v>
      </c>
    </row>
    <row r="4672" spans="1:29" x14ac:dyDescent="0.3">
      <c r="A4672">
        <v>148685</v>
      </c>
      <c r="B4672" s="25" t="s">
        <v>5984</v>
      </c>
      <c r="C4672" t="s">
        <v>20</v>
      </c>
      <c r="D4672" t="s">
        <v>21</v>
      </c>
      <c r="E4672">
        <v>2222222</v>
      </c>
      <c r="F4672" s="8" t="s">
        <v>22</v>
      </c>
      <c r="G4672" s="2">
        <v>98</v>
      </c>
      <c r="H4672" t="s">
        <v>4663</v>
      </c>
      <c r="J4672" s="9" t="s">
        <v>4838</v>
      </c>
      <c r="K4672" t="s">
        <v>4900</v>
      </c>
      <c r="L4672" s="2">
        <v>1</v>
      </c>
      <c r="M4672" s="24" t="s">
        <v>5971</v>
      </c>
      <c r="N4672" s="2" t="s">
        <v>23</v>
      </c>
      <c r="O4672" s="18" t="s">
        <v>3531</v>
      </c>
      <c r="P4672" s="18" t="s">
        <v>0</v>
      </c>
      <c r="Q4672" s="6" t="s">
        <v>4475</v>
      </c>
      <c r="T4672" s="23">
        <v>45972</v>
      </c>
      <c r="U4672" s="23">
        <v>47433</v>
      </c>
      <c r="X4672" s="20">
        <v>3450</v>
      </c>
      <c r="Z4672" s="6" t="s">
        <v>5978</v>
      </c>
      <c r="AA4672" s="14">
        <f t="shared" si="617"/>
        <v>5.9999999999999995E-4</v>
      </c>
      <c r="AB4672">
        <v>1.8188759999999999</v>
      </c>
      <c r="AC4672">
        <v>1.89163104</v>
      </c>
    </row>
    <row r="4673" spans="1:29" x14ac:dyDescent="0.3">
      <c r="A4673">
        <v>149052</v>
      </c>
      <c r="B4673" s="25" t="s">
        <v>5984</v>
      </c>
      <c r="C4673" t="s">
        <v>20</v>
      </c>
      <c r="D4673" t="s">
        <v>21</v>
      </c>
      <c r="E4673">
        <v>2222222</v>
      </c>
      <c r="F4673" s="8" t="s">
        <v>22</v>
      </c>
      <c r="G4673" s="2">
        <v>98</v>
      </c>
      <c r="H4673" t="s">
        <v>4663</v>
      </c>
      <c r="J4673" s="9" t="s">
        <v>4981</v>
      </c>
      <c r="K4673" t="s">
        <v>4887</v>
      </c>
      <c r="L4673" s="2">
        <v>1</v>
      </c>
      <c r="M4673" s="24" t="s">
        <v>5971</v>
      </c>
      <c r="N4673" s="2" t="s">
        <v>23</v>
      </c>
      <c r="O4673" s="18" t="s">
        <v>3532</v>
      </c>
      <c r="P4673" s="18" t="s">
        <v>3781</v>
      </c>
      <c r="Q4673" s="6" t="s">
        <v>4475</v>
      </c>
      <c r="T4673" s="23">
        <v>45994</v>
      </c>
      <c r="U4673" s="23">
        <v>46906</v>
      </c>
      <c r="X4673" s="20">
        <v>2500</v>
      </c>
      <c r="Z4673" s="6" t="s">
        <v>5978</v>
      </c>
      <c r="AA4673" s="14">
        <f t="shared" si="617"/>
        <v>5.9999999999999995E-4</v>
      </c>
      <c r="AB4673">
        <v>1.2037259999999999</v>
      </c>
      <c r="AC4673">
        <v>1.2518750399999998</v>
      </c>
    </row>
    <row r="4674" spans="1:29" x14ac:dyDescent="0.3">
      <c r="A4674">
        <v>149112</v>
      </c>
      <c r="B4674" s="25" t="s">
        <v>5984</v>
      </c>
      <c r="C4674" t="s">
        <v>20</v>
      </c>
      <c r="D4674" t="s">
        <v>21</v>
      </c>
      <c r="E4674">
        <v>2222222</v>
      </c>
      <c r="F4674" s="8" t="s">
        <v>22</v>
      </c>
      <c r="G4674" s="2">
        <v>98</v>
      </c>
      <c r="H4674" t="s">
        <v>4663</v>
      </c>
      <c r="J4674" s="9" t="s">
        <v>5073</v>
      </c>
      <c r="K4674" t="s">
        <v>5932</v>
      </c>
      <c r="L4674" s="2">
        <v>1</v>
      </c>
      <c r="M4674" s="24" t="s">
        <v>5971</v>
      </c>
      <c r="N4674" s="2" t="s">
        <v>23</v>
      </c>
      <c r="O4674" s="18" t="s">
        <v>2700</v>
      </c>
      <c r="P4674" s="18" t="s">
        <v>3781</v>
      </c>
      <c r="Q4674" s="6" t="s">
        <v>4475</v>
      </c>
      <c r="T4674" s="23">
        <v>45999</v>
      </c>
      <c r="U4674" s="23">
        <v>46728</v>
      </c>
      <c r="X4674" s="20">
        <v>5000</v>
      </c>
      <c r="Z4674" s="6" t="s">
        <v>5978</v>
      </c>
      <c r="AA4674" s="14">
        <f t="shared" si="617"/>
        <v>5.9999999999999995E-4</v>
      </c>
      <c r="AB4674">
        <v>2.2313699999999996</v>
      </c>
      <c r="AC4674">
        <v>2.3206247999999996</v>
      </c>
    </row>
    <row r="4675" spans="1:29" x14ac:dyDescent="0.3">
      <c r="A4675">
        <v>149220</v>
      </c>
      <c r="B4675" s="25" t="s">
        <v>5984</v>
      </c>
      <c r="C4675" t="s">
        <v>20</v>
      </c>
      <c r="D4675" t="s">
        <v>21</v>
      </c>
      <c r="E4675">
        <v>2222222</v>
      </c>
      <c r="F4675" s="8" t="s">
        <v>22</v>
      </c>
      <c r="G4675" s="2">
        <v>98</v>
      </c>
      <c r="H4675" t="s">
        <v>4663</v>
      </c>
      <c r="J4675" s="9" t="s">
        <v>4901</v>
      </c>
      <c r="K4675" t="s">
        <v>5085</v>
      </c>
      <c r="L4675" s="2">
        <v>1</v>
      </c>
      <c r="M4675" s="24" t="s">
        <v>5971</v>
      </c>
      <c r="N4675" s="2" t="s">
        <v>23</v>
      </c>
      <c r="O4675" s="18" t="s">
        <v>3522</v>
      </c>
      <c r="P4675" s="18" t="s">
        <v>0</v>
      </c>
      <c r="Q4675" s="6" t="s">
        <v>4475</v>
      </c>
      <c r="T4675" s="23">
        <v>46006</v>
      </c>
      <c r="U4675" s="23">
        <v>47101</v>
      </c>
      <c r="X4675" s="20">
        <v>4000</v>
      </c>
      <c r="Z4675" s="6" t="s">
        <v>5978</v>
      </c>
      <c r="AA4675" s="14">
        <f t="shared" si="617"/>
        <v>5.9999999999999995E-4</v>
      </c>
      <c r="AB4675">
        <v>2.0222879999999996</v>
      </c>
      <c r="AC4675">
        <v>2.1031795199999999</v>
      </c>
    </row>
    <row r="4676" spans="1:29" x14ac:dyDescent="0.3">
      <c r="A4676">
        <v>149407</v>
      </c>
      <c r="B4676" s="25" t="s">
        <v>5984</v>
      </c>
      <c r="C4676" t="s">
        <v>20</v>
      </c>
      <c r="D4676" t="s">
        <v>21</v>
      </c>
      <c r="E4676">
        <v>2222222</v>
      </c>
      <c r="F4676" s="8" t="s">
        <v>22</v>
      </c>
      <c r="G4676" s="2">
        <v>98</v>
      </c>
      <c r="H4676" t="s">
        <v>4663</v>
      </c>
      <c r="J4676" s="9" t="s">
        <v>5073</v>
      </c>
      <c r="K4676" t="s">
        <v>5932</v>
      </c>
      <c r="L4676" s="2">
        <v>1</v>
      </c>
      <c r="M4676" s="24" t="s">
        <v>5971</v>
      </c>
      <c r="N4676" s="2" t="s">
        <v>23</v>
      </c>
      <c r="O4676" s="18" t="s">
        <v>2700</v>
      </c>
      <c r="P4676" s="18" t="s">
        <v>3781</v>
      </c>
      <c r="Q4676" s="6" t="s">
        <v>4475</v>
      </c>
      <c r="T4676" s="23">
        <v>46021</v>
      </c>
      <c r="U4676" s="23">
        <v>47121</v>
      </c>
      <c r="X4676" s="20">
        <v>3000</v>
      </c>
      <c r="Z4676" s="6" t="s">
        <v>5978</v>
      </c>
      <c r="AA4676" s="14">
        <f t="shared" si="617"/>
        <v>5.9999999999999995E-4</v>
      </c>
      <c r="AB4676">
        <v>1.5581399999999999</v>
      </c>
      <c r="AC4676">
        <v>1.6204656</v>
      </c>
    </row>
    <row r="4677" spans="1:29" x14ac:dyDescent="0.3">
      <c r="A4677">
        <v>150724</v>
      </c>
      <c r="B4677" s="25" t="s">
        <v>5984</v>
      </c>
      <c r="C4677" t="s">
        <v>20</v>
      </c>
      <c r="D4677" t="s">
        <v>21</v>
      </c>
      <c r="E4677">
        <v>2222222</v>
      </c>
      <c r="F4677" s="8" t="s">
        <v>22</v>
      </c>
      <c r="G4677" s="2">
        <v>98</v>
      </c>
      <c r="H4677" t="s">
        <v>4663</v>
      </c>
      <c r="J4677" s="9" t="s">
        <v>4838</v>
      </c>
      <c r="K4677" t="s">
        <v>4826</v>
      </c>
      <c r="L4677" s="2">
        <v>1</v>
      </c>
      <c r="M4677" s="24" t="s">
        <v>5971</v>
      </c>
      <c r="N4677" s="2" t="s">
        <v>23</v>
      </c>
      <c r="O4677" s="18" t="s">
        <v>2350</v>
      </c>
      <c r="P4677" s="18" t="s">
        <v>0</v>
      </c>
      <c r="Q4677" s="6" t="s">
        <v>4475</v>
      </c>
      <c r="T4677" s="23">
        <v>46112</v>
      </c>
      <c r="U4677" s="23">
        <v>46205</v>
      </c>
      <c r="X4677" s="20">
        <v>2590</v>
      </c>
      <c r="Z4677" s="6" t="s">
        <v>5978</v>
      </c>
      <c r="AA4677" s="14">
        <f t="shared" si="617"/>
        <v>5.9999999999999995E-4</v>
      </c>
      <c r="AB4677">
        <v>1.5539999999999998</v>
      </c>
      <c r="AC4677">
        <v>1.6161599999999998</v>
      </c>
    </row>
    <row r="4678" spans="1:29" x14ac:dyDescent="0.3">
      <c r="A4678">
        <v>150786</v>
      </c>
      <c r="B4678" s="25" t="s">
        <v>5984</v>
      </c>
      <c r="C4678" t="s">
        <v>20</v>
      </c>
      <c r="D4678" t="s">
        <v>21</v>
      </c>
      <c r="E4678">
        <v>2222222</v>
      </c>
      <c r="F4678" s="8" t="s">
        <v>22</v>
      </c>
      <c r="G4678" s="2">
        <v>98</v>
      </c>
      <c r="H4678" t="s">
        <v>4663</v>
      </c>
      <c r="J4678" s="9" t="s">
        <v>4929</v>
      </c>
      <c r="K4678" t="s">
        <v>4827</v>
      </c>
      <c r="L4678" s="2">
        <v>1</v>
      </c>
      <c r="M4678" s="24" t="s">
        <v>5971</v>
      </c>
      <c r="N4678" s="2" t="s">
        <v>23</v>
      </c>
      <c r="O4678" s="18" t="s">
        <v>3533</v>
      </c>
      <c r="P4678" s="18" t="s">
        <v>0</v>
      </c>
      <c r="Q4678" s="6" t="s">
        <v>4475</v>
      </c>
      <c r="T4678" s="23">
        <v>46116</v>
      </c>
      <c r="U4678" s="23">
        <v>46280</v>
      </c>
      <c r="X4678" s="20">
        <v>12000</v>
      </c>
      <c r="Z4678" s="6" t="s">
        <v>5978</v>
      </c>
      <c r="AA4678" s="14">
        <f t="shared" si="617"/>
        <v>5.9999999999999995E-4</v>
      </c>
      <c r="AB4678">
        <v>7.1999999999999993</v>
      </c>
      <c r="AC4678">
        <v>7.4879999999999995</v>
      </c>
    </row>
    <row r="4679" spans="1:29" x14ac:dyDescent="0.3">
      <c r="A4679">
        <v>150793</v>
      </c>
      <c r="B4679" s="25" t="s">
        <v>5984</v>
      </c>
      <c r="C4679" t="s">
        <v>20</v>
      </c>
      <c r="D4679" t="s">
        <v>21</v>
      </c>
      <c r="E4679">
        <v>2222222</v>
      </c>
      <c r="F4679" s="8" t="s">
        <v>22</v>
      </c>
      <c r="G4679" s="2">
        <v>98</v>
      </c>
      <c r="H4679" t="s">
        <v>4663</v>
      </c>
      <c r="J4679" s="9" t="s">
        <v>5067</v>
      </c>
      <c r="K4679" t="s">
        <v>5933</v>
      </c>
      <c r="L4679" s="2">
        <v>1</v>
      </c>
      <c r="M4679" s="24" t="s">
        <v>5971</v>
      </c>
      <c r="N4679" s="2" t="s">
        <v>23</v>
      </c>
      <c r="O4679" s="18" t="s">
        <v>3534</v>
      </c>
      <c r="P4679" s="18" t="s">
        <v>3781</v>
      </c>
      <c r="Q4679" s="6" t="s">
        <v>4475</v>
      </c>
      <c r="T4679" s="23">
        <v>46121</v>
      </c>
      <c r="U4679" s="23">
        <v>49779</v>
      </c>
      <c r="X4679" s="20">
        <v>77000</v>
      </c>
      <c r="Z4679" s="6" t="s">
        <v>5978</v>
      </c>
      <c r="AA4679" s="14">
        <f t="shared" si="617"/>
        <v>5.9999999999999995E-4</v>
      </c>
      <c r="AB4679">
        <v>45.527519999999996</v>
      </c>
      <c r="AC4679">
        <v>47.348620799999999</v>
      </c>
    </row>
    <row r="4680" spans="1:29" x14ac:dyDescent="0.3">
      <c r="A4680">
        <v>151330</v>
      </c>
      <c r="B4680" s="25" t="s">
        <v>5984</v>
      </c>
      <c r="C4680" t="s">
        <v>20</v>
      </c>
      <c r="D4680" t="s">
        <v>21</v>
      </c>
      <c r="E4680">
        <v>2222222</v>
      </c>
      <c r="F4680" s="8" t="s">
        <v>22</v>
      </c>
      <c r="G4680" s="2">
        <v>98</v>
      </c>
      <c r="H4680" t="s">
        <v>4663</v>
      </c>
      <c r="J4680" s="9" t="s">
        <v>4988</v>
      </c>
      <c r="K4680" t="s">
        <v>4875</v>
      </c>
      <c r="L4680" s="2">
        <v>1</v>
      </c>
      <c r="M4680" s="24" t="s">
        <v>5971</v>
      </c>
      <c r="N4680" s="2" t="s">
        <v>23</v>
      </c>
      <c r="O4680" s="18" t="s">
        <v>284</v>
      </c>
      <c r="P4680" s="18" t="s">
        <v>0</v>
      </c>
      <c r="Q4680" s="6" t="s">
        <v>4475</v>
      </c>
      <c r="T4680" s="23">
        <v>46156</v>
      </c>
      <c r="U4680" s="23">
        <v>47251</v>
      </c>
      <c r="X4680" s="20">
        <v>1550</v>
      </c>
      <c r="Z4680" s="6" t="s">
        <v>5978</v>
      </c>
      <c r="AA4680" s="14">
        <f t="shared" si="617"/>
        <v>5.9999999999999995E-4</v>
      </c>
      <c r="AB4680">
        <v>0.88953599999999988</v>
      </c>
      <c r="AC4680">
        <v>0.92511743999999996</v>
      </c>
    </row>
    <row r="4681" spans="1:29" x14ac:dyDescent="0.3">
      <c r="A4681">
        <v>151826</v>
      </c>
      <c r="B4681" s="25" t="s">
        <v>5984</v>
      </c>
      <c r="C4681" t="s">
        <v>20</v>
      </c>
      <c r="D4681" t="s">
        <v>21</v>
      </c>
      <c r="E4681">
        <v>2222222</v>
      </c>
      <c r="F4681" s="8" t="s">
        <v>22</v>
      </c>
      <c r="G4681" s="2">
        <v>98</v>
      </c>
      <c r="H4681" t="s">
        <v>4663</v>
      </c>
      <c r="J4681" s="9" t="s">
        <v>4898</v>
      </c>
      <c r="K4681" t="s">
        <v>5048</v>
      </c>
      <c r="L4681" s="2">
        <v>1</v>
      </c>
      <c r="M4681" s="24" t="s">
        <v>5971</v>
      </c>
      <c r="N4681" s="2" t="s">
        <v>23</v>
      </c>
      <c r="O4681" s="18" t="s">
        <v>3525</v>
      </c>
      <c r="P4681" s="18" t="s">
        <v>3781</v>
      </c>
      <c r="Q4681" s="6" t="s">
        <v>4475</v>
      </c>
      <c r="T4681" s="23">
        <v>46193</v>
      </c>
      <c r="U4681" s="23">
        <v>47654</v>
      </c>
      <c r="X4681" s="20">
        <v>4000</v>
      </c>
      <c r="Z4681" s="6" t="s">
        <v>5978</v>
      </c>
      <c r="AA4681" s="14">
        <f t="shared" si="617"/>
        <v>5.9999999999999995E-4</v>
      </c>
      <c r="AB4681">
        <v>2.3556359999999996</v>
      </c>
      <c r="AC4681">
        <v>2.4498614399999998</v>
      </c>
    </row>
    <row r="4682" spans="1:29" x14ac:dyDescent="0.3">
      <c r="A4682">
        <v>151905</v>
      </c>
      <c r="B4682" s="25" t="s">
        <v>5984</v>
      </c>
      <c r="C4682" t="s">
        <v>20</v>
      </c>
      <c r="D4682" t="s">
        <v>21</v>
      </c>
      <c r="E4682">
        <v>2222222</v>
      </c>
      <c r="F4682" s="8" t="s">
        <v>22</v>
      </c>
      <c r="G4682" s="2">
        <v>98</v>
      </c>
      <c r="H4682" t="s">
        <v>4663</v>
      </c>
      <c r="J4682" s="9" t="s">
        <v>4891</v>
      </c>
      <c r="K4682" t="s">
        <v>4516</v>
      </c>
      <c r="L4682" s="2">
        <v>1</v>
      </c>
      <c r="M4682" s="24" t="s">
        <v>5971</v>
      </c>
      <c r="N4682" s="2" t="s">
        <v>23</v>
      </c>
      <c r="O4682" s="18" t="s">
        <v>3535</v>
      </c>
      <c r="P4682" s="18" t="s">
        <v>3781</v>
      </c>
      <c r="Q4682" s="6" t="s">
        <v>4475</v>
      </c>
      <c r="T4682" s="23">
        <v>46196</v>
      </c>
      <c r="U4682" s="23">
        <v>46286</v>
      </c>
      <c r="X4682" s="20">
        <v>2880</v>
      </c>
      <c r="Z4682" s="6" t="s">
        <v>5978</v>
      </c>
      <c r="AA4682" s="14">
        <f t="shared" si="617"/>
        <v>5.9999999999999995E-4</v>
      </c>
      <c r="AB4682">
        <v>1.7279999999999998</v>
      </c>
      <c r="AC4682">
        <v>1.7971199999999998</v>
      </c>
    </row>
    <row r="4683" spans="1:29" x14ac:dyDescent="0.3">
      <c r="A4683">
        <v>151938</v>
      </c>
      <c r="B4683" s="25" t="s">
        <v>5984</v>
      </c>
      <c r="C4683" t="s">
        <v>20</v>
      </c>
      <c r="D4683" t="s">
        <v>21</v>
      </c>
      <c r="E4683">
        <v>2222222</v>
      </c>
      <c r="F4683" s="8" t="s">
        <v>22</v>
      </c>
      <c r="G4683" s="2">
        <v>98</v>
      </c>
      <c r="H4683" t="s">
        <v>4663</v>
      </c>
      <c r="J4683" s="9" t="s">
        <v>4838</v>
      </c>
      <c r="K4683" t="s">
        <v>5800</v>
      </c>
      <c r="L4683" s="2">
        <v>1</v>
      </c>
      <c r="M4683" s="24" t="s">
        <v>5971</v>
      </c>
      <c r="N4683" s="2" t="s">
        <v>23</v>
      </c>
      <c r="O4683" s="18" t="s">
        <v>3536</v>
      </c>
      <c r="P4683" s="18" t="s">
        <v>0</v>
      </c>
      <c r="Q4683" s="6" t="s">
        <v>4475</v>
      </c>
      <c r="T4683" s="23">
        <v>46198</v>
      </c>
      <c r="U4683" s="23">
        <v>46288</v>
      </c>
      <c r="X4683" s="20">
        <v>2550</v>
      </c>
      <c r="Z4683" s="6" t="s">
        <v>5978</v>
      </c>
      <c r="AA4683" s="14">
        <f t="shared" si="617"/>
        <v>5.9999999999999995E-4</v>
      </c>
      <c r="AB4683">
        <v>1.5299999999999998</v>
      </c>
      <c r="AC4683">
        <v>1.5911999999999999</v>
      </c>
    </row>
    <row r="4684" spans="1:29" x14ac:dyDescent="0.3">
      <c r="A4684">
        <v>151949</v>
      </c>
      <c r="B4684" s="25" t="s">
        <v>5984</v>
      </c>
      <c r="C4684" t="s">
        <v>20</v>
      </c>
      <c r="D4684" t="s">
        <v>21</v>
      </c>
      <c r="E4684">
        <v>2222222</v>
      </c>
      <c r="F4684" s="8" t="s">
        <v>22</v>
      </c>
      <c r="G4684" s="2">
        <v>98</v>
      </c>
      <c r="H4684" t="s">
        <v>4663</v>
      </c>
      <c r="J4684" s="9" t="s">
        <v>4836</v>
      </c>
      <c r="K4684" t="s">
        <v>4956</v>
      </c>
      <c r="L4684" s="2">
        <v>1</v>
      </c>
      <c r="M4684" s="24" t="s">
        <v>5971</v>
      </c>
      <c r="N4684" s="2" t="s">
        <v>23</v>
      </c>
      <c r="O4684" s="18" t="s">
        <v>3537</v>
      </c>
      <c r="P4684" s="18" t="s">
        <v>3781</v>
      </c>
      <c r="Q4684" s="6" t="s">
        <v>4475</v>
      </c>
      <c r="T4684" s="23">
        <v>46202</v>
      </c>
      <c r="U4684" s="23">
        <v>46292</v>
      </c>
      <c r="X4684" s="20">
        <v>4980</v>
      </c>
      <c r="Z4684" s="6" t="s">
        <v>5978</v>
      </c>
      <c r="AA4684" s="14">
        <f t="shared" si="617"/>
        <v>5.9999999999999995E-4</v>
      </c>
      <c r="AB4684">
        <v>2.9879999999999995</v>
      </c>
      <c r="AC4684">
        <v>3.1075199999999996</v>
      </c>
    </row>
    <row r="4685" spans="1:29" x14ac:dyDescent="0.3">
      <c r="A4685">
        <v>152337</v>
      </c>
      <c r="B4685" s="25" t="s">
        <v>5984</v>
      </c>
      <c r="C4685" t="s">
        <v>20</v>
      </c>
      <c r="D4685" t="s">
        <v>21</v>
      </c>
      <c r="E4685">
        <v>2222222</v>
      </c>
      <c r="F4685" s="8" t="s">
        <v>22</v>
      </c>
      <c r="G4685" s="2">
        <v>98</v>
      </c>
      <c r="H4685" t="s">
        <v>4663</v>
      </c>
      <c r="J4685" s="9" t="s">
        <v>5091</v>
      </c>
      <c r="K4685" t="s">
        <v>5101</v>
      </c>
      <c r="L4685" s="2">
        <v>1</v>
      </c>
      <c r="M4685" s="24" t="s">
        <v>5971</v>
      </c>
      <c r="N4685" s="2" t="s">
        <v>23</v>
      </c>
      <c r="O4685" s="18" t="s">
        <v>3528</v>
      </c>
      <c r="P4685" s="18" t="s">
        <v>3781</v>
      </c>
      <c r="Q4685" s="6" t="s">
        <v>4475</v>
      </c>
      <c r="T4685" s="23">
        <v>46230</v>
      </c>
      <c r="U4685" s="23">
        <v>46320</v>
      </c>
      <c r="X4685" s="20">
        <v>1000</v>
      </c>
      <c r="Z4685" s="6" t="s">
        <v>5978</v>
      </c>
      <c r="AA4685" s="14">
        <f t="shared" si="617"/>
        <v>5.9999999999999995E-4</v>
      </c>
      <c r="AB4685">
        <v>0.6</v>
      </c>
      <c r="AC4685">
        <v>0.624</v>
      </c>
    </row>
    <row r="4686" spans="1:29" x14ac:dyDescent="0.3">
      <c r="A4686">
        <v>136340</v>
      </c>
      <c r="B4686" s="25" t="s">
        <v>5984</v>
      </c>
      <c r="C4686" t="s">
        <v>20</v>
      </c>
      <c r="D4686" t="s">
        <v>21</v>
      </c>
      <c r="E4686">
        <v>2222222</v>
      </c>
      <c r="F4686" s="8" t="s">
        <v>22</v>
      </c>
      <c r="G4686" s="2">
        <v>98</v>
      </c>
      <c r="H4686" t="s">
        <v>4664</v>
      </c>
      <c r="J4686" s="9" t="s">
        <v>5934</v>
      </c>
      <c r="K4686" t="s">
        <v>5935</v>
      </c>
      <c r="L4686" s="2">
        <v>1</v>
      </c>
      <c r="M4686" s="24" t="s">
        <v>5971</v>
      </c>
      <c r="N4686" s="2" t="s">
        <v>23</v>
      </c>
      <c r="O4686" s="18" t="s">
        <v>3538</v>
      </c>
      <c r="P4686" s="18" t="s">
        <v>0</v>
      </c>
      <c r="Q4686" s="6" t="s">
        <v>4475</v>
      </c>
      <c r="T4686" s="23">
        <v>45170</v>
      </c>
      <c r="U4686" s="23">
        <v>46997</v>
      </c>
      <c r="X4686" s="20">
        <v>6200</v>
      </c>
      <c r="Z4686" s="6" t="s">
        <v>5978</v>
      </c>
      <c r="AA4686" s="13">
        <f t="shared" ref="AA4686:AA4687" si="618">+(0.56/1000)</f>
        <v>5.6000000000000006E-4</v>
      </c>
      <c r="AB4686">
        <v>1.8501056000000002</v>
      </c>
      <c r="AC4686">
        <v>1.9241098240000003</v>
      </c>
    </row>
    <row r="4687" spans="1:29" x14ac:dyDescent="0.3">
      <c r="A4687">
        <v>137356</v>
      </c>
      <c r="B4687" s="25" t="s">
        <v>5984</v>
      </c>
      <c r="C4687" t="s">
        <v>20</v>
      </c>
      <c r="D4687" t="s">
        <v>21</v>
      </c>
      <c r="E4687">
        <v>2222222</v>
      </c>
      <c r="F4687" s="8" t="s">
        <v>22</v>
      </c>
      <c r="G4687" s="2">
        <v>98</v>
      </c>
      <c r="H4687" t="s">
        <v>4664</v>
      </c>
      <c r="J4687" s="9" t="s">
        <v>4836</v>
      </c>
      <c r="K4687" t="s">
        <v>5030</v>
      </c>
      <c r="L4687" s="2">
        <v>1</v>
      </c>
      <c r="M4687" s="24" t="s">
        <v>5971</v>
      </c>
      <c r="N4687" s="2" t="s">
        <v>23</v>
      </c>
      <c r="O4687" s="18" t="s">
        <v>3539</v>
      </c>
      <c r="P4687" s="18" t="s">
        <v>3781</v>
      </c>
      <c r="Q4687" s="6" t="s">
        <v>4475</v>
      </c>
      <c r="T4687" s="23">
        <v>45219</v>
      </c>
      <c r="U4687" s="23">
        <v>46679</v>
      </c>
      <c r="X4687" s="20">
        <v>7600</v>
      </c>
      <c r="Z4687" s="6" t="s">
        <v>5978</v>
      </c>
      <c r="AA4687" s="13">
        <f t="shared" si="618"/>
        <v>5.6000000000000006E-4</v>
      </c>
      <c r="AB4687">
        <v>1.5948968000000003</v>
      </c>
      <c r="AC4687">
        <v>1.6586926720000004</v>
      </c>
    </row>
    <row r="4688" spans="1:29" x14ac:dyDescent="0.3">
      <c r="A4688">
        <v>142488</v>
      </c>
      <c r="B4688" s="25" t="s">
        <v>5984</v>
      </c>
      <c r="C4688" t="s">
        <v>20</v>
      </c>
      <c r="D4688" t="s">
        <v>21</v>
      </c>
      <c r="E4688">
        <v>2222222</v>
      </c>
      <c r="F4688" s="8" t="s">
        <v>22</v>
      </c>
      <c r="G4688" s="2">
        <v>98</v>
      </c>
      <c r="H4688" t="s">
        <v>4664</v>
      </c>
      <c r="J4688" s="9" t="s">
        <v>5316</v>
      </c>
      <c r="K4688" t="s">
        <v>5385</v>
      </c>
      <c r="L4688" s="2">
        <v>1</v>
      </c>
      <c r="M4688" s="24" t="s">
        <v>5971</v>
      </c>
      <c r="N4688" s="2" t="s">
        <v>23</v>
      </c>
      <c r="O4688" s="18" t="s">
        <v>3540</v>
      </c>
      <c r="P4688" s="18" t="s">
        <v>0</v>
      </c>
      <c r="Q4688" s="6" t="s">
        <v>4475</v>
      </c>
      <c r="T4688" s="23">
        <v>45524</v>
      </c>
      <c r="U4688" s="23">
        <v>46253</v>
      </c>
      <c r="X4688" s="20">
        <v>2200</v>
      </c>
      <c r="Z4688" s="6" t="s">
        <v>5978</v>
      </c>
      <c r="AA4688" s="14">
        <f t="shared" ref="AA4688:AA4691" si="619">+(0.6/1000)</f>
        <v>5.9999999999999995E-4</v>
      </c>
      <c r="AB4688">
        <v>6.4806000000000002E-2</v>
      </c>
      <c r="AC4688">
        <v>6.7398239999999998E-2</v>
      </c>
    </row>
    <row r="4689" spans="1:29" x14ac:dyDescent="0.3">
      <c r="A4689">
        <v>145400</v>
      </c>
      <c r="B4689" s="25" t="s">
        <v>5984</v>
      </c>
      <c r="C4689" t="s">
        <v>20</v>
      </c>
      <c r="D4689" t="s">
        <v>21</v>
      </c>
      <c r="E4689">
        <v>2222222</v>
      </c>
      <c r="F4689" s="8" t="s">
        <v>22</v>
      </c>
      <c r="G4689" s="2">
        <v>98</v>
      </c>
      <c r="H4689" t="s">
        <v>4664</v>
      </c>
      <c r="J4689" s="9" t="s">
        <v>4908</v>
      </c>
      <c r="K4689" t="s">
        <v>5068</v>
      </c>
      <c r="L4689" s="2">
        <v>1</v>
      </c>
      <c r="M4689" s="24" t="s">
        <v>5971</v>
      </c>
      <c r="N4689" s="2" t="s">
        <v>23</v>
      </c>
      <c r="O4689" s="18" t="s">
        <v>3541</v>
      </c>
      <c r="P4689" s="18" t="s">
        <v>0</v>
      </c>
      <c r="Q4689" s="6" t="s">
        <v>4475</v>
      </c>
      <c r="T4689" s="23">
        <v>45744</v>
      </c>
      <c r="U4689" s="23">
        <v>49395</v>
      </c>
      <c r="X4689" s="20">
        <v>6600</v>
      </c>
      <c r="Z4689" s="6" t="s">
        <v>5978</v>
      </c>
      <c r="AA4689" s="14">
        <f t="shared" si="619"/>
        <v>5.9999999999999995E-4</v>
      </c>
      <c r="AB4689">
        <v>3.7221899999999994</v>
      </c>
      <c r="AC4689">
        <v>3.8710775999999996</v>
      </c>
    </row>
    <row r="4690" spans="1:29" x14ac:dyDescent="0.3">
      <c r="A4690">
        <v>145574</v>
      </c>
      <c r="B4690" s="25" t="s">
        <v>5984</v>
      </c>
      <c r="C4690" t="s">
        <v>20</v>
      </c>
      <c r="D4690" t="s">
        <v>21</v>
      </c>
      <c r="E4690">
        <v>2222222</v>
      </c>
      <c r="F4690" s="8" t="s">
        <v>22</v>
      </c>
      <c r="G4690" s="2">
        <v>98</v>
      </c>
      <c r="H4690" t="s">
        <v>4664</v>
      </c>
      <c r="J4690" s="9" t="s">
        <v>5934</v>
      </c>
      <c r="K4690" t="s">
        <v>5935</v>
      </c>
      <c r="L4690" s="2">
        <v>1</v>
      </c>
      <c r="M4690" s="24" t="s">
        <v>5971</v>
      </c>
      <c r="N4690" s="2" t="s">
        <v>23</v>
      </c>
      <c r="O4690" s="18" t="s">
        <v>3538</v>
      </c>
      <c r="P4690" s="18" t="s">
        <v>0</v>
      </c>
      <c r="Q4690" s="6" t="s">
        <v>4475</v>
      </c>
      <c r="T4690" s="23">
        <v>45747</v>
      </c>
      <c r="U4690" s="23">
        <v>46844</v>
      </c>
      <c r="X4690" s="20">
        <v>1000</v>
      </c>
      <c r="Z4690" s="6" t="s">
        <v>5978</v>
      </c>
      <c r="AA4690" s="14">
        <f t="shared" si="619"/>
        <v>5.9999999999999995E-4</v>
      </c>
      <c r="AB4690">
        <v>0.38671799999999995</v>
      </c>
      <c r="AC4690">
        <v>0.40218671999999994</v>
      </c>
    </row>
    <row r="4691" spans="1:29" x14ac:dyDescent="0.3">
      <c r="A4691">
        <v>151674</v>
      </c>
      <c r="B4691" s="25" t="s">
        <v>5984</v>
      </c>
      <c r="C4691" t="s">
        <v>20</v>
      </c>
      <c r="D4691" t="s">
        <v>21</v>
      </c>
      <c r="E4691">
        <v>2222222</v>
      </c>
      <c r="F4691" s="8" t="s">
        <v>22</v>
      </c>
      <c r="G4691" s="2">
        <v>98</v>
      </c>
      <c r="H4691" t="s">
        <v>4664</v>
      </c>
      <c r="J4691" s="9" t="s">
        <v>5280</v>
      </c>
      <c r="K4691" t="s">
        <v>5090</v>
      </c>
      <c r="L4691" s="2">
        <v>1</v>
      </c>
      <c r="M4691" s="24" t="s">
        <v>5971</v>
      </c>
      <c r="N4691" s="2" t="s">
        <v>23</v>
      </c>
      <c r="O4691" s="18" t="s">
        <v>3542</v>
      </c>
      <c r="P4691" s="18" t="s">
        <v>3781</v>
      </c>
      <c r="Q4691" s="6" t="s">
        <v>4475</v>
      </c>
      <c r="T4691" s="23">
        <v>46178</v>
      </c>
      <c r="U4691" s="23">
        <v>47639</v>
      </c>
      <c r="X4691" s="20">
        <v>3090</v>
      </c>
      <c r="Z4691" s="6" t="s">
        <v>5978</v>
      </c>
      <c r="AA4691" s="14">
        <f t="shared" si="619"/>
        <v>5.9999999999999995E-4</v>
      </c>
      <c r="AB4691">
        <v>1.8271079999999997</v>
      </c>
      <c r="AC4691">
        <v>1.9001923199999997</v>
      </c>
    </row>
    <row r="4692" spans="1:29" x14ac:dyDescent="0.3">
      <c r="A4692">
        <v>127540</v>
      </c>
      <c r="B4692" s="25" t="s">
        <v>5984</v>
      </c>
      <c r="C4692" t="s">
        <v>20</v>
      </c>
      <c r="D4692" t="s">
        <v>21</v>
      </c>
      <c r="E4692">
        <v>2222222</v>
      </c>
      <c r="F4692" s="8" t="s">
        <v>22</v>
      </c>
      <c r="G4692" s="2">
        <v>98</v>
      </c>
      <c r="H4692" t="s">
        <v>4665</v>
      </c>
      <c r="J4692" s="9" t="s">
        <v>5800</v>
      </c>
      <c r="K4692" t="s">
        <v>4900</v>
      </c>
      <c r="L4692" s="2">
        <v>1</v>
      </c>
      <c r="M4692" s="24" t="s">
        <v>5971</v>
      </c>
      <c r="N4692" s="2" t="s">
        <v>23</v>
      </c>
      <c r="O4692" s="18" t="s">
        <v>1225</v>
      </c>
      <c r="P4692" s="18" t="s">
        <v>0</v>
      </c>
      <c r="Q4692" s="6" t="s">
        <v>4475</v>
      </c>
      <c r="T4692" s="23">
        <v>44677</v>
      </c>
      <c r="U4692" s="23">
        <v>46229</v>
      </c>
      <c r="X4692" s="20">
        <v>15000</v>
      </c>
      <c r="Z4692" s="6" t="s">
        <v>5978</v>
      </c>
      <c r="AA4692" s="15">
        <f>+(0.42/1000)</f>
        <v>4.1999999999999996E-4</v>
      </c>
      <c r="AB4692">
        <v>0.86577119999999996</v>
      </c>
      <c r="AC4692">
        <v>0.90040204800000001</v>
      </c>
    </row>
    <row r="4693" spans="1:29" x14ac:dyDescent="0.3">
      <c r="A4693">
        <v>145068</v>
      </c>
      <c r="B4693" s="25" t="s">
        <v>5984</v>
      </c>
      <c r="C4693" t="s">
        <v>20</v>
      </c>
      <c r="D4693" t="s">
        <v>21</v>
      </c>
      <c r="E4693">
        <v>2222222</v>
      </c>
      <c r="F4693" s="8" t="s">
        <v>22</v>
      </c>
      <c r="G4693" s="2">
        <v>98</v>
      </c>
      <c r="H4693" t="s">
        <v>4665</v>
      </c>
      <c r="J4693" s="9" t="s">
        <v>5267</v>
      </c>
      <c r="K4693" t="s">
        <v>5019</v>
      </c>
      <c r="L4693" s="2">
        <v>1</v>
      </c>
      <c r="M4693" s="24" t="s">
        <v>5971</v>
      </c>
      <c r="N4693" s="2" t="s">
        <v>23</v>
      </c>
      <c r="O4693" s="18" t="s">
        <v>3543</v>
      </c>
      <c r="P4693" s="18" t="s">
        <v>3781</v>
      </c>
      <c r="Q4693" s="6" t="s">
        <v>4475</v>
      </c>
      <c r="T4693" s="23">
        <v>45729</v>
      </c>
      <c r="U4693" s="23">
        <v>47554</v>
      </c>
      <c r="X4693" s="20">
        <v>7000</v>
      </c>
      <c r="Z4693" s="6" t="s">
        <v>5978</v>
      </c>
      <c r="AA4693" s="14">
        <f t="shared" ref="AA4693:AA4698" si="620">+(0.6/1000)</f>
        <v>5.9999999999999995E-4</v>
      </c>
      <c r="AB4693">
        <v>3.4092239999999996</v>
      </c>
      <c r="AC4693">
        <v>3.5455929599999996</v>
      </c>
    </row>
    <row r="4694" spans="1:29" x14ac:dyDescent="0.3">
      <c r="A4694">
        <v>145585</v>
      </c>
      <c r="B4694" s="25" t="s">
        <v>5984</v>
      </c>
      <c r="C4694" t="s">
        <v>20</v>
      </c>
      <c r="D4694" t="s">
        <v>21</v>
      </c>
      <c r="E4694">
        <v>2222222</v>
      </c>
      <c r="F4694" s="8" t="s">
        <v>22</v>
      </c>
      <c r="G4694" s="2">
        <v>98</v>
      </c>
      <c r="H4694" t="s">
        <v>4665</v>
      </c>
      <c r="J4694" s="9" t="s">
        <v>4891</v>
      </c>
      <c r="K4694" t="s">
        <v>4859</v>
      </c>
      <c r="L4694" s="2">
        <v>1</v>
      </c>
      <c r="M4694" s="24" t="s">
        <v>5971</v>
      </c>
      <c r="N4694" s="2" t="s">
        <v>23</v>
      </c>
      <c r="O4694" s="18" t="s">
        <v>3544</v>
      </c>
      <c r="P4694" s="18" t="s">
        <v>3781</v>
      </c>
      <c r="Q4694" s="6" t="s">
        <v>4475</v>
      </c>
      <c r="T4694" s="23">
        <v>45764</v>
      </c>
      <c r="U4694" s="23">
        <v>47590</v>
      </c>
      <c r="X4694" s="20">
        <v>20000</v>
      </c>
      <c r="Z4694" s="6" t="s">
        <v>5978</v>
      </c>
      <c r="AA4694" s="14">
        <f t="shared" si="620"/>
        <v>5.9999999999999995E-4</v>
      </c>
      <c r="AB4694">
        <v>9.8370660000000001</v>
      </c>
      <c r="AC4694">
        <v>10.23054864</v>
      </c>
    </row>
    <row r="4695" spans="1:29" x14ac:dyDescent="0.3">
      <c r="A4695">
        <v>145865</v>
      </c>
      <c r="B4695" s="25" t="s">
        <v>5984</v>
      </c>
      <c r="C4695" t="s">
        <v>20</v>
      </c>
      <c r="D4695" t="s">
        <v>21</v>
      </c>
      <c r="E4695">
        <v>2222222</v>
      </c>
      <c r="F4695" s="8" t="s">
        <v>22</v>
      </c>
      <c r="G4695" s="2">
        <v>98</v>
      </c>
      <c r="H4695" t="s">
        <v>4665</v>
      </c>
      <c r="J4695" s="9" t="s">
        <v>4891</v>
      </c>
      <c r="K4695" t="s">
        <v>5936</v>
      </c>
      <c r="L4695" s="2">
        <v>1</v>
      </c>
      <c r="M4695" s="24" t="s">
        <v>5971</v>
      </c>
      <c r="N4695" s="2" t="s">
        <v>23</v>
      </c>
      <c r="O4695" s="18" t="s">
        <v>3545</v>
      </c>
      <c r="P4695" s="18" t="s">
        <v>3781</v>
      </c>
      <c r="Q4695" s="6" t="s">
        <v>4475</v>
      </c>
      <c r="T4695" s="23">
        <v>45777</v>
      </c>
      <c r="U4695" s="23">
        <v>49429</v>
      </c>
      <c r="X4695" s="20">
        <v>41000</v>
      </c>
      <c r="Z4695" s="6" t="s">
        <v>5978</v>
      </c>
      <c r="AA4695" s="14">
        <f t="shared" si="620"/>
        <v>5.9999999999999995E-4</v>
      </c>
      <c r="AB4695">
        <v>22.974035999999998</v>
      </c>
      <c r="AC4695">
        <v>23.892997439999998</v>
      </c>
    </row>
    <row r="4696" spans="1:29" x14ac:dyDescent="0.3">
      <c r="A4696">
        <v>145951</v>
      </c>
      <c r="B4696" s="25" t="s">
        <v>5984</v>
      </c>
      <c r="C4696" t="s">
        <v>20</v>
      </c>
      <c r="D4696" t="s">
        <v>21</v>
      </c>
      <c r="E4696">
        <v>2222222</v>
      </c>
      <c r="F4696" s="8" t="s">
        <v>22</v>
      </c>
      <c r="G4696" s="2">
        <v>98</v>
      </c>
      <c r="H4696" t="s">
        <v>4665</v>
      </c>
      <c r="J4696" s="9" t="s">
        <v>4929</v>
      </c>
      <c r="K4696" t="s">
        <v>4964</v>
      </c>
      <c r="L4696" s="2">
        <v>1</v>
      </c>
      <c r="M4696" s="24" t="s">
        <v>5971</v>
      </c>
      <c r="N4696" s="2" t="s">
        <v>23</v>
      </c>
      <c r="O4696" s="18" t="s">
        <v>3546</v>
      </c>
      <c r="P4696" s="18" t="s">
        <v>0</v>
      </c>
      <c r="Q4696" s="6" t="s">
        <v>4475</v>
      </c>
      <c r="T4696" s="23">
        <v>45820</v>
      </c>
      <c r="U4696" s="23">
        <v>46368</v>
      </c>
      <c r="X4696" s="20">
        <v>15000</v>
      </c>
      <c r="Z4696" s="6" t="s">
        <v>5978</v>
      </c>
      <c r="AA4696" s="14">
        <f t="shared" si="620"/>
        <v>5.9999999999999995E-4</v>
      </c>
      <c r="AB4696">
        <v>2.6942819999999998</v>
      </c>
      <c r="AC4696">
        <v>2.80205328</v>
      </c>
    </row>
    <row r="4697" spans="1:29" x14ac:dyDescent="0.3">
      <c r="A4697">
        <v>147800</v>
      </c>
      <c r="B4697" s="25" t="s">
        <v>5984</v>
      </c>
      <c r="C4697" t="s">
        <v>20</v>
      </c>
      <c r="D4697" t="s">
        <v>21</v>
      </c>
      <c r="E4697">
        <v>2222222</v>
      </c>
      <c r="F4697" s="8" t="s">
        <v>22</v>
      </c>
      <c r="G4697" s="2">
        <v>98</v>
      </c>
      <c r="H4697" t="s">
        <v>4665</v>
      </c>
      <c r="J4697" s="9" t="s">
        <v>5070</v>
      </c>
      <c r="K4697" t="s">
        <v>5280</v>
      </c>
      <c r="L4697" s="2">
        <v>1</v>
      </c>
      <c r="M4697" s="24" t="s">
        <v>5971</v>
      </c>
      <c r="N4697" s="2" t="s">
        <v>23</v>
      </c>
      <c r="O4697" s="18" t="s">
        <v>3547</v>
      </c>
      <c r="P4697" s="18" t="s">
        <v>3781</v>
      </c>
      <c r="Q4697" s="6" t="s">
        <v>4475</v>
      </c>
      <c r="T4697" s="23">
        <v>45931</v>
      </c>
      <c r="U4697" s="23">
        <v>49582</v>
      </c>
      <c r="X4697" s="20">
        <v>30000</v>
      </c>
      <c r="Z4697" s="6" t="s">
        <v>5978</v>
      </c>
      <c r="AA4697" s="14">
        <f t="shared" si="620"/>
        <v>5.9999999999999995E-4</v>
      </c>
      <c r="AB4697">
        <v>16.731071999999998</v>
      </c>
      <c r="AC4697">
        <v>17.400314879999996</v>
      </c>
    </row>
    <row r="4698" spans="1:29" x14ac:dyDescent="0.3">
      <c r="A4698">
        <v>150886</v>
      </c>
      <c r="B4698" s="25" t="s">
        <v>5984</v>
      </c>
      <c r="C4698" t="s">
        <v>20</v>
      </c>
      <c r="D4698" t="s">
        <v>21</v>
      </c>
      <c r="E4698">
        <v>2222222</v>
      </c>
      <c r="F4698" s="8" t="s">
        <v>22</v>
      </c>
      <c r="G4698" s="2">
        <v>98</v>
      </c>
      <c r="H4698" t="s">
        <v>4665</v>
      </c>
      <c r="J4698" s="9" t="s">
        <v>5351</v>
      </c>
      <c r="K4698" t="s">
        <v>5239</v>
      </c>
      <c r="L4698" s="2">
        <v>1</v>
      </c>
      <c r="M4698" s="24" t="s">
        <v>5971</v>
      </c>
      <c r="N4698" s="2" t="s">
        <v>23</v>
      </c>
      <c r="O4698" s="18" t="s">
        <v>3548</v>
      </c>
      <c r="P4698" s="18" t="s">
        <v>0</v>
      </c>
      <c r="Q4698" s="6" t="s">
        <v>4475</v>
      </c>
      <c r="T4698" s="23">
        <v>46129</v>
      </c>
      <c r="U4698" s="23">
        <v>47955</v>
      </c>
      <c r="X4698" s="20">
        <v>12000</v>
      </c>
      <c r="Z4698" s="6" t="s">
        <v>5978</v>
      </c>
      <c r="AA4698" s="14">
        <f t="shared" si="620"/>
        <v>5.9999999999999995E-4</v>
      </c>
      <c r="AB4698">
        <v>6.9470640000000001</v>
      </c>
      <c r="AC4698">
        <v>7.2249465600000002</v>
      </c>
    </row>
    <row r="4699" spans="1:29" x14ac:dyDescent="0.3">
      <c r="A4699">
        <v>127068</v>
      </c>
      <c r="B4699" s="25" t="s">
        <v>5984</v>
      </c>
      <c r="C4699" t="s">
        <v>20</v>
      </c>
      <c r="D4699" t="s">
        <v>21</v>
      </c>
      <c r="E4699">
        <v>2222222</v>
      </c>
      <c r="F4699" s="8" t="s">
        <v>22</v>
      </c>
      <c r="G4699" s="2">
        <v>98</v>
      </c>
      <c r="H4699" t="s">
        <v>4666</v>
      </c>
      <c r="J4699" s="9" t="s">
        <v>5126</v>
      </c>
      <c r="K4699" t="s">
        <v>4900</v>
      </c>
      <c r="L4699" s="2">
        <v>1</v>
      </c>
      <c r="M4699" s="24" t="s">
        <v>5971</v>
      </c>
      <c r="N4699" s="2" t="s">
        <v>23</v>
      </c>
      <c r="O4699" s="18" t="s">
        <v>3549</v>
      </c>
      <c r="P4699" s="18" t="s">
        <v>0</v>
      </c>
      <c r="Q4699" s="6" t="s">
        <v>4475</v>
      </c>
      <c r="T4699" s="23">
        <v>44651</v>
      </c>
      <c r="U4699" s="23">
        <v>45387</v>
      </c>
      <c r="X4699" s="20">
        <v>20000</v>
      </c>
      <c r="Z4699" s="6" t="s">
        <v>5978</v>
      </c>
      <c r="AA4699" s="15">
        <f>+(0.42/1000)</f>
        <v>4.1999999999999996E-4</v>
      </c>
      <c r="AB4699">
        <v>2.9628689999999995</v>
      </c>
      <c r="AC4699">
        <v>3.0813837599999996</v>
      </c>
    </row>
    <row r="4700" spans="1:29" x14ac:dyDescent="0.3">
      <c r="A4700">
        <v>136671</v>
      </c>
      <c r="B4700" s="25" t="s">
        <v>5984</v>
      </c>
      <c r="C4700" t="s">
        <v>20</v>
      </c>
      <c r="D4700" t="s">
        <v>21</v>
      </c>
      <c r="E4700">
        <v>2222222</v>
      </c>
      <c r="F4700" s="8" t="s">
        <v>22</v>
      </c>
      <c r="G4700" s="2">
        <v>98</v>
      </c>
      <c r="H4700" t="s">
        <v>4666</v>
      </c>
      <c r="J4700" s="9" t="s">
        <v>5537</v>
      </c>
      <c r="K4700" t="s">
        <v>5313</v>
      </c>
      <c r="L4700" s="2">
        <v>1</v>
      </c>
      <c r="M4700" s="24" t="s">
        <v>5971</v>
      </c>
      <c r="N4700" s="2" t="s">
        <v>23</v>
      </c>
      <c r="O4700" s="18" t="s">
        <v>3550</v>
      </c>
      <c r="P4700" s="18" t="s">
        <v>3781</v>
      </c>
      <c r="Q4700" s="6" t="s">
        <v>4475</v>
      </c>
      <c r="T4700" s="23">
        <v>45187</v>
      </c>
      <c r="U4700" s="23">
        <v>46283</v>
      </c>
      <c r="X4700" s="20">
        <v>3000</v>
      </c>
      <c r="Z4700" s="6" t="s">
        <v>5978</v>
      </c>
      <c r="AA4700" s="13">
        <f t="shared" ref="AA4700:AA4702" si="621">+(0.56/1000)</f>
        <v>5.6000000000000006E-4</v>
      </c>
      <c r="AB4700">
        <v>1.4207031999999999</v>
      </c>
      <c r="AC4700">
        <v>1.477531328</v>
      </c>
    </row>
    <row r="4701" spans="1:29" x14ac:dyDescent="0.3">
      <c r="A4701">
        <v>136833</v>
      </c>
      <c r="B4701" s="25" t="s">
        <v>5984</v>
      </c>
      <c r="C4701" t="s">
        <v>20</v>
      </c>
      <c r="D4701" t="s">
        <v>21</v>
      </c>
      <c r="E4701">
        <v>2222222</v>
      </c>
      <c r="F4701" s="8" t="s">
        <v>22</v>
      </c>
      <c r="G4701" s="2">
        <v>98</v>
      </c>
      <c r="H4701" t="s">
        <v>4667</v>
      </c>
      <c r="J4701" s="9" t="s">
        <v>5232</v>
      </c>
      <c r="K4701" t="s">
        <v>5070</v>
      </c>
      <c r="L4701" s="2">
        <v>1</v>
      </c>
      <c r="M4701" s="24" t="s">
        <v>5971</v>
      </c>
      <c r="N4701" s="2" t="s">
        <v>23</v>
      </c>
      <c r="O4701" s="18" t="s">
        <v>3551</v>
      </c>
      <c r="P4701" s="18" t="s">
        <v>3781</v>
      </c>
      <c r="Q4701" s="6" t="s">
        <v>4475</v>
      </c>
      <c r="T4701" s="23">
        <v>45194</v>
      </c>
      <c r="U4701" s="23">
        <v>46746</v>
      </c>
      <c r="X4701" s="20">
        <v>5000</v>
      </c>
      <c r="Z4701" s="6" t="s">
        <v>5978</v>
      </c>
      <c r="AA4701" s="13">
        <f t="shared" si="621"/>
        <v>5.6000000000000006E-4</v>
      </c>
      <c r="AB4701">
        <v>1.3061440000000002</v>
      </c>
      <c r="AC4701">
        <v>1.3583897600000003</v>
      </c>
    </row>
    <row r="4702" spans="1:29" x14ac:dyDescent="0.3">
      <c r="A4702">
        <v>140753</v>
      </c>
      <c r="B4702" s="25" t="s">
        <v>5984</v>
      </c>
      <c r="C4702" t="s">
        <v>20</v>
      </c>
      <c r="D4702" t="s">
        <v>21</v>
      </c>
      <c r="E4702">
        <v>2222222</v>
      </c>
      <c r="F4702" s="8" t="s">
        <v>22</v>
      </c>
      <c r="G4702" s="2">
        <v>98</v>
      </c>
      <c r="H4702" t="s">
        <v>4667</v>
      </c>
      <c r="J4702" s="9" t="s">
        <v>5055</v>
      </c>
      <c r="K4702" t="s">
        <v>5295</v>
      </c>
      <c r="L4702" s="2">
        <v>1</v>
      </c>
      <c r="M4702" s="24" t="s">
        <v>5971</v>
      </c>
      <c r="N4702" s="2" t="s">
        <v>23</v>
      </c>
      <c r="O4702" s="18" t="s">
        <v>3552</v>
      </c>
      <c r="P4702" s="18" t="s">
        <v>3781</v>
      </c>
      <c r="Q4702" s="6" t="s">
        <v>4475</v>
      </c>
      <c r="T4702" s="23">
        <v>45409</v>
      </c>
      <c r="U4702" s="23">
        <v>47235</v>
      </c>
      <c r="X4702" s="20">
        <v>11740</v>
      </c>
      <c r="Z4702" s="6" t="s">
        <v>5978</v>
      </c>
      <c r="AA4702" s="13">
        <f t="shared" si="621"/>
        <v>5.6000000000000006E-4</v>
      </c>
      <c r="AB4702">
        <v>4.2162792000000007</v>
      </c>
      <c r="AC4702">
        <v>4.3849303680000009</v>
      </c>
    </row>
    <row r="4703" spans="1:29" x14ac:dyDescent="0.3">
      <c r="A4703">
        <v>145180</v>
      </c>
      <c r="B4703" s="25" t="s">
        <v>5984</v>
      </c>
      <c r="C4703" t="s">
        <v>20</v>
      </c>
      <c r="D4703" t="s">
        <v>21</v>
      </c>
      <c r="E4703">
        <v>2222222</v>
      </c>
      <c r="F4703" s="8" t="s">
        <v>22</v>
      </c>
      <c r="G4703" s="2">
        <v>98</v>
      </c>
      <c r="H4703" t="s">
        <v>4667</v>
      </c>
      <c r="J4703" s="9" t="s">
        <v>5937</v>
      </c>
      <c r="K4703" t="s">
        <v>5030</v>
      </c>
      <c r="L4703" s="2">
        <v>1</v>
      </c>
      <c r="M4703" s="24" t="s">
        <v>5971</v>
      </c>
      <c r="N4703" s="2" t="s">
        <v>23</v>
      </c>
      <c r="O4703" s="18" t="s">
        <v>2346</v>
      </c>
      <c r="P4703" s="18" t="s">
        <v>3781</v>
      </c>
      <c r="Q4703" s="6" t="s">
        <v>4475</v>
      </c>
      <c r="T4703" s="23">
        <v>45721</v>
      </c>
      <c r="U4703" s="23">
        <v>47181</v>
      </c>
      <c r="X4703" s="20">
        <v>5000</v>
      </c>
      <c r="Z4703" s="6" t="s">
        <v>5978</v>
      </c>
      <c r="AA4703" s="14">
        <f t="shared" ref="AA4703:AA4706" si="622">+(0.6/1000)</f>
        <v>5.9999999999999995E-4</v>
      </c>
      <c r="AB4703">
        <v>2.2287719999999998</v>
      </c>
      <c r="AC4703">
        <v>2.3179228799999998</v>
      </c>
    </row>
    <row r="4704" spans="1:29" x14ac:dyDescent="0.3">
      <c r="A4704">
        <v>151755</v>
      </c>
      <c r="B4704" s="25" t="s">
        <v>5984</v>
      </c>
      <c r="C4704" t="s">
        <v>20</v>
      </c>
      <c r="D4704" t="s">
        <v>21</v>
      </c>
      <c r="E4704">
        <v>2222222</v>
      </c>
      <c r="F4704" s="8" t="s">
        <v>22</v>
      </c>
      <c r="G4704" s="2">
        <v>98</v>
      </c>
      <c r="H4704" t="s">
        <v>4667</v>
      </c>
      <c r="J4704" s="9" t="s">
        <v>4826</v>
      </c>
      <c r="K4704" t="s">
        <v>5089</v>
      </c>
      <c r="L4704" s="2">
        <v>1</v>
      </c>
      <c r="M4704" s="24" t="s">
        <v>5971</v>
      </c>
      <c r="N4704" s="2" t="s">
        <v>23</v>
      </c>
      <c r="O4704" s="18" t="s">
        <v>3553</v>
      </c>
      <c r="P4704" s="18" t="s">
        <v>0</v>
      </c>
      <c r="Q4704" s="6" t="s">
        <v>4475</v>
      </c>
      <c r="T4704" s="23">
        <v>46185</v>
      </c>
      <c r="U4704" s="23">
        <v>47099</v>
      </c>
      <c r="X4704" s="20">
        <v>5000</v>
      </c>
      <c r="Z4704" s="6" t="s">
        <v>5978</v>
      </c>
      <c r="AA4704" s="14">
        <f t="shared" si="622"/>
        <v>5.9999999999999995E-4</v>
      </c>
      <c r="AB4704">
        <v>2.9197139999999995</v>
      </c>
      <c r="AC4704">
        <v>3.0365025599999997</v>
      </c>
    </row>
    <row r="4705" spans="1:29" x14ac:dyDescent="0.3">
      <c r="A4705">
        <v>151809</v>
      </c>
      <c r="B4705" s="25" t="s">
        <v>5984</v>
      </c>
      <c r="C4705" t="s">
        <v>20</v>
      </c>
      <c r="D4705" t="s">
        <v>21</v>
      </c>
      <c r="E4705">
        <v>2222222</v>
      </c>
      <c r="F4705" s="8" t="s">
        <v>22</v>
      </c>
      <c r="G4705" s="2">
        <v>98</v>
      </c>
      <c r="H4705" t="s">
        <v>4667</v>
      </c>
      <c r="J4705" s="9" t="s">
        <v>5938</v>
      </c>
      <c r="K4705" t="s">
        <v>5111</v>
      </c>
      <c r="L4705" s="2">
        <v>1</v>
      </c>
      <c r="M4705" s="24" t="s">
        <v>5971</v>
      </c>
      <c r="N4705" s="2" t="s">
        <v>23</v>
      </c>
      <c r="O4705" s="18" t="s">
        <v>3554</v>
      </c>
      <c r="P4705" s="18" t="s">
        <v>0</v>
      </c>
      <c r="Q4705" s="6" t="s">
        <v>4475</v>
      </c>
      <c r="T4705" s="23">
        <v>46189</v>
      </c>
      <c r="U4705" s="23">
        <v>47285</v>
      </c>
      <c r="X4705" s="20">
        <v>5000</v>
      </c>
      <c r="Z4705" s="6" t="s">
        <v>5978</v>
      </c>
      <c r="AA4705" s="14">
        <f t="shared" si="622"/>
        <v>5.9999999999999995E-4</v>
      </c>
      <c r="AB4705">
        <v>2.9361659999999996</v>
      </c>
      <c r="AC4705">
        <v>3.0536126399999999</v>
      </c>
    </row>
    <row r="4706" spans="1:29" x14ac:dyDescent="0.3">
      <c r="A4706">
        <v>151447</v>
      </c>
      <c r="B4706" s="25" t="s">
        <v>5984</v>
      </c>
      <c r="C4706" t="s">
        <v>20</v>
      </c>
      <c r="D4706" t="s">
        <v>21</v>
      </c>
      <c r="E4706">
        <v>2222222</v>
      </c>
      <c r="F4706" s="8" t="s">
        <v>22</v>
      </c>
      <c r="G4706" s="2">
        <v>98</v>
      </c>
      <c r="H4706" t="s">
        <v>4668</v>
      </c>
      <c r="J4706" s="9" t="s">
        <v>5333</v>
      </c>
      <c r="K4706" t="s">
        <v>5019</v>
      </c>
      <c r="L4706" s="2">
        <v>1</v>
      </c>
      <c r="M4706" s="24" t="s">
        <v>5971</v>
      </c>
      <c r="N4706" s="2" t="s">
        <v>23</v>
      </c>
      <c r="O4706" s="18" t="s">
        <v>3555</v>
      </c>
      <c r="P4706" s="18" t="s">
        <v>3781</v>
      </c>
      <c r="Q4706" s="6" t="s">
        <v>4475</v>
      </c>
      <c r="T4706" s="23">
        <v>46164</v>
      </c>
      <c r="U4706" s="23">
        <v>46596</v>
      </c>
      <c r="X4706" s="20">
        <v>46360</v>
      </c>
      <c r="Z4706" s="6" t="s">
        <v>5978</v>
      </c>
      <c r="AA4706" s="14">
        <f t="shared" si="622"/>
        <v>5.9999999999999995E-4</v>
      </c>
      <c r="AB4706">
        <v>27.815999999999999</v>
      </c>
      <c r="AC4706">
        <v>28.928640000000001</v>
      </c>
    </row>
    <row r="4707" spans="1:29" x14ac:dyDescent="0.3">
      <c r="A4707">
        <v>122326</v>
      </c>
      <c r="B4707" s="25" t="s">
        <v>5984</v>
      </c>
      <c r="C4707" t="s">
        <v>20</v>
      </c>
      <c r="D4707" t="s">
        <v>21</v>
      </c>
      <c r="E4707">
        <v>2222222</v>
      </c>
      <c r="F4707" s="8" t="s">
        <v>22</v>
      </c>
      <c r="G4707" s="2">
        <v>98</v>
      </c>
      <c r="H4707" t="s">
        <v>4669</v>
      </c>
      <c r="J4707" s="9" t="s">
        <v>4815</v>
      </c>
      <c r="K4707" t="s">
        <v>5108</v>
      </c>
      <c r="L4707" s="2">
        <v>1</v>
      </c>
      <c r="M4707" s="24" t="s">
        <v>5971</v>
      </c>
      <c r="N4707" s="2" t="s">
        <v>23</v>
      </c>
      <c r="O4707" s="18" t="s">
        <v>3556</v>
      </c>
      <c r="P4707" s="18" t="s">
        <v>0</v>
      </c>
      <c r="Q4707" s="6" t="s">
        <v>4475</v>
      </c>
      <c r="T4707" s="23">
        <v>44421</v>
      </c>
      <c r="U4707" s="23">
        <v>46977</v>
      </c>
      <c r="X4707" s="20">
        <v>20000</v>
      </c>
      <c r="Z4707" s="6" t="s">
        <v>5978</v>
      </c>
      <c r="AA4707" s="15">
        <f t="shared" ref="AA4707:AA4709" si="623">+(0.42/1000)</f>
        <v>4.1999999999999996E-4</v>
      </c>
      <c r="AB4707">
        <v>3.5377229999999997</v>
      </c>
      <c r="AC4707">
        <v>3.6792319199999999</v>
      </c>
    </row>
    <row r="4708" spans="1:29" x14ac:dyDescent="0.3">
      <c r="A4708">
        <v>123958</v>
      </c>
      <c r="B4708" s="25" t="s">
        <v>5984</v>
      </c>
      <c r="C4708" t="s">
        <v>20</v>
      </c>
      <c r="D4708" t="s">
        <v>21</v>
      </c>
      <c r="E4708">
        <v>2222222</v>
      </c>
      <c r="F4708" s="8" t="s">
        <v>22</v>
      </c>
      <c r="G4708" s="2">
        <v>98</v>
      </c>
      <c r="H4708" t="s">
        <v>4669</v>
      </c>
      <c r="J4708" s="9" t="s">
        <v>5485</v>
      </c>
      <c r="K4708" t="s">
        <v>5437</v>
      </c>
      <c r="L4708" s="2">
        <v>1</v>
      </c>
      <c r="M4708" s="24" t="s">
        <v>5971</v>
      </c>
      <c r="N4708" s="2" t="s">
        <v>23</v>
      </c>
      <c r="O4708" s="18" t="s">
        <v>3557</v>
      </c>
      <c r="P4708" s="18" t="s">
        <v>0</v>
      </c>
      <c r="Q4708" s="6" t="s">
        <v>4475</v>
      </c>
      <c r="T4708" s="23">
        <v>44498</v>
      </c>
      <c r="U4708" s="23">
        <v>45233</v>
      </c>
      <c r="X4708" s="20">
        <v>5000</v>
      </c>
      <c r="Z4708" s="6" t="s">
        <v>5978</v>
      </c>
      <c r="AA4708" s="15">
        <f t="shared" si="623"/>
        <v>4.1999999999999996E-4</v>
      </c>
      <c r="AB4708">
        <v>0.95747399999999983</v>
      </c>
      <c r="AC4708">
        <v>0.99577295999999982</v>
      </c>
    </row>
    <row r="4709" spans="1:29" x14ac:dyDescent="0.3">
      <c r="A4709">
        <v>128820</v>
      </c>
      <c r="B4709" s="25" t="s">
        <v>5984</v>
      </c>
      <c r="C4709" t="s">
        <v>20</v>
      </c>
      <c r="D4709" t="s">
        <v>21</v>
      </c>
      <c r="E4709">
        <v>2222222</v>
      </c>
      <c r="F4709" s="8" t="s">
        <v>22</v>
      </c>
      <c r="G4709" s="2">
        <v>98</v>
      </c>
      <c r="H4709" t="s">
        <v>4669</v>
      </c>
      <c r="J4709" s="9" t="s">
        <v>5166</v>
      </c>
      <c r="K4709" t="s">
        <v>5031</v>
      </c>
      <c r="L4709" s="2">
        <v>1</v>
      </c>
      <c r="M4709" s="24" t="s">
        <v>5971</v>
      </c>
      <c r="N4709" s="2" t="s">
        <v>23</v>
      </c>
      <c r="O4709" s="18" t="s">
        <v>3558</v>
      </c>
      <c r="P4709" s="18" t="s">
        <v>3781</v>
      </c>
      <c r="Q4709" s="6" t="s">
        <v>4475</v>
      </c>
      <c r="T4709" s="23">
        <v>44746</v>
      </c>
      <c r="U4709" s="23">
        <v>46206</v>
      </c>
      <c r="X4709" s="20">
        <v>19360</v>
      </c>
      <c r="Z4709" s="6" t="s">
        <v>5978</v>
      </c>
      <c r="AA4709" s="15">
        <f t="shared" si="623"/>
        <v>4.1999999999999996E-4</v>
      </c>
      <c r="AB4709">
        <v>1.1611235999999998</v>
      </c>
      <c r="AC4709">
        <v>1.2075685439999999</v>
      </c>
    </row>
    <row r="4710" spans="1:29" x14ac:dyDescent="0.3">
      <c r="A4710">
        <v>135999</v>
      </c>
      <c r="B4710" s="25" t="s">
        <v>5984</v>
      </c>
      <c r="C4710" t="s">
        <v>20</v>
      </c>
      <c r="D4710" t="s">
        <v>21</v>
      </c>
      <c r="E4710">
        <v>2222222</v>
      </c>
      <c r="F4710" s="8" t="s">
        <v>22</v>
      </c>
      <c r="G4710" s="2">
        <v>98</v>
      </c>
      <c r="H4710" t="s">
        <v>4669</v>
      </c>
      <c r="J4710" s="9" t="s">
        <v>4981</v>
      </c>
      <c r="K4710" t="s">
        <v>5389</v>
      </c>
      <c r="L4710" s="2">
        <v>1</v>
      </c>
      <c r="M4710" s="24" t="s">
        <v>5971</v>
      </c>
      <c r="N4710" s="2" t="s">
        <v>23</v>
      </c>
      <c r="O4710" s="18" t="s">
        <v>2878</v>
      </c>
      <c r="P4710" s="18" t="s">
        <v>3781</v>
      </c>
      <c r="Q4710" s="6" t="s">
        <v>4475</v>
      </c>
      <c r="T4710" s="23">
        <v>45147</v>
      </c>
      <c r="U4710" s="23">
        <v>45877</v>
      </c>
      <c r="X4710" s="20">
        <v>1100</v>
      </c>
      <c r="Z4710" s="6" t="s">
        <v>5978</v>
      </c>
      <c r="AA4710" s="13">
        <f t="shared" ref="AA4710:AA4712" si="624">+(0.56/1000)</f>
        <v>5.6000000000000006E-4</v>
      </c>
      <c r="AB4710">
        <v>0.52874640000000006</v>
      </c>
      <c r="AC4710">
        <v>0.54989625600000003</v>
      </c>
    </row>
    <row r="4711" spans="1:29" x14ac:dyDescent="0.3">
      <c r="A4711">
        <v>136520</v>
      </c>
      <c r="B4711" s="25" t="s">
        <v>5984</v>
      </c>
      <c r="C4711" t="s">
        <v>20</v>
      </c>
      <c r="D4711" t="s">
        <v>21</v>
      </c>
      <c r="E4711">
        <v>2222222</v>
      </c>
      <c r="F4711" s="8" t="s">
        <v>22</v>
      </c>
      <c r="G4711" s="2">
        <v>98</v>
      </c>
      <c r="H4711" t="s">
        <v>4669</v>
      </c>
      <c r="J4711" s="9" t="s">
        <v>5098</v>
      </c>
      <c r="K4711" t="s">
        <v>5206</v>
      </c>
      <c r="L4711" s="2">
        <v>1</v>
      </c>
      <c r="M4711" s="24" t="s">
        <v>5971</v>
      </c>
      <c r="N4711" s="2" t="s">
        <v>23</v>
      </c>
      <c r="O4711" s="18" t="s">
        <v>377</v>
      </c>
      <c r="P4711" s="18" t="s">
        <v>3781</v>
      </c>
      <c r="Q4711" s="6" t="s">
        <v>4475</v>
      </c>
      <c r="T4711" s="23">
        <v>45176</v>
      </c>
      <c r="U4711" s="23">
        <v>46728</v>
      </c>
      <c r="X4711" s="20">
        <v>12000</v>
      </c>
      <c r="Z4711" s="6" t="s">
        <v>5978</v>
      </c>
      <c r="AA4711" s="13">
        <f t="shared" si="624"/>
        <v>5.6000000000000006E-4</v>
      </c>
      <c r="AB4711">
        <v>5.3054904000000009</v>
      </c>
      <c r="AC4711">
        <v>5.5177100160000014</v>
      </c>
    </row>
    <row r="4712" spans="1:29" x14ac:dyDescent="0.3">
      <c r="A4712">
        <v>138075</v>
      </c>
      <c r="B4712" s="25" t="s">
        <v>5984</v>
      </c>
      <c r="C4712" t="s">
        <v>20</v>
      </c>
      <c r="D4712" t="s">
        <v>21</v>
      </c>
      <c r="E4712">
        <v>2222222</v>
      </c>
      <c r="F4712" s="8" t="s">
        <v>22</v>
      </c>
      <c r="G4712" s="2">
        <v>98</v>
      </c>
      <c r="H4712" t="s">
        <v>4669</v>
      </c>
      <c r="J4712" s="9" t="s">
        <v>4981</v>
      </c>
      <c r="K4712" t="s">
        <v>5389</v>
      </c>
      <c r="L4712" s="2">
        <v>1</v>
      </c>
      <c r="M4712" s="24" t="s">
        <v>5971</v>
      </c>
      <c r="N4712" s="2" t="s">
        <v>23</v>
      </c>
      <c r="O4712" s="18" t="s">
        <v>2878</v>
      </c>
      <c r="P4712" s="18" t="s">
        <v>3781</v>
      </c>
      <c r="Q4712" s="6" t="s">
        <v>4475</v>
      </c>
      <c r="T4712" s="23">
        <v>45258</v>
      </c>
      <c r="U4712" s="23">
        <v>47085</v>
      </c>
      <c r="X4712" s="20">
        <v>4925</v>
      </c>
      <c r="Z4712" s="6" t="s">
        <v>5978</v>
      </c>
      <c r="AA4712" s="13">
        <f t="shared" si="624"/>
        <v>5.6000000000000006E-4</v>
      </c>
      <c r="AB4712">
        <v>2.7261472000000002</v>
      </c>
      <c r="AC4712">
        <v>2.8351930880000005</v>
      </c>
    </row>
    <row r="4713" spans="1:29" x14ac:dyDescent="0.3">
      <c r="A4713">
        <v>143418</v>
      </c>
      <c r="B4713" s="25" t="s">
        <v>5984</v>
      </c>
      <c r="C4713" t="s">
        <v>20</v>
      </c>
      <c r="D4713" t="s">
        <v>21</v>
      </c>
      <c r="E4713">
        <v>2222222</v>
      </c>
      <c r="F4713" s="8" t="s">
        <v>22</v>
      </c>
      <c r="G4713" s="2">
        <v>98</v>
      </c>
      <c r="H4713" t="s">
        <v>4669</v>
      </c>
      <c r="J4713" s="9" t="s">
        <v>4845</v>
      </c>
      <c r="K4713" t="s">
        <v>5090</v>
      </c>
      <c r="L4713" s="2">
        <v>1</v>
      </c>
      <c r="M4713" s="24" t="s">
        <v>5971</v>
      </c>
      <c r="N4713" s="2" t="s">
        <v>23</v>
      </c>
      <c r="O4713" s="18" t="s">
        <v>2409</v>
      </c>
      <c r="P4713" s="18" t="s">
        <v>3781</v>
      </c>
      <c r="Q4713" s="6" t="s">
        <v>4475</v>
      </c>
      <c r="T4713" s="23">
        <v>45589</v>
      </c>
      <c r="U4713" s="23">
        <v>47414</v>
      </c>
      <c r="X4713" s="20">
        <v>6800</v>
      </c>
      <c r="Z4713" s="6" t="s">
        <v>5978</v>
      </c>
      <c r="AA4713" s="14">
        <f t="shared" ref="AA4713:AA4719" si="625">+(0.6/1000)</f>
        <v>5.9999999999999995E-4</v>
      </c>
      <c r="AB4713">
        <v>3.2136839999999998</v>
      </c>
      <c r="AC4713">
        <v>3.34223136</v>
      </c>
    </row>
    <row r="4714" spans="1:29" x14ac:dyDescent="0.3">
      <c r="A4714">
        <v>144445</v>
      </c>
      <c r="B4714" s="25" t="s">
        <v>5984</v>
      </c>
      <c r="C4714" t="s">
        <v>20</v>
      </c>
      <c r="D4714" t="s">
        <v>21</v>
      </c>
      <c r="E4714">
        <v>2222222</v>
      </c>
      <c r="F4714" s="8" t="s">
        <v>22</v>
      </c>
      <c r="G4714" s="2">
        <v>98</v>
      </c>
      <c r="H4714" t="s">
        <v>4669</v>
      </c>
      <c r="J4714" s="9" t="s">
        <v>4031</v>
      </c>
      <c r="K4714" t="s">
        <v>4761</v>
      </c>
      <c r="L4714" s="2">
        <v>1</v>
      </c>
      <c r="M4714" s="24" t="s">
        <v>5971</v>
      </c>
      <c r="N4714" s="2" t="s">
        <v>23</v>
      </c>
      <c r="O4714" s="18" t="s">
        <v>3559</v>
      </c>
      <c r="P4714" s="18" t="s">
        <v>3781</v>
      </c>
      <c r="Q4714" s="6" t="s">
        <v>4475</v>
      </c>
      <c r="T4714" s="23">
        <v>45664</v>
      </c>
      <c r="U4714" s="23">
        <v>46393</v>
      </c>
      <c r="X4714" s="20">
        <v>5000</v>
      </c>
      <c r="Z4714" s="6" t="s">
        <v>5978</v>
      </c>
      <c r="AA4714" s="14">
        <f t="shared" si="625"/>
        <v>5.9999999999999995E-4</v>
      </c>
      <c r="AB4714">
        <v>0.98620799999999997</v>
      </c>
      <c r="AC4714">
        <v>1.02565632</v>
      </c>
    </row>
    <row r="4715" spans="1:29" x14ac:dyDescent="0.3">
      <c r="A4715">
        <v>149154</v>
      </c>
      <c r="B4715" s="25" t="s">
        <v>5984</v>
      </c>
      <c r="C4715" t="s">
        <v>20</v>
      </c>
      <c r="D4715" t="s">
        <v>21</v>
      </c>
      <c r="E4715">
        <v>2222222</v>
      </c>
      <c r="F4715" s="8" t="s">
        <v>22</v>
      </c>
      <c r="G4715" s="2">
        <v>98</v>
      </c>
      <c r="H4715" t="s">
        <v>4669</v>
      </c>
      <c r="J4715" s="9" t="s">
        <v>4779</v>
      </c>
      <c r="K4715" t="s">
        <v>4825</v>
      </c>
      <c r="L4715" s="2">
        <v>1</v>
      </c>
      <c r="M4715" s="24" t="s">
        <v>5971</v>
      </c>
      <c r="N4715" s="2" t="s">
        <v>23</v>
      </c>
      <c r="O4715" s="18" t="s">
        <v>3560</v>
      </c>
      <c r="P4715" s="18" t="s">
        <v>0</v>
      </c>
      <c r="Q4715" s="6" t="s">
        <v>4475</v>
      </c>
      <c r="T4715" s="23">
        <v>46001</v>
      </c>
      <c r="U4715" s="23">
        <v>46251</v>
      </c>
      <c r="X4715" s="20">
        <v>7150</v>
      </c>
      <c r="Z4715" s="6" t="s">
        <v>5978</v>
      </c>
      <c r="AA4715" s="14">
        <f t="shared" si="625"/>
        <v>5.9999999999999995E-4</v>
      </c>
      <c r="AB4715">
        <v>0.42620999999999998</v>
      </c>
      <c r="AC4715">
        <v>0.4432584</v>
      </c>
    </row>
    <row r="4716" spans="1:29" x14ac:dyDescent="0.3">
      <c r="A4716">
        <v>150517</v>
      </c>
      <c r="B4716" s="25" t="s">
        <v>5984</v>
      </c>
      <c r="C4716" t="s">
        <v>20</v>
      </c>
      <c r="D4716" t="s">
        <v>21</v>
      </c>
      <c r="E4716">
        <v>2222222</v>
      </c>
      <c r="F4716" s="8" t="s">
        <v>22</v>
      </c>
      <c r="G4716" s="2">
        <v>98</v>
      </c>
      <c r="H4716" t="s">
        <v>4669</v>
      </c>
      <c r="J4716" s="9" t="s">
        <v>4978</v>
      </c>
      <c r="K4716" t="s">
        <v>5271</v>
      </c>
      <c r="L4716" s="2">
        <v>1</v>
      </c>
      <c r="M4716" s="24" t="s">
        <v>5971</v>
      </c>
      <c r="N4716" s="2" t="s">
        <v>23</v>
      </c>
      <c r="O4716" s="18" t="s">
        <v>3561</v>
      </c>
      <c r="P4716" s="18" t="s">
        <v>0</v>
      </c>
      <c r="Q4716" s="6" t="s">
        <v>4475</v>
      </c>
      <c r="T4716" s="23">
        <v>46099</v>
      </c>
      <c r="U4716" s="23">
        <v>47074</v>
      </c>
      <c r="X4716" s="20">
        <v>3830</v>
      </c>
      <c r="Z4716" s="6" t="s">
        <v>5978</v>
      </c>
      <c r="AA4716" s="14">
        <f t="shared" si="625"/>
        <v>5.9999999999999995E-4</v>
      </c>
      <c r="AB4716">
        <v>2.0639939999999997</v>
      </c>
      <c r="AC4716">
        <v>2.1465537599999998</v>
      </c>
    </row>
    <row r="4717" spans="1:29" x14ac:dyDescent="0.3">
      <c r="A4717">
        <v>151806</v>
      </c>
      <c r="B4717" s="25" t="s">
        <v>5984</v>
      </c>
      <c r="C4717" t="s">
        <v>20</v>
      </c>
      <c r="D4717" t="s">
        <v>21</v>
      </c>
      <c r="E4717">
        <v>2222222</v>
      </c>
      <c r="F4717" s="8" t="s">
        <v>22</v>
      </c>
      <c r="G4717" s="2">
        <v>98</v>
      </c>
      <c r="H4717" t="s">
        <v>4669</v>
      </c>
      <c r="J4717" s="9" t="s">
        <v>4779</v>
      </c>
      <c r="K4717" t="s">
        <v>4949</v>
      </c>
      <c r="L4717" s="2">
        <v>1</v>
      </c>
      <c r="M4717" s="24" t="s">
        <v>5971</v>
      </c>
      <c r="N4717" s="2" t="s">
        <v>23</v>
      </c>
      <c r="O4717" s="18" t="s">
        <v>3562</v>
      </c>
      <c r="P4717" s="18" t="s">
        <v>0</v>
      </c>
      <c r="Q4717" s="6" t="s">
        <v>4475</v>
      </c>
      <c r="T4717" s="23">
        <v>46189</v>
      </c>
      <c r="U4717" s="23">
        <v>46676</v>
      </c>
      <c r="X4717" s="20">
        <v>2200</v>
      </c>
      <c r="Z4717" s="6" t="s">
        <v>5978</v>
      </c>
      <c r="AA4717" s="14">
        <f t="shared" si="625"/>
        <v>5.9999999999999995E-4</v>
      </c>
      <c r="AB4717">
        <v>1.245768</v>
      </c>
      <c r="AC4717">
        <v>1.2955987200000001</v>
      </c>
    </row>
    <row r="4718" spans="1:29" x14ac:dyDescent="0.3">
      <c r="A4718">
        <v>152083</v>
      </c>
      <c r="B4718" s="25" t="s">
        <v>5984</v>
      </c>
      <c r="C4718" t="s">
        <v>20</v>
      </c>
      <c r="D4718" t="s">
        <v>21</v>
      </c>
      <c r="E4718">
        <v>2222222</v>
      </c>
      <c r="F4718" s="8" t="s">
        <v>22</v>
      </c>
      <c r="G4718" s="2">
        <v>98</v>
      </c>
      <c r="H4718" t="s">
        <v>4669</v>
      </c>
      <c r="J4718" s="9" t="s">
        <v>4955</v>
      </c>
      <c r="K4718" t="s">
        <v>5645</v>
      </c>
      <c r="L4718" s="2">
        <v>1</v>
      </c>
      <c r="M4718" s="24" t="s">
        <v>5971</v>
      </c>
      <c r="N4718" s="2" t="s">
        <v>23</v>
      </c>
      <c r="O4718" s="18" t="s">
        <v>1535</v>
      </c>
      <c r="P4718" s="18" t="s">
        <v>3781</v>
      </c>
      <c r="Q4718" s="6" t="s">
        <v>4475</v>
      </c>
      <c r="T4718" s="23">
        <v>46210</v>
      </c>
      <c r="U4718" s="23">
        <v>47305</v>
      </c>
      <c r="X4718" s="20">
        <v>1130</v>
      </c>
      <c r="Z4718" s="6" t="s">
        <v>5978</v>
      </c>
      <c r="AA4718" s="14">
        <f t="shared" si="625"/>
        <v>5.9999999999999995E-4</v>
      </c>
      <c r="AB4718">
        <v>0.67799999999999994</v>
      </c>
      <c r="AC4718">
        <v>0.70511999999999997</v>
      </c>
    </row>
    <row r="4719" spans="1:29" x14ac:dyDescent="0.3">
      <c r="A4719">
        <v>152255</v>
      </c>
      <c r="B4719" s="25" t="s">
        <v>5984</v>
      </c>
      <c r="C4719" t="s">
        <v>20</v>
      </c>
      <c r="D4719" t="s">
        <v>21</v>
      </c>
      <c r="E4719">
        <v>2222222</v>
      </c>
      <c r="F4719" s="8" t="s">
        <v>22</v>
      </c>
      <c r="G4719" s="2">
        <v>98</v>
      </c>
      <c r="H4719" t="s">
        <v>4669</v>
      </c>
      <c r="J4719" s="9" t="s">
        <v>5237</v>
      </c>
      <c r="K4719" t="s">
        <v>4969</v>
      </c>
      <c r="L4719" s="2">
        <v>1</v>
      </c>
      <c r="M4719" s="24" t="s">
        <v>5971</v>
      </c>
      <c r="N4719" s="2" t="s">
        <v>23</v>
      </c>
      <c r="O4719" s="18" t="s">
        <v>630</v>
      </c>
      <c r="P4719" s="18" t="s">
        <v>3781</v>
      </c>
      <c r="Q4719" s="6" t="s">
        <v>4475</v>
      </c>
      <c r="T4719" s="23">
        <v>46223</v>
      </c>
      <c r="U4719" s="23">
        <v>47318</v>
      </c>
      <c r="X4719" s="20">
        <v>540</v>
      </c>
      <c r="Z4719" s="6" t="s">
        <v>5978</v>
      </c>
      <c r="AA4719" s="14">
        <f t="shared" si="625"/>
        <v>5.9999999999999995E-4</v>
      </c>
      <c r="AB4719">
        <v>0.32399999999999995</v>
      </c>
      <c r="AC4719">
        <v>0.33695999999999998</v>
      </c>
    </row>
    <row r="4720" spans="1:29" x14ac:dyDescent="0.3">
      <c r="A4720">
        <v>128328</v>
      </c>
      <c r="B4720" s="25" t="s">
        <v>5984</v>
      </c>
      <c r="C4720" t="s">
        <v>20</v>
      </c>
      <c r="D4720" t="s">
        <v>21</v>
      </c>
      <c r="E4720">
        <v>2222222</v>
      </c>
      <c r="F4720" s="8" t="s">
        <v>22</v>
      </c>
      <c r="G4720" s="2">
        <v>98</v>
      </c>
      <c r="H4720" t="s">
        <v>4670</v>
      </c>
      <c r="J4720" s="9" t="s">
        <v>4901</v>
      </c>
      <c r="K4720" t="s">
        <v>4902</v>
      </c>
      <c r="L4720" s="2">
        <v>1</v>
      </c>
      <c r="M4720" s="24" t="s">
        <v>5971</v>
      </c>
      <c r="N4720" s="2" t="s">
        <v>23</v>
      </c>
      <c r="O4720" s="18" t="s">
        <v>3563</v>
      </c>
      <c r="P4720" s="18" t="s">
        <v>0</v>
      </c>
      <c r="Q4720" s="6" t="s">
        <v>4475</v>
      </c>
      <c r="T4720" s="23">
        <v>44718</v>
      </c>
      <c r="U4720" s="23">
        <v>45814</v>
      </c>
      <c r="X4720" s="20">
        <v>1895</v>
      </c>
      <c r="Z4720" s="6" t="s">
        <v>5978</v>
      </c>
      <c r="AA4720" s="15">
        <f>+(0.42/1000)</f>
        <v>4.1999999999999996E-4</v>
      </c>
      <c r="AB4720">
        <v>0.72740640000000001</v>
      </c>
      <c r="AC4720">
        <v>0.756502656</v>
      </c>
    </row>
    <row r="4721" spans="1:29" x14ac:dyDescent="0.3">
      <c r="A4721">
        <v>149022</v>
      </c>
      <c r="B4721" s="25" t="s">
        <v>5984</v>
      </c>
      <c r="C4721" t="s">
        <v>20</v>
      </c>
      <c r="D4721" t="s">
        <v>21</v>
      </c>
      <c r="E4721">
        <v>2222222</v>
      </c>
      <c r="F4721" s="8" t="s">
        <v>22</v>
      </c>
      <c r="G4721" s="2">
        <v>98</v>
      </c>
      <c r="H4721" t="s">
        <v>4670</v>
      </c>
      <c r="J4721" s="9" t="s">
        <v>5067</v>
      </c>
      <c r="K4721" t="s">
        <v>5048</v>
      </c>
      <c r="L4721" s="2">
        <v>1</v>
      </c>
      <c r="M4721" s="24" t="s">
        <v>5971</v>
      </c>
      <c r="N4721" s="2" t="s">
        <v>23</v>
      </c>
      <c r="O4721" s="18" t="s">
        <v>3564</v>
      </c>
      <c r="P4721" s="18" t="s">
        <v>3781</v>
      </c>
      <c r="Q4721" s="6" t="s">
        <v>4475</v>
      </c>
      <c r="T4721" s="23">
        <v>45993</v>
      </c>
      <c r="U4721" s="23">
        <v>46357</v>
      </c>
      <c r="X4721" s="20">
        <v>5000</v>
      </c>
      <c r="Z4721" s="6" t="s">
        <v>5978</v>
      </c>
      <c r="AA4721" s="14">
        <f t="shared" ref="AA4721:AA4723" si="626">+(0.6/1000)</f>
        <v>5.9999999999999995E-4</v>
      </c>
      <c r="AB4721">
        <v>1.313706</v>
      </c>
      <c r="AC4721">
        <v>1.3662542400000002</v>
      </c>
    </row>
    <row r="4722" spans="1:29" x14ac:dyDescent="0.3">
      <c r="A4722">
        <v>151216</v>
      </c>
      <c r="B4722" s="25" t="s">
        <v>5984</v>
      </c>
      <c r="C4722" t="s">
        <v>20</v>
      </c>
      <c r="D4722" t="s">
        <v>21</v>
      </c>
      <c r="E4722">
        <v>2222222</v>
      </c>
      <c r="F4722" s="8" t="s">
        <v>22</v>
      </c>
      <c r="G4722" s="2">
        <v>98</v>
      </c>
      <c r="H4722" t="s">
        <v>4670</v>
      </c>
      <c r="J4722" s="9" t="s">
        <v>5096</v>
      </c>
      <c r="K4722" t="s">
        <v>4942</v>
      </c>
      <c r="L4722" s="2">
        <v>1</v>
      </c>
      <c r="M4722" s="24" t="s">
        <v>5971</v>
      </c>
      <c r="N4722" s="2" t="s">
        <v>23</v>
      </c>
      <c r="O4722" s="18" t="s">
        <v>731</v>
      </c>
      <c r="P4722" s="18" t="s">
        <v>3781</v>
      </c>
      <c r="Q4722" s="6" t="s">
        <v>4475</v>
      </c>
      <c r="T4722" s="23">
        <v>46147</v>
      </c>
      <c r="U4722" s="23">
        <v>47030</v>
      </c>
      <c r="X4722" s="20">
        <v>1625</v>
      </c>
      <c r="Z4722" s="6" t="s">
        <v>5978</v>
      </c>
      <c r="AA4722" s="14">
        <f t="shared" si="626"/>
        <v>5.9999999999999995E-4</v>
      </c>
      <c r="AB4722">
        <v>0.91954199999999986</v>
      </c>
      <c r="AC4722">
        <v>0.9563236799999999</v>
      </c>
    </row>
    <row r="4723" spans="1:29" x14ac:dyDescent="0.3">
      <c r="A4723">
        <v>146784</v>
      </c>
      <c r="B4723" s="25" t="s">
        <v>5984</v>
      </c>
      <c r="C4723" t="s">
        <v>20</v>
      </c>
      <c r="D4723" t="s">
        <v>21</v>
      </c>
      <c r="E4723">
        <v>2222222</v>
      </c>
      <c r="F4723" s="8" t="s">
        <v>22</v>
      </c>
      <c r="G4723" s="2">
        <v>98</v>
      </c>
      <c r="H4723" t="s">
        <v>4671</v>
      </c>
      <c r="J4723" s="9" t="s">
        <v>5058</v>
      </c>
      <c r="K4723" t="s">
        <v>4964</v>
      </c>
      <c r="L4723" s="2">
        <v>1</v>
      </c>
      <c r="M4723" s="24" t="s">
        <v>5971</v>
      </c>
      <c r="N4723" s="2" t="s">
        <v>23</v>
      </c>
      <c r="O4723" s="18" t="s">
        <v>3565</v>
      </c>
      <c r="P4723" s="18" t="s">
        <v>0</v>
      </c>
      <c r="Q4723" s="6" t="s">
        <v>4475</v>
      </c>
      <c r="T4723" s="23">
        <v>45842</v>
      </c>
      <c r="U4723" s="23">
        <v>46298</v>
      </c>
      <c r="X4723" s="20">
        <v>960</v>
      </c>
      <c r="Z4723" s="6" t="s">
        <v>5978</v>
      </c>
      <c r="AA4723" s="14">
        <f t="shared" si="626"/>
        <v>5.9999999999999995E-4</v>
      </c>
      <c r="AB4723">
        <v>0.163602</v>
      </c>
      <c r="AC4723">
        <v>0.17014608000000001</v>
      </c>
    </row>
    <row r="4724" spans="1:29" x14ac:dyDescent="0.3">
      <c r="A4724">
        <v>109720</v>
      </c>
      <c r="B4724" s="25" t="s">
        <v>5984</v>
      </c>
      <c r="C4724" t="s">
        <v>20</v>
      </c>
      <c r="D4724" t="s">
        <v>21</v>
      </c>
      <c r="E4724">
        <v>2222222</v>
      </c>
      <c r="F4724" s="8" t="s">
        <v>22</v>
      </c>
      <c r="G4724" s="2">
        <v>98</v>
      </c>
      <c r="H4724" t="s">
        <v>4672</v>
      </c>
      <c r="J4724" s="9" t="s">
        <v>4929</v>
      </c>
      <c r="K4724" t="s">
        <v>4966</v>
      </c>
      <c r="L4724" s="2">
        <v>1</v>
      </c>
      <c r="M4724" s="24" t="s">
        <v>5971</v>
      </c>
      <c r="N4724" s="2" t="s">
        <v>23</v>
      </c>
      <c r="O4724" s="18" t="s">
        <v>3566</v>
      </c>
      <c r="P4724" s="18" t="s">
        <v>0</v>
      </c>
      <c r="Q4724" s="6" t="s">
        <v>4475</v>
      </c>
      <c r="T4724" s="23">
        <v>43826</v>
      </c>
      <c r="U4724" s="23">
        <v>46448</v>
      </c>
      <c r="X4724" s="20">
        <v>20335.349999999999</v>
      </c>
      <c r="Z4724" s="6" t="s">
        <v>5978</v>
      </c>
      <c r="AA4724" s="15">
        <f t="shared" ref="AA4724:AA4725" si="627">+(0.42/1000)</f>
        <v>4.1999999999999996E-4</v>
      </c>
      <c r="AB4724">
        <v>6.4251473999999993</v>
      </c>
      <c r="AC4724">
        <v>6.6821532959999992</v>
      </c>
    </row>
    <row r="4725" spans="1:29" x14ac:dyDescent="0.3">
      <c r="A4725">
        <v>116280</v>
      </c>
      <c r="B4725" s="25" t="s">
        <v>5984</v>
      </c>
      <c r="C4725" t="s">
        <v>20</v>
      </c>
      <c r="D4725" t="s">
        <v>21</v>
      </c>
      <c r="E4725">
        <v>2222222</v>
      </c>
      <c r="F4725" s="8" t="s">
        <v>22</v>
      </c>
      <c r="G4725" s="2">
        <v>98</v>
      </c>
      <c r="H4725" t="s">
        <v>4672</v>
      </c>
      <c r="J4725" s="9" t="s">
        <v>5243</v>
      </c>
      <c r="K4725" t="s">
        <v>4857</v>
      </c>
      <c r="L4725" s="2">
        <v>1</v>
      </c>
      <c r="M4725" s="24" t="s">
        <v>5971</v>
      </c>
      <c r="N4725" s="2" t="s">
        <v>23</v>
      </c>
      <c r="O4725" s="18" t="s">
        <v>3567</v>
      </c>
      <c r="P4725" s="18" t="s">
        <v>0</v>
      </c>
      <c r="Q4725" s="6" t="s">
        <v>4475</v>
      </c>
      <c r="T4725" s="23">
        <v>44130</v>
      </c>
      <c r="U4725" s="23">
        <v>44230</v>
      </c>
      <c r="X4725" s="20">
        <v>430</v>
      </c>
      <c r="Z4725" s="6" t="s">
        <v>5978</v>
      </c>
      <c r="AA4725" s="15">
        <f t="shared" si="627"/>
        <v>4.1999999999999996E-4</v>
      </c>
      <c r="AB4725">
        <v>0.18059999999999998</v>
      </c>
      <c r="AC4725">
        <v>0.18782399999999999</v>
      </c>
    </row>
    <row r="4726" spans="1:29" x14ac:dyDescent="0.3">
      <c r="A4726">
        <v>131011</v>
      </c>
      <c r="B4726" s="25" t="s">
        <v>5984</v>
      </c>
      <c r="C4726" t="s">
        <v>20</v>
      </c>
      <c r="D4726" t="s">
        <v>21</v>
      </c>
      <c r="E4726">
        <v>2222222</v>
      </c>
      <c r="F4726" s="8" t="s">
        <v>22</v>
      </c>
      <c r="G4726" s="2">
        <v>98</v>
      </c>
      <c r="H4726" t="s">
        <v>4672</v>
      </c>
      <c r="J4726" s="9" t="s">
        <v>4914</v>
      </c>
      <c r="K4726" t="s">
        <v>5939</v>
      </c>
      <c r="L4726" s="2">
        <v>1</v>
      </c>
      <c r="M4726" s="24" t="s">
        <v>5971</v>
      </c>
      <c r="N4726" s="2" t="s">
        <v>23</v>
      </c>
      <c r="O4726" s="18" t="s">
        <v>3568</v>
      </c>
      <c r="P4726" s="18" t="s">
        <v>3781</v>
      </c>
      <c r="Q4726" s="6" t="s">
        <v>4475</v>
      </c>
      <c r="T4726" s="23">
        <v>44867</v>
      </c>
      <c r="U4726" s="23">
        <v>45978</v>
      </c>
      <c r="X4726" s="20">
        <v>3920</v>
      </c>
      <c r="Z4726" s="6" t="s">
        <v>5978</v>
      </c>
      <c r="AA4726" s="13">
        <f t="shared" ref="AA4726:AA4729" si="628">+(0.56/1000)</f>
        <v>5.6000000000000006E-4</v>
      </c>
      <c r="AB4726">
        <v>1.7517584000000002</v>
      </c>
      <c r="AC4726">
        <v>1.8218287360000003</v>
      </c>
    </row>
    <row r="4727" spans="1:29" x14ac:dyDescent="0.3">
      <c r="A4727">
        <v>138440</v>
      </c>
      <c r="B4727" s="25" t="s">
        <v>5984</v>
      </c>
      <c r="C4727" t="s">
        <v>20</v>
      </c>
      <c r="D4727" t="s">
        <v>21</v>
      </c>
      <c r="E4727">
        <v>2222222</v>
      </c>
      <c r="F4727" s="8" t="s">
        <v>22</v>
      </c>
      <c r="G4727" s="2">
        <v>98</v>
      </c>
      <c r="H4727" t="s">
        <v>4672</v>
      </c>
      <c r="J4727" s="9" t="s">
        <v>5299</v>
      </c>
      <c r="K4727" t="s">
        <v>5394</v>
      </c>
      <c r="L4727" s="2">
        <v>1</v>
      </c>
      <c r="M4727" s="24" t="s">
        <v>5971</v>
      </c>
      <c r="N4727" s="2" t="s">
        <v>23</v>
      </c>
      <c r="O4727" s="18" t="s">
        <v>3569</v>
      </c>
      <c r="P4727" s="18" t="s">
        <v>3781</v>
      </c>
      <c r="Q4727" s="6" t="s">
        <v>4475</v>
      </c>
      <c r="T4727" s="23">
        <v>45275</v>
      </c>
      <c r="U4727" s="23">
        <v>47101</v>
      </c>
      <c r="X4727" s="20">
        <v>10500</v>
      </c>
      <c r="Z4727" s="6" t="s">
        <v>5978</v>
      </c>
      <c r="AA4727" s="13">
        <f t="shared" si="628"/>
        <v>5.6000000000000006E-4</v>
      </c>
      <c r="AB4727">
        <v>3.4261192</v>
      </c>
      <c r="AC4727">
        <v>3.563163968</v>
      </c>
    </row>
    <row r="4728" spans="1:29" x14ac:dyDescent="0.3">
      <c r="A4728">
        <v>139559</v>
      </c>
      <c r="B4728" s="25" t="s">
        <v>5984</v>
      </c>
      <c r="C4728" t="s">
        <v>20</v>
      </c>
      <c r="D4728" t="s">
        <v>21</v>
      </c>
      <c r="E4728">
        <v>2222222</v>
      </c>
      <c r="F4728" s="8" t="s">
        <v>22</v>
      </c>
      <c r="G4728" s="2">
        <v>98</v>
      </c>
      <c r="H4728" t="s">
        <v>4672</v>
      </c>
      <c r="J4728" s="9" t="s">
        <v>4833</v>
      </c>
      <c r="K4728" t="s">
        <v>5144</v>
      </c>
      <c r="L4728" s="2">
        <v>1</v>
      </c>
      <c r="M4728" s="24" t="s">
        <v>5971</v>
      </c>
      <c r="N4728" s="2" t="s">
        <v>23</v>
      </c>
      <c r="O4728" s="18" t="s">
        <v>3570</v>
      </c>
      <c r="P4728" s="18" t="s">
        <v>0</v>
      </c>
      <c r="Q4728" s="6" t="s">
        <v>4475</v>
      </c>
      <c r="T4728" s="23">
        <v>45338</v>
      </c>
      <c r="U4728" s="23">
        <v>47620</v>
      </c>
      <c r="X4728" s="20">
        <v>10000</v>
      </c>
      <c r="Z4728" s="6" t="s">
        <v>5978</v>
      </c>
      <c r="AA4728" s="13">
        <f t="shared" si="628"/>
        <v>5.6000000000000006E-4</v>
      </c>
      <c r="AB4728">
        <v>4.1831496000000001</v>
      </c>
      <c r="AC4728">
        <v>4.3504755840000007</v>
      </c>
    </row>
    <row r="4729" spans="1:29" x14ac:dyDescent="0.3">
      <c r="A4729">
        <v>140219</v>
      </c>
      <c r="B4729" s="25" t="s">
        <v>5984</v>
      </c>
      <c r="C4729" t="s">
        <v>20</v>
      </c>
      <c r="D4729" t="s">
        <v>21</v>
      </c>
      <c r="E4729">
        <v>2222222</v>
      </c>
      <c r="F4729" s="8" t="s">
        <v>22</v>
      </c>
      <c r="G4729" s="2">
        <v>98</v>
      </c>
      <c r="H4729" t="s">
        <v>4672</v>
      </c>
      <c r="J4729" s="9" t="s">
        <v>5050</v>
      </c>
      <c r="K4729" t="s">
        <v>4893</v>
      </c>
      <c r="L4729" s="2">
        <v>1</v>
      </c>
      <c r="M4729" s="24" t="s">
        <v>5971</v>
      </c>
      <c r="N4729" s="2" t="s">
        <v>23</v>
      </c>
      <c r="O4729" s="18" t="s">
        <v>3571</v>
      </c>
      <c r="P4729" s="18" t="s">
        <v>3781</v>
      </c>
      <c r="Q4729" s="6" t="s">
        <v>4475</v>
      </c>
      <c r="T4729" s="23">
        <v>45390</v>
      </c>
      <c r="U4729" s="23">
        <v>47946</v>
      </c>
      <c r="X4729" s="20">
        <v>50000</v>
      </c>
      <c r="Z4729" s="6" t="s">
        <v>5978</v>
      </c>
      <c r="AA4729" s="13">
        <f t="shared" si="628"/>
        <v>5.6000000000000006E-4</v>
      </c>
      <c r="AB4729">
        <v>21.518974400000001</v>
      </c>
      <c r="AC4729">
        <v>22.379733376000001</v>
      </c>
    </row>
    <row r="4730" spans="1:29" x14ac:dyDescent="0.3">
      <c r="A4730">
        <v>140964</v>
      </c>
      <c r="B4730" s="25" t="s">
        <v>5984</v>
      </c>
      <c r="C4730" t="s">
        <v>20</v>
      </c>
      <c r="D4730" t="s">
        <v>21</v>
      </c>
      <c r="E4730">
        <v>2222222</v>
      </c>
      <c r="F4730" s="8" t="s">
        <v>22</v>
      </c>
      <c r="G4730" s="2">
        <v>98</v>
      </c>
      <c r="H4730" t="s">
        <v>4672</v>
      </c>
      <c r="J4730" s="9" t="s">
        <v>5063</v>
      </c>
      <c r="K4730" t="s">
        <v>5018</v>
      </c>
      <c r="L4730" s="2">
        <v>1</v>
      </c>
      <c r="M4730" s="24" t="s">
        <v>5971</v>
      </c>
      <c r="N4730" s="2" t="s">
        <v>23</v>
      </c>
      <c r="O4730" s="18" t="s">
        <v>3572</v>
      </c>
      <c r="P4730" s="18" t="s">
        <v>0</v>
      </c>
      <c r="Q4730" s="6" t="s">
        <v>4475</v>
      </c>
      <c r="T4730" s="23">
        <v>45504</v>
      </c>
      <c r="U4730" s="23">
        <v>49155</v>
      </c>
      <c r="X4730" s="20">
        <v>100000</v>
      </c>
      <c r="Z4730" s="6" t="s">
        <v>5978</v>
      </c>
      <c r="AA4730" s="14">
        <f t="shared" ref="AA4730:AA4758" si="629">+(0.6/1000)</f>
        <v>5.9999999999999995E-4</v>
      </c>
      <c r="AB4730">
        <v>52.503023999999989</v>
      </c>
      <c r="AC4730">
        <v>54.603144959999987</v>
      </c>
    </row>
    <row r="4731" spans="1:29" x14ac:dyDescent="0.3">
      <c r="A4731">
        <v>144706</v>
      </c>
      <c r="B4731" s="25" t="s">
        <v>5984</v>
      </c>
      <c r="C4731" t="s">
        <v>20</v>
      </c>
      <c r="D4731" t="s">
        <v>21</v>
      </c>
      <c r="E4731">
        <v>2222222</v>
      </c>
      <c r="F4731" s="8" t="s">
        <v>22</v>
      </c>
      <c r="G4731" s="2">
        <v>98</v>
      </c>
      <c r="H4731" t="s">
        <v>4672</v>
      </c>
      <c r="J4731" s="9" t="s">
        <v>5575</v>
      </c>
      <c r="K4731" t="s">
        <v>5190</v>
      </c>
      <c r="L4731" s="2">
        <v>1</v>
      </c>
      <c r="M4731" s="24" t="s">
        <v>5971</v>
      </c>
      <c r="N4731" s="2" t="s">
        <v>23</v>
      </c>
      <c r="O4731" s="18" t="s">
        <v>347</v>
      </c>
      <c r="P4731" s="18" t="s">
        <v>0</v>
      </c>
      <c r="Q4731" s="6" t="s">
        <v>4475</v>
      </c>
      <c r="T4731" s="23">
        <v>45684</v>
      </c>
      <c r="U4731" s="23">
        <v>46419</v>
      </c>
      <c r="X4731" s="20">
        <v>2300</v>
      </c>
      <c r="Z4731" s="6" t="s">
        <v>5978</v>
      </c>
      <c r="AA4731" s="14">
        <f t="shared" si="629"/>
        <v>5.9999999999999995E-4</v>
      </c>
      <c r="AB4731">
        <v>0.45257999999999993</v>
      </c>
      <c r="AC4731">
        <v>0.47068319999999991</v>
      </c>
    </row>
    <row r="4732" spans="1:29" x14ac:dyDescent="0.3">
      <c r="A4732">
        <v>144954</v>
      </c>
      <c r="B4732" s="25" t="s">
        <v>5984</v>
      </c>
      <c r="C4732" t="s">
        <v>20</v>
      </c>
      <c r="D4732" t="s">
        <v>21</v>
      </c>
      <c r="E4732">
        <v>2222222</v>
      </c>
      <c r="F4732" s="8" t="s">
        <v>22</v>
      </c>
      <c r="G4732" s="2">
        <v>98</v>
      </c>
      <c r="H4732" t="s">
        <v>4672</v>
      </c>
      <c r="J4732" s="9" t="s">
        <v>5721</v>
      </c>
      <c r="K4732" t="s">
        <v>5560</v>
      </c>
      <c r="L4732" s="2">
        <v>1</v>
      </c>
      <c r="M4732" s="24" t="s">
        <v>5971</v>
      </c>
      <c r="N4732" s="2" t="s">
        <v>23</v>
      </c>
      <c r="O4732" s="18" t="s">
        <v>1798</v>
      </c>
      <c r="P4732" s="18" t="s">
        <v>3781</v>
      </c>
      <c r="Q4732" s="6" t="s">
        <v>4475</v>
      </c>
      <c r="T4732" s="23">
        <v>45701</v>
      </c>
      <c r="U4732" s="23">
        <v>46798</v>
      </c>
      <c r="X4732" s="20">
        <v>3100</v>
      </c>
      <c r="Z4732" s="6" t="s">
        <v>5978</v>
      </c>
      <c r="AA4732" s="14">
        <f t="shared" si="629"/>
        <v>5.9999999999999995E-4</v>
      </c>
      <c r="AB4732">
        <v>1.0996439999999998</v>
      </c>
      <c r="AC4732">
        <v>1.1436297599999998</v>
      </c>
    </row>
    <row r="4733" spans="1:29" x14ac:dyDescent="0.3">
      <c r="A4733">
        <v>145441</v>
      </c>
      <c r="B4733" s="25" t="s">
        <v>5984</v>
      </c>
      <c r="C4733" t="s">
        <v>20</v>
      </c>
      <c r="D4733" t="s">
        <v>21</v>
      </c>
      <c r="E4733">
        <v>2222222</v>
      </c>
      <c r="F4733" s="8" t="s">
        <v>22</v>
      </c>
      <c r="G4733" s="2">
        <v>98</v>
      </c>
      <c r="H4733" t="s">
        <v>4672</v>
      </c>
      <c r="J4733" s="9" t="s">
        <v>5342</v>
      </c>
      <c r="K4733" t="s">
        <v>5546</v>
      </c>
      <c r="L4733" s="2">
        <v>1</v>
      </c>
      <c r="M4733" s="24" t="s">
        <v>5971</v>
      </c>
      <c r="N4733" s="2" t="s">
        <v>23</v>
      </c>
      <c r="O4733" s="18" t="s">
        <v>1324</v>
      </c>
      <c r="P4733" s="18" t="s">
        <v>3781</v>
      </c>
      <c r="Q4733" s="6" t="s">
        <v>4475</v>
      </c>
      <c r="T4733" s="23">
        <v>45743</v>
      </c>
      <c r="U4733" s="23">
        <v>47568</v>
      </c>
      <c r="X4733" s="20">
        <v>23000</v>
      </c>
      <c r="Z4733" s="6" t="s">
        <v>5978</v>
      </c>
      <c r="AA4733" s="14">
        <f t="shared" si="629"/>
        <v>5.9999999999999995E-4</v>
      </c>
      <c r="AB4733">
        <v>11.009783999999998</v>
      </c>
      <c r="AC4733">
        <v>11.450175359999998</v>
      </c>
    </row>
    <row r="4734" spans="1:29" x14ac:dyDescent="0.3">
      <c r="A4734">
        <v>145760</v>
      </c>
      <c r="B4734" s="25" t="s">
        <v>5984</v>
      </c>
      <c r="C4734" t="s">
        <v>20</v>
      </c>
      <c r="D4734" t="s">
        <v>21</v>
      </c>
      <c r="E4734">
        <v>2222222</v>
      </c>
      <c r="F4734" s="8" t="s">
        <v>22</v>
      </c>
      <c r="G4734" s="2">
        <v>98</v>
      </c>
      <c r="H4734" t="s">
        <v>4672</v>
      </c>
      <c r="J4734" s="9" t="s">
        <v>5371</v>
      </c>
      <c r="K4734" t="s">
        <v>4852</v>
      </c>
      <c r="L4734" s="2">
        <v>1</v>
      </c>
      <c r="M4734" s="24" t="s">
        <v>5971</v>
      </c>
      <c r="N4734" s="2" t="s">
        <v>23</v>
      </c>
      <c r="O4734" s="18" t="s">
        <v>3573</v>
      </c>
      <c r="P4734" s="18" t="s">
        <v>0</v>
      </c>
      <c r="Q4734" s="6" t="s">
        <v>4475</v>
      </c>
      <c r="T4734" s="23">
        <v>45772</v>
      </c>
      <c r="U4734" s="23">
        <v>46868</v>
      </c>
      <c r="X4734" s="20">
        <v>20000</v>
      </c>
      <c r="Z4734" s="6" t="s">
        <v>5978</v>
      </c>
      <c r="AA4734" s="14">
        <f t="shared" si="629"/>
        <v>5.9999999999999995E-4</v>
      </c>
      <c r="AB4734">
        <v>3.4649879999999995</v>
      </c>
      <c r="AC4734">
        <v>3.6035875199999996</v>
      </c>
    </row>
    <row r="4735" spans="1:29" x14ac:dyDescent="0.3">
      <c r="A4735">
        <v>146374</v>
      </c>
      <c r="B4735" s="25" t="s">
        <v>5984</v>
      </c>
      <c r="C4735" t="s">
        <v>20</v>
      </c>
      <c r="D4735" t="s">
        <v>21</v>
      </c>
      <c r="E4735">
        <v>2222222</v>
      </c>
      <c r="F4735" s="8" t="s">
        <v>22</v>
      </c>
      <c r="G4735" s="2">
        <v>98</v>
      </c>
      <c r="H4735" t="s">
        <v>4672</v>
      </c>
      <c r="J4735" s="9" t="s">
        <v>4852</v>
      </c>
      <c r="K4735" t="s">
        <v>5272</v>
      </c>
      <c r="L4735" s="2">
        <v>1</v>
      </c>
      <c r="M4735" s="24" t="s">
        <v>5971</v>
      </c>
      <c r="N4735" s="2" t="s">
        <v>23</v>
      </c>
      <c r="O4735" s="18" t="s">
        <v>3574</v>
      </c>
      <c r="P4735" s="18" t="s">
        <v>0</v>
      </c>
      <c r="Q4735" s="6" t="s">
        <v>4475</v>
      </c>
      <c r="T4735" s="23">
        <v>45812</v>
      </c>
      <c r="U4735" s="23">
        <v>47638</v>
      </c>
      <c r="X4735" s="20">
        <v>5000</v>
      </c>
      <c r="Z4735" s="6" t="s">
        <v>5978</v>
      </c>
      <c r="AA4735" s="14">
        <f t="shared" si="629"/>
        <v>5.9999999999999995E-4</v>
      </c>
      <c r="AB4735">
        <v>2.5162079999999998</v>
      </c>
      <c r="AC4735">
        <v>2.6168563199999997</v>
      </c>
    </row>
    <row r="4736" spans="1:29" x14ac:dyDescent="0.3">
      <c r="A4736">
        <v>146961</v>
      </c>
      <c r="B4736" s="25" t="s">
        <v>5984</v>
      </c>
      <c r="C4736" t="s">
        <v>20</v>
      </c>
      <c r="D4736" t="s">
        <v>21</v>
      </c>
      <c r="E4736">
        <v>2222222</v>
      </c>
      <c r="F4736" s="8" t="s">
        <v>22</v>
      </c>
      <c r="G4736" s="2">
        <v>98</v>
      </c>
      <c r="H4736" t="s">
        <v>4672</v>
      </c>
      <c r="J4736" s="9" t="s">
        <v>5662</v>
      </c>
      <c r="K4736" t="s">
        <v>5064</v>
      </c>
      <c r="L4736" s="2">
        <v>1</v>
      </c>
      <c r="M4736" s="24" t="s">
        <v>5971</v>
      </c>
      <c r="N4736" s="2" t="s">
        <v>23</v>
      </c>
      <c r="O4736" s="18" t="s">
        <v>3575</v>
      </c>
      <c r="P4736" s="18" t="s">
        <v>0</v>
      </c>
      <c r="Q4736" s="6" t="s">
        <v>4475</v>
      </c>
      <c r="T4736" s="23">
        <v>45854</v>
      </c>
      <c r="U4736" s="23">
        <v>47041</v>
      </c>
      <c r="X4736" s="20">
        <v>4490</v>
      </c>
      <c r="Z4736" s="6" t="s">
        <v>5978</v>
      </c>
      <c r="AA4736" s="14">
        <f t="shared" si="629"/>
        <v>5.9999999999999995E-4</v>
      </c>
      <c r="AB4736">
        <v>2.0631179999999998</v>
      </c>
      <c r="AC4736">
        <v>2.1456427199999997</v>
      </c>
    </row>
    <row r="4737" spans="1:29" x14ac:dyDescent="0.3">
      <c r="A4737">
        <v>147491</v>
      </c>
      <c r="B4737" s="25" t="s">
        <v>5984</v>
      </c>
      <c r="C4737" t="s">
        <v>20</v>
      </c>
      <c r="D4737" t="s">
        <v>21</v>
      </c>
      <c r="E4737">
        <v>2222222</v>
      </c>
      <c r="F4737" s="8" t="s">
        <v>22</v>
      </c>
      <c r="G4737" s="2">
        <v>98</v>
      </c>
      <c r="H4737" t="s">
        <v>4672</v>
      </c>
      <c r="J4737" s="9" t="s">
        <v>5234</v>
      </c>
      <c r="K4737" t="s">
        <v>5460</v>
      </c>
      <c r="L4737" s="2">
        <v>1</v>
      </c>
      <c r="M4737" s="24" t="s">
        <v>5971</v>
      </c>
      <c r="N4737" s="2" t="s">
        <v>23</v>
      </c>
      <c r="O4737" s="18" t="s">
        <v>3576</v>
      </c>
      <c r="P4737" s="18" t="s">
        <v>0</v>
      </c>
      <c r="Q4737" s="6" t="s">
        <v>4475</v>
      </c>
      <c r="T4737" s="23">
        <v>45892</v>
      </c>
      <c r="U4737" s="23">
        <v>46257</v>
      </c>
      <c r="X4737" s="20">
        <v>600</v>
      </c>
      <c r="Z4737" s="6" t="s">
        <v>5978</v>
      </c>
      <c r="AA4737" s="14">
        <f t="shared" si="629"/>
        <v>5.9999999999999995E-4</v>
      </c>
      <c r="AB4737">
        <v>3.2231999999999997E-2</v>
      </c>
      <c r="AC4737">
        <v>3.3521280000000001E-2</v>
      </c>
    </row>
    <row r="4738" spans="1:29" x14ac:dyDescent="0.3">
      <c r="A4738">
        <v>147688</v>
      </c>
      <c r="B4738" s="25" t="s">
        <v>5984</v>
      </c>
      <c r="C4738" t="s">
        <v>20</v>
      </c>
      <c r="D4738" t="s">
        <v>21</v>
      </c>
      <c r="E4738">
        <v>2222222</v>
      </c>
      <c r="F4738" s="8" t="s">
        <v>22</v>
      </c>
      <c r="G4738" s="2">
        <v>98</v>
      </c>
      <c r="H4738" t="s">
        <v>4672</v>
      </c>
      <c r="J4738" s="9" t="s">
        <v>5299</v>
      </c>
      <c r="K4738" t="s">
        <v>5394</v>
      </c>
      <c r="L4738" s="2">
        <v>1</v>
      </c>
      <c r="M4738" s="24" t="s">
        <v>5971</v>
      </c>
      <c r="N4738" s="2" t="s">
        <v>23</v>
      </c>
      <c r="O4738" s="18" t="s">
        <v>3569</v>
      </c>
      <c r="P4738" s="18" t="s">
        <v>3781</v>
      </c>
      <c r="Q4738" s="6" t="s">
        <v>4475</v>
      </c>
      <c r="T4738" s="23">
        <v>45909</v>
      </c>
      <c r="U4738" s="23">
        <v>47370</v>
      </c>
      <c r="X4738" s="20">
        <v>8500</v>
      </c>
      <c r="Z4738" s="6" t="s">
        <v>5978</v>
      </c>
      <c r="AA4738" s="14">
        <f t="shared" si="629"/>
        <v>5.9999999999999995E-4</v>
      </c>
      <c r="AB4738">
        <v>4.2291359999999996</v>
      </c>
      <c r="AC4738">
        <v>4.39830144</v>
      </c>
    </row>
    <row r="4739" spans="1:29" x14ac:dyDescent="0.3">
      <c r="A4739">
        <v>147752</v>
      </c>
      <c r="B4739" s="25" t="s">
        <v>5984</v>
      </c>
      <c r="C4739" t="s">
        <v>20</v>
      </c>
      <c r="D4739" t="s">
        <v>21</v>
      </c>
      <c r="E4739">
        <v>2222222</v>
      </c>
      <c r="F4739" s="8" t="s">
        <v>22</v>
      </c>
      <c r="G4739" s="2">
        <v>98</v>
      </c>
      <c r="H4739" t="s">
        <v>4672</v>
      </c>
      <c r="J4739" s="9" t="s">
        <v>5940</v>
      </c>
      <c r="K4739" t="s">
        <v>4884</v>
      </c>
      <c r="L4739" s="2">
        <v>1</v>
      </c>
      <c r="M4739" s="24" t="s">
        <v>5971</v>
      </c>
      <c r="N4739" s="2" t="s">
        <v>23</v>
      </c>
      <c r="O4739" s="18" t="s">
        <v>2557</v>
      </c>
      <c r="P4739" s="18" t="s">
        <v>3781</v>
      </c>
      <c r="Q4739" s="6" t="s">
        <v>4475</v>
      </c>
      <c r="T4739" s="23">
        <v>45910</v>
      </c>
      <c r="U4739" s="23">
        <v>46640</v>
      </c>
      <c r="X4739" s="20">
        <v>5000</v>
      </c>
      <c r="Z4739" s="6" t="s">
        <v>5978</v>
      </c>
      <c r="AA4739" s="14">
        <f t="shared" si="629"/>
        <v>5.9999999999999995E-4</v>
      </c>
      <c r="AB4739">
        <v>1.8789719999999999</v>
      </c>
      <c r="AC4739">
        <v>1.9541308799999999</v>
      </c>
    </row>
    <row r="4740" spans="1:29" x14ac:dyDescent="0.3">
      <c r="A4740">
        <v>147795</v>
      </c>
      <c r="B4740" s="25" t="s">
        <v>5984</v>
      </c>
      <c r="C4740" t="s">
        <v>20</v>
      </c>
      <c r="D4740" t="s">
        <v>21</v>
      </c>
      <c r="E4740">
        <v>2222222</v>
      </c>
      <c r="F4740" s="8" t="s">
        <v>22</v>
      </c>
      <c r="G4740" s="2">
        <v>98</v>
      </c>
      <c r="H4740" t="s">
        <v>4672</v>
      </c>
      <c r="J4740" s="9" t="s">
        <v>4779</v>
      </c>
      <c r="K4740" t="s">
        <v>4935</v>
      </c>
      <c r="L4740" s="2">
        <v>1</v>
      </c>
      <c r="M4740" s="24" t="s">
        <v>5971</v>
      </c>
      <c r="N4740" s="2" t="s">
        <v>23</v>
      </c>
      <c r="O4740" s="18" t="s">
        <v>3577</v>
      </c>
      <c r="P4740" s="18" t="s">
        <v>0</v>
      </c>
      <c r="Q4740" s="6" t="s">
        <v>4475</v>
      </c>
      <c r="T4740" s="23">
        <v>45915</v>
      </c>
      <c r="U4740" s="23">
        <v>46827</v>
      </c>
      <c r="X4740" s="20">
        <v>3500</v>
      </c>
      <c r="Z4740" s="6" t="s">
        <v>5978</v>
      </c>
      <c r="AA4740" s="14">
        <f t="shared" si="629"/>
        <v>5.9999999999999995E-4</v>
      </c>
      <c r="AB4740">
        <v>1.4960879999999999</v>
      </c>
      <c r="AC4740">
        <v>1.5559315199999999</v>
      </c>
    </row>
    <row r="4741" spans="1:29" x14ac:dyDescent="0.3">
      <c r="A4741">
        <v>148777</v>
      </c>
      <c r="B4741" s="25" t="s">
        <v>5984</v>
      </c>
      <c r="C4741" t="s">
        <v>20</v>
      </c>
      <c r="D4741" t="s">
        <v>21</v>
      </c>
      <c r="E4741">
        <v>2222222</v>
      </c>
      <c r="F4741" s="8" t="s">
        <v>22</v>
      </c>
      <c r="G4741" s="2">
        <v>98</v>
      </c>
      <c r="H4741" t="s">
        <v>4672</v>
      </c>
      <c r="J4741" s="9" t="s">
        <v>4903</v>
      </c>
      <c r="K4741" t="s">
        <v>5071</v>
      </c>
      <c r="L4741" s="2">
        <v>1</v>
      </c>
      <c r="M4741" s="24" t="s">
        <v>5971</v>
      </c>
      <c r="N4741" s="2" t="s">
        <v>23</v>
      </c>
      <c r="O4741" s="18" t="s">
        <v>3578</v>
      </c>
      <c r="P4741" s="18" t="s">
        <v>3781</v>
      </c>
      <c r="Q4741" s="6" t="s">
        <v>4475</v>
      </c>
      <c r="T4741" s="23">
        <v>45984</v>
      </c>
      <c r="U4741" s="23">
        <v>49636</v>
      </c>
      <c r="X4741" s="20">
        <v>15500</v>
      </c>
      <c r="Z4741" s="6" t="s">
        <v>5978</v>
      </c>
      <c r="AA4741" s="14">
        <f t="shared" si="629"/>
        <v>5.9999999999999995E-4</v>
      </c>
      <c r="AB4741">
        <v>8.9608799999999995</v>
      </c>
      <c r="AC4741">
        <v>9.3193152000000001</v>
      </c>
    </row>
    <row r="4742" spans="1:29" x14ac:dyDescent="0.3">
      <c r="A4742">
        <v>148798</v>
      </c>
      <c r="B4742" s="25" t="s">
        <v>5984</v>
      </c>
      <c r="C4742" t="s">
        <v>20</v>
      </c>
      <c r="D4742" t="s">
        <v>21</v>
      </c>
      <c r="E4742">
        <v>2222222</v>
      </c>
      <c r="F4742" s="8" t="s">
        <v>22</v>
      </c>
      <c r="G4742" s="2">
        <v>98</v>
      </c>
      <c r="H4742" t="s">
        <v>4672</v>
      </c>
      <c r="J4742" s="9" t="s">
        <v>4970</v>
      </c>
      <c r="K4742" t="s">
        <v>5030</v>
      </c>
      <c r="L4742" s="2">
        <v>1</v>
      </c>
      <c r="M4742" s="24" t="s">
        <v>5971</v>
      </c>
      <c r="N4742" s="2" t="s">
        <v>23</v>
      </c>
      <c r="O4742" s="18" t="s">
        <v>3579</v>
      </c>
      <c r="P4742" s="18" t="s">
        <v>3781</v>
      </c>
      <c r="Q4742" s="6" t="s">
        <v>4475</v>
      </c>
      <c r="T4742" s="23">
        <v>46000</v>
      </c>
      <c r="U4742" s="23">
        <v>47825</v>
      </c>
      <c r="X4742" s="20">
        <v>50000</v>
      </c>
      <c r="Z4742" s="6" t="s">
        <v>5978</v>
      </c>
      <c r="AA4742" s="14">
        <f t="shared" si="629"/>
        <v>5.9999999999999995E-4</v>
      </c>
      <c r="AB4742">
        <v>27.526361999999995</v>
      </c>
      <c r="AC4742">
        <v>28.627416479999997</v>
      </c>
    </row>
    <row r="4743" spans="1:29" x14ac:dyDescent="0.3">
      <c r="A4743">
        <v>149141</v>
      </c>
      <c r="B4743" s="25" t="s">
        <v>5984</v>
      </c>
      <c r="C4743" t="s">
        <v>20</v>
      </c>
      <c r="D4743" t="s">
        <v>21</v>
      </c>
      <c r="E4743">
        <v>2222222</v>
      </c>
      <c r="F4743" s="8" t="s">
        <v>22</v>
      </c>
      <c r="G4743" s="2">
        <v>98</v>
      </c>
      <c r="H4743" t="s">
        <v>4672</v>
      </c>
      <c r="J4743" s="9" t="s">
        <v>4967</v>
      </c>
      <c r="K4743" t="s">
        <v>4836</v>
      </c>
      <c r="L4743" s="2">
        <v>1</v>
      </c>
      <c r="M4743" s="24" t="s">
        <v>5971</v>
      </c>
      <c r="N4743" s="2" t="s">
        <v>23</v>
      </c>
      <c r="O4743" s="18" t="s">
        <v>3580</v>
      </c>
      <c r="P4743" s="18" t="s">
        <v>3781</v>
      </c>
      <c r="Q4743" s="6" t="s">
        <v>4475</v>
      </c>
      <c r="T4743" s="23">
        <v>46003</v>
      </c>
      <c r="U4743" s="23">
        <v>47098</v>
      </c>
      <c r="X4743" s="20">
        <v>5000</v>
      </c>
      <c r="Z4743" s="6" t="s">
        <v>5978</v>
      </c>
      <c r="AA4743" s="14">
        <f t="shared" si="629"/>
        <v>5.9999999999999995E-4</v>
      </c>
      <c r="AB4743">
        <v>2.5338899999999995</v>
      </c>
      <c r="AC4743">
        <v>2.6352455999999997</v>
      </c>
    </row>
    <row r="4744" spans="1:29" x14ac:dyDescent="0.3">
      <c r="A4744">
        <v>149148</v>
      </c>
      <c r="B4744" s="25" t="s">
        <v>5984</v>
      </c>
      <c r="C4744" t="s">
        <v>20</v>
      </c>
      <c r="D4744" t="s">
        <v>21</v>
      </c>
      <c r="E4744">
        <v>2222222</v>
      </c>
      <c r="F4744" s="8" t="s">
        <v>22</v>
      </c>
      <c r="G4744" s="2">
        <v>98</v>
      </c>
      <c r="H4744" t="s">
        <v>4672</v>
      </c>
      <c r="J4744" s="9" t="s">
        <v>5617</v>
      </c>
      <c r="K4744" t="s">
        <v>5206</v>
      </c>
      <c r="L4744" s="2">
        <v>1</v>
      </c>
      <c r="M4744" s="24" t="s">
        <v>5971</v>
      </c>
      <c r="N4744" s="2" t="s">
        <v>23</v>
      </c>
      <c r="O4744" s="18" t="s">
        <v>3581</v>
      </c>
      <c r="P4744" s="18" t="s">
        <v>3781</v>
      </c>
      <c r="Q4744" s="6" t="s">
        <v>4475</v>
      </c>
      <c r="T4744" s="23">
        <v>46026</v>
      </c>
      <c r="U4744" s="23">
        <v>47851</v>
      </c>
      <c r="X4744" s="20">
        <v>15000</v>
      </c>
      <c r="Z4744" s="6" t="s">
        <v>5978</v>
      </c>
      <c r="AA4744" s="14">
        <f t="shared" si="629"/>
        <v>5.9999999999999995E-4</v>
      </c>
      <c r="AB4744">
        <v>8.379707999999999</v>
      </c>
      <c r="AC4744">
        <v>8.7148963199999994</v>
      </c>
    </row>
    <row r="4745" spans="1:29" x14ac:dyDescent="0.3">
      <c r="A4745">
        <v>149278</v>
      </c>
      <c r="B4745" s="25" t="s">
        <v>5984</v>
      </c>
      <c r="C4745" t="s">
        <v>20</v>
      </c>
      <c r="D4745" t="s">
        <v>21</v>
      </c>
      <c r="E4745">
        <v>2222222</v>
      </c>
      <c r="F4745" s="8" t="s">
        <v>22</v>
      </c>
      <c r="G4745" s="2">
        <v>98</v>
      </c>
      <c r="H4745" t="s">
        <v>4672</v>
      </c>
      <c r="J4745" s="9" t="s">
        <v>5299</v>
      </c>
      <c r="K4745" t="s">
        <v>5394</v>
      </c>
      <c r="L4745" s="2">
        <v>1</v>
      </c>
      <c r="M4745" s="24" t="s">
        <v>5971</v>
      </c>
      <c r="N4745" s="2" t="s">
        <v>23</v>
      </c>
      <c r="O4745" s="18" t="s">
        <v>3569</v>
      </c>
      <c r="P4745" s="18" t="s">
        <v>3781</v>
      </c>
      <c r="Q4745" s="6" t="s">
        <v>4475</v>
      </c>
      <c r="T4745" s="23">
        <v>46010</v>
      </c>
      <c r="U4745" s="23">
        <v>47106</v>
      </c>
      <c r="X4745" s="20">
        <v>3100</v>
      </c>
      <c r="Z4745" s="6" t="s">
        <v>5978</v>
      </c>
      <c r="AA4745" s="14">
        <f t="shared" si="629"/>
        <v>5.9999999999999995E-4</v>
      </c>
      <c r="AB4745">
        <v>1.567266</v>
      </c>
      <c r="AC4745">
        <v>1.6299566400000001</v>
      </c>
    </row>
    <row r="4746" spans="1:29" x14ac:dyDescent="0.3">
      <c r="A4746">
        <v>149404</v>
      </c>
      <c r="B4746" s="25" t="s">
        <v>5984</v>
      </c>
      <c r="C4746" t="s">
        <v>20</v>
      </c>
      <c r="D4746" t="s">
        <v>21</v>
      </c>
      <c r="E4746">
        <v>2222222</v>
      </c>
      <c r="F4746" s="8" t="s">
        <v>22</v>
      </c>
      <c r="G4746" s="2">
        <v>98</v>
      </c>
      <c r="H4746" t="s">
        <v>4672</v>
      </c>
      <c r="J4746" s="9" t="s">
        <v>5049</v>
      </c>
      <c r="K4746" t="s">
        <v>4875</v>
      </c>
      <c r="L4746" s="2">
        <v>1</v>
      </c>
      <c r="M4746" s="24" t="s">
        <v>5971</v>
      </c>
      <c r="N4746" s="2" t="s">
        <v>23</v>
      </c>
      <c r="O4746" s="18" t="s">
        <v>2366</v>
      </c>
      <c r="P4746" s="18" t="s">
        <v>0</v>
      </c>
      <c r="Q4746" s="6" t="s">
        <v>4475</v>
      </c>
      <c r="T4746" s="23">
        <v>46021</v>
      </c>
      <c r="U4746" s="23">
        <v>46201</v>
      </c>
      <c r="X4746" s="20">
        <v>95800</v>
      </c>
      <c r="Z4746" s="6" t="s">
        <v>5978</v>
      </c>
      <c r="AA4746" s="14">
        <f t="shared" si="629"/>
        <v>5.9999999999999995E-4</v>
      </c>
      <c r="AB4746">
        <v>57.48</v>
      </c>
      <c r="AC4746">
        <v>59.779199999999996</v>
      </c>
    </row>
    <row r="4747" spans="1:29" x14ac:dyDescent="0.3">
      <c r="A4747">
        <v>149991</v>
      </c>
      <c r="B4747" s="25" t="s">
        <v>5984</v>
      </c>
      <c r="C4747" t="s">
        <v>20</v>
      </c>
      <c r="D4747" t="s">
        <v>21</v>
      </c>
      <c r="E4747">
        <v>2222222</v>
      </c>
      <c r="F4747" s="8" t="s">
        <v>22</v>
      </c>
      <c r="G4747" s="2">
        <v>98</v>
      </c>
      <c r="H4747" t="s">
        <v>4672</v>
      </c>
      <c r="J4747" s="9" t="s">
        <v>5025</v>
      </c>
      <c r="K4747" t="s">
        <v>5031</v>
      </c>
      <c r="L4747" s="2">
        <v>1</v>
      </c>
      <c r="M4747" s="24" t="s">
        <v>5971</v>
      </c>
      <c r="N4747" s="2" t="s">
        <v>23</v>
      </c>
      <c r="O4747" s="18" t="s">
        <v>3582</v>
      </c>
      <c r="P4747" s="18" t="s">
        <v>3781</v>
      </c>
      <c r="Q4747" s="6" t="s">
        <v>4475</v>
      </c>
      <c r="T4747" s="23">
        <v>46064</v>
      </c>
      <c r="U4747" s="23">
        <v>46612</v>
      </c>
      <c r="X4747" s="20">
        <v>2000</v>
      </c>
      <c r="Z4747" s="6" t="s">
        <v>5978</v>
      </c>
      <c r="AA4747" s="14">
        <f t="shared" si="629"/>
        <v>5.9999999999999995E-4</v>
      </c>
      <c r="AB4747">
        <v>0.89690999999999987</v>
      </c>
      <c r="AC4747">
        <v>0.9327863999999999</v>
      </c>
    </row>
    <row r="4748" spans="1:29" x14ac:dyDescent="0.3">
      <c r="A4748">
        <v>150050</v>
      </c>
      <c r="B4748" s="25" t="s">
        <v>5984</v>
      </c>
      <c r="C4748" t="s">
        <v>20</v>
      </c>
      <c r="D4748" t="s">
        <v>21</v>
      </c>
      <c r="E4748">
        <v>2222222</v>
      </c>
      <c r="F4748" s="8" t="s">
        <v>22</v>
      </c>
      <c r="G4748" s="2">
        <v>98</v>
      </c>
      <c r="H4748" t="s">
        <v>4672</v>
      </c>
      <c r="J4748" s="9" t="s">
        <v>4967</v>
      </c>
      <c r="K4748" t="s">
        <v>4836</v>
      </c>
      <c r="L4748" s="2">
        <v>1</v>
      </c>
      <c r="M4748" s="24" t="s">
        <v>5971</v>
      </c>
      <c r="N4748" s="2" t="s">
        <v>23</v>
      </c>
      <c r="O4748" s="18" t="s">
        <v>3580</v>
      </c>
      <c r="P4748" s="18" t="s">
        <v>3781</v>
      </c>
      <c r="Q4748" s="6" t="s">
        <v>4475</v>
      </c>
      <c r="T4748" s="23">
        <v>46066</v>
      </c>
      <c r="U4748" s="23">
        <v>47894</v>
      </c>
      <c r="X4748" s="20">
        <v>6000</v>
      </c>
      <c r="Z4748" s="6" t="s">
        <v>5978</v>
      </c>
      <c r="AA4748" s="14">
        <f t="shared" si="629"/>
        <v>5.9999999999999995E-4</v>
      </c>
      <c r="AB4748">
        <v>3.3979559999999998</v>
      </c>
      <c r="AC4748">
        <v>3.5338742399999998</v>
      </c>
    </row>
    <row r="4749" spans="1:29" x14ac:dyDescent="0.3">
      <c r="A4749">
        <v>150121</v>
      </c>
      <c r="B4749" s="25" t="s">
        <v>5984</v>
      </c>
      <c r="C4749" t="s">
        <v>20</v>
      </c>
      <c r="D4749" t="s">
        <v>21</v>
      </c>
      <c r="E4749">
        <v>2222222</v>
      </c>
      <c r="F4749" s="8" t="s">
        <v>22</v>
      </c>
      <c r="G4749" s="2">
        <v>98</v>
      </c>
      <c r="H4749" t="s">
        <v>4672</v>
      </c>
      <c r="J4749" s="9" t="s">
        <v>4916</v>
      </c>
      <c r="K4749" t="s">
        <v>5179</v>
      </c>
      <c r="L4749" s="2">
        <v>1</v>
      </c>
      <c r="M4749" s="24" t="s">
        <v>5971</v>
      </c>
      <c r="N4749" s="2" t="s">
        <v>23</v>
      </c>
      <c r="O4749" s="18" t="s">
        <v>3583</v>
      </c>
      <c r="P4749" s="18" t="s">
        <v>3781</v>
      </c>
      <c r="Q4749" s="6" t="s">
        <v>4475</v>
      </c>
      <c r="T4749" s="23">
        <v>46091</v>
      </c>
      <c r="U4749" s="23">
        <v>51569</v>
      </c>
      <c r="X4749" s="20">
        <v>50000</v>
      </c>
      <c r="Z4749" s="6" t="s">
        <v>5978</v>
      </c>
      <c r="AA4749" s="14">
        <f t="shared" si="629"/>
        <v>5.9999999999999995E-4</v>
      </c>
      <c r="AB4749">
        <v>29.710031999999998</v>
      </c>
      <c r="AC4749">
        <v>30.898433279999999</v>
      </c>
    </row>
    <row r="4750" spans="1:29" x14ac:dyDescent="0.3">
      <c r="A4750">
        <v>150768</v>
      </c>
      <c r="B4750" s="25" t="s">
        <v>5984</v>
      </c>
      <c r="C4750" t="s">
        <v>20</v>
      </c>
      <c r="D4750" t="s">
        <v>21</v>
      </c>
      <c r="E4750">
        <v>2222222</v>
      </c>
      <c r="F4750" s="8" t="s">
        <v>22</v>
      </c>
      <c r="G4750" s="2">
        <v>98</v>
      </c>
      <c r="H4750" t="s">
        <v>4672</v>
      </c>
      <c r="J4750" s="9" t="s">
        <v>5197</v>
      </c>
      <c r="K4750" t="s">
        <v>4935</v>
      </c>
      <c r="L4750" s="2">
        <v>1</v>
      </c>
      <c r="M4750" s="24" t="s">
        <v>5971</v>
      </c>
      <c r="N4750" s="2" t="s">
        <v>23</v>
      </c>
      <c r="O4750" s="18" t="s">
        <v>3584</v>
      </c>
      <c r="P4750" s="18" t="s">
        <v>0</v>
      </c>
      <c r="Q4750" s="6" t="s">
        <v>4475</v>
      </c>
      <c r="T4750" s="23">
        <v>46114</v>
      </c>
      <c r="U4750" s="23">
        <v>46297</v>
      </c>
      <c r="X4750" s="20">
        <v>500</v>
      </c>
      <c r="Z4750" s="6" t="s">
        <v>5978</v>
      </c>
      <c r="AA4750" s="14">
        <f t="shared" si="629"/>
        <v>5.9999999999999995E-4</v>
      </c>
      <c r="AB4750">
        <v>0.15317999999999998</v>
      </c>
      <c r="AC4750">
        <v>0.15930719999999998</v>
      </c>
    </row>
    <row r="4751" spans="1:29" x14ac:dyDescent="0.3">
      <c r="A4751">
        <v>150856</v>
      </c>
      <c r="B4751" s="25" t="s">
        <v>5984</v>
      </c>
      <c r="C4751" t="s">
        <v>20</v>
      </c>
      <c r="D4751" t="s">
        <v>21</v>
      </c>
      <c r="E4751">
        <v>2222222</v>
      </c>
      <c r="F4751" s="8" t="s">
        <v>22</v>
      </c>
      <c r="G4751" s="2">
        <v>98</v>
      </c>
      <c r="H4751" t="s">
        <v>4672</v>
      </c>
      <c r="J4751" s="9" t="s">
        <v>5240</v>
      </c>
      <c r="K4751" t="s">
        <v>4946</v>
      </c>
      <c r="L4751" s="2">
        <v>1</v>
      </c>
      <c r="M4751" s="24" t="s">
        <v>5971</v>
      </c>
      <c r="N4751" s="2" t="s">
        <v>23</v>
      </c>
      <c r="O4751" s="18" t="s">
        <v>3168</v>
      </c>
      <c r="P4751" s="18" t="s">
        <v>0</v>
      </c>
      <c r="Q4751" s="6" t="s">
        <v>4475</v>
      </c>
      <c r="T4751" s="23">
        <v>46127</v>
      </c>
      <c r="U4751" s="23">
        <v>47588</v>
      </c>
      <c r="X4751" s="20">
        <v>5000</v>
      </c>
      <c r="Z4751" s="6" t="s">
        <v>5978</v>
      </c>
      <c r="AA4751" s="14">
        <f t="shared" si="629"/>
        <v>5.9999999999999995E-4</v>
      </c>
      <c r="AB4751">
        <v>2.9564819999999998</v>
      </c>
      <c r="AC4751">
        <v>3.07474128</v>
      </c>
    </row>
    <row r="4752" spans="1:29" x14ac:dyDescent="0.3">
      <c r="A4752">
        <v>151302</v>
      </c>
      <c r="B4752" s="25" t="s">
        <v>5984</v>
      </c>
      <c r="C4752" t="s">
        <v>20</v>
      </c>
      <c r="D4752" t="s">
        <v>21</v>
      </c>
      <c r="E4752">
        <v>2222222</v>
      </c>
      <c r="F4752" s="8" t="s">
        <v>22</v>
      </c>
      <c r="G4752" s="2">
        <v>98</v>
      </c>
      <c r="H4752" t="s">
        <v>4672</v>
      </c>
      <c r="J4752" s="9" t="s">
        <v>5941</v>
      </c>
      <c r="K4752" t="s">
        <v>5942</v>
      </c>
      <c r="L4752" s="2">
        <v>1</v>
      </c>
      <c r="M4752" s="24" t="s">
        <v>5971</v>
      </c>
      <c r="N4752" s="2" t="s">
        <v>23</v>
      </c>
      <c r="O4752" s="18" t="s">
        <v>3585</v>
      </c>
      <c r="P4752" s="18" t="s">
        <v>3781</v>
      </c>
      <c r="Q4752" s="6" t="s">
        <v>4475</v>
      </c>
      <c r="T4752" s="23">
        <v>46158</v>
      </c>
      <c r="U4752" s="23">
        <v>47983</v>
      </c>
      <c r="X4752" s="20">
        <v>17000</v>
      </c>
      <c r="Z4752" s="6" t="s">
        <v>5978</v>
      </c>
      <c r="AA4752" s="14">
        <f t="shared" si="629"/>
        <v>5.9999999999999995E-4</v>
      </c>
      <c r="AB4752">
        <v>9.9598679999999984</v>
      </c>
      <c r="AC4752">
        <v>10.358262719999999</v>
      </c>
    </row>
    <row r="4753" spans="1:29" x14ac:dyDescent="0.3">
      <c r="A4753">
        <v>151542</v>
      </c>
      <c r="B4753" s="25" t="s">
        <v>5984</v>
      </c>
      <c r="C4753" t="s">
        <v>20</v>
      </c>
      <c r="D4753" t="s">
        <v>21</v>
      </c>
      <c r="E4753">
        <v>2222222</v>
      </c>
      <c r="F4753" s="8" t="s">
        <v>22</v>
      </c>
      <c r="G4753" s="2">
        <v>98</v>
      </c>
      <c r="H4753" t="s">
        <v>4672</v>
      </c>
      <c r="J4753" s="9" t="s">
        <v>4838</v>
      </c>
      <c r="K4753" t="s">
        <v>4826</v>
      </c>
      <c r="L4753" s="2">
        <v>1</v>
      </c>
      <c r="M4753" s="24" t="s">
        <v>5971</v>
      </c>
      <c r="N4753" s="2" t="s">
        <v>23</v>
      </c>
      <c r="O4753" s="18" t="s">
        <v>3586</v>
      </c>
      <c r="P4753" s="18" t="s">
        <v>0</v>
      </c>
      <c r="Q4753" s="6" t="s">
        <v>4475</v>
      </c>
      <c r="T4753" s="23">
        <v>46171</v>
      </c>
      <c r="U4753" s="23">
        <v>47266</v>
      </c>
      <c r="X4753" s="20">
        <v>5000</v>
      </c>
      <c r="Z4753" s="6" t="s">
        <v>5978</v>
      </c>
      <c r="AA4753" s="14">
        <f t="shared" si="629"/>
        <v>5.9999999999999995E-4</v>
      </c>
      <c r="AB4753">
        <v>2.8713719999999996</v>
      </c>
      <c r="AC4753">
        <v>2.9862268799999998</v>
      </c>
    </row>
    <row r="4754" spans="1:29" x14ac:dyDescent="0.3">
      <c r="A4754">
        <v>151610</v>
      </c>
      <c r="B4754" s="25" t="s">
        <v>5984</v>
      </c>
      <c r="C4754" t="s">
        <v>20</v>
      </c>
      <c r="D4754" t="s">
        <v>21</v>
      </c>
      <c r="E4754">
        <v>2222222</v>
      </c>
      <c r="F4754" s="8" t="s">
        <v>22</v>
      </c>
      <c r="G4754" s="2">
        <v>98</v>
      </c>
      <c r="H4754" t="s">
        <v>4672</v>
      </c>
      <c r="J4754" s="9" t="s">
        <v>4836</v>
      </c>
      <c r="K4754" t="s">
        <v>4932</v>
      </c>
      <c r="L4754" s="2">
        <v>1</v>
      </c>
      <c r="M4754" s="24" t="s">
        <v>5971</v>
      </c>
      <c r="N4754" s="2" t="s">
        <v>23</v>
      </c>
      <c r="O4754" s="18" t="s">
        <v>3587</v>
      </c>
      <c r="P4754" s="18" t="s">
        <v>3781</v>
      </c>
      <c r="Q4754" s="6" t="s">
        <v>4475</v>
      </c>
      <c r="T4754" s="23">
        <v>46186</v>
      </c>
      <c r="U4754" s="23">
        <v>48743</v>
      </c>
      <c r="X4754" s="20">
        <v>15500</v>
      </c>
      <c r="Z4754" s="6" t="s">
        <v>5978</v>
      </c>
      <c r="AA4754" s="14">
        <f t="shared" si="629"/>
        <v>5.9999999999999995E-4</v>
      </c>
      <c r="AB4754">
        <v>9.2381039999999999</v>
      </c>
      <c r="AC4754">
        <v>9.6076281600000009</v>
      </c>
    </row>
    <row r="4755" spans="1:29" x14ac:dyDescent="0.3">
      <c r="A4755">
        <v>151816</v>
      </c>
      <c r="B4755" s="25" t="s">
        <v>5984</v>
      </c>
      <c r="C4755" t="s">
        <v>20</v>
      </c>
      <c r="D4755" t="s">
        <v>21</v>
      </c>
      <c r="E4755">
        <v>2222222</v>
      </c>
      <c r="F4755" s="8" t="s">
        <v>22</v>
      </c>
      <c r="G4755" s="2">
        <v>98</v>
      </c>
      <c r="H4755" t="s">
        <v>4672</v>
      </c>
      <c r="J4755" s="9" t="s">
        <v>5372</v>
      </c>
      <c r="K4755" t="s">
        <v>4932</v>
      </c>
      <c r="L4755" s="2">
        <v>1</v>
      </c>
      <c r="M4755" s="24" t="s">
        <v>5971</v>
      </c>
      <c r="N4755" s="2" t="s">
        <v>23</v>
      </c>
      <c r="O4755" s="18" t="s">
        <v>3588</v>
      </c>
      <c r="P4755" s="18" t="s">
        <v>3781</v>
      </c>
      <c r="Q4755" s="6" t="s">
        <v>4475</v>
      </c>
      <c r="T4755" s="23">
        <v>46189</v>
      </c>
      <c r="U4755" s="23">
        <v>47285</v>
      </c>
      <c r="X4755" s="20">
        <v>5000</v>
      </c>
      <c r="Z4755" s="6" t="s">
        <v>5978</v>
      </c>
      <c r="AA4755" s="14">
        <f t="shared" si="629"/>
        <v>5.9999999999999995E-4</v>
      </c>
      <c r="AB4755">
        <v>2.9361659999999996</v>
      </c>
      <c r="AC4755">
        <v>3.0536126399999999</v>
      </c>
    </row>
    <row r="4756" spans="1:29" x14ac:dyDescent="0.3">
      <c r="A4756">
        <v>151842</v>
      </c>
      <c r="B4756" s="25" t="s">
        <v>5984</v>
      </c>
      <c r="C4756" t="s">
        <v>20</v>
      </c>
      <c r="D4756" t="s">
        <v>21</v>
      </c>
      <c r="E4756">
        <v>2222222</v>
      </c>
      <c r="F4756" s="8" t="s">
        <v>22</v>
      </c>
      <c r="G4756" s="2">
        <v>98</v>
      </c>
      <c r="H4756" t="s">
        <v>4672</v>
      </c>
      <c r="J4756" s="9" t="s">
        <v>5799</v>
      </c>
      <c r="K4756" t="s">
        <v>5298</v>
      </c>
      <c r="L4756" s="2">
        <v>1</v>
      </c>
      <c r="M4756" s="24" t="s">
        <v>5971</v>
      </c>
      <c r="N4756" s="2" t="s">
        <v>23</v>
      </c>
      <c r="O4756" s="18" t="s">
        <v>3589</v>
      </c>
      <c r="P4756" s="18" t="s">
        <v>0</v>
      </c>
      <c r="Q4756" s="6" t="s">
        <v>4475</v>
      </c>
      <c r="T4756" s="23">
        <v>46210</v>
      </c>
      <c r="U4756" s="23">
        <v>49862</v>
      </c>
      <c r="X4756" s="20">
        <v>45000</v>
      </c>
      <c r="Z4756" s="6" t="s">
        <v>5978</v>
      </c>
      <c r="AA4756" s="14">
        <f t="shared" si="629"/>
        <v>5.9999999999999995E-4</v>
      </c>
      <c r="AB4756">
        <v>26.999999999999996</v>
      </c>
      <c r="AC4756">
        <v>28.08</v>
      </c>
    </row>
    <row r="4757" spans="1:29" x14ac:dyDescent="0.3">
      <c r="A4757">
        <v>152153</v>
      </c>
      <c r="B4757" s="25" t="s">
        <v>5984</v>
      </c>
      <c r="C4757" t="s">
        <v>20</v>
      </c>
      <c r="D4757" t="s">
        <v>21</v>
      </c>
      <c r="E4757">
        <v>2222222</v>
      </c>
      <c r="F4757" s="8" t="s">
        <v>22</v>
      </c>
      <c r="G4757" s="2">
        <v>98</v>
      </c>
      <c r="H4757" t="s">
        <v>4672</v>
      </c>
      <c r="J4757" s="9" t="s">
        <v>4891</v>
      </c>
      <c r="K4757" t="s">
        <v>5943</v>
      </c>
      <c r="L4757" s="2">
        <v>1</v>
      </c>
      <c r="M4757" s="24" t="s">
        <v>5971</v>
      </c>
      <c r="N4757" s="2" t="s">
        <v>23</v>
      </c>
      <c r="O4757" s="18" t="s">
        <v>3590</v>
      </c>
      <c r="P4757" s="18" t="s">
        <v>3781</v>
      </c>
      <c r="Q4757" s="6" t="s">
        <v>4475</v>
      </c>
      <c r="T4757" s="23">
        <v>46217</v>
      </c>
      <c r="U4757" s="23">
        <v>47312</v>
      </c>
      <c r="X4757" s="20">
        <v>3000</v>
      </c>
      <c r="Z4757" s="6" t="s">
        <v>5978</v>
      </c>
      <c r="AA4757" s="14">
        <f t="shared" si="629"/>
        <v>5.9999999999999995E-4</v>
      </c>
      <c r="AB4757">
        <v>1.7999999999999998</v>
      </c>
      <c r="AC4757">
        <v>1.8719999999999999</v>
      </c>
    </row>
    <row r="4758" spans="1:29" x14ac:dyDescent="0.3">
      <c r="A4758">
        <v>152169</v>
      </c>
      <c r="B4758" s="25" t="s">
        <v>5984</v>
      </c>
      <c r="C4758" t="s">
        <v>20</v>
      </c>
      <c r="D4758" t="s">
        <v>21</v>
      </c>
      <c r="E4758">
        <v>2222222</v>
      </c>
      <c r="F4758" s="8" t="s">
        <v>22</v>
      </c>
      <c r="G4758" s="2">
        <v>98</v>
      </c>
      <c r="H4758" t="s">
        <v>4672</v>
      </c>
      <c r="J4758" s="9" t="s">
        <v>4838</v>
      </c>
      <c r="K4758" t="s">
        <v>5068</v>
      </c>
      <c r="L4758" s="2">
        <v>1</v>
      </c>
      <c r="M4758" s="24" t="s">
        <v>5971</v>
      </c>
      <c r="N4758" s="2" t="s">
        <v>23</v>
      </c>
      <c r="O4758" s="18" t="s">
        <v>3591</v>
      </c>
      <c r="P4758" s="18" t="s">
        <v>0</v>
      </c>
      <c r="Q4758" s="6" t="s">
        <v>4475</v>
      </c>
      <c r="T4758" s="23">
        <v>46220</v>
      </c>
      <c r="U4758" s="23">
        <v>46584</v>
      </c>
      <c r="X4758" s="20">
        <v>5000</v>
      </c>
      <c r="Z4758" s="6" t="s">
        <v>5978</v>
      </c>
      <c r="AA4758" s="14">
        <f t="shared" si="629"/>
        <v>5.9999999999999995E-4</v>
      </c>
      <c r="AB4758">
        <v>2.9999999999999996</v>
      </c>
      <c r="AC4758">
        <v>3.1199999999999997</v>
      </c>
    </row>
    <row r="4759" spans="1:29" x14ac:dyDescent="0.3">
      <c r="A4759">
        <v>135766</v>
      </c>
      <c r="B4759" s="25" t="s">
        <v>5984</v>
      </c>
      <c r="C4759" t="s">
        <v>20</v>
      </c>
      <c r="D4759" t="s">
        <v>21</v>
      </c>
      <c r="E4759">
        <v>2222222</v>
      </c>
      <c r="F4759" s="8" t="s">
        <v>22</v>
      </c>
      <c r="G4759" s="2">
        <v>98</v>
      </c>
      <c r="H4759" t="s">
        <v>4673</v>
      </c>
      <c r="J4759" s="9" t="s">
        <v>4990</v>
      </c>
      <c r="K4759" t="s">
        <v>5025</v>
      </c>
      <c r="L4759" s="2">
        <v>1</v>
      </c>
      <c r="M4759" s="24" t="s">
        <v>5971</v>
      </c>
      <c r="N4759" s="2" t="s">
        <v>23</v>
      </c>
      <c r="O4759" s="18" t="s">
        <v>3592</v>
      </c>
      <c r="P4759" s="18" t="s">
        <v>3781</v>
      </c>
      <c r="Q4759" s="6" t="s">
        <v>4475</v>
      </c>
      <c r="T4759" s="23">
        <v>45132</v>
      </c>
      <c r="U4759" s="23">
        <v>46958</v>
      </c>
      <c r="X4759" s="20">
        <v>8200</v>
      </c>
      <c r="Z4759" s="6" t="s">
        <v>5978</v>
      </c>
      <c r="AA4759" s="13">
        <f t="shared" ref="AA4759:AA4761" si="630">+(0.56/1000)</f>
        <v>5.6000000000000006E-4</v>
      </c>
      <c r="AB4759">
        <v>4.4328088000000001</v>
      </c>
      <c r="AC4759">
        <v>4.6101211520000005</v>
      </c>
    </row>
    <row r="4760" spans="1:29" x14ac:dyDescent="0.3">
      <c r="A4760">
        <v>137077</v>
      </c>
      <c r="B4760" s="25" t="s">
        <v>5984</v>
      </c>
      <c r="C4760" t="s">
        <v>20</v>
      </c>
      <c r="D4760" t="s">
        <v>21</v>
      </c>
      <c r="E4760">
        <v>2222222</v>
      </c>
      <c r="F4760" s="8" t="s">
        <v>22</v>
      </c>
      <c r="G4760" s="2">
        <v>98</v>
      </c>
      <c r="H4760" t="s">
        <v>4673</v>
      </c>
      <c r="J4760" s="9" t="s">
        <v>5419</v>
      </c>
      <c r="K4760" t="s">
        <v>5944</v>
      </c>
      <c r="L4760" s="2">
        <v>1</v>
      </c>
      <c r="M4760" s="24" t="s">
        <v>5971</v>
      </c>
      <c r="N4760" s="2" t="s">
        <v>23</v>
      </c>
      <c r="O4760" s="18" t="s">
        <v>3593</v>
      </c>
      <c r="P4760" s="18" t="s">
        <v>0</v>
      </c>
      <c r="Q4760" s="6" t="s">
        <v>4475</v>
      </c>
      <c r="T4760" s="23">
        <v>45203</v>
      </c>
      <c r="U4760" s="23">
        <v>46663</v>
      </c>
      <c r="X4760" s="20">
        <v>4900</v>
      </c>
      <c r="Z4760" s="6" t="s">
        <v>5978</v>
      </c>
      <c r="AA4760" s="13">
        <f t="shared" si="630"/>
        <v>5.6000000000000006E-4</v>
      </c>
      <c r="AB4760">
        <v>2.4607352000000002</v>
      </c>
      <c r="AC4760">
        <v>2.5591646080000001</v>
      </c>
    </row>
    <row r="4761" spans="1:29" x14ac:dyDescent="0.3">
      <c r="A4761">
        <v>140121</v>
      </c>
      <c r="B4761" s="25" t="s">
        <v>5984</v>
      </c>
      <c r="C4761" t="s">
        <v>20</v>
      </c>
      <c r="D4761" t="s">
        <v>21</v>
      </c>
      <c r="E4761">
        <v>2222222</v>
      </c>
      <c r="F4761" s="8" t="s">
        <v>22</v>
      </c>
      <c r="G4761" s="2">
        <v>98</v>
      </c>
      <c r="H4761" t="s">
        <v>4673</v>
      </c>
      <c r="J4761" s="9" t="s">
        <v>4815</v>
      </c>
      <c r="K4761" t="s">
        <v>4966</v>
      </c>
      <c r="L4761" s="2">
        <v>1</v>
      </c>
      <c r="M4761" s="24" t="s">
        <v>5971</v>
      </c>
      <c r="N4761" s="2" t="s">
        <v>23</v>
      </c>
      <c r="O4761" s="18" t="s">
        <v>3594</v>
      </c>
      <c r="P4761" s="18" t="s">
        <v>0</v>
      </c>
      <c r="Q4761" s="6" t="s">
        <v>4475</v>
      </c>
      <c r="T4761" s="23">
        <v>45401</v>
      </c>
      <c r="U4761" s="23">
        <v>46679</v>
      </c>
      <c r="X4761" s="20">
        <v>10000</v>
      </c>
      <c r="Z4761" s="6" t="s">
        <v>5978</v>
      </c>
      <c r="AA4761" s="13">
        <f t="shared" si="630"/>
        <v>5.6000000000000006E-4</v>
      </c>
      <c r="AB4761">
        <v>2.3473520000000003</v>
      </c>
      <c r="AC4761">
        <v>2.4412460800000004</v>
      </c>
    </row>
    <row r="4762" spans="1:29" x14ac:dyDescent="0.3">
      <c r="A4762">
        <v>143031</v>
      </c>
      <c r="B4762" s="25" t="s">
        <v>5984</v>
      </c>
      <c r="C4762" t="s">
        <v>20</v>
      </c>
      <c r="D4762" t="s">
        <v>21</v>
      </c>
      <c r="E4762">
        <v>2222222</v>
      </c>
      <c r="F4762" s="8" t="s">
        <v>22</v>
      </c>
      <c r="G4762" s="2">
        <v>98</v>
      </c>
      <c r="H4762" t="s">
        <v>4673</v>
      </c>
      <c r="J4762" s="9" t="s">
        <v>4970</v>
      </c>
      <c r="K4762" t="s">
        <v>5090</v>
      </c>
      <c r="L4762" s="2">
        <v>1</v>
      </c>
      <c r="M4762" s="24" t="s">
        <v>5971</v>
      </c>
      <c r="N4762" s="2" t="s">
        <v>23</v>
      </c>
      <c r="O4762" s="18" t="s">
        <v>3595</v>
      </c>
      <c r="P4762" s="18" t="s">
        <v>3781</v>
      </c>
      <c r="Q4762" s="6" t="s">
        <v>4475</v>
      </c>
      <c r="T4762" s="23">
        <v>45564</v>
      </c>
      <c r="U4762" s="23">
        <v>46659</v>
      </c>
      <c r="X4762" s="20">
        <v>3000</v>
      </c>
      <c r="Z4762" s="6" t="s">
        <v>5978</v>
      </c>
      <c r="AA4762" s="14">
        <f t="shared" ref="AA4762:AA4772" si="631">+(0.6/1000)</f>
        <v>5.9999999999999995E-4</v>
      </c>
      <c r="AB4762">
        <v>0.8233919999999999</v>
      </c>
      <c r="AC4762">
        <v>0.85632767999999992</v>
      </c>
    </row>
    <row r="4763" spans="1:29" x14ac:dyDescent="0.3">
      <c r="A4763">
        <v>144043</v>
      </c>
      <c r="B4763" s="25" t="s">
        <v>5984</v>
      </c>
      <c r="C4763" t="s">
        <v>20</v>
      </c>
      <c r="D4763" t="s">
        <v>21</v>
      </c>
      <c r="E4763">
        <v>2222222</v>
      </c>
      <c r="F4763" s="8" t="s">
        <v>22</v>
      </c>
      <c r="G4763" s="2">
        <v>98</v>
      </c>
      <c r="H4763" t="s">
        <v>4673</v>
      </c>
      <c r="J4763" s="9" t="s">
        <v>4854</v>
      </c>
      <c r="K4763" t="s">
        <v>4836</v>
      </c>
      <c r="L4763" s="2">
        <v>1</v>
      </c>
      <c r="M4763" s="24" t="s">
        <v>5971</v>
      </c>
      <c r="N4763" s="2" t="s">
        <v>23</v>
      </c>
      <c r="O4763" s="18" t="s">
        <v>3596</v>
      </c>
      <c r="P4763" s="18" t="s">
        <v>3781</v>
      </c>
      <c r="Q4763" s="6" t="s">
        <v>4475</v>
      </c>
      <c r="T4763" s="23">
        <v>45634</v>
      </c>
      <c r="U4763" s="23">
        <v>47094</v>
      </c>
      <c r="X4763" s="20">
        <v>5000</v>
      </c>
      <c r="Z4763" s="6" t="s">
        <v>5978</v>
      </c>
      <c r="AA4763" s="14">
        <f t="shared" si="631"/>
        <v>5.9999999999999995E-4</v>
      </c>
      <c r="AB4763">
        <v>2.0600999999999998</v>
      </c>
      <c r="AC4763">
        <v>2.1425039999999997</v>
      </c>
    </row>
    <row r="4764" spans="1:29" x14ac:dyDescent="0.3">
      <c r="A4764">
        <v>147034</v>
      </c>
      <c r="B4764" s="25" t="s">
        <v>5984</v>
      </c>
      <c r="C4764" t="s">
        <v>20</v>
      </c>
      <c r="D4764" t="s">
        <v>21</v>
      </c>
      <c r="E4764">
        <v>2222222</v>
      </c>
      <c r="F4764" s="8" t="s">
        <v>22</v>
      </c>
      <c r="G4764" s="2">
        <v>98</v>
      </c>
      <c r="H4764" t="s">
        <v>4673</v>
      </c>
      <c r="J4764" s="9" t="s">
        <v>4836</v>
      </c>
      <c r="K4764" t="s">
        <v>4516</v>
      </c>
      <c r="L4764" s="2">
        <v>1</v>
      </c>
      <c r="M4764" s="24" t="s">
        <v>5971</v>
      </c>
      <c r="N4764" s="2" t="s">
        <v>23</v>
      </c>
      <c r="O4764" s="18" t="s">
        <v>3597</v>
      </c>
      <c r="P4764" s="18" t="s">
        <v>3781</v>
      </c>
      <c r="Q4764" s="6" t="s">
        <v>4475</v>
      </c>
      <c r="T4764" s="23">
        <v>45860</v>
      </c>
      <c r="U4764" s="23">
        <v>47320</v>
      </c>
      <c r="X4764" s="20">
        <v>5000</v>
      </c>
      <c r="Z4764" s="6" t="s">
        <v>5978</v>
      </c>
      <c r="AA4764" s="14">
        <f t="shared" si="631"/>
        <v>5.9999999999999995E-4</v>
      </c>
      <c r="AB4764">
        <v>2.4897839999999998</v>
      </c>
      <c r="AC4764">
        <v>2.58937536</v>
      </c>
    </row>
    <row r="4765" spans="1:29" x14ac:dyDescent="0.3">
      <c r="A4765">
        <v>147393</v>
      </c>
      <c r="B4765" s="25" t="s">
        <v>5984</v>
      </c>
      <c r="C4765" t="s">
        <v>20</v>
      </c>
      <c r="D4765" t="s">
        <v>21</v>
      </c>
      <c r="E4765">
        <v>2222222</v>
      </c>
      <c r="F4765" s="8" t="s">
        <v>22</v>
      </c>
      <c r="G4765" s="2">
        <v>98</v>
      </c>
      <c r="H4765" t="s">
        <v>4673</v>
      </c>
      <c r="J4765" s="9" t="s">
        <v>4815</v>
      </c>
      <c r="K4765" t="s">
        <v>4848</v>
      </c>
      <c r="L4765" s="2">
        <v>1</v>
      </c>
      <c r="M4765" s="24" t="s">
        <v>5971</v>
      </c>
      <c r="N4765" s="2" t="s">
        <v>23</v>
      </c>
      <c r="O4765" s="18" t="s">
        <v>3598</v>
      </c>
      <c r="P4765" s="18" t="s">
        <v>0</v>
      </c>
      <c r="Q4765" s="6" t="s">
        <v>4475</v>
      </c>
      <c r="T4765" s="23">
        <v>45889</v>
      </c>
      <c r="U4765" s="23">
        <v>49540</v>
      </c>
      <c r="X4765" s="20">
        <v>21000</v>
      </c>
      <c r="Z4765" s="6" t="s">
        <v>5978</v>
      </c>
      <c r="AA4765" s="14">
        <f t="shared" si="631"/>
        <v>5.9999999999999995E-4</v>
      </c>
      <c r="AB4765">
        <v>11.906957999999999</v>
      </c>
      <c r="AC4765">
        <v>12.38323632</v>
      </c>
    </row>
    <row r="4766" spans="1:29" x14ac:dyDescent="0.3">
      <c r="A4766">
        <v>150832</v>
      </c>
      <c r="B4766" s="25" t="s">
        <v>5984</v>
      </c>
      <c r="C4766" t="s">
        <v>20</v>
      </c>
      <c r="D4766" t="s">
        <v>21</v>
      </c>
      <c r="E4766">
        <v>2222222</v>
      </c>
      <c r="F4766" s="8" t="s">
        <v>22</v>
      </c>
      <c r="G4766" s="2">
        <v>98</v>
      </c>
      <c r="H4766" t="s">
        <v>4673</v>
      </c>
      <c r="J4766" s="9" t="s">
        <v>4826</v>
      </c>
      <c r="K4766" t="s">
        <v>5197</v>
      </c>
      <c r="L4766" s="2">
        <v>1</v>
      </c>
      <c r="M4766" s="24" t="s">
        <v>5971</v>
      </c>
      <c r="N4766" s="2" t="s">
        <v>23</v>
      </c>
      <c r="O4766" s="18" t="s">
        <v>1783</v>
      </c>
      <c r="P4766" s="18" t="s">
        <v>0</v>
      </c>
      <c r="Q4766" s="6" t="s">
        <v>4475</v>
      </c>
      <c r="T4766" s="23">
        <v>46120</v>
      </c>
      <c r="U4766" s="23">
        <v>47946</v>
      </c>
      <c r="X4766" s="20">
        <v>5000</v>
      </c>
      <c r="Z4766" s="6" t="s">
        <v>5978</v>
      </c>
      <c r="AA4766" s="14">
        <f t="shared" si="631"/>
        <v>5.9999999999999995E-4</v>
      </c>
      <c r="AB4766">
        <v>2.9053079999999998</v>
      </c>
      <c r="AC4766">
        <v>3.02152032</v>
      </c>
    </row>
    <row r="4767" spans="1:29" x14ac:dyDescent="0.3">
      <c r="A4767">
        <v>151456</v>
      </c>
      <c r="B4767" s="25" t="s">
        <v>5984</v>
      </c>
      <c r="C4767" t="s">
        <v>20</v>
      </c>
      <c r="D4767" t="s">
        <v>21</v>
      </c>
      <c r="E4767">
        <v>2222222</v>
      </c>
      <c r="F4767" s="8" t="s">
        <v>22</v>
      </c>
      <c r="G4767" s="2">
        <v>98</v>
      </c>
      <c r="H4767" t="s">
        <v>4673</v>
      </c>
      <c r="J4767" s="9" t="s">
        <v>4815</v>
      </c>
      <c r="K4767" t="s">
        <v>4966</v>
      </c>
      <c r="L4767" s="2">
        <v>1</v>
      </c>
      <c r="M4767" s="24" t="s">
        <v>5971</v>
      </c>
      <c r="N4767" s="2" t="s">
        <v>23</v>
      </c>
      <c r="O4767" s="18" t="s">
        <v>3594</v>
      </c>
      <c r="P4767" s="18" t="s">
        <v>0</v>
      </c>
      <c r="Q4767" s="6" t="s">
        <v>4475</v>
      </c>
      <c r="T4767" s="23">
        <v>46164</v>
      </c>
      <c r="U4767" s="23">
        <v>46254</v>
      </c>
      <c r="X4767" s="20">
        <v>4980</v>
      </c>
      <c r="Z4767" s="6" t="s">
        <v>5978</v>
      </c>
      <c r="AA4767" s="14">
        <f t="shared" si="631"/>
        <v>5.9999999999999995E-4</v>
      </c>
      <c r="AB4767">
        <v>2.9879999999999995</v>
      </c>
      <c r="AC4767">
        <v>3.1075199999999996</v>
      </c>
    </row>
    <row r="4768" spans="1:29" x14ac:dyDescent="0.3">
      <c r="A4768">
        <v>151521</v>
      </c>
      <c r="B4768" s="25" t="s">
        <v>5984</v>
      </c>
      <c r="C4768" t="s">
        <v>20</v>
      </c>
      <c r="D4768" t="s">
        <v>21</v>
      </c>
      <c r="E4768">
        <v>2222222</v>
      </c>
      <c r="F4768" s="8" t="s">
        <v>22</v>
      </c>
      <c r="G4768" s="2">
        <v>98</v>
      </c>
      <c r="H4768" t="s">
        <v>4673</v>
      </c>
      <c r="J4768" s="9" t="s">
        <v>4815</v>
      </c>
      <c r="K4768" t="s">
        <v>4848</v>
      </c>
      <c r="L4768" s="2">
        <v>1</v>
      </c>
      <c r="M4768" s="24" t="s">
        <v>5971</v>
      </c>
      <c r="N4768" s="2" t="s">
        <v>23</v>
      </c>
      <c r="O4768" s="18" t="s">
        <v>3598</v>
      </c>
      <c r="P4768" s="18" t="s">
        <v>0</v>
      </c>
      <c r="Q4768" s="6" t="s">
        <v>4475</v>
      </c>
      <c r="T4768" s="23">
        <v>46172</v>
      </c>
      <c r="U4768" s="23">
        <v>47997</v>
      </c>
      <c r="X4768" s="20">
        <v>3000</v>
      </c>
      <c r="Z4768" s="6" t="s">
        <v>5978</v>
      </c>
      <c r="AA4768" s="14">
        <f t="shared" si="631"/>
        <v>5.9999999999999995E-4</v>
      </c>
      <c r="AB4768">
        <v>1.7297939999999996</v>
      </c>
      <c r="AC4768">
        <v>1.7989857599999997</v>
      </c>
    </row>
    <row r="4769" spans="1:29" x14ac:dyDescent="0.3">
      <c r="A4769">
        <v>149763</v>
      </c>
      <c r="B4769" s="25" t="s">
        <v>5984</v>
      </c>
      <c r="C4769" t="s">
        <v>20</v>
      </c>
      <c r="D4769" t="s">
        <v>21</v>
      </c>
      <c r="E4769">
        <v>2222222</v>
      </c>
      <c r="F4769" s="8" t="s">
        <v>22</v>
      </c>
      <c r="G4769" s="2">
        <v>98</v>
      </c>
      <c r="H4769" t="s">
        <v>4674</v>
      </c>
      <c r="J4769" s="9" t="s">
        <v>5204</v>
      </c>
      <c r="K4769" t="s">
        <v>5068</v>
      </c>
      <c r="L4769" s="2">
        <v>1</v>
      </c>
      <c r="M4769" s="24" t="s">
        <v>5971</v>
      </c>
      <c r="N4769" s="2" t="s">
        <v>23</v>
      </c>
      <c r="O4769" s="18" t="s">
        <v>3599</v>
      </c>
      <c r="P4769" s="18" t="s">
        <v>0</v>
      </c>
      <c r="Q4769" s="6" t="s">
        <v>4475</v>
      </c>
      <c r="T4769" s="23">
        <v>46048</v>
      </c>
      <c r="U4769" s="23">
        <v>46959</v>
      </c>
      <c r="X4769" s="20">
        <v>3320</v>
      </c>
      <c r="Z4769" s="6" t="s">
        <v>5978</v>
      </c>
      <c r="AA4769" s="14">
        <f t="shared" si="631"/>
        <v>5.9999999999999995E-4</v>
      </c>
      <c r="AB4769">
        <v>1.656264</v>
      </c>
      <c r="AC4769">
        <v>1.72251456</v>
      </c>
    </row>
    <row r="4770" spans="1:29" x14ac:dyDescent="0.3">
      <c r="A4770">
        <v>151497</v>
      </c>
      <c r="B4770" s="25" t="s">
        <v>5984</v>
      </c>
      <c r="C4770" t="s">
        <v>20</v>
      </c>
      <c r="D4770" t="s">
        <v>21</v>
      </c>
      <c r="E4770">
        <v>2222222</v>
      </c>
      <c r="F4770" s="8" t="s">
        <v>22</v>
      </c>
      <c r="G4770" s="2">
        <v>98</v>
      </c>
      <c r="H4770" t="s">
        <v>4674</v>
      </c>
      <c r="J4770" s="9" t="s">
        <v>5068</v>
      </c>
      <c r="K4770" t="s">
        <v>5945</v>
      </c>
      <c r="L4770" s="2">
        <v>1</v>
      </c>
      <c r="M4770" s="24" t="s">
        <v>5971</v>
      </c>
      <c r="N4770" s="2" t="s">
        <v>23</v>
      </c>
      <c r="O4770" s="18" t="s">
        <v>3600</v>
      </c>
      <c r="P4770" s="18" t="s">
        <v>0</v>
      </c>
      <c r="Q4770" s="6" t="s">
        <v>4475</v>
      </c>
      <c r="T4770" s="23">
        <v>46171</v>
      </c>
      <c r="U4770" s="23">
        <v>47450</v>
      </c>
      <c r="X4770" s="20">
        <v>7200</v>
      </c>
      <c r="Z4770" s="6" t="s">
        <v>5978</v>
      </c>
      <c r="AA4770" s="14">
        <f t="shared" si="631"/>
        <v>5.9999999999999995E-4</v>
      </c>
      <c r="AB4770">
        <v>4.1576459999999997</v>
      </c>
      <c r="AC4770">
        <v>4.3239518399999994</v>
      </c>
    </row>
    <row r="4771" spans="1:29" x14ac:dyDescent="0.3">
      <c r="A4771">
        <v>144770</v>
      </c>
      <c r="B4771" s="25" t="s">
        <v>5984</v>
      </c>
      <c r="C4771" t="s">
        <v>20</v>
      </c>
      <c r="D4771" t="s">
        <v>21</v>
      </c>
      <c r="E4771">
        <v>2222222</v>
      </c>
      <c r="F4771" s="8" t="s">
        <v>22</v>
      </c>
      <c r="G4771" s="2">
        <v>98</v>
      </c>
      <c r="H4771" t="s">
        <v>4675</v>
      </c>
      <c r="J4771" s="9" t="s">
        <v>5001</v>
      </c>
      <c r="K4771" t="s">
        <v>5271</v>
      </c>
      <c r="L4771" s="2">
        <v>1</v>
      </c>
      <c r="M4771" s="24" t="s">
        <v>5971</v>
      </c>
      <c r="N4771" s="2" t="s">
        <v>23</v>
      </c>
      <c r="O4771" s="18" t="s">
        <v>3601</v>
      </c>
      <c r="P4771" s="18" t="s">
        <v>0</v>
      </c>
      <c r="Q4771" s="6" t="s">
        <v>4475</v>
      </c>
      <c r="T4771" s="23">
        <v>45687</v>
      </c>
      <c r="U4771" s="23">
        <v>46784</v>
      </c>
      <c r="X4771" s="20">
        <v>5000</v>
      </c>
      <c r="Z4771" s="6" t="s">
        <v>5978</v>
      </c>
      <c r="AA4771" s="14">
        <f t="shared" si="631"/>
        <v>5.9999999999999995E-4</v>
      </c>
      <c r="AB4771">
        <v>1.7845739999999999</v>
      </c>
      <c r="AC4771">
        <v>1.8559569599999999</v>
      </c>
    </row>
    <row r="4772" spans="1:29" x14ac:dyDescent="0.3">
      <c r="A4772">
        <v>144839</v>
      </c>
      <c r="B4772" s="25" t="s">
        <v>5984</v>
      </c>
      <c r="C4772" t="s">
        <v>20</v>
      </c>
      <c r="D4772" t="s">
        <v>21</v>
      </c>
      <c r="E4772">
        <v>2222222</v>
      </c>
      <c r="F4772" s="8" t="s">
        <v>22</v>
      </c>
      <c r="G4772" s="2">
        <v>98</v>
      </c>
      <c r="H4772" t="s">
        <v>4676</v>
      </c>
      <c r="J4772" s="9" t="s">
        <v>4882</v>
      </c>
      <c r="K4772" t="s">
        <v>5946</v>
      </c>
      <c r="L4772" s="2">
        <v>1</v>
      </c>
      <c r="M4772" s="24" t="s">
        <v>5971</v>
      </c>
      <c r="N4772" s="2" t="s">
        <v>23</v>
      </c>
      <c r="O4772" s="18" t="s">
        <v>3602</v>
      </c>
      <c r="P4772" s="18" t="s">
        <v>0</v>
      </c>
      <c r="Q4772" s="6" t="s">
        <v>4475</v>
      </c>
      <c r="T4772" s="23">
        <v>45695</v>
      </c>
      <c r="U4772" s="23">
        <v>46792</v>
      </c>
      <c r="X4772" s="20">
        <v>8400</v>
      </c>
      <c r="Z4772" s="6" t="s">
        <v>5978</v>
      </c>
      <c r="AA4772" s="14">
        <f t="shared" si="631"/>
        <v>5.9999999999999995E-4</v>
      </c>
      <c r="AB4772">
        <v>2.9242439999999994</v>
      </c>
      <c r="AC4772">
        <v>3.0412137599999993</v>
      </c>
    </row>
    <row r="4773" spans="1:29" x14ac:dyDescent="0.3">
      <c r="A4773">
        <v>136901</v>
      </c>
      <c r="B4773" s="25" t="s">
        <v>5984</v>
      </c>
      <c r="C4773" t="s">
        <v>20</v>
      </c>
      <c r="D4773" t="s">
        <v>21</v>
      </c>
      <c r="E4773">
        <v>2222222</v>
      </c>
      <c r="F4773" s="8" t="s">
        <v>22</v>
      </c>
      <c r="G4773" s="2">
        <v>98</v>
      </c>
      <c r="H4773" t="s">
        <v>4677</v>
      </c>
      <c r="J4773" s="9" t="s">
        <v>4815</v>
      </c>
      <c r="K4773" t="s">
        <v>4853</v>
      </c>
      <c r="L4773" s="2">
        <v>1</v>
      </c>
      <c r="M4773" s="24" t="s">
        <v>5971</v>
      </c>
      <c r="N4773" s="2" t="s">
        <v>23</v>
      </c>
      <c r="O4773" s="18" t="s">
        <v>3603</v>
      </c>
      <c r="P4773" s="18" t="s">
        <v>0</v>
      </c>
      <c r="Q4773" s="6" t="s">
        <v>4475</v>
      </c>
      <c r="T4773" s="23">
        <v>45212</v>
      </c>
      <c r="U4773" s="23">
        <v>46672</v>
      </c>
      <c r="X4773" s="20">
        <v>5000</v>
      </c>
      <c r="Z4773" s="6" t="s">
        <v>5978</v>
      </c>
      <c r="AA4773" s="13">
        <f t="shared" ref="AA4773:AA4777" si="632">+(0.56/1000)</f>
        <v>5.6000000000000006E-4</v>
      </c>
      <c r="AB4773">
        <v>1.1125352000000002</v>
      </c>
      <c r="AC4773">
        <v>1.1570366080000003</v>
      </c>
    </row>
    <row r="4774" spans="1:29" x14ac:dyDescent="0.3">
      <c r="A4774">
        <v>138899</v>
      </c>
      <c r="B4774" s="25" t="s">
        <v>5984</v>
      </c>
      <c r="C4774" t="s">
        <v>20</v>
      </c>
      <c r="D4774" t="s">
        <v>21</v>
      </c>
      <c r="E4774">
        <v>2222222</v>
      </c>
      <c r="F4774" s="8" t="s">
        <v>22</v>
      </c>
      <c r="G4774" s="2">
        <v>98</v>
      </c>
      <c r="H4774" t="s">
        <v>4677</v>
      </c>
      <c r="J4774" s="9" t="s">
        <v>4852</v>
      </c>
      <c r="K4774" t="s">
        <v>5272</v>
      </c>
      <c r="L4774" s="2">
        <v>1</v>
      </c>
      <c r="M4774" s="24" t="s">
        <v>5971</v>
      </c>
      <c r="N4774" s="2" t="s">
        <v>23</v>
      </c>
      <c r="O4774" s="18" t="s">
        <v>3604</v>
      </c>
      <c r="P4774" s="18" t="s">
        <v>0</v>
      </c>
      <c r="Q4774" s="6" t="s">
        <v>4475</v>
      </c>
      <c r="T4774" s="23">
        <v>45307</v>
      </c>
      <c r="U4774" s="23">
        <v>46767</v>
      </c>
      <c r="X4774" s="20">
        <v>5000</v>
      </c>
      <c r="Z4774" s="6" t="s">
        <v>5978</v>
      </c>
      <c r="AA4774" s="13">
        <f t="shared" si="632"/>
        <v>5.6000000000000006E-4</v>
      </c>
      <c r="AB4774">
        <v>2.03952</v>
      </c>
      <c r="AC4774">
        <v>2.1211008000000002</v>
      </c>
    </row>
    <row r="4775" spans="1:29" x14ac:dyDescent="0.3">
      <c r="A4775">
        <v>139452</v>
      </c>
      <c r="B4775" s="25" t="s">
        <v>5984</v>
      </c>
      <c r="C4775" t="s">
        <v>20</v>
      </c>
      <c r="D4775" t="s">
        <v>21</v>
      </c>
      <c r="E4775">
        <v>2222222</v>
      </c>
      <c r="F4775" s="8" t="s">
        <v>22</v>
      </c>
      <c r="G4775" s="2">
        <v>98</v>
      </c>
      <c r="H4775" t="s">
        <v>4677</v>
      </c>
      <c r="J4775" s="9" t="s">
        <v>5093</v>
      </c>
      <c r="K4775" t="s">
        <v>4863</v>
      </c>
      <c r="L4775" s="2">
        <v>1</v>
      </c>
      <c r="M4775" s="24" t="s">
        <v>5971</v>
      </c>
      <c r="N4775" s="2" t="s">
        <v>23</v>
      </c>
      <c r="O4775" s="18" t="s">
        <v>3605</v>
      </c>
      <c r="P4775" s="18" t="s">
        <v>3781</v>
      </c>
      <c r="Q4775" s="6" t="s">
        <v>4475</v>
      </c>
      <c r="T4775" s="23">
        <v>45331</v>
      </c>
      <c r="U4775" s="23">
        <v>46793</v>
      </c>
      <c r="X4775" s="20">
        <v>5000</v>
      </c>
      <c r="Z4775" s="6" t="s">
        <v>5978</v>
      </c>
      <c r="AA4775" s="13">
        <f t="shared" si="632"/>
        <v>5.6000000000000006E-4</v>
      </c>
      <c r="AB4775">
        <v>1.3687016000000003</v>
      </c>
      <c r="AC4775">
        <v>1.4234496640000003</v>
      </c>
    </row>
    <row r="4776" spans="1:29" x14ac:dyDescent="0.3">
      <c r="A4776">
        <v>140417</v>
      </c>
      <c r="B4776" s="25" t="s">
        <v>5984</v>
      </c>
      <c r="C4776" t="s">
        <v>20</v>
      </c>
      <c r="D4776" t="s">
        <v>21</v>
      </c>
      <c r="E4776">
        <v>2222222</v>
      </c>
      <c r="F4776" s="8" t="s">
        <v>22</v>
      </c>
      <c r="G4776" s="2">
        <v>98</v>
      </c>
      <c r="H4776" t="s">
        <v>4677</v>
      </c>
      <c r="J4776" s="9" t="s">
        <v>4998</v>
      </c>
      <c r="K4776" t="s">
        <v>5133</v>
      </c>
      <c r="L4776" s="2">
        <v>1</v>
      </c>
      <c r="M4776" s="24" t="s">
        <v>5971</v>
      </c>
      <c r="N4776" s="2" t="s">
        <v>23</v>
      </c>
      <c r="O4776" s="18" t="s">
        <v>3606</v>
      </c>
      <c r="P4776" s="18" t="s">
        <v>3781</v>
      </c>
      <c r="Q4776" s="6" t="s">
        <v>4475</v>
      </c>
      <c r="T4776" s="23">
        <v>45385</v>
      </c>
      <c r="U4776" s="23">
        <v>47241</v>
      </c>
      <c r="X4776" s="20">
        <v>4850</v>
      </c>
      <c r="Z4776" s="6" t="s">
        <v>5978</v>
      </c>
      <c r="AA4776" s="13">
        <f t="shared" si="632"/>
        <v>5.6000000000000006E-4</v>
      </c>
      <c r="AB4776">
        <v>1.7844736000000001</v>
      </c>
      <c r="AC4776">
        <v>1.8558525440000002</v>
      </c>
    </row>
    <row r="4777" spans="1:29" x14ac:dyDescent="0.3">
      <c r="A4777">
        <v>140644</v>
      </c>
      <c r="B4777" s="25" t="s">
        <v>5984</v>
      </c>
      <c r="C4777" t="s">
        <v>20</v>
      </c>
      <c r="D4777" t="s">
        <v>21</v>
      </c>
      <c r="E4777">
        <v>2222222</v>
      </c>
      <c r="F4777" s="8" t="s">
        <v>22</v>
      </c>
      <c r="G4777" s="2">
        <v>98</v>
      </c>
      <c r="H4777" t="s">
        <v>4677</v>
      </c>
      <c r="J4777" s="9" t="s">
        <v>5011</v>
      </c>
      <c r="K4777" t="s">
        <v>4999</v>
      </c>
      <c r="L4777" s="2">
        <v>1</v>
      </c>
      <c r="M4777" s="24" t="s">
        <v>5971</v>
      </c>
      <c r="N4777" s="2" t="s">
        <v>23</v>
      </c>
      <c r="O4777" s="18" t="s">
        <v>1846</v>
      </c>
      <c r="P4777" s="18" t="s">
        <v>3781</v>
      </c>
      <c r="Q4777" s="6" t="s">
        <v>4475</v>
      </c>
      <c r="T4777" s="23">
        <v>45400</v>
      </c>
      <c r="U4777" s="23">
        <v>46495</v>
      </c>
      <c r="X4777" s="20">
        <v>2685</v>
      </c>
      <c r="Z4777" s="6" t="s">
        <v>5978</v>
      </c>
      <c r="AA4777" s="13">
        <f t="shared" si="632"/>
        <v>5.6000000000000006E-4</v>
      </c>
      <c r="AB4777">
        <v>0.19505360000000002</v>
      </c>
      <c r="AC4777">
        <v>0.20285574400000003</v>
      </c>
    </row>
    <row r="4778" spans="1:29" x14ac:dyDescent="0.3">
      <c r="A4778">
        <v>142589</v>
      </c>
      <c r="B4778" s="25" t="s">
        <v>5984</v>
      </c>
      <c r="C4778" t="s">
        <v>20</v>
      </c>
      <c r="D4778" t="s">
        <v>21</v>
      </c>
      <c r="E4778">
        <v>2222222</v>
      </c>
      <c r="F4778" s="8" t="s">
        <v>22</v>
      </c>
      <c r="G4778" s="2">
        <v>98</v>
      </c>
      <c r="H4778" t="s">
        <v>4677</v>
      </c>
      <c r="J4778" s="9" t="s">
        <v>4892</v>
      </c>
      <c r="K4778" t="s">
        <v>5495</v>
      </c>
      <c r="L4778" s="2">
        <v>1</v>
      </c>
      <c r="M4778" s="24" t="s">
        <v>5971</v>
      </c>
      <c r="N4778" s="2" t="s">
        <v>23</v>
      </c>
      <c r="O4778" s="18" t="s">
        <v>3607</v>
      </c>
      <c r="P4778" s="18" t="s">
        <v>3781</v>
      </c>
      <c r="Q4778" s="6" t="s">
        <v>4475</v>
      </c>
      <c r="T4778" s="23">
        <v>45532</v>
      </c>
      <c r="U4778" s="23">
        <v>51009</v>
      </c>
      <c r="X4778" s="20">
        <v>12300</v>
      </c>
      <c r="Z4778" s="6" t="s">
        <v>5978</v>
      </c>
      <c r="AA4778" s="14">
        <f t="shared" ref="AA4778:AA4795" si="633">+(0.6/1000)</f>
        <v>5.9999999999999995E-4</v>
      </c>
      <c r="AB4778">
        <v>7.0652159999999995</v>
      </c>
      <c r="AC4778">
        <v>7.3478246399999998</v>
      </c>
    </row>
    <row r="4779" spans="1:29" x14ac:dyDescent="0.3">
      <c r="A4779">
        <v>142818</v>
      </c>
      <c r="B4779" s="25" t="s">
        <v>5984</v>
      </c>
      <c r="C4779" t="s">
        <v>20</v>
      </c>
      <c r="D4779" t="s">
        <v>21</v>
      </c>
      <c r="E4779">
        <v>2222222</v>
      </c>
      <c r="F4779" s="8" t="s">
        <v>22</v>
      </c>
      <c r="G4779" s="2">
        <v>98</v>
      </c>
      <c r="H4779" t="s">
        <v>4677</v>
      </c>
      <c r="J4779" s="9" t="s">
        <v>4852</v>
      </c>
      <c r="K4779" t="s">
        <v>4945</v>
      </c>
      <c r="L4779" s="2">
        <v>1</v>
      </c>
      <c r="M4779" s="24" t="s">
        <v>5971</v>
      </c>
      <c r="N4779" s="2" t="s">
        <v>23</v>
      </c>
      <c r="O4779" s="18" t="s">
        <v>3608</v>
      </c>
      <c r="P4779" s="18" t="s">
        <v>0</v>
      </c>
      <c r="Q4779" s="6" t="s">
        <v>4475</v>
      </c>
      <c r="T4779" s="23">
        <v>45558</v>
      </c>
      <c r="U4779" s="23">
        <v>47384</v>
      </c>
      <c r="X4779" s="20">
        <v>60000</v>
      </c>
      <c r="Z4779" s="6" t="s">
        <v>5978</v>
      </c>
      <c r="AA4779" s="14">
        <f t="shared" si="633"/>
        <v>5.9999999999999995E-4</v>
      </c>
      <c r="AB4779">
        <v>26.695577999999998</v>
      </c>
      <c r="AC4779">
        <v>27.763401119999997</v>
      </c>
    </row>
    <row r="4780" spans="1:29" x14ac:dyDescent="0.3">
      <c r="A4780">
        <v>143246</v>
      </c>
      <c r="B4780" s="25" t="s">
        <v>5984</v>
      </c>
      <c r="C4780" t="s">
        <v>20</v>
      </c>
      <c r="D4780" t="s">
        <v>21</v>
      </c>
      <c r="E4780">
        <v>2222222</v>
      </c>
      <c r="F4780" s="8" t="s">
        <v>22</v>
      </c>
      <c r="G4780" s="2">
        <v>98</v>
      </c>
      <c r="H4780" t="s">
        <v>4677</v>
      </c>
      <c r="J4780" s="9" t="s">
        <v>4914</v>
      </c>
      <c r="K4780" t="s">
        <v>4997</v>
      </c>
      <c r="L4780" s="2">
        <v>1</v>
      </c>
      <c r="M4780" s="24" t="s">
        <v>5971</v>
      </c>
      <c r="N4780" s="2" t="s">
        <v>23</v>
      </c>
      <c r="O4780" s="18" t="s">
        <v>3609</v>
      </c>
      <c r="P4780" s="18" t="s">
        <v>3781</v>
      </c>
      <c r="Q4780" s="6" t="s">
        <v>4475</v>
      </c>
      <c r="T4780" s="23">
        <v>45581</v>
      </c>
      <c r="U4780" s="23">
        <v>49232</v>
      </c>
      <c r="X4780" s="20">
        <v>10000</v>
      </c>
      <c r="Z4780" s="6" t="s">
        <v>5978</v>
      </c>
      <c r="AA4780" s="14">
        <f t="shared" si="633"/>
        <v>5.9999999999999995E-4</v>
      </c>
      <c r="AB4780">
        <v>5.9017499999999998</v>
      </c>
      <c r="AC4780">
        <v>6.1378199999999996</v>
      </c>
    </row>
    <row r="4781" spans="1:29" x14ac:dyDescent="0.3">
      <c r="A4781">
        <v>144928</v>
      </c>
      <c r="B4781" s="25" t="s">
        <v>5984</v>
      </c>
      <c r="C4781" t="s">
        <v>20</v>
      </c>
      <c r="D4781" t="s">
        <v>21</v>
      </c>
      <c r="E4781">
        <v>2222222</v>
      </c>
      <c r="F4781" s="8" t="s">
        <v>22</v>
      </c>
      <c r="G4781" s="2">
        <v>98</v>
      </c>
      <c r="H4781" t="s">
        <v>4677</v>
      </c>
      <c r="J4781" s="9" t="s">
        <v>4836</v>
      </c>
      <c r="K4781" t="s">
        <v>4031</v>
      </c>
      <c r="L4781" s="2">
        <v>1</v>
      </c>
      <c r="M4781" s="24" t="s">
        <v>5971</v>
      </c>
      <c r="N4781" s="2" t="s">
        <v>23</v>
      </c>
      <c r="O4781" s="18" t="s">
        <v>3610</v>
      </c>
      <c r="P4781" s="18" t="s">
        <v>3781</v>
      </c>
      <c r="Q4781" s="6" t="s">
        <v>4475</v>
      </c>
      <c r="T4781" s="23">
        <v>45699</v>
      </c>
      <c r="U4781" s="23">
        <v>46431</v>
      </c>
      <c r="X4781" s="20">
        <v>1900</v>
      </c>
      <c r="Z4781" s="6" t="s">
        <v>5978</v>
      </c>
      <c r="AA4781" s="14">
        <f t="shared" si="633"/>
        <v>5.9999999999999995E-4</v>
      </c>
      <c r="AB4781">
        <v>0.37382999999999994</v>
      </c>
      <c r="AC4781">
        <v>0.38878319999999994</v>
      </c>
    </row>
    <row r="4782" spans="1:29" x14ac:dyDescent="0.3">
      <c r="A4782">
        <v>145757</v>
      </c>
      <c r="B4782" s="25" t="s">
        <v>5984</v>
      </c>
      <c r="C4782" t="s">
        <v>20</v>
      </c>
      <c r="D4782" t="s">
        <v>21</v>
      </c>
      <c r="E4782">
        <v>2222222</v>
      </c>
      <c r="F4782" s="8" t="s">
        <v>22</v>
      </c>
      <c r="G4782" s="2">
        <v>98</v>
      </c>
      <c r="H4782" t="s">
        <v>4677</v>
      </c>
      <c r="J4782" s="9" t="s">
        <v>4911</v>
      </c>
      <c r="K4782" t="s">
        <v>4893</v>
      </c>
      <c r="L4782" s="2">
        <v>1</v>
      </c>
      <c r="M4782" s="24" t="s">
        <v>5971</v>
      </c>
      <c r="N4782" s="2" t="s">
        <v>23</v>
      </c>
      <c r="O4782" s="18" t="s">
        <v>3611</v>
      </c>
      <c r="P4782" s="18" t="s">
        <v>3781</v>
      </c>
      <c r="Q4782" s="6" t="s">
        <v>4475</v>
      </c>
      <c r="T4782" s="23">
        <v>45761</v>
      </c>
      <c r="U4782" s="23">
        <v>46491</v>
      </c>
      <c r="X4782" s="20">
        <v>4400</v>
      </c>
      <c r="Z4782" s="6" t="s">
        <v>5978</v>
      </c>
      <c r="AA4782" s="14">
        <f t="shared" si="633"/>
        <v>5.9999999999999995E-4</v>
      </c>
      <c r="AB4782">
        <v>1.103664</v>
      </c>
      <c r="AC4782">
        <v>1.1478105599999999</v>
      </c>
    </row>
    <row r="4783" spans="1:29" x14ac:dyDescent="0.3">
      <c r="A4783">
        <v>147038</v>
      </c>
      <c r="B4783" s="25" t="s">
        <v>5984</v>
      </c>
      <c r="C4783" t="s">
        <v>20</v>
      </c>
      <c r="D4783" t="s">
        <v>21</v>
      </c>
      <c r="E4783">
        <v>2222222</v>
      </c>
      <c r="F4783" s="8" t="s">
        <v>22</v>
      </c>
      <c r="G4783" s="2">
        <v>98</v>
      </c>
      <c r="H4783" t="s">
        <v>4677</v>
      </c>
      <c r="J4783" s="9" t="s">
        <v>4911</v>
      </c>
      <c r="K4783" t="s">
        <v>4893</v>
      </c>
      <c r="L4783" s="2">
        <v>1</v>
      </c>
      <c r="M4783" s="24" t="s">
        <v>5971</v>
      </c>
      <c r="N4783" s="2" t="s">
        <v>23</v>
      </c>
      <c r="O4783" s="18" t="s">
        <v>3611</v>
      </c>
      <c r="P4783" s="18" t="s">
        <v>3781</v>
      </c>
      <c r="Q4783" s="6" t="s">
        <v>4475</v>
      </c>
      <c r="T4783" s="23">
        <v>45860</v>
      </c>
      <c r="U4783" s="23">
        <v>46589</v>
      </c>
      <c r="X4783" s="20">
        <v>4000</v>
      </c>
      <c r="Z4783" s="6" t="s">
        <v>5978</v>
      </c>
      <c r="AA4783" s="14">
        <f t="shared" si="633"/>
        <v>5.9999999999999995E-4</v>
      </c>
      <c r="AB4783">
        <v>1.3016459999999999</v>
      </c>
      <c r="AC4783">
        <v>1.3537118399999999</v>
      </c>
    </row>
    <row r="4784" spans="1:29" x14ac:dyDescent="0.3">
      <c r="A4784">
        <v>147579</v>
      </c>
      <c r="B4784" s="25" t="s">
        <v>5984</v>
      </c>
      <c r="C4784" t="s">
        <v>20</v>
      </c>
      <c r="D4784" t="s">
        <v>21</v>
      </c>
      <c r="E4784">
        <v>2222222</v>
      </c>
      <c r="F4784" s="8" t="s">
        <v>22</v>
      </c>
      <c r="G4784" s="2">
        <v>98</v>
      </c>
      <c r="H4784" t="s">
        <v>4677</v>
      </c>
      <c r="J4784" s="9" t="s">
        <v>5556</v>
      </c>
      <c r="K4784" t="s">
        <v>5206</v>
      </c>
      <c r="L4784" s="2">
        <v>1</v>
      </c>
      <c r="M4784" s="24" t="s">
        <v>5971</v>
      </c>
      <c r="N4784" s="2" t="s">
        <v>23</v>
      </c>
      <c r="O4784" s="18" t="s">
        <v>3612</v>
      </c>
      <c r="P4784" s="18" t="s">
        <v>3781</v>
      </c>
      <c r="Q4784" s="6" t="s">
        <v>4475</v>
      </c>
      <c r="T4784" s="23">
        <v>45900</v>
      </c>
      <c r="U4784" s="23">
        <v>49553</v>
      </c>
      <c r="X4784" s="20">
        <v>29000</v>
      </c>
      <c r="Z4784" s="6" t="s">
        <v>5978</v>
      </c>
      <c r="AA4784" s="14">
        <f t="shared" si="633"/>
        <v>5.9999999999999995E-4</v>
      </c>
      <c r="AB4784">
        <v>16.651247999999999</v>
      </c>
      <c r="AC4784">
        <v>17.317297919999998</v>
      </c>
    </row>
    <row r="4785" spans="1:29" x14ac:dyDescent="0.3">
      <c r="A4785">
        <v>148188</v>
      </c>
      <c r="B4785" s="25" t="s">
        <v>5984</v>
      </c>
      <c r="C4785" t="s">
        <v>20</v>
      </c>
      <c r="D4785" t="s">
        <v>21</v>
      </c>
      <c r="E4785">
        <v>2222222</v>
      </c>
      <c r="F4785" s="8" t="s">
        <v>22</v>
      </c>
      <c r="G4785" s="2">
        <v>98</v>
      </c>
      <c r="H4785" t="s">
        <v>4677</v>
      </c>
      <c r="J4785" s="9" t="s">
        <v>4880</v>
      </c>
      <c r="K4785" t="s">
        <v>4947</v>
      </c>
      <c r="L4785" s="2">
        <v>1</v>
      </c>
      <c r="M4785" s="24" t="s">
        <v>5971</v>
      </c>
      <c r="N4785" s="2" t="s">
        <v>23</v>
      </c>
      <c r="O4785" s="18" t="s">
        <v>3613</v>
      </c>
      <c r="P4785" s="18" t="s">
        <v>3781</v>
      </c>
      <c r="Q4785" s="6" t="s">
        <v>4475</v>
      </c>
      <c r="T4785" s="23">
        <v>45944</v>
      </c>
      <c r="U4785" s="23">
        <v>47039</v>
      </c>
      <c r="X4785" s="20">
        <v>3100</v>
      </c>
      <c r="Z4785" s="6" t="s">
        <v>5978</v>
      </c>
      <c r="AA4785" s="14">
        <f t="shared" si="633"/>
        <v>5.9999999999999995E-4</v>
      </c>
      <c r="AB4785">
        <v>1.4788319999999997</v>
      </c>
      <c r="AC4785">
        <v>1.5379852799999998</v>
      </c>
    </row>
    <row r="4786" spans="1:29" x14ac:dyDescent="0.3">
      <c r="A4786">
        <v>149624</v>
      </c>
      <c r="B4786" s="25" t="s">
        <v>5984</v>
      </c>
      <c r="C4786" t="s">
        <v>20</v>
      </c>
      <c r="D4786" t="s">
        <v>21</v>
      </c>
      <c r="E4786">
        <v>2222222</v>
      </c>
      <c r="F4786" s="8" t="s">
        <v>22</v>
      </c>
      <c r="G4786" s="2">
        <v>98</v>
      </c>
      <c r="H4786" t="s">
        <v>4677</v>
      </c>
      <c r="J4786" s="9" t="s">
        <v>4898</v>
      </c>
      <c r="K4786" t="s">
        <v>5011</v>
      </c>
      <c r="L4786" s="2">
        <v>1</v>
      </c>
      <c r="M4786" s="24" t="s">
        <v>5971</v>
      </c>
      <c r="N4786" s="2" t="s">
        <v>23</v>
      </c>
      <c r="O4786" s="18" t="s">
        <v>3614</v>
      </c>
      <c r="P4786" s="18" t="s">
        <v>3781</v>
      </c>
      <c r="Q4786" s="6" t="s">
        <v>4475</v>
      </c>
      <c r="T4786" s="23">
        <v>46037</v>
      </c>
      <c r="U4786" s="23">
        <v>46949</v>
      </c>
      <c r="X4786" s="20">
        <v>2000</v>
      </c>
      <c r="Z4786" s="6" t="s">
        <v>5978</v>
      </c>
      <c r="AA4786" s="14">
        <f t="shared" si="633"/>
        <v>5.9999999999999995E-4</v>
      </c>
      <c r="AB4786">
        <v>0.99774599999999991</v>
      </c>
      <c r="AC4786">
        <v>1.03765584</v>
      </c>
    </row>
    <row r="4787" spans="1:29" x14ac:dyDescent="0.3">
      <c r="A4787">
        <v>150061</v>
      </c>
      <c r="B4787" s="25" t="s">
        <v>5984</v>
      </c>
      <c r="C4787" t="s">
        <v>20</v>
      </c>
      <c r="D4787" t="s">
        <v>21</v>
      </c>
      <c r="E4787">
        <v>2222222</v>
      </c>
      <c r="F4787" s="8" t="s">
        <v>22</v>
      </c>
      <c r="G4787" s="2">
        <v>98</v>
      </c>
      <c r="H4787" t="s">
        <v>4677</v>
      </c>
      <c r="J4787" s="9" t="s">
        <v>4836</v>
      </c>
      <c r="K4787" t="s">
        <v>5287</v>
      </c>
      <c r="L4787" s="2">
        <v>1</v>
      </c>
      <c r="M4787" s="24" t="s">
        <v>5971</v>
      </c>
      <c r="N4787" s="2" t="s">
        <v>23</v>
      </c>
      <c r="O4787" s="18" t="s">
        <v>3615</v>
      </c>
      <c r="P4787" s="18" t="s">
        <v>3781</v>
      </c>
      <c r="Q4787" s="6" t="s">
        <v>4475</v>
      </c>
      <c r="T4787" s="23">
        <v>46080</v>
      </c>
      <c r="U4787" s="23">
        <v>47907</v>
      </c>
      <c r="X4787" s="20">
        <v>8500</v>
      </c>
      <c r="Z4787" s="6" t="s">
        <v>5978</v>
      </c>
      <c r="AA4787" s="14">
        <f t="shared" si="633"/>
        <v>5.9999999999999995E-4</v>
      </c>
      <c r="AB4787">
        <v>4.7984999999999998</v>
      </c>
      <c r="AC4787">
        <v>4.9904399999999995</v>
      </c>
    </row>
    <row r="4788" spans="1:29" x14ac:dyDescent="0.3">
      <c r="A4788">
        <v>150533</v>
      </c>
      <c r="B4788" s="25" t="s">
        <v>5984</v>
      </c>
      <c r="C4788" t="s">
        <v>20</v>
      </c>
      <c r="D4788" t="s">
        <v>21</v>
      </c>
      <c r="E4788">
        <v>2222222</v>
      </c>
      <c r="F4788" s="8" t="s">
        <v>22</v>
      </c>
      <c r="G4788" s="2">
        <v>98</v>
      </c>
      <c r="H4788" t="s">
        <v>4677</v>
      </c>
      <c r="J4788" s="9" t="s">
        <v>5316</v>
      </c>
      <c r="K4788" t="s">
        <v>5190</v>
      </c>
      <c r="L4788" s="2">
        <v>1</v>
      </c>
      <c r="M4788" s="24" t="s">
        <v>5971</v>
      </c>
      <c r="N4788" s="2" t="s">
        <v>23</v>
      </c>
      <c r="O4788" s="18" t="s">
        <v>2453</v>
      </c>
      <c r="P4788" s="18" t="s">
        <v>0</v>
      </c>
      <c r="Q4788" s="6" t="s">
        <v>4475</v>
      </c>
      <c r="T4788" s="23">
        <v>46099</v>
      </c>
      <c r="U4788" s="23">
        <v>47194</v>
      </c>
      <c r="X4788" s="20">
        <v>3500</v>
      </c>
      <c r="Z4788" s="6" t="s">
        <v>5978</v>
      </c>
      <c r="AA4788" s="14">
        <f t="shared" si="633"/>
        <v>5.9999999999999995E-4</v>
      </c>
      <c r="AB4788">
        <v>1.9155899999999999</v>
      </c>
      <c r="AC4788">
        <v>1.9922135999999999</v>
      </c>
    </row>
    <row r="4789" spans="1:29" x14ac:dyDescent="0.3">
      <c r="A4789">
        <v>151188</v>
      </c>
      <c r="B4789" s="25" t="s">
        <v>5984</v>
      </c>
      <c r="C4789" t="s">
        <v>20</v>
      </c>
      <c r="D4789" t="s">
        <v>21</v>
      </c>
      <c r="E4789">
        <v>2222222</v>
      </c>
      <c r="F4789" s="8" t="s">
        <v>22</v>
      </c>
      <c r="G4789" s="2">
        <v>98</v>
      </c>
      <c r="H4789" t="s">
        <v>4677</v>
      </c>
      <c r="J4789" s="9" t="s">
        <v>5201</v>
      </c>
      <c r="K4789" t="s">
        <v>5891</v>
      </c>
      <c r="L4789" s="2">
        <v>1</v>
      </c>
      <c r="M4789" s="24" t="s">
        <v>5971</v>
      </c>
      <c r="N4789" s="2" t="s">
        <v>23</v>
      </c>
      <c r="O4789" s="18" t="s">
        <v>2840</v>
      </c>
      <c r="P4789" s="18" t="s">
        <v>0</v>
      </c>
      <c r="Q4789" s="6" t="s">
        <v>4475</v>
      </c>
      <c r="T4789" s="23">
        <v>46146</v>
      </c>
      <c r="U4789" s="23">
        <v>46236</v>
      </c>
      <c r="X4789" s="20">
        <v>1950</v>
      </c>
      <c r="Z4789" s="6" t="s">
        <v>5978</v>
      </c>
      <c r="AA4789" s="14">
        <f t="shared" si="633"/>
        <v>5.9999999999999995E-4</v>
      </c>
      <c r="AB4789">
        <v>1.17</v>
      </c>
      <c r="AC4789">
        <v>1.2167999999999999</v>
      </c>
    </row>
    <row r="4790" spans="1:29" x14ac:dyDescent="0.3">
      <c r="A4790">
        <v>151290</v>
      </c>
      <c r="B4790" s="25" t="s">
        <v>5984</v>
      </c>
      <c r="C4790" t="s">
        <v>20</v>
      </c>
      <c r="D4790" t="s">
        <v>21</v>
      </c>
      <c r="E4790">
        <v>2222222</v>
      </c>
      <c r="F4790" s="8" t="s">
        <v>22</v>
      </c>
      <c r="G4790" s="2">
        <v>98</v>
      </c>
      <c r="H4790" t="s">
        <v>4677</v>
      </c>
      <c r="J4790" s="9" t="s">
        <v>5702</v>
      </c>
      <c r="K4790" t="s">
        <v>5700</v>
      </c>
      <c r="L4790" s="2">
        <v>1</v>
      </c>
      <c r="M4790" s="24" t="s">
        <v>5971</v>
      </c>
      <c r="N4790" s="2" t="s">
        <v>23</v>
      </c>
      <c r="O4790" s="18" t="s">
        <v>3616</v>
      </c>
      <c r="P4790" s="18" t="s">
        <v>3781</v>
      </c>
      <c r="Q4790" s="6" t="s">
        <v>4475</v>
      </c>
      <c r="T4790" s="23">
        <v>46154</v>
      </c>
      <c r="U4790" s="23">
        <v>46244</v>
      </c>
      <c r="X4790" s="20">
        <v>3200</v>
      </c>
      <c r="Z4790" s="6" t="s">
        <v>5978</v>
      </c>
      <c r="AA4790" s="14">
        <f t="shared" si="633"/>
        <v>5.9999999999999995E-4</v>
      </c>
      <c r="AB4790">
        <v>1.92</v>
      </c>
      <c r="AC4790">
        <v>1.9967999999999999</v>
      </c>
    </row>
    <row r="4791" spans="1:29" x14ac:dyDescent="0.3">
      <c r="A4791">
        <v>151818</v>
      </c>
      <c r="B4791" s="25" t="s">
        <v>5984</v>
      </c>
      <c r="C4791" t="s">
        <v>20</v>
      </c>
      <c r="D4791" t="s">
        <v>21</v>
      </c>
      <c r="E4791">
        <v>2222222</v>
      </c>
      <c r="F4791" s="8" t="s">
        <v>22</v>
      </c>
      <c r="G4791" s="2">
        <v>98</v>
      </c>
      <c r="H4791" t="s">
        <v>4677</v>
      </c>
      <c r="J4791" s="9" t="s">
        <v>4880</v>
      </c>
      <c r="K4791" t="s">
        <v>4947</v>
      </c>
      <c r="L4791" s="2">
        <v>1</v>
      </c>
      <c r="M4791" s="24" t="s">
        <v>5971</v>
      </c>
      <c r="N4791" s="2" t="s">
        <v>23</v>
      </c>
      <c r="O4791" s="18" t="s">
        <v>3613</v>
      </c>
      <c r="P4791" s="18" t="s">
        <v>3781</v>
      </c>
      <c r="Q4791" s="6" t="s">
        <v>4475</v>
      </c>
      <c r="T4791" s="23">
        <v>46189</v>
      </c>
      <c r="U4791" s="23">
        <v>47285</v>
      </c>
      <c r="X4791" s="20">
        <v>3110</v>
      </c>
      <c r="Z4791" s="6" t="s">
        <v>5978</v>
      </c>
      <c r="AA4791" s="14">
        <f t="shared" si="633"/>
        <v>5.9999999999999995E-4</v>
      </c>
      <c r="AB4791">
        <v>1.8262979999999998</v>
      </c>
      <c r="AC4791">
        <v>1.8993499199999999</v>
      </c>
    </row>
    <row r="4792" spans="1:29" x14ac:dyDescent="0.3">
      <c r="A4792">
        <v>151838</v>
      </c>
      <c r="B4792" s="25" t="s">
        <v>5984</v>
      </c>
      <c r="C4792" t="s">
        <v>20</v>
      </c>
      <c r="D4792" t="s">
        <v>21</v>
      </c>
      <c r="E4792">
        <v>2222222</v>
      </c>
      <c r="F4792" s="8" t="s">
        <v>22</v>
      </c>
      <c r="G4792" s="2">
        <v>98</v>
      </c>
      <c r="H4792" t="s">
        <v>4677</v>
      </c>
      <c r="J4792" s="9" t="s">
        <v>4836</v>
      </c>
      <c r="K4792" t="s">
        <v>4031</v>
      </c>
      <c r="L4792" s="2">
        <v>1</v>
      </c>
      <c r="M4792" s="24" t="s">
        <v>5971</v>
      </c>
      <c r="N4792" s="2" t="s">
        <v>23</v>
      </c>
      <c r="O4792" s="18" t="s">
        <v>3610</v>
      </c>
      <c r="P4792" s="18" t="s">
        <v>3781</v>
      </c>
      <c r="Q4792" s="6" t="s">
        <v>4475</v>
      </c>
      <c r="T4792" s="23">
        <v>46191</v>
      </c>
      <c r="U4792" s="23">
        <v>46927</v>
      </c>
      <c r="X4792" s="20">
        <v>2000</v>
      </c>
      <c r="Z4792" s="6" t="s">
        <v>5978</v>
      </c>
      <c r="AA4792" s="14">
        <f t="shared" si="633"/>
        <v>5.9999999999999995E-4</v>
      </c>
      <c r="AB4792">
        <v>1.1579459999999999</v>
      </c>
      <c r="AC4792">
        <v>1.2042638399999999</v>
      </c>
    </row>
    <row r="4793" spans="1:29" x14ac:dyDescent="0.3">
      <c r="A4793">
        <v>151943</v>
      </c>
      <c r="B4793" s="25" t="s">
        <v>5984</v>
      </c>
      <c r="C4793" t="s">
        <v>20</v>
      </c>
      <c r="D4793" t="s">
        <v>21</v>
      </c>
      <c r="E4793">
        <v>2222222</v>
      </c>
      <c r="F4793" s="8" t="s">
        <v>22</v>
      </c>
      <c r="G4793" s="2">
        <v>98</v>
      </c>
      <c r="H4793" t="s">
        <v>4677</v>
      </c>
      <c r="J4793" s="9" t="s">
        <v>4911</v>
      </c>
      <c r="K4793" t="s">
        <v>5075</v>
      </c>
      <c r="L4793" s="2">
        <v>1</v>
      </c>
      <c r="M4793" s="24" t="s">
        <v>5971</v>
      </c>
      <c r="N4793" s="2" t="s">
        <v>23</v>
      </c>
      <c r="O4793" s="18" t="s">
        <v>3617</v>
      </c>
      <c r="P4793" s="18" t="s">
        <v>3781</v>
      </c>
      <c r="Q4793" s="6" t="s">
        <v>4475</v>
      </c>
      <c r="T4793" s="23">
        <v>46200</v>
      </c>
      <c r="U4793" s="23">
        <v>46468</v>
      </c>
      <c r="X4793" s="20">
        <v>5000</v>
      </c>
      <c r="Z4793" s="6" t="s">
        <v>5978</v>
      </c>
      <c r="AA4793" s="14">
        <f t="shared" si="633"/>
        <v>5.9999999999999995E-4</v>
      </c>
      <c r="AB4793">
        <v>2.9999999999999996</v>
      </c>
      <c r="AC4793">
        <v>3.1199999999999997</v>
      </c>
    </row>
    <row r="4794" spans="1:29" x14ac:dyDescent="0.3">
      <c r="A4794">
        <v>151986</v>
      </c>
      <c r="B4794" s="25" t="s">
        <v>5984</v>
      </c>
      <c r="C4794" t="s">
        <v>20</v>
      </c>
      <c r="D4794" t="s">
        <v>21</v>
      </c>
      <c r="E4794">
        <v>2222222</v>
      </c>
      <c r="F4794" s="8" t="s">
        <v>22</v>
      </c>
      <c r="G4794" s="2">
        <v>98</v>
      </c>
      <c r="H4794" t="s">
        <v>4677</v>
      </c>
      <c r="J4794" s="9" t="s">
        <v>4891</v>
      </c>
      <c r="K4794" t="s">
        <v>4899</v>
      </c>
      <c r="L4794" s="2">
        <v>1</v>
      </c>
      <c r="M4794" s="24" t="s">
        <v>5971</v>
      </c>
      <c r="N4794" s="2" t="s">
        <v>23</v>
      </c>
      <c r="O4794" s="18" t="s">
        <v>3618</v>
      </c>
      <c r="P4794" s="18" t="s">
        <v>3781</v>
      </c>
      <c r="Q4794" s="6" t="s">
        <v>4475</v>
      </c>
      <c r="T4794" s="23">
        <v>46203</v>
      </c>
      <c r="U4794" s="23">
        <v>46296</v>
      </c>
      <c r="X4794" s="20">
        <v>3490</v>
      </c>
      <c r="Z4794" s="6" t="s">
        <v>5978</v>
      </c>
      <c r="AA4794" s="14">
        <f t="shared" si="633"/>
        <v>5.9999999999999995E-4</v>
      </c>
      <c r="AB4794">
        <v>2.0939999999999999</v>
      </c>
      <c r="AC4794">
        <v>2.1777600000000001</v>
      </c>
    </row>
    <row r="4795" spans="1:29" x14ac:dyDescent="0.3">
      <c r="A4795">
        <v>152258</v>
      </c>
      <c r="B4795" s="25" t="s">
        <v>5984</v>
      </c>
      <c r="C4795" t="s">
        <v>20</v>
      </c>
      <c r="D4795" t="s">
        <v>21</v>
      </c>
      <c r="E4795">
        <v>2222222</v>
      </c>
      <c r="F4795" s="8" t="s">
        <v>22</v>
      </c>
      <c r="G4795" s="2">
        <v>98</v>
      </c>
      <c r="H4795" t="s">
        <v>4677</v>
      </c>
      <c r="J4795" s="9" t="s">
        <v>5165</v>
      </c>
      <c r="K4795" t="s">
        <v>4924</v>
      </c>
      <c r="L4795" s="2">
        <v>1</v>
      </c>
      <c r="M4795" s="24" t="s">
        <v>5971</v>
      </c>
      <c r="N4795" s="2" t="s">
        <v>23</v>
      </c>
      <c r="O4795" s="18" t="s">
        <v>3619</v>
      </c>
      <c r="P4795" s="18" t="s">
        <v>3781</v>
      </c>
      <c r="Q4795" s="6" t="s">
        <v>4475</v>
      </c>
      <c r="T4795" s="23">
        <v>46225</v>
      </c>
      <c r="U4795" s="23">
        <v>46315</v>
      </c>
      <c r="X4795" s="20">
        <v>1000</v>
      </c>
      <c r="Z4795" s="6" t="s">
        <v>5978</v>
      </c>
      <c r="AA4795" s="14">
        <f t="shared" si="633"/>
        <v>5.9999999999999995E-4</v>
      </c>
      <c r="AB4795">
        <v>0.6</v>
      </c>
      <c r="AC4795">
        <v>0.624</v>
      </c>
    </row>
    <row r="4796" spans="1:29" x14ac:dyDescent="0.3">
      <c r="A4796">
        <v>109608</v>
      </c>
      <c r="B4796" s="25" t="s">
        <v>5984</v>
      </c>
      <c r="C4796" t="s">
        <v>20</v>
      </c>
      <c r="D4796" t="s">
        <v>21</v>
      </c>
      <c r="E4796">
        <v>2222222</v>
      </c>
      <c r="F4796" s="8" t="s">
        <v>22</v>
      </c>
      <c r="G4796" s="2">
        <v>98</v>
      </c>
      <c r="H4796" t="s">
        <v>4678</v>
      </c>
      <c r="J4796" s="9" t="s">
        <v>5947</v>
      </c>
      <c r="K4796" t="s">
        <v>4961</v>
      </c>
      <c r="L4796" s="2">
        <v>1</v>
      </c>
      <c r="M4796" s="24" t="s">
        <v>5971</v>
      </c>
      <c r="N4796" s="2" t="s">
        <v>23</v>
      </c>
      <c r="O4796" s="18" t="s">
        <v>3620</v>
      </c>
      <c r="P4796" s="18" t="s">
        <v>0</v>
      </c>
      <c r="Q4796" s="6" t="s">
        <v>4475</v>
      </c>
      <c r="T4796" s="23">
        <v>43826</v>
      </c>
      <c r="U4796" s="23">
        <v>47549</v>
      </c>
      <c r="X4796" s="20">
        <v>43000</v>
      </c>
      <c r="Z4796" s="6" t="s">
        <v>5978</v>
      </c>
      <c r="AA4796" s="15">
        <f>+(0.42/1000)</f>
        <v>4.1999999999999996E-4</v>
      </c>
      <c r="AB4796">
        <v>10.053422399999999</v>
      </c>
      <c r="AC4796">
        <v>10.455559295999999</v>
      </c>
    </row>
    <row r="4797" spans="1:29" x14ac:dyDescent="0.3">
      <c r="A4797">
        <v>147310</v>
      </c>
      <c r="B4797" s="25" t="s">
        <v>5984</v>
      </c>
      <c r="C4797" t="s">
        <v>20</v>
      </c>
      <c r="D4797" t="s">
        <v>21</v>
      </c>
      <c r="E4797">
        <v>2222222</v>
      </c>
      <c r="F4797" s="8" t="s">
        <v>22</v>
      </c>
      <c r="G4797" s="2">
        <v>98</v>
      </c>
      <c r="H4797" t="s">
        <v>4678</v>
      </c>
      <c r="J4797" s="9" t="s">
        <v>5055</v>
      </c>
      <c r="K4797" t="s">
        <v>4863</v>
      </c>
      <c r="L4797" s="2">
        <v>1</v>
      </c>
      <c r="M4797" s="24" t="s">
        <v>5971</v>
      </c>
      <c r="N4797" s="2" t="s">
        <v>23</v>
      </c>
      <c r="O4797" s="18" t="s">
        <v>3621</v>
      </c>
      <c r="P4797" s="18" t="s">
        <v>3781</v>
      </c>
      <c r="Q4797" s="6" t="s">
        <v>4475</v>
      </c>
      <c r="T4797" s="23">
        <v>45882</v>
      </c>
      <c r="U4797" s="23">
        <v>46977</v>
      </c>
      <c r="X4797" s="20">
        <v>2700</v>
      </c>
      <c r="Z4797" s="6" t="s">
        <v>5978</v>
      </c>
      <c r="AA4797" s="14">
        <f t="shared" ref="AA4797:AA4806" si="634">+(0.6/1000)</f>
        <v>5.9999999999999995E-4</v>
      </c>
      <c r="AB4797">
        <v>1.2490079999999999</v>
      </c>
      <c r="AC4797">
        <v>1.29896832</v>
      </c>
    </row>
    <row r="4798" spans="1:29" x14ac:dyDescent="0.3">
      <c r="A4798">
        <v>147915</v>
      </c>
      <c r="B4798" s="25" t="s">
        <v>5984</v>
      </c>
      <c r="C4798" t="s">
        <v>20</v>
      </c>
      <c r="D4798" t="s">
        <v>21</v>
      </c>
      <c r="E4798">
        <v>2222222</v>
      </c>
      <c r="F4798" s="8" t="s">
        <v>22</v>
      </c>
      <c r="G4798" s="2">
        <v>98</v>
      </c>
      <c r="H4798" t="s">
        <v>4678</v>
      </c>
      <c r="J4798" s="9" t="s">
        <v>5333</v>
      </c>
      <c r="K4798" t="s">
        <v>5227</v>
      </c>
      <c r="L4798" s="2">
        <v>1</v>
      </c>
      <c r="M4798" s="24" t="s">
        <v>5971</v>
      </c>
      <c r="N4798" s="2" t="s">
        <v>23</v>
      </c>
      <c r="O4798" s="18" t="s">
        <v>3622</v>
      </c>
      <c r="P4798" s="18" t="s">
        <v>3781</v>
      </c>
      <c r="Q4798" s="6" t="s">
        <v>4475</v>
      </c>
      <c r="T4798" s="23">
        <v>45923</v>
      </c>
      <c r="U4798" s="23">
        <v>47384</v>
      </c>
      <c r="X4798" s="20">
        <v>5000</v>
      </c>
      <c r="Z4798" s="6" t="s">
        <v>5978</v>
      </c>
      <c r="AA4798" s="14">
        <f t="shared" si="634"/>
        <v>5.9999999999999995E-4</v>
      </c>
      <c r="AB4798">
        <v>2.5388099999999998</v>
      </c>
      <c r="AC4798">
        <v>2.6403623999999999</v>
      </c>
    </row>
    <row r="4799" spans="1:29" x14ac:dyDescent="0.3">
      <c r="A4799">
        <v>151918</v>
      </c>
      <c r="B4799" s="25" t="s">
        <v>5984</v>
      </c>
      <c r="C4799" t="s">
        <v>20</v>
      </c>
      <c r="D4799" t="s">
        <v>21</v>
      </c>
      <c r="E4799">
        <v>2222222</v>
      </c>
      <c r="F4799" s="8" t="s">
        <v>22</v>
      </c>
      <c r="G4799" s="2">
        <v>98</v>
      </c>
      <c r="H4799" t="s">
        <v>4678</v>
      </c>
      <c r="J4799" s="9" t="s">
        <v>5132</v>
      </c>
      <c r="K4799" t="s">
        <v>5019</v>
      </c>
      <c r="L4799" s="2">
        <v>1</v>
      </c>
      <c r="M4799" s="24" t="s">
        <v>5971</v>
      </c>
      <c r="N4799" s="2" t="s">
        <v>23</v>
      </c>
      <c r="O4799" s="18" t="s">
        <v>3007</v>
      </c>
      <c r="P4799" s="18" t="s">
        <v>3781</v>
      </c>
      <c r="Q4799" s="6" t="s">
        <v>4475</v>
      </c>
      <c r="T4799" s="23">
        <v>46197</v>
      </c>
      <c r="U4799" s="23">
        <v>46287</v>
      </c>
      <c r="X4799" s="20">
        <v>405</v>
      </c>
      <c r="Z4799" s="6" t="s">
        <v>5978</v>
      </c>
      <c r="AA4799" s="14">
        <f t="shared" si="634"/>
        <v>5.9999999999999995E-4</v>
      </c>
      <c r="AB4799">
        <v>0.24299999999999997</v>
      </c>
      <c r="AC4799">
        <v>0.25272</v>
      </c>
    </row>
    <row r="4800" spans="1:29" x14ac:dyDescent="0.3">
      <c r="A4800">
        <v>144109</v>
      </c>
      <c r="B4800" s="25" t="s">
        <v>5984</v>
      </c>
      <c r="C4800" t="s">
        <v>20</v>
      </c>
      <c r="D4800" t="s">
        <v>21</v>
      </c>
      <c r="E4800">
        <v>2222222</v>
      </c>
      <c r="F4800" s="8" t="s">
        <v>22</v>
      </c>
      <c r="G4800" s="2">
        <v>98</v>
      </c>
      <c r="H4800" t="s">
        <v>4679</v>
      </c>
      <c r="J4800" s="9" t="s">
        <v>5460</v>
      </c>
      <c r="K4800" t="s">
        <v>4853</v>
      </c>
      <c r="L4800" s="2">
        <v>1</v>
      </c>
      <c r="M4800" s="24" t="s">
        <v>5971</v>
      </c>
      <c r="N4800" s="2" t="s">
        <v>23</v>
      </c>
      <c r="O4800" s="18" t="s">
        <v>3623</v>
      </c>
      <c r="P4800" s="18" t="s">
        <v>0</v>
      </c>
      <c r="Q4800" s="6" t="s">
        <v>4475</v>
      </c>
      <c r="T4800" s="23">
        <v>45638</v>
      </c>
      <c r="U4800" s="23">
        <v>46732</v>
      </c>
      <c r="X4800" s="20">
        <v>3000</v>
      </c>
      <c r="Z4800" s="6" t="s">
        <v>5978</v>
      </c>
      <c r="AA4800" s="14">
        <f t="shared" si="634"/>
        <v>5.9999999999999995E-4</v>
      </c>
      <c r="AB4800">
        <v>0.96341999999999994</v>
      </c>
      <c r="AC4800">
        <v>1.0019567999999999</v>
      </c>
    </row>
    <row r="4801" spans="1:29" x14ac:dyDescent="0.3">
      <c r="A4801">
        <v>144851</v>
      </c>
      <c r="B4801" s="25" t="s">
        <v>5984</v>
      </c>
      <c r="C4801" t="s">
        <v>20</v>
      </c>
      <c r="D4801" t="s">
        <v>21</v>
      </c>
      <c r="E4801">
        <v>2222222</v>
      </c>
      <c r="F4801" s="8" t="s">
        <v>22</v>
      </c>
      <c r="G4801" s="2">
        <v>98</v>
      </c>
      <c r="H4801" t="s">
        <v>4679</v>
      </c>
      <c r="J4801" s="9" t="s">
        <v>5194</v>
      </c>
      <c r="K4801" t="s">
        <v>5101</v>
      </c>
      <c r="L4801" s="2">
        <v>1</v>
      </c>
      <c r="M4801" s="24" t="s">
        <v>5971</v>
      </c>
      <c r="N4801" s="2" t="s">
        <v>23</v>
      </c>
      <c r="O4801" s="18" t="s">
        <v>3624</v>
      </c>
      <c r="P4801" s="18" t="s">
        <v>3781</v>
      </c>
      <c r="Q4801" s="6" t="s">
        <v>4475</v>
      </c>
      <c r="T4801" s="23">
        <v>45692</v>
      </c>
      <c r="U4801" s="23">
        <v>46424</v>
      </c>
      <c r="X4801" s="20">
        <v>2580</v>
      </c>
      <c r="Z4801" s="6" t="s">
        <v>5978</v>
      </c>
      <c r="AA4801" s="14">
        <f t="shared" si="634"/>
        <v>5.9999999999999995E-4</v>
      </c>
      <c r="AB4801">
        <v>0.50773199999999996</v>
      </c>
      <c r="AC4801">
        <v>0.52804127999999995</v>
      </c>
    </row>
    <row r="4802" spans="1:29" x14ac:dyDescent="0.3">
      <c r="A4802">
        <v>147748</v>
      </c>
      <c r="B4802" s="25" t="s">
        <v>5984</v>
      </c>
      <c r="C4802" t="s">
        <v>20</v>
      </c>
      <c r="D4802" t="s">
        <v>21</v>
      </c>
      <c r="E4802">
        <v>2222222</v>
      </c>
      <c r="F4802" s="8" t="s">
        <v>22</v>
      </c>
      <c r="G4802" s="2">
        <v>98</v>
      </c>
      <c r="H4802" t="s">
        <v>4679</v>
      </c>
      <c r="J4802" s="9" t="s">
        <v>5194</v>
      </c>
      <c r="K4802" t="s">
        <v>5101</v>
      </c>
      <c r="L4802" s="2">
        <v>1</v>
      </c>
      <c r="M4802" s="24" t="s">
        <v>5971</v>
      </c>
      <c r="N4802" s="2" t="s">
        <v>23</v>
      </c>
      <c r="O4802" s="18" t="s">
        <v>3624</v>
      </c>
      <c r="P4802" s="18" t="s">
        <v>3781</v>
      </c>
      <c r="Q4802" s="6" t="s">
        <v>4475</v>
      </c>
      <c r="T4802" s="23">
        <v>45912</v>
      </c>
      <c r="U4802" s="23">
        <v>47373</v>
      </c>
      <c r="X4802" s="20">
        <v>9300</v>
      </c>
      <c r="Z4802" s="6" t="s">
        <v>5978</v>
      </c>
      <c r="AA4802" s="14">
        <f t="shared" si="634"/>
        <v>5.9999999999999995E-4</v>
      </c>
      <c r="AB4802">
        <v>4.627122</v>
      </c>
      <c r="AC4802">
        <v>4.8122068799999997</v>
      </c>
    </row>
    <row r="4803" spans="1:29" x14ac:dyDescent="0.3">
      <c r="A4803">
        <v>149020</v>
      </c>
      <c r="B4803" s="25" t="s">
        <v>5984</v>
      </c>
      <c r="C4803" t="s">
        <v>20</v>
      </c>
      <c r="D4803" t="s">
        <v>21</v>
      </c>
      <c r="E4803">
        <v>2222222</v>
      </c>
      <c r="F4803" s="8" t="s">
        <v>22</v>
      </c>
      <c r="G4803" s="2">
        <v>98</v>
      </c>
      <c r="H4803" t="s">
        <v>4679</v>
      </c>
      <c r="J4803" s="9" t="s">
        <v>4779</v>
      </c>
      <c r="K4803" t="s">
        <v>5130</v>
      </c>
      <c r="L4803" s="2">
        <v>1</v>
      </c>
      <c r="M4803" s="24" t="s">
        <v>5971</v>
      </c>
      <c r="N4803" s="2" t="s">
        <v>23</v>
      </c>
      <c r="O4803" s="18" t="s">
        <v>1267</v>
      </c>
      <c r="P4803" s="18" t="s">
        <v>0</v>
      </c>
      <c r="Q4803" s="6" t="s">
        <v>4475</v>
      </c>
      <c r="T4803" s="23">
        <v>45994</v>
      </c>
      <c r="U4803" s="23">
        <v>47454</v>
      </c>
      <c r="X4803" s="20">
        <v>12400</v>
      </c>
      <c r="Z4803" s="6" t="s">
        <v>5978</v>
      </c>
      <c r="AA4803" s="14">
        <f t="shared" si="634"/>
        <v>5.9999999999999995E-4</v>
      </c>
      <c r="AB4803">
        <v>6.5612519999999996</v>
      </c>
      <c r="AC4803">
        <v>6.8237020799999994</v>
      </c>
    </row>
    <row r="4804" spans="1:29" x14ac:dyDescent="0.3">
      <c r="A4804">
        <v>149857</v>
      </c>
      <c r="B4804" s="25" t="s">
        <v>5984</v>
      </c>
      <c r="C4804" t="s">
        <v>20</v>
      </c>
      <c r="D4804" t="s">
        <v>21</v>
      </c>
      <c r="E4804">
        <v>2222222</v>
      </c>
      <c r="F4804" s="8" t="s">
        <v>22</v>
      </c>
      <c r="G4804" s="2">
        <v>98</v>
      </c>
      <c r="H4804" t="s">
        <v>4679</v>
      </c>
      <c r="J4804" s="9" t="s">
        <v>4836</v>
      </c>
      <c r="K4804" t="s">
        <v>5876</v>
      </c>
      <c r="L4804" s="2">
        <v>1</v>
      </c>
      <c r="M4804" s="24" t="s">
        <v>5971</v>
      </c>
      <c r="N4804" s="2" t="s">
        <v>23</v>
      </c>
      <c r="O4804" s="18" t="s">
        <v>3625</v>
      </c>
      <c r="P4804" s="18" t="s">
        <v>3781</v>
      </c>
      <c r="Q4804" s="6" t="s">
        <v>4475</v>
      </c>
      <c r="T4804" s="23">
        <v>46079</v>
      </c>
      <c r="U4804" s="23">
        <v>49733</v>
      </c>
      <c r="X4804" s="20">
        <v>35000</v>
      </c>
      <c r="Z4804" s="6" t="s">
        <v>5978</v>
      </c>
      <c r="AA4804" s="14">
        <f t="shared" si="634"/>
        <v>5.9999999999999995E-4</v>
      </c>
      <c r="AB4804">
        <v>20.479422</v>
      </c>
      <c r="AC4804">
        <v>21.29859888</v>
      </c>
    </row>
    <row r="4805" spans="1:29" x14ac:dyDescent="0.3">
      <c r="A4805">
        <v>151608</v>
      </c>
      <c r="B4805" s="25" t="s">
        <v>5984</v>
      </c>
      <c r="C4805" t="s">
        <v>20</v>
      </c>
      <c r="D4805" t="s">
        <v>21</v>
      </c>
      <c r="E4805">
        <v>2222222</v>
      </c>
      <c r="F4805" s="8" t="s">
        <v>22</v>
      </c>
      <c r="G4805" s="2">
        <v>98</v>
      </c>
      <c r="H4805" t="s">
        <v>4679</v>
      </c>
      <c r="J4805" s="9" t="s">
        <v>5107</v>
      </c>
      <c r="K4805" t="s">
        <v>4961</v>
      </c>
      <c r="L4805" s="2">
        <v>1</v>
      </c>
      <c r="M4805" s="24" t="s">
        <v>5971</v>
      </c>
      <c r="N4805" s="2" t="s">
        <v>23</v>
      </c>
      <c r="O4805" s="18" t="s">
        <v>3626</v>
      </c>
      <c r="P4805" s="18" t="s">
        <v>0</v>
      </c>
      <c r="Q4805" s="6" t="s">
        <v>4475</v>
      </c>
      <c r="T4805" s="23">
        <v>46177</v>
      </c>
      <c r="U4805" s="23">
        <v>46267</v>
      </c>
      <c r="X4805" s="20">
        <v>3985</v>
      </c>
      <c r="Z4805" s="6" t="s">
        <v>5978</v>
      </c>
      <c r="AA4805" s="14">
        <f t="shared" si="634"/>
        <v>5.9999999999999995E-4</v>
      </c>
      <c r="AB4805">
        <v>2.3909999999999996</v>
      </c>
      <c r="AC4805">
        <v>2.4866399999999995</v>
      </c>
    </row>
    <row r="4806" spans="1:29" x14ac:dyDescent="0.3">
      <c r="A4806">
        <v>151609</v>
      </c>
      <c r="B4806" s="25" t="s">
        <v>5984</v>
      </c>
      <c r="C4806" t="s">
        <v>20</v>
      </c>
      <c r="D4806" t="s">
        <v>21</v>
      </c>
      <c r="E4806">
        <v>2222222</v>
      </c>
      <c r="F4806" s="8" t="s">
        <v>22</v>
      </c>
      <c r="G4806" s="2">
        <v>98</v>
      </c>
      <c r="H4806" t="s">
        <v>4679</v>
      </c>
      <c r="J4806" s="9" t="s">
        <v>5107</v>
      </c>
      <c r="K4806" t="s">
        <v>4961</v>
      </c>
      <c r="L4806" s="2">
        <v>1</v>
      </c>
      <c r="M4806" s="24" t="s">
        <v>5971</v>
      </c>
      <c r="N4806" s="2" t="s">
        <v>23</v>
      </c>
      <c r="O4806" s="18" t="s">
        <v>3626</v>
      </c>
      <c r="P4806" s="18" t="s">
        <v>0</v>
      </c>
      <c r="Q4806" s="6" t="s">
        <v>4475</v>
      </c>
      <c r="T4806" s="23">
        <v>46177</v>
      </c>
      <c r="U4806" s="23">
        <v>46267</v>
      </c>
      <c r="X4806" s="20">
        <v>2485</v>
      </c>
      <c r="Z4806" s="6" t="s">
        <v>5978</v>
      </c>
      <c r="AA4806" s="14">
        <f t="shared" si="634"/>
        <v>5.9999999999999995E-4</v>
      </c>
      <c r="AB4806">
        <v>1.4909999999999999</v>
      </c>
      <c r="AC4806">
        <v>1.55064</v>
      </c>
    </row>
    <row r="4807" spans="1:29" x14ac:dyDescent="0.3">
      <c r="A4807">
        <v>130107</v>
      </c>
      <c r="B4807" s="25" t="s">
        <v>5984</v>
      </c>
      <c r="C4807" t="s">
        <v>20</v>
      </c>
      <c r="D4807" t="s">
        <v>21</v>
      </c>
      <c r="E4807">
        <v>2222222</v>
      </c>
      <c r="F4807" s="8" t="s">
        <v>22</v>
      </c>
      <c r="G4807" s="2">
        <v>98</v>
      </c>
      <c r="H4807" t="s">
        <v>4680</v>
      </c>
      <c r="J4807" s="9" t="s">
        <v>4779</v>
      </c>
      <c r="K4807" t="s">
        <v>4882</v>
      </c>
      <c r="L4807" s="2">
        <v>1</v>
      </c>
      <c r="M4807" s="24" t="s">
        <v>5971</v>
      </c>
      <c r="N4807" s="2" t="s">
        <v>23</v>
      </c>
      <c r="O4807" s="18" t="s">
        <v>3627</v>
      </c>
      <c r="P4807" s="18" t="s">
        <v>0</v>
      </c>
      <c r="Q4807" s="6" t="s">
        <v>4475</v>
      </c>
      <c r="T4807" s="23">
        <v>44818</v>
      </c>
      <c r="U4807" s="23">
        <v>46644</v>
      </c>
      <c r="X4807" s="20">
        <v>15300</v>
      </c>
      <c r="Z4807" s="6" t="s">
        <v>5978</v>
      </c>
      <c r="AA4807" s="13">
        <f>+(0.56/1000)</f>
        <v>5.6000000000000006E-4</v>
      </c>
      <c r="AB4807">
        <v>2.5910024000000003</v>
      </c>
      <c r="AC4807">
        <v>2.6946424960000002</v>
      </c>
    </row>
    <row r="4808" spans="1:29" x14ac:dyDescent="0.3">
      <c r="A4808">
        <v>144130</v>
      </c>
      <c r="B4808" s="25" t="s">
        <v>5984</v>
      </c>
      <c r="C4808" t="s">
        <v>20</v>
      </c>
      <c r="D4808" t="s">
        <v>21</v>
      </c>
      <c r="E4808">
        <v>2222222</v>
      </c>
      <c r="F4808" s="8" t="s">
        <v>22</v>
      </c>
      <c r="G4808" s="2">
        <v>98</v>
      </c>
      <c r="H4808" t="s">
        <v>4680</v>
      </c>
      <c r="J4808" s="9" t="s">
        <v>4779</v>
      </c>
      <c r="K4808" t="s">
        <v>4882</v>
      </c>
      <c r="L4808" s="2">
        <v>1</v>
      </c>
      <c r="M4808" s="24" t="s">
        <v>5971</v>
      </c>
      <c r="N4808" s="2" t="s">
        <v>23</v>
      </c>
      <c r="O4808" s="18" t="s">
        <v>3627</v>
      </c>
      <c r="P4808" s="18" t="s">
        <v>0</v>
      </c>
      <c r="Q4808" s="6" t="s">
        <v>4475</v>
      </c>
      <c r="T4808" s="23">
        <v>45639</v>
      </c>
      <c r="U4808" s="23">
        <v>46733</v>
      </c>
      <c r="X4808" s="20">
        <v>5000</v>
      </c>
      <c r="Z4808" s="6" t="s">
        <v>5978</v>
      </c>
      <c r="AA4808" s="14">
        <f t="shared" ref="AA4808:AA4809" si="635">+(0.6/1000)</f>
        <v>5.9999999999999995E-4</v>
      </c>
      <c r="AB4808">
        <v>1.6165559999999999</v>
      </c>
      <c r="AC4808">
        <v>1.68121824</v>
      </c>
    </row>
    <row r="4809" spans="1:29" x14ac:dyDescent="0.3">
      <c r="A4809">
        <v>144134</v>
      </c>
      <c r="B4809" s="25" t="s">
        <v>5984</v>
      </c>
      <c r="C4809" t="s">
        <v>20</v>
      </c>
      <c r="D4809" t="s">
        <v>21</v>
      </c>
      <c r="E4809">
        <v>2222222</v>
      </c>
      <c r="F4809" s="8" t="s">
        <v>22</v>
      </c>
      <c r="G4809" s="2">
        <v>98</v>
      </c>
      <c r="H4809" t="s">
        <v>4680</v>
      </c>
      <c r="J4809" s="9" t="s">
        <v>4779</v>
      </c>
      <c r="K4809" t="s">
        <v>4882</v>
      </c>
      <c r="L4809" s="2">
        <v>1</v>
      </c>
      <c r="M4809" s="24" t="s">
        <v>5971</v>
      </c>
      <c r="N4809" s="2" t="s">
        <v>23</v>
      </c>
      <c r="O4809" s="18" t="s">
        <v>3627</v>
      </c>
      <c r="P4809" s="18" t="s">
        <v>0</v>
      </c>
      <c r="Q4809" s="6" t="s">
        <v>4475</v>
      </c>
      <c r="T4809" s="23">
        <v>45639</v>
      </c>
      <c r="U4809" s="23">
        <v>46733</v>
      </c>
      <c r="X4809" s="20">
        <v>4000</v>
      </c>
      <c r="Z4809" s="6" t="s">
        <v>5978</v>
      </c>
      <c r="AA4809" s="14">
        <f t="shared" si="635"/>
        <v>5.9999999999999995E-4</v>
      </c>
      <c r="AB4809">
        <v>1.28454</v>
      </c>
      <c r="AC4809">
        <v>1.3359216</v>
      </c>
    </row>
    <row r="4810" spans="1:29" x14ac:dyDescent="0.3">
      <c r="A4810">
        <v>139505</v>
      </c>
      <c r="B4810" s="25" t="s">
        <v>5984</v>
      </c>
      <c r="C4810" t="s">
        <v>20</v>
      </c>
      <c r="D4810" t="s">
        <v>21</v>
      </c>
      <c r="E4810">
        <v>2222222</v>
      </c>
      <c r="F4810" s="8" t="s">
        <v>22</v>
      </c>
      <c r="G4810" s="2">
        <v>98</v>
      </c>
      <c r="H4810" t="s">
        <v>4681</v>
      </c>
      <c r="J4810" s="9" t="s">
        <v>4939</v>
      </c>
      <c r="K4810" t="s">
        <v>4964</v>
      </c>
      <c r="L4810" s="2">
        <v>1</v>
      </c>
      <c r="M4810" s="24" t="s">
        <v>5971</v>
      </c>
      <c r="N4810" s="2" t="s">
        <v>23</v>
      </c>
      <c r="O4810" s="18" t="s">
        <v>3628</v>
      </c>
      <c r="P4810" s="18" t="s">
        <v>0</v>
      </c>
      <c r="Q4810" s="6" t="s">
        <v>4475</v>
      </c>
      <c r="T4810" s="23">
        <v>45386</v>
      </c>
      <c r="U4810" s="23">
        <v>46847</v>
      </c>
      <c r="X4810" s="20">
        <v>20000</v>
      </c>
      <c r="Z4810" s="6" t="s">
        <v>5978</v>
      </c>
      <c r="AA4810" s="13">
        <f>+(0.56/1000)</f>
        <v>5.6000000000000006E-4</v>
      </c>
      <c r="AB4810">
        <v>5.6828296000000007</v>
      </c>
      <c r="AC4810">
        <v>5.9101427840000014</v>
      </c>
    </row>
    <row r="4811" spans="1:29" x14ac:dyDescent="0.3">
      <c r="A4811">
        <v>146736</v>
      </c>
      <c r="B4811" s="25" t="s">
        <v>5984</v>
      </c>
      <c r="C4811" t="s">
        <v>20</v>
      </c>
      <c r="D4811" t="s">
        <v>21</v>
      </c>
      <c r="E4811">
        <v>2222222</v>
      </c>
      <c r="F4811" s="8" t="s">
        <v>22</v>
      </c>
      <c r="G4811" s="2">
        <v>98</v>
      </c>
      <c r="H4811" t="s">
        <v>4682</v>
      </c>
      <c r="J4811" s="9" t="s">
        <v>4901</v>
      </c>
      <c r="K4811" t="s">
        <v>5018</v>
      </c>
      <c r="L4811" s="2">
        <v>1</v>
      </c>
      <c r="M4811" s="24" t="s">
        <v>5971</v>
      </c>
      <c r="N4811" s="2" t="s">
        <v>23</v>
      </c>
      <c r="O4811" s="18" t="s">
        <v>3629</v>
      </c>
      <c r="P4811" s="18" t="s">
        <v>0</v>
      </c>
      <c r="Q4811" s="6" t="s">
        <v>4475</v>
      </c>
      <c r="T4811" s="23">
        <v>45849</v>
      </c>
      <c r="U4811" s="23">
        <v>46578</v>
      </c>
      <c r="X4811" s="20">
        <v>2500</v>
      </c>
      <c r="Z4811" s="6" t="s">
        <v>5978</v>
      </c>
      <c r="AA4811" s="14">
        <f t="shared" ref="AA4811:AA4812" si="636">+(0.6/1000)</f>
        <v>5.9999999999999995E-4</v>
      </c>
      <c r="AB4811">
        <v>0.81350999999999984</v>
      </c>
      <c r="AC4811">
        <v>0.84605039999999987</v>
      </c>
    </row>
    <row r="4812" spans="1:29" x14ac:dyDescent="0.3">
      <c r="A4812">
        <v>147312</v>
      </c>
      <c r="B4812" s="25" t="s">
        <v>5984</v>
      </c>
      <c r="C4812" t="s">
        <v>20</v>
      </c>
      <c r="D4812" t="s">
        <v>21</v>
      </c>
      <c r="E4812">
        <v>2222222</v>
      </c>
      <c r="F4812" s="8" t="s">
        <v>22</v>
      </c>
      <c r="G4812" s="2">
        <v>98</v>
      </c>
      <c r="H4812" t="s">
        <v>4682</v>
      </c>
      <c r="J4812" s="9" t="s">
        <v>5948</v>
      </c>
      <c r="K4812" t="s">
        <v>5949</v>
      </c>
      <c r="L4812" s="2">
        <v>1</v>
      </c>
      <c r="M4812" s="24" t="s">
        <v>5971</v>
      </c>
      <c r="N4812" s="2" t="s">
        <v>23</v>
      </c>
      <c r="O4812" s="18" t="s">
        <v>3630</v>
      </c>
      <c r="P4812" s="18" t="s">
        <v>0</v>
      </c>
      <c r="Q4812" s="6" t="s">
        <v>4475</v>
      </c>
      <c r="T4812" s="23">
        <v>45881</v>
      </c>
      <c r="U4812" s="23">
        <v>46610</v>
      </c>
      <c r="X4812" s="20">
        <v>5000</v>
      </c>
      <c r="Z4812" s="6" t="s">
        <v>5978</v>
      </c>
      <c r="AA4812" s="14">
        <f t="shared" si="636"/>
        <v>5.9999999999999995E-4</v>
      </c>
      <c r="AB4812">
        <v>2.7881580000000001</v>
      </c>
      <c r="AC4812">
        <v>2.8996843200000004</v>
      </c>
    </row>
    <row r="4813" spans="1:29" x14ac:dyDescent="0.3">
      <c r="A4813">
        <v>132892</v>
      </c>
      <c r="B4813" s="25" t="s">
        <v>5984</v>
      </c>
      <c r="C4813" t="s">
        <v>20</v>
      </c>
      <c r="D4813" t="s">
        <v>21</v>
      </c>
      <c r="E4813">
        <v>2222222</v>
      </c>
      <c r="F4813" s="8" t="s">
        <v>22</v>
      </c>
      <c r="G4813" s="2">
        <v>98</v>
      </c>
      <c r="H4813" t="s">
        <v>4683</v>
      </c>
      <c r="J4813" s="9" t="s">
        <v>5277</v>
      </c>
      <c r="K4813" t="s">
        <v>4884</v>
      </c>
      <c r="L4813" s="2">
        <v>1</v>
      </c>
      <c r="M4813" s="24" t="s">
        <v>5971</v>
      </c>
      <c r="N4813" s="2" t="s">
        <v>23</v>
      </c>
      <c r="O4813" s="18" t="s">
        <v>3631</v>
      </c>
      <c r="P4813" s="18" t="s">
        <v>3781</v>
      </c>
      <c r="Q4813" s="6" t="s">
        <v>4475</v>
      </c>
      <c r="T4813" s="23">
        <v>44964</v>
      </c>
      <c r="U4813" s="23">
        <v>47888</v>
      </c>
      <c r="X4813" s="20">
        <v>64700</v>
      </c>
      <c r="Z4813" s="6" t="s">
        <v>5978</v>
      </c>
      <c r="AA4813" s="13">
        <f>+(0.56/1000)</f>
        <v>5.6000000000000006E-4</v>
      </c>
      <c r="AB4813">
        <v>24.729521600000002</v>
      </c>
      <c r="AC4813">
        <v>25.718702464000003</v>
      </c>
    </row>
    <row r="4814" spans="1:29" x14ac:dyDescent="0.3">
      <c r="A4814">
        <v>140709</v>
      </c>
      <c r="B4814" s="25" t="s">
        <v>5984</v>
      </c>
      <c r="C4814" t="s">
        <v>20</v>
      </c>
      <c r="D4814" t="s">
        <v>21</v>
      </c>
      <c r="E4814">
        <v>2222222</v>
      </c>
      <c r="F4814" s="8" t="s">
        <v>22</v>
      </c>
      <c r="G4814" s="2">
        <v>98</v>
      </c>
      <c r="H4814" t="s">
        <v>4683</v>
      </c>
      <c r="J4814" s="9" t="s">
        <v>5277</v>
      </c>
      <c r="K4814" t="s">
        <v>4884</v>
      </c>
      <c r="L4814" s="2">
        <v>1</v>
      </c>
      <c r="M4814" s="24" t="s">
        <v>5971</v>
      </c>
      <c r="N4814" s="2" t="s">
        <v>23</v>
      </c>
      <c r="O4814" s="18" t="s">
        <v>3631</v>
      </c>
      <c r="P4814" s="18" t="s">
        <v>3781</v>
      </c>
      <c r="Q4814" s="6" t="s">
        <v>4475</v>
      </c>
      <c r="T4814" s="23">
        <v>45440</v>
      </c>
      <c r="U4814" s="23">
        <v>46900</v>
      </c>
      <c r="X4814" s="20">
        <v>8300</v>
      </c>
      <c r="Z4814" s="6" t="s">
        <v>5978</v>
      </c>
      <c r="AA4814" s="14">
        <f t="shared" ref="AA4814:AA4821" si="637">+(0.6/1000)</f>
        <v>5.9999999999999995E-4</v>
      </c>
      <c r="AB4814">
        <v>2.655354</v>
      </c>
      <c r="AC4814">
        <v>2.7615681599999999</v>
      </c>
    </row>
    <row r="4815" spans="1:29" x14ac:dyDescent="0.3">
      <c r="A4815">
        <v>141680</v>
      </c>
      <c r="B4815" s="25" t="s">
        <v>5984</v>
      </c>
      <c r="C4815" t="s">
        <v>20</v>
      </c>
      <c r="D4815" t="s">
        <v>21</v>
      </c>
      <c r="E4815">
        <v>2222222</v>
      </c>
      <c r="F4815" s="8" t="s">
        <v>22</v>
      </c>
      <c r="G4815" s="2">
        <v>98</v>
      </c>
      <c r="H4815" t="s">
        <v>4683</v>
      </c>
      <c r="J4815" s="9" t="s">
        <v>4836</v>
      </c>
      <c r="K4815" t="s">
        <v>5673</v>
      </c>
      <c r="L4815" s="2">
        <v>1</v>
      </c>
      <c r="M4815" s="24" t="s">
        <v>5971</v>
      </c>
      <c r="N4815" s="2" t="s">
        <v>23</v>
      </c>
      <c r="O4815" s="18" t="s">
        <v>3632</v>
      </c>
      <c r="P4815" s="18" t="s">
        <v>3781</v>
      </c>
      <c r="Q4815" s="6" t="s">
        <v>4475</v>
      </c>
      <c r="T4815" s="23">
        <v>45485</v>
      </c>
      <c r="U4815" s="23">
        <v>49228</v>
      </c>
      <c r="X4815" s="20">
        <v>30200</v>
      </c>
      <c r="Z4815" s="6" t="s">
        <v>5978</v>
      </c>
      <c r="AA4815" s="14">
        <f t="shared" si="637"/>
        <v>5.9999999999999995E-4</v>
      </c>
      <c r="AB4815">
        <v>16.477709999999998</v>
      </c>
      <c r="AC4815">
        <v>17.136818399999999</v>
      </c>
    </row>
    <row r="4816" spans="1:29" x14ac:dyDescent="0.3">
      <c r="A4816">
        <v>147508</v>
      </c>
      <c r="B4816" s="25" t="s">
        <v>5984</v>
      </c>
      <c r="C4816" t="s">
        <v>20</v>
      </c>
      <c r="D4816" t="s">
        <v>21</v>
      </c>
      <c r="E4816">
        <v>2222222</v>
      </c>
      <c r="F4816" s="8" t="s">
        <v>22</v>
      </c>
      <c r="G4816" s="2">
        <v>98</v>
      </c>
      <c r="H4816" t="s">
        <v>4683</v>
      </c>
      <c r="J4816" s="9" t="s">
        <v>4903</v>
      </c>
      <c r="K4816" t="s">
        <v>4872</v>
      </c>
      <c r="L4816" s="2">
        <v>1</v>
      </c>
      <c r="M4816" s="24" t="s">
        <v>5971</v>
      </c>
      <c r="N4816" s="2" t="s">
        <v>23</v>
      </c>
      <c r="O4816" s="18" t="s">
        <v>3633</v>
      </c>
      <c r="P4816" s="18" t="s">
        <v>3781</v>
      </c>
      <c r="Q4816" s="6" t="s">
        <v>4475</v>
      </c>
      <c r="T4816" s="23">
        <v>45894</v>
      </c>
      <c r="U4816" s="23">
        <v>46623</v>
      </c>
      <c r="X4816" s="20">
        <v>1000</v>
      </c>
      <c r="Z4816" s="6" t="s">
        <v>5978</v>
      </c>
      <c r="AA4816" s="14">
        <f t="shared" si="637"/>
        <v>5.9999999999999995E-4</v>
      </c>
      <c r="AB4816">
        <v>0.34989599999999993</v>
      </c>
      <c r="AC4816">
        <v>0.36389183999999997</v>
      </c>
    </row>
    <row r="4817" spans="1:29" x14ac:dyDescent="0.3">
      <c r="A4817">
        <v>148349</v>
      </c>
      <c r="B4817" s="25" t="s">
        <v>5984</v>
      </c>
      <c r="C4817" t="s">
        <v>20</v>
      </c>
      <c r="D4817" t="s">
        <v>21</v>
      </c>
      <c r="E4817">
        <v>2222222</v>
      </c>
      <c r="F4817" s="8" t="s">
        <v>22</v>
      </c>
      <c r="G4817" s="2">
        <v>98</v>
      </c>
      <c r="H4817" t="s">
        <v>4683</v>
      </c>
      <c r="J4817" s="9" t="s">
        <v>4852</v>
      </c>
      <c r="K4817" t="s">
        <v>4946</v>
      </c>
      <c r="L4817" s="2">
        <v>1</v>
      </c>
      <c r="M4817" s="24" t="s">
        <v>5971</v>
      </c>
      <c r="N4817" s="2" t="s">
        <v>23</v>
      </c>
      <c r="O4817" s="18" t="s">
        <v>3634</v>
      </c>
      <c r="P4817" s="18" t="s">
        <v>0</v>
      </c>
      <c r="Q4817" s="6" t="s">
        <v>4475</v>
      </c>
      <c r="T4817" s="23">
        <v>45954</v>
      </c>
      <c r="U4817" s="23">
        <v>47414</v>
      </c>
      <c r="X4817" s="20">
        <v>2000</v>
      </c>
      <c r="Z4817" s="6" t="s">
        <v>5978</v>
      </c>
      <c r="AA4817" s="14">
        <f t="shared" si="637"/>
        <v>5.9999999999999995E-4</v>
      </c>
      <c r="AB4817">
        <v>1.0347839999999999</v>
      </c>
      <c r="AC4817">
        <v>1.0761753599999999</v>
      </c>
    </row>
    <row r="4818" spans="1:29" x14ac:dyDescent="0.3">
      <c r="A4818">
        <v>149312</v>
      </c>
      <c r="B4818" s="25" t="s">
        <v>5984</v>
      </c>
      <c r="C4818" t="s">
        <v>20</v>
      </c>
      <c r="D4818" t="s">
        <v>21</v>
      </c>
      <c r="E4818">
        <v>2222222</v>
      </c>
      <c r="F4818" s="8" t="s">
        <v>22</v>
      </c>
      <c r="G4818" s="2">
        <v>98</v>
      </c>
      <c r="H4818" t="s">
        <v>4683</v>
      </c>
      <c r="J4818" s="9" t="s">
        <v>4967</v>
      </c>
      <c r="K4818" t="s">
        <v>5030</v>
      </c>
      <c r="L4818" s="2">
        <v>1</v>
      </c>
      <c r="M4818" s="24" t="s">
        <v>5971</v>
      </c>
      <c r="N4818" s="2" t="s">
        <v>23</v>
      </c>
      <c r="O4818" s="18" t="s">
        <v>3635</v>
      </c>
      <c r="P4818" s="18" t="s">
        <v>3781</v>
      </c>
      <c r="Q4818" s="6" t="s">
        <v>4475</v>
      </c>
      <c r="T4818" s="23">
        <v>46013</v>
      </c>
      <c r="U4818" s="23">
        <v>46559</v>
      </c>
      <c r="X4818" s="20">
        <v>5000</v>
      </c>
      <c r="Z4818" s="6" t="s">
        <v>5978</v>
      </c>
      <c r="AA4818" s="14">
        <f t="shared" si="637"/>
        <v>5.9999999999999995E-4</v>
      </c>
      <c r="AB4818">
        <v>1.9262819999999996</v>
      </c>
      <c r="AC4818">
        <v>2.0033332799999997</v>
      </c>
    </row>
    <row r="4819" spans="1:29" x14ac:dyDescent="0.3">
      <c r="A4819">
        <v>150241</v>
      </c>
      <c r="B4819" s="25" t="s">
        <v>5984</v>
      </c>
      <c r="C4819" t="s">
        <v>20</v>
      </c>
      <c r="D4819" t="s">
        <v>21</v>
      </c>
      <c r="E4819">
        <v>2222222</v>
      </c>
      <c r="F4819" s="8" t="s">
        <v>22</v>
      </c>
      <c r="G4819" s="2">
        <v>98</v>
      </c>
      <c r="H4819" t="s">
        <v>4683</v>
      </c>
      <c r="J4819" s="9" t="s">
        <v>5950</v>
      </c>
      <c r="K4819" t="s">
        <v>4836</v>
      </c>
      <c r="L4819" s="2">
        <v>1</v>
      </c>
      <c r="M4819" s="24" t="s">
        <v>5971</v>
      </c>
      <c r="N4819" s="2" t="s">
        <v>23</v>
      </c>
      <c r="O4819" s="18" t="s">
        <v>3636</v>
      </c>
      <c r="P4819" s="18" t="s">
        <v>3781</v>
      </c>
      <c r="Q4819" s="6" t="s">
        <v>4475</v>
      </c>
      <c r="T4819" s="23">
        <v>46080</v>
      </c>
      <c r="U4819" s="23">
        <v>46630</v>
      </c>
      <c r="X4819" s="20">
        <v>2150</v>
      </c>
      <c r="Z4819" s="6" t="s">
        <v>5978</v>
      </c>
      <c r="AA4819" s="14">
        <f t="shared" si="637"/>
        <v>5.9999999999999995E-4</v>
      </c>
      <c r="AB4819">
        <v>0.96409199999999984</v>
      </c>
      <c r="AC4819">
        <v>1.0026556799999999</v>
      </c>
    </row>
    <row r="4820" spans="1:29" x14ac:dyDescent="0.3">
      <c r="A4820">
        <v>143855</v>
      </c>
      <c r="B4820" s="25" t="s">
        <v>5984</v>
      </c>
      <c r="C4820" t="s">
        <v>20</v>
      </c>
      <c r="D4820" t="s">
        <v>21</v>
      </c>
      <c r="E4820">
        <v>2222222</v>
      </c>
      <c r="F4820" s="8" t="s">
        <v>22</v>
      </c>
      <c r="G4820" s="2">
        <v>98</v>
      </c>
      <c r="H4820" t="s">
        <v>4684</v>
      </c>
      <c r="J4820" s="9" t="s">
        <v>4929</v>
      </c>
      <c r="K4820" t="s">
        <v>4853</v>
      </c>
      <c r="L4820" s="2">
        <v>1</v>
      </c>
      <c r="M4820" s="24" t="s">
        <v>5971</v>
      </c>
      <c r="N4820" s="2" t="s">
        <v>23</v>
      </c>
      <c r="O4820" s="18" t="s">
        <v>2037</v>
      </c>
      <c r="P4820" s="18" t="s">
        <v>0</v>
      </c>
      <c r="Q4820" s="6" t="s">
        <v>4475</v>
      </c>
      <c r="T4820" s="23">
        <v>45621</v>
      </c>
      <c r="U4820" s="23">
        <v>46532</v>
      </c>
      <c r="X4820" s="20">
        <v>4550</v>
      </c>
      <c r="Z4820" s="6" t="s">
        <v>5978</v>
      </c>
      <c r="AA4820" s="14">
        <f t="shared" si="637"/>
        <v>5.9999999999999995E-4</v>
      </c>
      <c r="AB4820">
        <v>1.0486979999999999</v>
      </c>
      <c r="AC4820">
        <v>1.09064592</v>
      </c>
    </row>
    <row r="4821" spans="1:29" x14ac:dyDescent="0.3">
      <c r="A4821">
        <v>151023</v>
      </c>
      <c r="B4821" s="25" t="s">
        <v>5984</v>
      </c>
      <c r="C4821" t="s">
        <v>20</v>
      </c>
      <c r="D4821" t="s">
        <v>21</v>
      </c>
      <c r="E4821">
        <v>2222222</v>
      </c>
      <c r="F4821" s="8" t="s">
        <v>22</v>
      </c>
      <c r="G4821" s="2">
        <v>98</v>
      </c>
      <c r="H4821" t="s">
        <v>4685</v>
      </c>
      <c r="J4821" s="9" t="s">
        <v>5237</v>
      </c>
      <c r="K4821" t="s">
        <v>5074</v>
      </c>
      <c r="L4821" s="2">
        <v>1</v>
      </c>
      <c r="M4821" s="24" t="s">
        <v>5971</v>
      </c>
      <c r="N4821" s="2" t="s">
        <v>23</v>
      </c>
      <c r="O4821" s="18" t="s">
        <v>3637</v>
      </c>
      <c r="P4821" s="18" t="s">
        <v>3781</v>
      </c>
      <c r="Q4821" s="6" t="s">
        <v>4475</v>
      </c>
      <c r="T4821" s="23">
        <v>46157</v>
      </c>
      <c r="U4821" s="23">
        <v>49809</v>
      </c>
      <c r="X4821" s="20">
        <v>70000</v>
      </c>
      <c r="Z4821" s="6" t="s">
        <v>5978</v>
      </c>
      <c r="AA4821" s="14">
        <f t="shared" si="637"/>
        <v>5.9999999999999995E-4</v>
      </c>
      <c r="AB4821">
        <v>41.682077999999997</v>
      </c>
      <c r="AC4821">
        <v>43.349361119999998</v>
      </c>
    </row>
    <row r="4822" spans="1:29" x14ac:dyDescent="0.3">
      <c r="A4822">
        <v>138660</v>
      </c>
      <c r="B4822" s="25" t="s">
        <v>5984</v>
      </c>
      <c r="C4822" t="s">
        <v>20</v>
      </c>
      <c r="D4822" t="s">
        <v>21</v>
      </c>
      <c r="E4822">
        <v>2222222</v>
      </c>
      <c r="F4822" s="8" t="s">
        <v>22</v>
      </c>
      <c r="G4822" s="2">
        <v>98</v>
      </c>
      <c r="H4822" t="s">
        <v>4686</v>
      </c>
      <c r="J4822" s="9" t="s">
        <v>5260</v>
      </c>
      <c r="K4822" t="s">
        <v>4925</v>
      </c>
      <c r="L4822" s="2">
        <v>1</v>
      </c>
      <c r="M4822" s="24" t="s">
        <v>5971</v>
      </c>
      <c r="N4822" s="2" t="s">
        <v>23</v>
      </c>
      <c r="O4822" s="18" t="s">
        <v>3638</v>
      </c>
      <c r="P4822" s="18" t="s">
        <v>3781</v>
      </c>
      <c r="Q4822" s="6" t="s">
        <v>4475</v>
      </c>
      <c r="T4822" s="23">
        <v>45351</v>
      </c>
      <c r="U4822" s="23">
        <v>47269</v>
      </c>
      <c r="X4822" s="20">
        <v>13500</v>
      </c>
      <c r="Z4822" s="6" t="s">
        <v>5978</v>
      </c>
      <c r="AA4822" s="13">
        <f t="shared" ref="AA4822:AA4823" si="638">+(0.56/1000)</f>
        <v>5.6000000000000006E-4</v>
      </c>
      <c r="AB4822">
        <v>5.0393168000000008</v>
      </c>
      <c r="AC4822">
        <v>5.240889472000001</v>
      </c>
    </row>
    <row r="4823" spans="1:29" x14ac:dyDescent="0.3">
      <c r="A4823">
        <v>139578</v>
      </c>
      <c r="B4823" s="25" t="s">
        <v>5984</v>
      </c>
      <c r="C4823" t="s">
        <v>20</v>
      </c>
      <c r="D4823" t="s">
        <v>21</v>
      </c>
      <c r="E4823">
        <v>2222222</v>
      </c>
      <c r="F4823" s="8" t="s">
        <v>22</v>
      </c>
      <c r="G4823" s="2">
        <v>98</v>
      </c>
      <c r="H4823" t="s">
        <v>4686</v>
      </c>
      <c r="J4823" s="9" t="s">
        <v>5288</v>
      </c>
      <c r="K4823" t="s">
        <v>4870</v>
      </c>
      <c r="L4823" s="2">
        <v>1</v>
      </c>
      <c r="M4823" s="24" t="s">
        <v>5971</v>
      </c>
      <c r="N4823" s="2" t="s">
        <v>23</v>
      </c>
      <c r="O4823" s="18" t="s">
        <v>2385</v>
      </c>
      <c r="P4823" s="18" t="s">
        <v>0</v>
      </c>
      <c r="Q4823" s="6" t="s">
        <v>4475</v>
      </c>
      <c r="T4823" s="23">
        <v>45338</v>
      </c>
      <c r="U4823" s="23">
        <v>47166</v>
      </c>
      <c r="X4823" s="20">
        <v>20000</v>
      </c>
      <c r="Z4823" s="6" t="s">
        <v>5978</v>
      </c>
      <c r="AA4823" s="13">
        <f t="shared" si="638"/>
        <v>5.6000000000000006E-4</v>
      </c>
      <c r="AB4823">
        <v>6.8951904000000006</v>
      </c>
      <c r="AC4823">
        <v>7.1709980160000013</v>
      </c>
    </row>
    <row r="4824" spans="1:29" x14ac:dyDescent="0.3">
      <c r="A4824">
        <v>142533</v>
      </c>
      <c r="B4824" s="25" t="s">
        <v>5984</v>
      </c>
      <c r="C4824" t="s">
        <v>20</v>
      </c>
      <c r="D4824" t="s">
        <v>21</v>
      </c>
      <c r="E4824">
        <v>2222222</v>
      </c>
      <c r="F4824" s="8" t="s">
        <v>22</v>
      </c>
      <c r="G4824" s="2">
        <v>98</v>
      </c>
      <c r="H4824" t="s">
        <v>4686</v>
      </c>
      <c r="J4824" s="9" t="s">
        <v>4906</v>
      </c>
      <c r="K4824" t="s">
        <v>5951</v>
      </c>
      <c r="L4824" s="2">
        <v>1</v>
      </c>
      <c r="M4824" s="24" t="s">
        <v>5971</v>
      </c>
      <c r="N4824" s="2" t="s">
        <v>23</v>
      </c>
      <c r="O4824" s="18" t="s">
        <v>3639</v>
      </c>
      <c r="P4824" s="18" t="s">
        <v>0</v>
      </c>
      <c r="Q4824" s="6" t="s">
        <v>4475</v>
      </c>
      <c r="T4824" s="23">
        <v>45538</v>
      </c>
      <c r="U4824" s="23">
        <v>47364</v>
      </c>
      <c r="X4824" s="20">
        <v>18000</v>
      </c>
      <c r="Z4824" s="6" t="s">
        <v>5978</v>
      </c>
      <c r="AA4824" s="14">
        <f t="shared" ref="AA4824:AA4843" si="639">+(0.6/1000)</f>
        <v>5.9999999999999995E-4</v>
      </c>
      <c r="AB4824">
        <v>7.7409599999999994</v>
      </c>
      <c r="AC4824">
        <v>8.0505984000000002</v>
      </c>
    </row>
    <row r="4825" spans="1:29" x14ac:dyDescent="0.3">
      <c r="A4825">
        <v>142588</v>
      </c>
      <c r="B4825" s="25" t="s">
        <v>5984</v>
      </c>
      <c r="C4825" t="s">
        <v>20</v>
      </c>
      <c r="D4825" t="s">
        <v>21</v>
      </c>
      <c r="E4825">
        <v>2222222</v>
      </c>
      <c r="F4825" s="8" t="s">
        <v>22</v>
      </c>
      <c r="G4825" s="2">
        <v>98</v>
      </c>
      <c r="H4825" t="s">
        <v>4686</v>
      </c>
      <c r="J4825" s="9" t="s">
        <v>4836</v>
      </c>
      <c r="K4825" t="s">
        <v>5577</v>
      </c>
      <c r="L4825" s="2">
        <v>1</v>
      </c>
      <c r="M4825" s="24" t="s">
        <v>5971</v>
      </c>
      <c r="N4825" s="2" t="s">
        <v>23</v>
      </c>
      <c r="O4825" s="18" t="s">
        <v>3640</v>
      </c>
      <c r="P4825" s="18" t="s">
        <v>3781</v>
      </c>
      <c r="Q4825" s="6" t="s">
        <v>4475</v>
      </c>
      <c r="T4825" s="23">
        <v>45533</v>
      </c>
      <c r="U4825" s="23">
        <v>46627</v>
      </c>
      <c r="X4825" s="20">
        <v>3000</v>
      </c>
      <c r="Z4825" s="6" t="s">
        <v>5978</v>
      </c>
      <c r="AA4825" s="14">
        <f t="shared" si="639"/>
        <v>5.9999999999999995E-4</v>
      </c>
      <c r="AB4825">
        <v>0.76996199999999992</v>
      </c>
      <c r="AC4825">
        <v>0.80076048</v>
      </c>
    </row>
    <row r="4826" spans="1:29" x14ac:dyDescent="0.3">
      <c r="A4826">
        <v>142650</v>
      </c>
      <c r="B4826" s="25" t="s">
        <v>5984</v>
      </c>
      <c r="C4826" t="s">
        <v>20</v>
      </c>
      <c r="D4826" t="s">
        <v>21</v>
      </c>
      <c r="E4826">
        <v>2222222</v>
      </c>
      <c r="F4826" s="8" t="s">
        <v>22</v>
      </c>
      <c r="G4826" s="2">
        <v>98</v>
      </c>
      <c r="H4826" t="s">
        <v>4686</v>
      </c>
      <c r="J4826" s="9" t="s">
        <v>4852</v>
      </c>
      <c r="K4826" t="s">
        <v>5272</v>
      </c>
      <c r="L4826" s="2">
        <v>1</v>
      </c>
      <c r="M4826" s="24" t="s">
        <v>5971</v>
      </c>
      <c r="N4826" s="2" t="s">
        <v>23</v>
      </c>
      <c r="O4826" s="18" t="s">
        <v>3641</v>
      </c>
      <c r="P4826" s="18" t="s">
        <v>0</v>
      </c>
      <c r="Q4826" s="6" t="s">
        <v>4475</v>
      </c>
      <c r="T4826" s="23">
        <v>45534</v>
      </c>
      <c r="U4826" s="23">
        <v>46994</v>
      </c>
      <c r="X4826" s="20">
        <v>3000</v>
      </c>
      <c r="Z4826" s="6" t="s">
        <v>5978</v>
      </c>
      <c r="AA4826" s="14">
        <f t="shared" si="639"/>
        <v>5.9999999999999995E-4</v>
      </c>
      <c r="AB4826">
        <v>1.1045879999999999</v>
      </c>
      <c r="AC4826">
        <v>1.1487715199999999</v>
      </c>
    </row>
    <row r="4827" spans="1:29" x14ac:dyDescent="0.3">
      <c r="A4827">
        <v>143608</v>
      </c>
      <c r="B4827" s="25" t="s">
        <v>5984</v>
      </c>
      <c r="C4827" t="s">
        <v>20</v>
      </c>
      <c r="D4827" t="s">
        <v>21</v>
      </c>
      <c r="E4827">
        <v>2222222</v>
      </c>
      <c r="F4827" s="8" t="s">
        <v>22</v>
      </c>
      <c r="G4827" s="2">
        <v>98</v>
      </c>
      <c r="H4827" t="s">
        <v>4686</v>
      </c>
      <c r="J4827" s="9" t="s">
        <v>4853</v>
      </c>
      <c r="K4827" t="s">
        <v>5951</v>
      </c>
      <c r="L4827" s="2">
        <v>1</v>
      </c>
      <c r="M4827" s="24" t="s">
        <v>5971</v>
      </c>
      <c r="N4827" s="2" t="s">
        <v>23</v>
      </c>
      <c r="O4827" s="18" t="s">
        <v>3642</v>
      </c>
      <c r="P4827" s="18" t="s">
        <v>0</v>
      </c>
      <c r="Q4827" s="6" t="s">
        <v>4475</v>
      </c>
      <c r="T4827" s="23">
        <v>45604</v>
      </c>
      <c r="U4827" s="23">
        <v>47065</v>
      </c>
      <c r="X4827" s="20">
        <v>5000</v>
      </c>
      <c r="Z4827" s="6" t="s">
        <v>5978</v>
      </c>
      <c r="AA4827" s="14">
        <f t="shared" si="639"/>
        <v>5.9999999999999995E-4</v>
      </c>
      <c r="AB4827">
        <v>2.0174699999999999</v>
      </c>
      <c r="AC4827">
        <v>2.0981687999999998</v>
      </c>
    </row>
    <row r="4828" spans="1:29" x14ac:dyDescent="0.3">
      <c r="A4828">
        <v>143669</v>
      </c>
      <c r="B4828" s="25" t="s">
        <v>5984</v>
      </c>
      <c r="C4828" t="s">
        <v>20</v>
      </c>
      <c r="D4828" t="s">
        <v>21</v>
      </c>
      <c r="E4828">
        <v>2222222</v>
      </c>
      <c r="F4828" s="8" t="s">
        <v>22</v>
      </c>
      <c r="G4828" s="2">
        <v>98</v>
      </c>
      <c r="H4828" t="s">
        <v>4686</v>
      </c>
      <c r="J4828" s="9" t="s">
        <v>4864</v>
      </c>
      <c r="K4828" t="s">
        <v>4870</v>
      </c>
      <c r="L4828" s="2">
        <v>1</v>
      </c>
      <c r="M4828" s="24" t="s">
        <v>5971</v>
      </c>
      <c r="N4828" s="2" t="s">
        <v>23</v>
      </c>
      <c r="O4828" s="18" t="s">
        <v>3643</v>
      </c>
      <c r="P4828" s="18" t="s">
        <v>0</v>
      </c>
      <c r="Q4828" s="6" t="s">
        <v>4475</v>
      </c>
      <c r="T4828" s="23">
        <v>45608</v>
      </c>
      <c r="U4828" s="23">
        <v>46338</v>
      </c>
      <c r="X4828" s="20">
        <v>6000</v>
      </c>
      <c r="Z4828" s="6" t="s">
        <v>5978</v>
      </c>
      <c r="AA4828" s="14">
        <f t="shared" si="639"/>
        <v>5.9999999999999995E-4</v>
      </c>
      <c r="AB4828">
        <v>0.67394999999999994</v>
      </c>
      <c r="AC4828">
        <v>0.70090799999999998</v>
      </c>
    </row>
    <row r="4829" spans="1:29" x14ac:dyDescent="0.3">
      <c r="A4829">
        <v>145498</v>
      </c>
      <c r="B4829" s="25" t="s">
        <v>5984</v>
      </c>
      <c r="C4829" t="s">
        <v>20</v>
      </c>
      <c r="D4829" t="s">
        <v>21</v>
      </c>
      <c r="E4829">
        <v>2222222</v>
      </c>
      <c r="F4829" s="8" t="s">
        <v>22</v>
      </c>
      <c r="G4829" s="2">
        <v>98</v>
      </c>
      <c r="H4829" t="s">
        <v>4686</v>
      </c>
      <c r="J4829" s="9" t="s">
        <v>4864</v>
      </c>
      <c r="K4829" t="s">
        <v>4870</v>
      </c>
      <c r="L4829" s="2">
        <v>1</v>
      </c>
      <c r="M4829" s="24" t="s">
        <v>5971</v>
      </c>
      <c r="N4829" s="2" t="s">
        <v>23</v>
      </c>
      <c r="O4829" s="18" t="s">
        <v>3643</v>
      </c>
      <c r="P4829" s="18" t="s">
        <v>0</v>
      </c>
      <c r="Q4829" s="6" t="s">
        <v>4475</v>
      </c>
      <c r="T4829" s="23">
        <v>45747</v>
      </c>
      <c r="U4829" s="23">
        <v>47207</v>
      </c>
      <c r="X4829" s="20">
        <v>6000</v>
      </c>
      <c r="Z4829" s="6" t="s">
        <v>5978</v>
      </c>
      <c r="AA4829" s="14">
        <f t="shared" si="639"/>
        <v>5.9999999999999995E-4</v>
      </c>
      <c r="AB4829">
        <v>2.7120120000000001</v>
      </c>
      <c r="AC4829">
        <v>2.82049248</v>
      </c>
    </row>
    <row r="4830" spans="1:29" x14ac:dyDescent="0.3">
      <c r="A4830">
        <v>147647</v>
      </c>
      <c r="B4830" s="25" t="s">
        <v>5984</v>
      </c>
      <c r="C4830" t="s">
        <v>20</v>
      </c>
      <c r="D4830" t="s">
        <v>21</v>
      </c>
      <c r="E4830">
        <v>2222222</v>
      </c>
      <c r="F4830" s="8" t="s">
        <v>22</v>
      </c>
      <c r="G4830" s="2">
        <v>98</v>
      </c>
      <c r="H4830" t="s">
        <v>4686</v>
      </c>
      <c r="J4830" s="9" t="s">
        <v>5134</v>
      </c>
      <c r="K4830" t="s">
        <v>4853</v>
      </c>
      <c r="L4830" s="2">
        <v>1</v>
      </c>
      <c r="M4830" s="24" t="s">
        <v>5971</v>
      </c>
      <c r="N4830" s="2" t="s">
        <v>23</v>
      </c>
      <c r="O4830" s="18" t="s">
        <v>3644</v>
      </c>
      <c r="P4830" s="18" t="s">
        <v>0</v>
      </c>
      <c r="Q4830" s="6" t="s">
        <v>4475</v>
      </c>
      <c r="T4830" s="23">
        <v>45902</v>
      </c>
      <c r="U4830" s="23">
        <v>46814</v>
      </c>
      <c r="X4830" s="20">
        <v>2900</v>
      </c>
      <c r="Z4830" s="6" t="s">
        <v>5978</v>
      </c>
      <c r="AA4830" s="14">
        <f t="shared" si="639"/>
        <v>5.9999999999999995E-4</v>
      </c>
      <c r="AB4830">
        <v>1.2259919999999997</v>
      </c>
      <c r="AC4830">
        <v>1.2750316799999999</v>
      </c>
    </row>
    <row r="4831" spans="1:29" x14ac:dyDescent="0.3">
      <c r="A4831">
        <v>151037</v>
      </c>
      <c r="B4831" s="25" t="s">
        <v>5984</v>
      </c>
      <c r="C4831" t="s">
        <v>20</v>
      </c>
      <c r="D4831" t="s">
        <v>21</v>
      </c>
      <c r="E4831">
        <v>2222222</v>
      </c>
      <c r="F4831" s="8" t="s">
        <v>22</v>
      </c>
      <c r="G4831" s="2">
        <v>98</v>
      </c>
      <c r="H4831" t="s">
        <v>4686</v>
      </c>
      <c r="J4831" s="9" t="s">
        <v>4911</v>
      </c>
      <c r="K4831" t="s">
        <v>5490</v>
      </c>
      <c r="L4831" s="2">
        <v>1</v>
      </c>
      <c r="M4831" s="24" t="s">
        <v>5971</v>
      </c>
      <c r="N4831" s="2" t="s">
        <v>23</v>
      </c>
      <c r="O4831" s="18" t="s">
        <v>3645</v>
      </c>
      <c r="P4831" s="18" t="s">
        <v>3781</v>
      </c>
      <c r="Q4831" s="6" t="s">
        <v>4475</v>
      </c>
      <c r="T4831" s="23">
        <v>46134</v>
      </c>
      <c r="U4831" s="23">
        <v>46865</v>
      </c>
      <c r="X4831" s="20">
        <v>2000</v>
      </c>
      <c r="Z4831" s="6" t="s">
        <v>5978</v>
      </c>
      <c r="AA4831" s="14">
        <f t="shared" si="639"/>
        <v>5.9999999999999995E-4</v>
      </c>
      <c r="AB4831">
        <v>1.0713419999999998</v>
      </c>
      <c r="AC4831">
        <v>1.1141956799999999</v>
      </c>
    </row>
    <row r="4832" spans="1:29" x14ac:dyDescent="0.3">
      <c r="A4832">
        <v>151222</v>
      </c>
      <c r="B4832" s="25" t="s">
        <v>5984</v>
      </c>
      <c r="C4832" t="s">
        <v>20</v>
      </c>
      <c r="D4832" t="s">
        <v>21</v>
      </c>
      <c r="E4832">
        <v>2222222</v>
      </c>
      <c r="F4832" s="8" t="s">
        <v>22</v>
      </c>
      <c r="G4832" s="2">
        <v>98</v>
      </c>
      <c r="H4832" t="s">
        <v>4686</v>
      </c>
      <c r="J4832" s="9" t="s">
        <v>4853</v>
      </c>
      <c r="K4832" t="s">
        <v>5951</v>
      </c>
      <c r="L4832" s="2">
        <v>1</v>
      </c>
      <c r="M4832" s="24" t="s">
        <v>5971</v>
      </c>
      <c r="N4832" s="2" t="s">
        <v>23</v>
      </c>
      <c r="O4832" s="18" t="s">
        <v>3642</v>
      </c>
      <c r="P4832" s="18" t="s">
        <v>0</v>
      </c>
      <c r="Q4832" s="6" t="s">
        <v>4475</v>
      </c>
      <c r="T4832" s="23">
        <v>46148</v>
      </c>
      <c r="U4832" s="23">
        <v>46238</v>
      </c>
      <c r="X4832" s="20">
        <v>4000</v>
      </c>
      <c r="Z4832" s="6" t="s">
        <v>5978</v>
      </c>
      <c r="AA4832" s="14">
        <f t="shared" si="639"/>
        <v>5.9999999999999995E-4</v>
      </c>
      <c r="AB4832">
        <v>2.4</v>
      </c>
      <c r="AC4832">
        <v>2.496</v>
      </c>
    </row>
    <row r="4833" spans="1:29" x14ac:dyDescent="0.3">
      <c r="A4833">
        <v>151774</v>
      </c>
      <c r="B4833" s="25" t="s">
        <v>5984</v>
      </c>
      <c r="C4833" t="s">
        <v>20</v>
      </c>
      <c r="D4833" t="s">
        <v>21</v>
      </c>
      <c r="E4833">
        <v>2222222</v>
      </c>
      <c r="F4833" s="8" t="s">
        <v>22</v>
      </c>
      <c r="G4833" s="2">
        <v>98</v>
      </c>
      <c r="H4833" t="s">
        <v>4686</v>
      </c>
      <c r="J4833" s="9" t="s">
        <v>4853</v>
      </c>
      <c r="K4833" t="s">
        <v>5951</v>
      </c>
      <c r="L4833" s="2">
        <v>1</v>
      </c>
      <c r="M4833" s="24" t="s">
        <v>5971</v>
      </c>
      <c r="N4833" s="2" t="s">
        <v>23</v>
      </c>
      <c r="O4833" s="18" t="s">
        <v>3642</v>
      </c>
      <c r="P4833" s="18" t="s">
        <v>0</v>
      </c>
      <c r="Q4833" s="6" t="s">
        <v>4475</v>
      </c>
      <c r="T4833" s="23">
        <v>46186</v>
      </c>
      <c r="U4833" s="23">
        <v>46274</v>
      </c>
      <c r="X4833" s="20">
        <v>2000</v>
      </c>
      <c r="Z4833" s="6" t="s">
        <v>5978</v>
      </c>
      <c r="AA4833" s="14">
        <f t="shared" si="639"/>
        <v>5.9999999999999995E-4</v>
      </c>
      <c r="AB4833">
        <v>1.2</v>
      </c>
      <c r="AC4833">
        <v>1.248</v>
      </c>
    </row>
    <row r="4834" spans="1:29" x14ac:dyDescent="0.3">
      <c r="A4834">
        <v>151851</v>
      </c>
      <c r="B4834" s="25" t="s">
        <v>5984</v>
      </c>
      <c r="C4834" t="s">
        <v>20</v>
      </c>
      <c r="D4834" t="s">
        <v>21</v>
      </c>
      <c r="E4834">
        <v>2222222</v>
      </c>
      <c r="F4834" s="8" t="s">
        <v>22</v>
      </c>
      <c r="G4834" s="2">
        <v>98</v>
      </c>
      <c r="H4834" t="s">
        <v>4686</v>
      </c>
      <c r="J4834" s="9" t="s">
        <v>4853</v>
      </c>
      <c r="K4834" t="s">
        <v>5951</v>
      </c>
      <c r="L4834" s="2">
        <v>1</v>
      </c>
      <c r="M4834" s="24" t="s">
        <v>5971</v>
      </c>
      <c r="N4834" s="2" t="s">
        <v>23</v>
      </c>
      <c r="O4834" s="18" t="s">
        <v>3642</v>
      </c>
      <c r="P4834" s="18" t="s">
        <v>0</v>
      </c>
      <c r="Q4834" s="6" t="s">
        <v>4475</v>
      </c>
      <c r="T4834" s="23">
        <v>46200</v>
      </c>
      <c r="U4834" s="23">
        <v>46290</v>
      </c>
      <c r="X4834" s="20">
        <v>2000</v>
      </c>
      <c r="Z4834" s="6" t="s">
        <v>5978</v>
      </c>
      <c r="AA4834" s="14">
        <f t="shared" si="639"/>
        <v>5.9999999999999995E-4</v>
      </c>
      <c r="AB4834">
        <v>1.2</v>
      </c>
      <c r="AC4834">
        <v>1.248</v>
      </c>
    </row>
    <row r="4835" spans="1:29" x14ac:dyDescent="0.3">
      <c r="A4835">
        <v>152088</v>
      </c>
      <c r="B4835" s="25" t="s">
        <v>5984</v>
      </c>
      <c r="C4835" t="s">
        <v>20</v>
      </c>
      <c r="D4835" t="s">
        <v>21</v>
      </c>
      <c r="E4835">
        <v>2222222</v>
      </c>
      <c r="F4835" s="8" t="s">
        <v>22</v>
      </c>
      <c r="G4835" s="2">
        <v>98</v>
      </c>
      <c r="H4835" t="s">
        <v>4686</v>
      </c>
      <c r="J4835" s="9" t="s">
        <v>4853</v>
      </c>
      <c r="K4835" t="s">
        <v>5951</v>
      </c>
      <c r="L4835" s="2">
        <v>1</v>
      </c>
      <c r="M4835" s="24" t="s">
        <v>5971</v>
      </c>
      <c r="N4835" s="2" t="s">
        <v>23</v>
      </c>
      <c r="O4835" s="18" t="s">
        <v>3642</v>
      </c>
      <c r="P4835" s="18" t="s">
        <v>0</v>
      </c>
      <c r="Q4835" s="6" t="s">
        <v>4475</v>
      </c>
      <c r="T4835" s="23">
        <v>46210</v>
      </c>
      <c r="U4835" s="23">
        <v>46300</v>
      </c>
      <c r="X4835" s="20">
        <v>2000</v>
      </c>
      <c r="Z4835" s="6" t="s">
        <v>5978</v>
      </c>
      <c r="AA4835" s="14">
        <f t="shared" si="639"/>
        <v>5.9999999999999995E-4</v>
      </c>
      <c r="AB4835">
        <v>1.2</v>
      </c>
      <c r="AC4835">
        <v>1.248</v>
      </c>
    </row>
    <row r="4836" spans="1:29" x14ac:dyDescent="0.3">
      <c r="A4836">
        <v>152190</v>
      </c>
      <c r="B4836" s="25" t="s">
        <v>5984</v>
      </c>
      <c r="C4836" t="s">
        <v>20</v>
      </c>
      <c r="D4836" t="s">
        <v>21</v>
      </c>
      <c r="E4836">
        <v>2222222</v>
      </c>
      <c r="F4836" s="8" t="s">
        <v>22</v>
      </c>
      <c r="G4836" s="2">
        <v>98</v>
      </c>
      <c r="H4836" t="s">
        <v>4686</v>
      </c>
      <c r="J4836" s="9" t="s">
        <v>4853</v>
      </c>
      <c r="K4836" t="s">
        <v>5951</v>
      </c>
      <c r="L4836" s="2">
        <v>1</v>
      </c>
      <c r="M4836" s="24" t="s">
        <v>5971</v>
      </c>
      <c r="N4836" s="2" t="s">
        <v>23</v>
      </c>
      <c r="O4836" s="18" t="s">
        <v>3642</v>
      </c>
      <c r="P4836" s="18" t="s">
        <v>0</v>
      </c>
      <c r="Q4836" s="6" t="s">
        <v>4475</v>
      </c>
      <c r="T4836" s="23">
        <v>46218</v>
      </c>
      <c r="U4836" s="23">
        <v>46266</v>
      </c>
      <c r="X4836" s="20">
        <v>1890</v>
      </c>
      <c r="Z4836" s="6" t="s">
        <v>5978</v>
      </c>
      <c r="AA4836" s="14">
        <f t="shared" si="639"/>
        <v>5.9999999999999995E-4</v>
      </c>
      <c r="AB4836">
        <v>1.1339999999999999</v>
      </c>
      <c r="AC4836">
        <v>1.17936</v>
      </c>
    </row>
    <row r="4837" spans="1:29" x14ac:dyDescent="0.3">
      <c r="A4837">
        <v>152191</v>
      </c>
      <c r="B4837" s="25" t="s">
        <v>5984</v>
      </c>
      <c r="C4837" t="s">
        <v>20</v>
      </c>
      <c r="D4837" t="s">
        <v>21</v>
      </c>
      <c r="E4837">
        <v>2222222</v>
      </c>
      <c r="F4837" s="8" t="s">
        <v>22</v>
      </c>
      <c r="G4837" s="2">
        <v>98</v>
      </c>
      <c r="H4837" t="s">
        <v>4686</v>
      </c>
      <c r="J4837" s="9" t="s">
        <v>4853</v>
      </c>
      <c r="K4837" t="s">
        <v>5951</v>
      </c>
      <c r="L4837" s="2">
        <v>1</v>
      </c>
      <c r="M4837" s="24" t="s">
        <v>5971</v>
      </c>
      <c r="N4837" s="2" t="s">
        <v>23</v>
      </c>
      <c r="O4837" s="18" t="s">
        <v>3642</v>
      </c>
      <c r="P4837" s="18" t="s">
        <v>0</v>
      </c>
      <c r="Q4837" s="6" t="s">
        <v>4475</v>
      </c>
      <c r="T4837" s="23">
        <v>46218</v>
      </c>
      <c r="U4837" s="23">
        <v>46266</v>
      </c>
      <c r="X4837" s="20">
        <v>1480.73</v>
      </c>
      <c r="Z4837" s="6" t="s">
        <v>5978</v>
      </c>
      <c r="AA4837" s="14">
        <f t="shared" si="639"/>
        <v>5.9999999999999995E-4</v>
      </c>
      <c r="AB4837">
        <v>0.88843799999999995</v>
      </c>
      <c r="AC4837">
        <v>0.92397551999999994</v>
      </c>
    </row>
    <row r="4838" spans="1:29" x14ac:dyDescent="0.3">
      <c r="A4838">
        <v>152192</v>
      </c>
      <c r="B4838" s="25" t="s">
        <v>5984</v>
      </c>
      <c r="C4838" t="s">
        <v>20</v>
      </c>
      <c r="D4838" t="s">
        <v>21</v>
      </c>
      <c r="E4838">
        <v>2222222</v>
      </c>
      <c r="F4838" s="8" t="s">
        <v>22</v>
      </c>
      <c r="G4838" s="2">
        <v>98</v>
      </c>
      <c r="H4838" t="s">
        <v>4686</v>
      </c>
      <c r="J4838" s="9" t="s">
        <v>4853</v>
      </c>
      <c r="K4838" t="s">
        <v>5951</v>
      </c>
      <c r="L4838" s="2">
        <v>1</v>
      </c>
      <c r="M4838" s="24" t="s">
        <v>5971</v>
      </c>
      <c r="N4838" s="2" t="s">
        <v>23</v>
      </c>
      <c r="O4838" s="18" t="s">
        <v>3642</v>
      </c>
      <c r="P4838" s="18" t="s">
        <v>0</v>
      </c>
      <c r="Q4838" s="6" t="s">
        <v>4475</v>
      </c>
      <c r="T4838" s="23">
        <v>46218</v>
      </c>
      <c r="U4838" s="23">
        <v>46266</v>
      </c>
      <c r="X4838" s="20">
        <v>2000</v>
      </c>
      <c r="Z4838" s="6" t="s">
        <v>5978</v>
      </c>
      <c r="AA4838" s="14">
        <f t="shared" si="639"/>
        <v>5.9999999999999995E-4</v>
      </c>
      <c r="AB4838">
        <v>1.2</v>
      </c>
      <c r="AC4838">
        <v>1.248</v>
      </c>
    </row>
    <row r="4839" spans="1:29" x14ac:dyDescent="0.3">
      <c r="A4839">
        <v>152193</v>
      </c>
      <c r="B4839" s="25" t="s">
        <v>5984</v>
      </c>
      <c r="C4839" t="s">
        <v>20</v>
      </c>
      <c r="D4839" t="s">
        <v>21</v>
      </c>
      <c r="E4839">
        <v>2222222</v>
      </c>
      <c r="F4839" s="8" t="s">
        <v>22</v>
      </c>
      <c r="G4839" s="2">
        <v>98</v>
      </c>
      <c r="H4839" t="s">
        <v>4686</v>
      </c>
      <c r="J4839" s="9" t="s">
        <v>4853</v>
      </c>
      <c r="K4839" t="s">
        <v>5951</v>
      </c>
      <c r="L4839" s="2">
        <v>1</v>
      </c>
      <c r="M4839" s="24" t="s">
        <v>5971</v>
      </c>
      <c r="N4839" s="2" t="s">
        <v>23</v>
      </c>
      <c r="O4839" s="18" t="s">
        <v>3642</v>
      </c>
      <c r="P4839" s="18" t="s">
        <v>0</v>
      </c>
      <c r="Q4839" s="6" t="s">
        <v>4475</v>
      </c>
      <c r="T4839" s="23">
        <v>46218</v>
      </c>
      <c r="U4839" s="23">
        <v>46306</v>
      </c>
      <c r="X4839" s="20">
        <v>1630</v>
      </c>
      <c r="Z4839" s="6" t="s">
        <v>5978</v>
      </c>
      <c r="AA4839" s="14">
        <f t="shared" si="639"/>
        <v>5.9999999999999995E-4</v>
      </c>
      <c r="AB4839">
        <v>0.97799999999999987</v>
      </c>
      <c r="AC4839">
        <v>1.0171199999999998</v>
      </c>
    </row>
    <row r="4840" spans="1:29" x14ac:dyDescent="0.3">
      <c r="A4840">
        <v>152194</v>
      </c>
      <c r="B4840" s="25" t="s">
        <v>5984</v>
      </c>
      <c r="C4840" t="s">
        <v>20</v>
      </c>
      <c r="D4840" t="s">
        <v>21</v>
      </c>
      <c r="E4840">
        <v>2222222</v>
      </c>
      <c r="F4840" s="8" t="s">
        <v>22</v>
      </c>
      <c r="G4840" s="2">
        <v>98</v>
      </c>
      <c r="H4840" t="s">
        <v>4686</v>
      </c>
      <c r="J4840" s="9" t="s">
        <v>4853</v>
      </c>
      <c r="K4840" t="s">
        <v>5951</v>
      </c>
      <c r="L4840" s="2">
        <v>1</v>
      </c>
      <c r="M4840" s="24" t="s">
        <v>5971</v>
      </c>
      <c r="N4840" s="2" t="s">
        <v>23</v>
      </c>
      <c r="O4840" s="18" t="s">
        <v>3642</v>
      </c>
      <c r="P4840" s="18" t="s">
        <v>0</v>
      </c>
      <c r="Q4840" s="6" t="s">
        <v>4475</v>
      </c>
      <c r="T4840" s="23">
        <v>46218</v>
      </c>
      <c r="U4840" s="23">
        <v>46306</v>
      </c>
      <c r="X4840" s="20">
        <v>1000</v>
      </c>
      <c r="Z4840" s="6" t="s">
        <v>5978</v>
      </c>
      <c r="AA4840" s="14">
        <f t="shared" si="639"/>
        <v>5.9999999999999995E-4</v>
      </c>
      <c r="AB4840">
        <v>0.6</v>
      </c>
      <c r="AC4840">
        <v>0.624</v>
      </c>
    </row>
    <row r="4841" spans="1:29" x14ac:dyDescent="0.3">
      <c r="A4841">
        <v>149544</v>
      </c>
      <c r="B4841" s="25" t="s">
        <v>5984</v>
      </c>
      <c r="C4841" t="s">
        <v>20</v>
      </c>
      <c r="D4841" t="s">
        <v>21</v>
      </c>
      <c r="E4841">
        <v>2222222</v>
      </c>
      <c r="F4841" s="8" t="s">
        <v>22</v>
      </c>
      <c r="G4841" s="2">
        <v>98</v>
      </c>
      <c r="H4841" t="s">
        <v>4687</v>
      </c>
      <c r="J4841" s="9" t="s">
        <v>4949</v>
      </c>
      <c r="K4841" t="s">
        <v>5130</v>
      </c>
      <c r="L4841" s="2">
        <v>1</v>
      </c>
      <c r="M4841" s="24" t="s">
        <v>5971</v>
      </c>
      <c r="N4841" s="2" t="s">
        <v>23</v>
      </c>
      <c r="O4841" s="18" t="s">
        <v>3524</v>
      </c>
      <c r="P4841" s="18" t="s">
        <v>0</v>
      </c>
      <c r="Q4841" s="6" t="s">
        <v>4475</v>
      </c>
      <c r="T4841" s="23">
        <v>46035</v>
      </c>
      <c r="U4841" s="23">
        <v>48956</v>
      </c>
      <c r="X4841" s="20">
        <v>12000</v>
      </c>
      <c r="Z4841" s="6" t="s">
        <v>5978</v>
      </c>
      <c r="AA4841" s="14">
        <f t="shared" si="639"/>
        <v>5.9999999999999995E-4</v>
      </c>
      <c r="AB4841">
        <v>6.9618299999999991</v>
      </c>
      <c r="AC4841">
        <v>7.2403031999999996</v>
      </c>
    </row>
    <row r="4842" spans="1:29" x14ac:dyDescent="0.3">
      <c r="A4842">
        <v>151301</v>
      </c>
      <c r="B4842" s="25" t="s">
        <v>5984</v>
      </c>
      <c r="C4842" t="s">
        <v>20</v>
      </c>
      <c r="D4842" t="s">
        <v>21</v>
      </c>
      <c r="E4842">
        <v>2222222</v>
      </c>
      <c r="F4842" s="8" t="s">
        <v>22</v>
      </c>
      <c r="G4842" s="2">
        <v>98</v>
      </c>
      <c r="H4842" t="s">
        <v>4687</v>
      </c>
      <c r="J4842" s="9" t="s">
        <v>4870</v>
      </c>
      <c r="K4842" t="s">
        <v>4827</v>
      </c>
      <c r="L4842" s="2">
        <v>1</v>
      </c>
      <c r="M4842" s="24" t="s">
        <v>5971</v>
      </c>
      <c r="N4842" s="2" t="s">
        <v>23</v>
      </c>
      <c r="O4842" s="18" t="s">
        <v>3646</v>
      </c>
      <c r="P4842" s="18" t="s">
        <v>0</v>
      </c>
      <c r="Q4842" s="6" t="s">
        <v>4475</v>
      </c>
      <c r="T4842" s="23">
        <v>46154</v>
      </c>
      <c r="U4842" s="23">
        <v>46244</v>
      </c>
      <c r="X4842" s="20">
        <v>4400</v>
      </c>
      <c r="Z4842" s="6" t="s">
        <v>5978</v>
      </c>
      <c r="AA4842" s="14">
        <f t="shared" si="639"/>
        <v>5.9999999999999995E-4</v>
      </c>
      <c r="AB4842">
        <v>2.6399999999999997</v>
      </c>
      <c r="AC4842">
        <v>2.7455999999999996</v>
      </c>
    </row>
    <row r="4843" spans="1:29" x14ac:dyDescent="0.3">
      <c r="A4843">
        <v>151558</v>
      </c>
      <c r="B4843" s="25" t="s">
        <v>5984</v>
      </c>
      <c r="C4843" t="s">
        <v>20</v>
      </c>
      <c r="D4843" t="s">
        <v>21</v>
      </c>
      <c r="E4843">
        <v>2222222</v>
      </c>
      <c r="F4843" s="8" t="s">
        <v>22</v>
      </c>
      <c r="G4843" s="2">
        <v>98</v>
      </c>
      <c r="H4843" t="s">
        <v>4687</v>
      </c>
      <c r="J4843" s="9" t="s">
        <v>4949</v>
      </c>
      <c r="K4843" t="s">
        <v>5130</v>
      </c>
      <c r="L4843" s="2">
        <v>1</v>
      </c>
      <c r="M4843" s="24" t="s">
        <v>5971</v>
      </c>
      <c r="N4843" s="2" t="s">
        <v>23</v>
      </c>
      <c r="O4843" s="18" t="s">
        <v>3524</v>
      </c>
      <c r="P4843" s="18" t="s">
        <v>0</v>
      </c>
      <c r="Q4843" s="6" t="s">
        <v>4475</v>
      </c>
      <c r="T4843" s="23">
        <v>46172</v>
      </c>
      <c r="U4843" s="23">
        <v>46262</v>
      </c>
      <c r="X4843" s="20">
        <v>4540</v>
      </c>
      <c r="Z4843" s="6" t="s">
        <v>5978</v>
      </c>
      <c r="AA4843" s="14">
        <f t="shared" si="639"/>
        <v>5.9999999999999995E-4</v>
      </c>
      <c r="AB4843">
        <v>2.7239999999999998</v>
      </c>
      <c r="AC4843">
        <v>2.8329599999999999</v>
      </c>
    </row>
    <row r="4844" spans="1:29" x14ac:dyDescent="0.3">
      <c r="A4844">
        <v>130298</v>
      </c>
      <c r="B4844" s="25" t="s">
        <v>5984</v>
      </c>
      <c r="C4844" t="s">
        <v>20</v>
      </c>
      <c r="D4844" t="s">
        <v>21</v>
      </c>
      <c r="E4844">
        <v>2222222</v>
      </c>
      <c r="F4844" s="8" t="s">
        <v>22</v>
      </c>
      <c r="G4844" s="2">
        <v>98</v>
      </c>
      <c r="H4844" t="s">
        <v>4688</v>
      </c>
      <c r="J4844" s="9"/>
      <c r="K4844" t="s">
        <v>4836</v>
      </c>
      <c r="L4844" s="2">
        <v>1</v>
      </c>
      <c r="M4844" s="24" t="s">
        <v>5971</v>
      </c>
      <c r="N4844" s="2" t="s">
        <v>23</v>
      </c>
      <c r="O4844" s="18" t="s">
        <v>3647</v>
      </c>
      <c r="P4844" s="18" t="s">
        <v>3781</v>
      </c>
      <c r="Q4844" s="6" t="s">
        <v>4475</v>
      </c>
      <c r="T4844" s="23">
        <v>44826</v>
      </c>
      <c r="U4844" s="23">
        <v>46296</v>
      </c>
      <c r="X4844" s="20">
        <v>5000</v>
      </c>
      <c r="Z4844" s="6" t="s">
        <v>5978</v>
      </c>
      <c r="AA4844" s="13">
        <f t="shared" ref="AA4844:AA4845" si="640">+(0.56/1000)</f>
        <v>5.6000000000000006E-4</v>
      </c>
      <c r="AB4844">
        <v>0.24291680000000002</v>
      </c>
      <c r="AC4844">
        <v>0.25263347200000003</v>
      </c>
    </row>
    <row r="4845" spans="1:29" x14ac:dyDescent="0.3">
      <c r="A4845">
        <v>140245</v>
      </c>
      <c r="B4845" s="25" t="s">
        <v>5984</v>
      </c>
      <c r="C4845" t="s">
        <v>20</v>
      </c>
      <c r="D4845" t="s">
        <v>21</v>
      </c>
      <c r="E4845">
        <v>2222222</v>
      </c>
      <c r="F4845" s="8" t="s">
        <v>22</v>
      </c>
      <c r="G4845" s="2">
        <v>98</v>
      </c>
      <c r="H4845" t="s">
        <v>4689</v>
      </c>
      <c r="J4845" s="9" t="s">
        <v>5172</v>
      </c>
      <c r="K4845" t="s">
        <v>4875</v>
      </c>
      <c r="L4845" s="2">
        <v>1</v>
      </c>
      <c r="M4845" s="24" t="s">
        <v>5971</v>
      </c>
      <c r="N4845" s="2" t="s">
        <v>23</v>
      </c>
      <c r="O4845" s="18" t="s">
        <v>3648</v>
      </c>
      <c r="P4845" s="18" t="s">
        <v>0</v>
      </c>
      <c r="Q4845" s="6" t="s">
        <v>4475</v>
      </c>
      <c r="T4845" s="23">
        <v>45379</v>
      </c>
      <c r="U4845" s="23">
        <v>46383</v>
      </c>
      <c r="X4845" s="20">
        <v>8000</v>
      </c>
      <c r="Z4845" s="6" t="s">
        <v>5978</v>
      </c>
      <c r="AA4845" s="13">
        <f t="shared" si="640"/>
        <v>5.6000000000000006E-4</v>
      </c>
      <c r="AB4845">
        <v>0.84385840000000012</v>
      </c>
      <c r="AC4845">
        <v>0.87761273600000012</v>
      </c>
    </row>
    <row r="4846" spans="1:29" x14ac:dyDescent="0.3">
      <c r="A4846">
        <v>151672</v>
      </c>
      <c r="B4846" s="25" t="s">
        <v>5984</v>
      </c>
      <c r="C4846" t="s">
        <v>20</v>
      </c>
      <c r="D4846" t="s">
        <v>21</v>
      </c>
      <c r="E4846">
        <v>2222222</v>
      </c>
      <c r="F4846" s="8" t="s">
        <v>22</v>
      </c>
      <c r="G4846" s="2">
        <v>98</v>
      </c>
      <c r="H4846" t="s">
        <v>4689</v>
      </c>
      <c r="J4846" s="9" t="s">
        <v>5172</v>
      </c>
      <c r="K4846" t="s">
        <v>4875</v>
      </c>
      <c r="L4846" s="2">
        <v>1</v>
      </c>
      <c r="M4846" s="24" t="s">
        <v>5971</v>
      </c>
      <c r="N4846" s="2" t="s">
        <v>23</v>
      </c>
      <c r="O4846" s="18" t="s">
        <v>3648</v>
      </c>
      <c r="P4846" s="18" t="s">
        <v>0</v>
      </c>
      <c r="Q4846" s="6" t="s">
        <v>4475</v>
      </c>
      <c r="T4846" s="23">
        <v>46181</v>
      </c>
      <c r="U4846" s="23">
        <v>46271</v>
      </c>
      <c r="X4846" s="20">
        <v>4670</v>
      </c>
      <c r="Z4846" s="6" t="s">
        <v>5978</v>
      </c>
      <c r="AA4846" s="14">
        <f t="shared" ref="AA4846:AA4851" si="641">+(0.6/1000)</f>
        <v>5.9999999999999995E-4</v>
      </c>
      <c r="AB4846">
        <v>2.8019999999999996</v>
      </c>
      <c r="AC4846">
        <v>2.9140799999999998</v>
      </c>
    </row>
    <row r="4847" spans="1:29" x14ac:dyDescent="0.3">
      <c r="A4847">
        <v>144218</v>
      </c>
      <c r="B4847" s="25" t="s">
        <v>5984</v>
      </c>
      <c r="C4847" t="s">
        <v>20</v>
      </c>
      <c r="D4847" t="s">
        <v>21</v>
      </c>
      <c r="E4847">
        <v>2222222</v>
      </c>
      <c r="F4847" s="8" t="s">
        <v>22</v>
      </c>
      <c r="G4847" s="2">
        <v>98</v>
      </c>
      <c r="H4847" t="s">
        <v>4690</v>
      </c>
      <c r="J4847" s="9" t="s">
        <v>5281</v>
      </c>
      <c r="K4847" t="s">
        <v>4828</v>
      </c>
      <c r="L4847" s="2">
        <v>1</v>
      </c>
      <c r="M4847" s="24" t="s">
        <v>5971</v>
      </c>
      <c r="N4847" s="2" t="s">
        <v>23</v>
      </c>
      <c r="O4847" s="18" t="s">
        <v>3649</v>
      </c>
      <c r="P4847" s="18" t="s">
        <v>0</v>
      </c>
      <c r="Q4847" s="6" t="s">
        <v>4475</v>
      </c>
      <c r="T4847" s="23">
        <v>45650</v>
      </c>
      <c r="U4847" s="23">
        <v>49301</v>
      </c>
      <c r="X4847" s="20">
        <v>45000</v>
      </c>
      <c r="Z4847" s="6" t="s">
        <v>5978</v>
      </c>
      <c r="AA4847" s="14">
        <f t="shared" si="641"/>
        <v>5.9999999999999995E-4</v>
      </c>
      <c r="AB4847">
        <v>24.496619999999997</v>
      </c>
      <c r="AC4847">
        <v>25.476484799999998</v>
      </c>
    </row>
    <row r="4848" spans="1:29" x14ac:dyDescent="0.3">
      <c r="A4848">
        <v>146789</v>
      </c>
      <c r="B4848" s="25" t="s">
        <v>5984</v>
      </c>
      <c r="C4848" t="s">
        <v>20</v>
      </c>
      <c r="D4848" t="s">
        <v>21</v>
      </c>
      <c r="E4848">
        <v>2222222</v>
      </c>
      <c r="F4848" s="8" t="s">
        <v>22</v>
      </c>
      <c r="G4848" s="2">
        <v>98</v>
      </c>
      <c r="H4848" t="s">
        <v>4690</v>
      </c>
      <c r="J4848" s="9" t="s">
        <v>4981</v>
      </c>
      <c r="K4848" t="s">
        <v>4884</v>
      </c>
      <c r="L4848" s="2">
        <v>1</v>
      </c>
      <c r="M4848" s="24" t="s">
        <v>5971</v>
      </c>
      <c r="N4848" s="2" t="s">
        <v>23</v>
      </c>
      <c r="O4848" s="18" t="s">
        <v>3650</v>
      </c>
      <c r="P4848" s="18" t="s">
        <v>3781</v>
      </c>
      <c r="Q4848" s="6" t="s">
        <v>4475</v>
      </c>
      <c r="T4848" s="23">
        <v>45853</v>
      </c>
      <c r="U4848" s="23">
        <v>49504</v>
      </c>
      <c r="X4848" s="20">
        <v>80000</v>
      </c>
      <c r="Z4848" s="6" t="s">
        <v>5978</v>
      </c>
      <c r="AA4848" s="14">
        <f t="shared" si="641"/>
        <v>5.9999999999999995E-4</v>
      </c>
      <c r="AB4848">
        <v>45.361613999999996</v>
      </c>
      <c r="AC4848">
        <v>47.176078560000001</v>
      </c>
    </row>
    <row r="4849" spans="1:29" x14ac:dyDescent="0.3">
      <c r="A4849">
        <v>147164</v>
      </c>
      <c r="B4849" s="25" t="s">
        <v>5984</v>
      </c>
      <c r="C4849" t="s">
        <v>20</v>
      </c>
      <c r="D4849" t="s">
        <v>21</v>
      </c>
      <c r="E4849">
        <v>2222222</v>
      </c>
      <c r="F4849" s="8" t="s">
        <v>22</v>
      </c>
      <c r="G4849" s="2">
        <v>98</v>
      </c>
      <c r="H4849" t="s">
        <v>4691</v>
      </c>
      <c r="J4849" s="9" t="s">
        <v>4891</v>
      </c>
      <c r="K4849" t="s">
        <v>4873</v>
      </c>
      <c r="L4849" s="2">
        <v>1</v>
      </c>
      <c r="M4849" s="24" t="s">
        <v>5971</v>
      </c>
      <c r="N4849" s="2" t="s">
        <v>23</v>
      </c>
      <c r="O4849" s="18" t="s">
        <v>3651</v>
      </c>
      <c r="P4849" s="18" t="s">
        <v>3781</v>
      </c>
      <c r="Q4849" s="6" t="s">
        <v>4475</v>
      </c>
      <c r="T4849" s="23">
        <v>45882</v>
      </c>
      <c r="U4849" s="23">
        <v>49533</v>
      </c>
      <c r="X4849" s="20">
        <v>20000</v>
      </c>
      <c r="Z4849" s="6" t="s">
        <v>5978</v>
      </c>
      <c r="AA4849" s="14">
        <f t="shared" si="641"/>
        <v>5.9999999999999995E-4</v>
      </c>
      <c r="AB4849">
        <v>11.457815999999999</v>
      </c>
      <c r="AC4849">
        <v>11.91612864</v>
      </c>
    </row>
    <row r="4850" spans="1:29" x14ac:dyDescent="0.3">
      <c r="A4850">
        <v>151250</v>
      </c>
      <c r="B4850" s="25" t="s">
        <v>5984</v>
      </c>
      <c r="C4850" t="s">
        <v>20</v>
      </c>
      <c r="D4850" t="s">
        <v>21</v>
      </c>
      <c r="E4850">
        <v>2222222</v>
      </c>
      <c r="F4850" s="8" t="s">
        <v>22</v>
      </c>
      <c r="G4850" s="2">
        <v>98</v>
      </c>
      <c r="H4850" t="s">
        <v>4691</v>
      </c>
      <c r="J4850" s="9" t="s">
        <v>5617</v>
      </c>
      <c r="K4850" t="s">
        <v>4836</v>
      </c>
      <c r="L4850" s="2">
        <v>1</v>
      </c>
      <c r="M4850" s="24" t="s">
        <v>5971</v>
      </c>
      <c r="N4850" s="2" t="s">
        <v>23</v>
      </c>
      <c r="O4850" s="18" t="s">
        <v>3652</v>
      </c>
      <c r="P4850" s="18" t="s">
        <v>3781</v>
      </c>
      <c r="Q4850" s="6" t="s">
        <v>4475</v>
      </c>
      <c r="T4850" s="23">
        <v>46150</v>
      </c>
      <c r="U4850" s="23">
        <v>46885</v>
      </c>
      <c r="X4850" s="20">
        <v>5000</v>
      </c>
      <c r="Z4850" s="6" t="s">
        <v>5978</v>
      </c>
      <c r="AA4850" s="14">
        <f t="shared" si="641"/>
        <v>5.9999999999999995E-4</v>
      </c>
      <c r="AB4850">
        <v>2.7881580000000001</v>
      </c>
      <c r="AC4850">
        <v>2.8996843200000004</v>
      </c>
    </row>
    <row r="4851" spans="1:29" x14ac:dyDescent="0.3">
      <c r="A4851">
        <v>146761</v>
      </c>
      <c r="B4851" s="25" t="s">
        <v>5984</v>
      </c>
      <c r="C4851" t="s">
        <v>20</v>
      </c>
      <c r="D4851" t="s">
        <v>21</v>
      </c>
      <c r="E4851">
        <v>2222222</v>
      </c>
      <c r="F4851" s="8" t="s">
        <v>22</v>
      </c>
      <c r="G4851" s="2">
        <v>98</v>
      </c>
      <c r="H4851" t="s">
        <v>4692</v>
      </c>
      <c r="J4851" s="9" t="s">
        <v>5063</v>
      </c>
      <c r="K4851" t="s">
        <v>5111</v>
      </c>
      <c r="L4851" s="2">
        <v>1</v>
      </c>
      <c r="M4851" s="24" t="s">
        <v>5971</v>
      </c>
      <c r="N4851" s="2" t="s">
        <v>23</v>
      </c>
      <c r="O4851" s="18" t="s">
        <v>3653</v>
      </c>
      <c r="P4851" s="18" t="s">
        <v>0</v>
      </c>
      <c r="Q4851" s="6" t="s">
        <v>4475</v>
      </c>
      <c r="T4851" s="23">
        <v>45852</v>
      </c>
      <c r="U4851" s="23">
        <v>48408</v>
      </c>
      <c r="X4851" s="20">
        <v>20000</v>
      </c>
      <c r="Z4851" s="6" t="s">
        <v>5978</v>
      </c>
      <c r="AA4851" s="14">
        <f t="shared" si="641"/>
        <v>5.9999999999999995E-4</v>
      </c>
      <c r="AB4851">
        <v>11.999999999999998</v>
      </c>
      <c r="AC4851">
        <v>12.479999999999999</v>
      </c>
    </row>
    <row r="4852" spans="1:29" x14ac:dyDescent="0.3">
      <c r="A4852">
        <v>128257</v>
      </c>
      <c r="B4852" s="25" t="s">
        <v>5984</v>
      </c>
      <c r="C4852" t="s">
        <v>20</v>
      </c>
      <c r="D4852" t="s">
        <v>21</v>
      </c>
      <c r="E4852">
        <v>2222222</v>
      </c>
      <c r="F4852" s="8" t="s">
        <v>22</v>
      </c>
      <c r="G4852" s="2">
        <v>98</v>
      </c>
      <c r="H4852" t="s">
        <v>4693</v>
      </c>
      <c r="J4852" s="9" t="s">
        <v>4911</v>
      </c>
      <c r="K4852" t="s">
        <v>4836</v>
      </c>
      <c r="L4852" s="2">
        <v>1</v>
      </c>
      <c r="M4852" s="24" t="s">
        <v>5971</v>
      </c>
      <c r="N4852" s="2" t="s">
        <v>23</v>
      </c>
      <c r="O4852" s="18" t="s">
        <v>3654</v>
      </c>
      <c r="P4852" s="18" t="s">
        <v>3781</v>
      </c>
      <c r="Q4852" s="6" t="s">
        <v>4475</v>
      </c>
      <c r="T4852" s="23">
        <v>44715</v>
      </c>
      <c r="U4852" s="23">
        <v>44805</v>
      </c>
      <c r="X4852" s="20">
        <v>2725</v>
      </c>
      <c r="Z4852" s="6" t="s">
        <v>5978</v>
      </c>
      <c r="AA4852" s="15">
        <f>+(0.42/1000)</f>
        <v>4.1999999999999996E-4</v>
      </c>
      <c r="AB4852">
        <v>1.1444999999999999</v>
      </c>
      <c r="AC4852">
        <v>1.1902799999999998</v>
      </c>
    </row>
    <row r="4853" spans="1:29" x14ac:dyDescent="0.3">
      <c r="A4853">
        <v>151544</v>
      </c>
      <c r="B4853" s="25" t="s">
        <v>5984</v>
      </c>
      <c r="C4853" t="s">
        <v>20</v>
      </c>
      <c r="D4853" t="s">
        <v>21</v>
      </c>
      <c r="E4853">
        <v>2222222</v>
      </c>
      <c r="F4853" s="8" t="s">
        <v>22</v>
      </c>
      <c r="G4853" s="2">
        <v>98</v>
      </c>
      <c r="H4853" t="s">
        <v>4694</v>
      </c>
      <c r="J4853" s="9" t="s">
        <v>5952</v>
      </c>
      <c r="K4853" t="s">
        <v>5953</v>
      </c>
      <c r="L4853" s="2">
        <v>1</v>
      </c>
      <c r="M4853" s="24" t="s">
        <v>5971</v>
      </c>
      <c r="N4853" s="2" t="s">
        <v>23</v>
      </c>
      <c r="O4853" s="18" t="s">
        <v>3655</v>
      </c>
      <c r="P4853" s="18" t="s">
        <v>3781</v>
      </c>
      <c r="Q4853" s="6" t="s">
        <v>4475</v>
      </c>
      <c r="T4853" s="23">
        <v>46171</v>
      </c>
      <c r="U4853" s="23">
        <v>47996</v>
      </c>
      <c r="X4853" s="20">
        <v>3170</v>
      </c>
      <c r="Z4853" s="6" t="s">
        <v>5978</v>
      </c>
      <c r="AA4853" s="14">
        <f t="shared" ref="AA4853:AA4855" si="642">+(0.6/1000)</f>
        <v>5.9999999999999995E-4</v>
      </c>
      <c r="AB4853">
        <v>1.8572219999999997</v>
      </c>
      <c r="AC4853">
        <v>1.9315108799999998</v>
      </c>
    </row>
    <row r="4854" spans="1:29" x14ac:dyDescent="0.3">
      <c r="A4854">
        <v>147049</v>
      </c>
      <c r="B4854" s="25" t="s">
        <v>5984</v>
      </c>
      <c r="C4854" t="s">
        <v>20</v>
      </c>
      <c r="D4854" t="s">
        <v>21</v>
      </c>
      <c r="E4854">
        <v>2222222</v>
      </c>
      <c r="F4854" s="8" t="s">
        <v>22</v>
      </c>
      <c r="G4854" s="2">
        <v>98</v>
      </c>
      <c r="H4854" t="s">
        <v>4695</v>
      </c>
      <c r="J4854" s="9" t="s">
        <v>4847</v>
      </c>
      <c r="K4854" t="s">
        <v>4919</v>
      </c>
      <c r="L4854" s="2">
        <v>1</v>
      </c>
      <c r="M4854" s="24" t="s">
        <v>5971</v>
      </c>
      <c r="N4854" s="2" t="s">
        <v>23</v>
      </c>
      <c r="O4854" s="18" t="s">
        <v>3656</v>
      </c>
      <c r="P4854" s="18" t="s">
        <v>0</v>
      </c>
      <c r="Q4854" s="6" t="s">
        <v>4475</v>
      </c>
      <c r="T4854" s="23">
        <v>45867</v>
      </c>
      <c r="U4854" s="23">
        <v>48788</v>
      </c>
      <c r="X4854" s="20">
        <v>30000</v>
      </c>
      <c r="Z4854" s="6" t="s">
        <v>5978</v>
      </c>
      <c r="AA4854" s="14">
        <f t="shared" si="642"/>
        <v>5.9999999999999995E-4</v>
      </c>
      <c r="AB4854">
        <v>16.576391999999998</v>
      </c>
      <c r="AC4854">
        <v>17.239447679999998</v>
      </c>
    </row>
    <row r="4855" spans="1:29" x14ac:dyDescent="0.3">
      <c r="A4855">
        <v>149828</v>
      </c>
      <c r="B4855" s="25" t="s">
        <v>5984</v>
      </c>
      <c r="C4855" t="s">
        <v>20</v>
      </c>
      <c r="D4855" t="s">
        <v>21</v>
      </c>
      <c r="E4855">
        <v>2222222</v>
      </c>
      <c r="F4855" s="8" t="s">
        <v>22</v>
      </c>
      <c r="G4855" s="2">
        <v>98</v>
      </c>
      <c r="H4855" t="s">
        <v>4696</v>
      </c>
      <c r="J4855" s="9" t="s">
        <v>5068</v>
      </c>
      <c r="K4855" t="s">
        <v>5190</v>
      </c>
      <c r="L4855" s="2">
        <v>1</v>
      </c>
      <c r="M4855" s="24" t="s">
        <v>5971</v>
      </c>
      <c r="N4855" s="2" t="s">
        <v>23</v>
      </c>
      <c r="O4855" s="18" t="s">
        <v>376</v>
      </c>
      <c r="P4855" s="18" t="s">
        <v>0</v>
      </c>
      <c r="Q4855" s="6" t="s">
        <v>4475</v>
      </c>
      <c r="T4855" s="23">
        <v>46051</v>
      </c>
      <c r="U4855" s="23">
        <v>46596</v>
      </c>
      <c r="X4855" s="20">
        <v>2000</v>
      </c>
      <c r="Z4855" s="6" t="s">
        <v>5978</v>
      </c>
      <c r="AA4855" s="14">
        <f t="shared" si="642"/>
        <v>5.9999999999999995E-4</v>
      </c>
      <c r="AB4855">
        <v>0.89571599999999985</v>
      </c>
      <c r="AC4855">
        <v>0.93154463999999992</v>
      </c>
    </row>
    <row r="4856" spans="1:29" x14ac:dyDescent="0.3">
      <c r="A4856">
        <v>138308</v>
      </c>
      <c r="B4856" s="25" t="s">
        <v>5984</v>
      </c>
      <c r="C4856" t="s">
        <v>20</v>
      </c>
      <c r="D4856" t="s">
        <v>21</v>
      </c>
      <c r="E4856">
        <v>2222222</v>
      </c>
      <c r="F4856" s="8" t="s">
        <v>22</v>
      </c>
      <c r="G4856" s="2">
        <v>98</v>
      </c>
      <c r="H4856" t="s">
        <v>4697</v>
      </c>
      <c r="J4856" s="9" t="s">
        <v>4903</v>
      </c>
      <c r="K4856" t="s">
        <v>4836</v>
      </c>
      <c r="L4856" s="2">
        <v>1</v>
      </c>
      <c r="M4856" s="24" t="s">
        <v>5971</v>
      </c>
      <c r="N4856" s="2" t="s">
        <v>23</v>
      </c>
      <c r="O4856" s="18" t="s">
        <v>3657</v>
      </c>
      <c r="P4856" s="18" t="s">
        <v>3781</v>
      </c>
      <c r="Q4856" s="6" t="s">
        <v>4475</v>
      </c>
      <c r="T4856" s="23">
        <v>45268</v>
      </c>
      <c r="U4856" s="23">
        <v>46819</v>
      </c>
      <c r="X4856" s="20">
        <v>4500</v>
      </c>
      <c r="Z4856" s="6" t="s">
        <v>5978</v>
      </c>
      <c r="AA4856" s="13">
        <f>+(0.56/1000)</f>
        <v>5.6000000000000006E-4</v>
      </c>
      <c r="AB4856">
        <v>1.5982512000000002</v>
      </c>
      <c r="AC4856">
        <v>1.6621812480000002</v>
      </c>
    </row>
    <row r="4857" spans="1:29" x14ac:dyDescent="0.3">
      <c r="A4857">
        <v>103393</v>
      </c>
      <c r="B4857" s="25" t="s">
        <v>5984</v>
      </c>
      <c r="C4857" t="s">
        <v>20</v>
      </c>
      <c r="D4857" t="s">
        <v>21</v>
      </c>
      <c r="E4857">
        <v>2222222</v>
      </c>
      <c r="F4857" s="8" t="s">
        <v>22</v>
      </c>
      <c r="G4857" s="2">
        <v>98</v>
      </c>
      <c r="H4857" t="s">
        <v>4698</v>
      </c>
      <c r="J4857" s="9" t="s">
        <v>4896</v>
      </c>
      <c r="K4857" t="s">
        <v>5030</v>
      </c>
      <c r="L4857" s="2">
        <v>1</v>
      </c>
      <c r="M4857" s="24" t="s">
        <v>5971</v>
      </c>
      <c r="N4857" s="2" t="s">
        <v>23</v>
      </c>
      <c r="O4857" s="18" t="s">
        <v>2056</v>
      </c>
      <c r="P4857" s="18" t="s">
        <v>0</v>
      </c>
      <c r="Q4857" s="6" t="s">
        <v>4475</v>
      </c>
      <c r="T4857" s="23">
        <v>43552</v>
      </c>
      <c r="U4857" s="23">
        <v>46178</v>
      </c>
      <c r="X4857" s="20">
        <v>15000</v>
      </c>
      <c r="Z4857" s="6" t="s">
        <v>5978</v>
      </c>
      <c r="AA4857" s="15">
        <f>+(0.42/1000)</f>
        <v>4.1999999999999996E-4</v>
      </c>
      <c r="AB4857">
        <v>0.60317880000000001</v>
      </c>
      <c r="AC4857">
        <v>0.62730595200000006</v>
      </c>
    </row>
    <row r="4858" spans="1:29" x14ac:dyDescent="0.3">
      <c r="A4858">
        <v>130115</v>
      </c>
      <c r="B4858" s="25" t="s">
        <v>5984</v>
      </c>
      <c r="C4858" t="s">
        <v>20</v>
      </c>
      <c r="D4858" t="s">
        <v>21</v>
      </c>
      <c r="E4858">
        <v>2222222</v>
      </c>
      <c r="F4858" s="8" t="s">
        <v>22</v>
      </c>
      <c r="G4858" s="2">
        <v>98</v>
      </c>
      <c r="H4858" t="s">
        <v>4698</v>
      </c>
      <c r="J4858" s="9" t="s">
        <v>4896</v>
      </c>
      <c r="K4858" t="s">
        <v>5030</v>
      </c>
      <c r="L4858" s="2">
        <v>1</v>
      </c>
      <c r="M4858" s="24" t="s">
        <v>5971</v>
      </c>
      <c r="N4858" s="2" t="s">
        <v>23</v>
      </c>
      <c r="O4858" s="18" t="s">
        <v>2056</v>
      </c>
      <c r="P4858" s="18" t="s">
        <v>0</v>
      </c>
      <c r="Q4858" s="6" t="s">
        <v>4475</v>
      </c>
      <c r="T4858" s="23">
        <v>44847</v>
      </c>
      <c r="U4858" s="23">
        <v>46764</v>
      </c>
      <c r="X4858" s="20">
        <v>24400</v>
      </c>
      <c r="Z4858" s="6" t="s">
        <v>5978</v>
      </c>
      <c r="AA4858" s="13">
        <f t="shared" ref="AA4858:AA4860" si="643">+(0.56/1000)</f>
        <v>5.6000000000000006E-4</v>
      </c>
      <c r="AB4858">
        <v>5.8170280000000005</v>
      </c>
      <c r="AC4858">
        <v>6.0497091200000011</v>
      </c>
    </row>
    <row r="4859" spans="1:29" x14ac:dyDescent="0.3">
      <c r="A4859">
        <v>139947</v>
      </c>
      <c r="B4859" s="25" t="s">
        <v>5984</v>
      </c>
      <c r="C4859" t="s">
        <v>20</v>
      </c>
      <c r="D4859" t="s">
        <v>21</v>
      </c>
      <c r="E4859">
        <v>2222222</v>
      </c>
      <c r="F4859" s="8" t="s">
        <v>22</v>
      </c>
      <c r="G4859" s="2">
        <v>98</v>
      </c>
      <c r="H4859" t="s">
        <v>4699</v>
      </c>
      <c r="J4859" s="9" t="s">
        <v>5247</v>
      </c>
      <c r="K4859" t="s">
        <v>4964</v>
      </c>
      <c r="L4859" s="2">
        <v>1</v>
      </c>
      <c r="M4859" s="24" t="s">
        <v>5971</v>
      </c>
      <c r="N4859" s="2" t="s">
        <v>23</v>
      </c>
      <c r="O4859" s="18" t="s">
        <v>3658</v>
      </c>
      <c r="P4859" s="18" t="s">
        <v>0</v>
      </c>
      <c r="Q4859" s="6" t="s">
        <v>4475</v>
      </c>
      <c r="T4859" s="23">
        <v>45356</v>
      </c>
      <c r="U4859" s="23">
        <v>46816</v>
      </c>
      <c r="X4859" s="20">
        <v>5000</v>
      </c>
      <c r="Z4859" s="6" t="s">
        <v>5978</v>
      </c>
      <c r="AA4859" s="13">
        <f t="shared" si="643"/>
        <v>5.6000000000000006E-4</v>
      </c>
      <c r="AB4859">
        <v>2.5526144</v>
      </c>
      <c r="AC4859">
        <v>2.6547189759999998</v>
      </c>
    </row>
    <row r="4860" spans="1:29" x14ac:dyDescent="0.3">
      <c r="A4860">
        <v>133643</v>
      </c>
      <c r="B4860" s="25" t="s">
        <v>5984</v>
      </c>
      <c r="C4860" t="s">
        <v>20</v>
      </c>
      <c r="D4860" t="s">
        <v>21</v>
      </c>
      <c r="E4860">
        <v>2222222</v>
      </c>
      <c r="F4860" s="8" t="s">
        <v>22</v>
      </c>
      <c r="G4860" s="2">
        <v>98</v>
      </c>
      <c r="H4860" t="s">
        <v>4700</v>
      </c>
      <c r="J4860" s="9" t="s">
        <v>4929</v>
      </c>
      <c r="K4860" t="s">
        <v>4852</v>
      </c>
      <c r="L4860" s="2">
        <v>1</v>
      </c>
      <c r="M4860" s="24" t="s">
        <v>5971</v>
      </c>
      <c r="N4860" s="2" t="s">
        <v>23</v>
      </c>
      <c r="O4860" s="18" t="s">
        <v>3659</v>
      </c>
      <c r="P4860" s="18" t="s">
        <v>0</v>
      </c>
      <c r="Q4860" s="6" t="s">
        <v>4475</v>
      </c>
      <c r="T4860" s="23">
        <v>45016</v>
      </c>
      <c r="U4860" s="23">
        <v>46569</v>
      </c>
      <c r="X4860" s="20">
        <v>9000</v>
      </c>
      <c r="Z4860" s="6" t="s">
        <v>5978</v>
      </c>
      <c r="AA4860" s="13">
        <f t="shared" si="643"/>
        <v>5.6000000000000006E-4</v>
      </c>
      <c r="AB4860">
        <v>1.5826440000000002</v>
      </c>
      <c r="AC4860">
        <v>1.6459497600000002</v>
      </c>
    </row>
    <row r="4861" spans="1:29" x14ac:dyDescent="0.3">
      <c r="A4861">
        <v>145482</v>
      </c>
      <c r="B4861" s="25" t="s">
        <v>5984</v>
      </c>
      <c r="C4861" t="s">
        <v>20</v>
      </c>
      <c r="D4861" t="s">
        <v>21</v>
      </c>
      <c r="E4861">
        <v>2222222</v>
      </c>
      <c r="F4861" s="8" t="s">
        <v>22</v>
      </c>
      <c r="G4861" s="2">
        <v>98</v>
      </c>
      <c r="H4861" t="s">
        <v>4701</v>
      </c>
      <c r="J4861" s="9" t="s">
        <v>5101</v>
      </c>
      <c r="K4861" t="s">
        <v>5092</v>
      </c>
      <c r="L4861" s="2">
        <v>1</v>
      </c>
      <c r="M4861" s="24" t="s">
        <v>5971</v>
      </c>
      <c r="N4861" s="2" t="s">
        <v>23</v>
      </c>
      <c r="O4861" s="18" t="s">
        <v>3660</v>
      </c>
      <c r="P4861" s="18" t="s">
        <v>3781</v>
      </c>
      <c r="Q4861" s="6" t="s">
        <v>4475</v>
      </c>
      <c r="T4861" s="23">
        <v>45747</v>
      </c>
      <c r="U4861" s="23">
        <v>46842</v>
      </c>
      <c r="X4861" s="20">
        <v>4150</v>
      </c>
      <c r="Z4861" s="6" t="s">
        <v>5978</v>
      </c>
      <c r="AA4861" s="14">
        <f>+(0.6/1000)</f>
        <v>5.9999999999999995E-4</v>
      </c>
      <c r="AB4861">
        <v>1.5470519999999999</v>
      </c>
      <c r="AC4861">
        <v>1.6089340799999998</v>
      </c>
    </row>
    <row r="4862" spans="1:29" x14ac:dyDescent="0.3">
      <c r="A4862">
        <v>112779</v>
      </c>
      <c r="B4862" s="25" t="s">
        <v>5984</v>
      </c>
      <c r="C4862" t="s">
        <v>20</v>
      </c>
      <c r="D4862" t="s">
        <v>21</v>
      </c>
      <c r="E4862">
        <v>2222222</v>
      </c>
      <c r="F4862" s="8" t="s">
        <v>22</v>
      </c>
      <c r="G4862" s="2">
        <v>98</v>
      </c>
      <c r="H4862" t="s">
        <v>4702</v>
      </c>
      <c r="J4862" s="9" t="s">
        <v>4900</v>
      </c>
      <c r="K4862" t="s">
        <v>4901</v>
      </c>
      <c r="L4862" s="2">
        <v>1</v>
      </c>
      <c r="M4862" s="24" t="s">
        <v>5971</v>
      </c>
      <c r="N4862" s="2" t="s">
        <v>23</v>
      </c>
      <c r="O4862" s="18" t="s">
        <v>3234</v>
      </c>
      <c r="P4862" s="18" t="s">
        <v>0</v>
      </c>
      <c r="Q4862" s="6" t="s">
        <v>4475</v>
      </c>
      <c r="T4862" s="23">
        <v>43987</v>
      </c>
      <c r="U4862" s="23">
        <v>46543</v>
      </c>
      <c r="X4862" s="20">
        <v>9340</v>
      </c>
      <c r="Z4862" s="6" t="s">
        <v>5978</v>
      </c>
      <c r="AA4862" s="15">
        <f>+(0.42/1000)</f>
        <v>4.1999999999999996E-4</v>
      </c>
      <c r="AB4862">
        <v>0.79886099999999993</v>
      </c>
      <c r="AC4862">
        <v>0.83081543999999996</v>
      </c>
    </row>
    <row r="4863" spans="1:29" x14ac:dyDescent="0.3">
      <c r="A4863">
        <v>130456</v>
      </c>
      <c r="B4863" s="25" t="s">
        <v>5984</v>
      </c>
      <c r="C4863" t="s">
        <v>20</v>
      </c>
      <c r="D4863" t="s">
        <v>21</v>
      </c>
      <c r="E4863">
        <v>2222222</v>
      </c>
      <c r="F4863" s="8" t="s">
        <v>22</v>
      </c>
      <c r="G4863" s="2">
        <v>98</v>
      </c>
      <c r="H4863" t="s">
        <v>4702</v>
      </c>
      <c r="J4863" s="9" t="s">
        <v>5954</v>
      </c>
      <c r="K4863" t="s">
        <v>5108</v>
      </c>
      <c r="L4863" s="2">
        <v>1</v>
      </c>
      <c r="M4863" s="24" t="s">
        <v>5971</v>
      </c>
      <c r="N4863" s="2" t="s">
        <v>23</v>
      </c>
      <c r="O4863" s="18" t="s">
        <v>3661</v>
      </c>
      <c r="P4863" s="18" t="s">
        <v>0</v>
      </c>
      <c r="Q4863" s="6" t="s">
        <v>4475</v>
      </c>
      <c r="T4863" s="23">
        <v>44837</v>
      </c>
      <c r="U4863" s="23">
        <v>46312</v>
      </c>
      <c r="X4863" s="20">
        <v>5000</v>
      </c>
      <c r="Z4863" s="6" t="s">
        <v>5978</v>
      </c>
      <c r="AA4863" s="13">
        <f t="shared" ref="AA4863:AA4865" si="644">+(0.56/1000)</f>
        <v>5.6000000000000006E-4</v>
      </c>
      <c r="AB4863">
        <v>0.24291680000000002</v>
      </c>
      <c r="AC4863">
        <v>0.25263347200000003</v>
      </c>
    </row>
    <row r="4864" spans="1:29" x14ac:dyDescent="0.3">
      <c r="A4864">
        <v>136035</v>
      </c>
      <c r="B4864" s="25" t="s">
        <v>5984</v>
      </c>
      <c r="C4864" t="s">
        <v>20</v>
      </c>
      <c r="D4864" t="s">
        <v>21</v>
      </c>
      <c r="E4864">
        <v>2222222</v>
      </c>
      <c r="F4864" s="8" t="s">
        <v>22</v>
      </c>
      <c r="G4864" s="2">
        <v>98</v>
      </c>
      <c r="H4864" t="s">
        <v>4702</v>
      </c>
      <c r="J4864" s="9" t="s">
        <v>5165</v>
      </c>
      <c r="K4864" t="s">
        <v>4924</v>
      </c>
      <c r="L4864" s="2">
        <v>1</v>
      </c>
      <c r="M4864" s="24" t="s">
        <v>5971</v>
      </c>
      <c r="N4864" s="2" t="s">
        <v>23</v>
      </c>
      <c r="O4864" s="18" t="s">
        <v>3662</v>
      </c>
      <c r="P4864" s="18" t="s">
        <v>3781</v>
      </c>
      <c r="Q4864" s="6" t="s">
        <v>4475</v>
      </c>
      <c r="T4864" s="23">
        <v>45148</v>
      </c>
      <c r="U4864" s="23">
        <v>46335</v>
      </c>
      <c r="X4864" s="20">
        <v>5000</v>
      </c>
      <c r="Z4864" s="6" t="s">
        <v>5978</v>
      </c>
      <c r="AA4864" s="13">
        <f t="shared" si="644"/>
        <v>5.6000000000000006E-4</v>
      </c>
      <c r="AB4864">
        <v>0.49082320000000007</v>
      </c>
      <c r="AC4864">
        <v>0.51045612800000006</v>
      </c>
    </row>
    <row r="4865" spans="1:29" x14ac:dyDescent="0.3">
      <c r="A4865">
        <v>140180</v>
      </c>
      <c r="B4865" s="25" t="s">
        <v>5984</v>
      </c>
      <c r="C4865" t="s">
        <v>20</v>
      </c>
      <c r="D4865" t="s">
        <v>21</v>
      </c>
      <c r="E4865">
        <v>2222222</v>
      </c>
      <c r="F4865" s="8" t="s">
        <v>22</v>
      </c>
      <c r="G4865" s="2">
        <v>98</v>
      </c>
      <c r="H4865" t="s">
        <v>4702</v>
      </c>
      <c r="J4865" s="9" t="s">
        <v>4826</v>
      </c>
      <c r="K4865" t="s">
        <v>5281</v>
      </c>
      <c r="L4865" s="2">
        <v>1</v>
      </c>
      <c r="M4865" s="24" t="s">
        <v>5971</v>
      </c>
      <c r="N4865" s="2" t="s">
        <v>23</v>
      </c>
      <c r="O4865" s="18" t="s">
        <v>2728</v>
      </c>
      <c r="P4865" s="18" t="s">
        <v>0</v>
      </c>
      <c r="Q4865" s="6" t="s">
        <v>4475</v>
      </c>
      <c r="T4865" s="23">
        <v>45392</v>
      </c>
      <c r="U4865" s="23">
        <v>47036</v>
      </c>
      <c r="X4865" s="20">
        <v>9800</v>
      </c>
      <c r="Z4865" s="6" t="s">
        <v>5978</v>
      </c>
      <c r="AA4865" s="13">
        <f t="shared" si="644"/>
        <v>5.6000000000000006E-4</v>
      </c>
      <c r="AB4865">
        <v>3.1762752000000005</v>
      </c>
      <c r="AC4865">
        <v>3.3033262080000005</v>
      </c>
    </row>
    <row r="4866" spans="1:29" x14ac:dyDescent="0.3">
      <c r="A4866">
        <v>144547</v>
      </c>
      <c r="B4866" s="25" t="s">
        <v>5984</v>
      </c>
      <c r="C4866" t="s">
        <v>20</v>
      </c>
      <c r="D4866" t="s">
        <v>21</v>
      </c>
      <c r="E4866">
        <v>2222222</v>
      </c>
      <c r="F4866" s="8" t="s">
        <v>22</v>
      </c>
      <c r="G4866" s="2">
        <v>98</v>
      </c>
      <c r="H4866" t="s">
        <v>4702</v>
      </c>
      <c r="J4866" s="9" t="s">
        <v>5477</v>
      </c>
      <c r="K4866" t="s">
        <v>4856</v>
      </c>
      <c r="L4866" s="2">
        <v>1</v>
      </c>
      <c r="M4866" s="24" t="s">
        <v>5971</v>
      </c>
      <c r="N4866" s="2" t="s">
        <v>23</v>
      </c>
      <c r="O4866" s="18" t="s">
        <v>3663</v>
      </c>
      <c r="P4866" s="18" t="s">
        <v>0</v>
      </c>
      <c r="Q4866" s="6" t="s">
        <v>4475</v>
      </c>
      <c r="T4866" s="23">
        <v>45672</v>
      </c>
      <c r="U4866" s="23">
        <v>46766</v>
      </c>
      <c r="X4866" s="20">
        <v>2000</v>
      </c>
      <c r="Z4866" s="6" t="s">
        <v>5978</v>
      </c>
      <c r="AA4866" s="14">
        <f t="shared" ref="AA4866:AA4874" si="645">+(0.6/1000)</f>
        <v>5.9999999999999995E-4</v>
      </c>
      <c r="AB4866">
        <v>0.67504199999999992</v>
      </c>
      <c r="AC4866">
        <v>0.70204367999999995</v>
      </c>
    </row>
    <row r="4867" spans="1:29" x14ac:dyDescent="0.3">
      <c r="A4867">
        <v>144617</v>
      </c>
      <c r="B4867" s="25" t="s">
        <v>5984</v>
      </c>
      <c r="C4867" t="s">
        <v>20</v>
      </c>
      <c r="D4867" t="s">
        <v>21</v>
      </c>
      <c r="E4867">
        <v>2222222</v>
      </c>
      <c r="F4867" s="8" t="s">
        <v>22</v>
      </c>
      <c r="G4867" s="2">
        <v>98</v>
      </c>
      <c r="H4867" t="s">
        <v>4702</v>
      </c>
      <c r="J4867" s="9" t="s">
        <v>4826</v>
      </c>
      <c r="K4867" t="s">
        <v>5955</v>
      </c>
      <c r="L4867" s="2">
        <v>1</v>
      </c>
      <c r="M4867" s="24" t="s">
        <v>5971</v>
      </c>
      <c r="N4867" s="2" t="s">
        <v>23</v>
      </c>
      <c r="O4867" s="18" t="s">
        <v>465</v>
      </c>
      <c r="P4867" s="18" t="s">
        <v>0</v>
      </c>
      <c r="Q4867" s="6" t="s">
        <v>4475</v>
      </c>
      <c r="T4867" s="23">
        <v>45691</v>
      </c>
      <c r="U4867" s="23">
        <v>47519</v>
      </c>
      <c r="X4867" s="20">
        <v>7000</v>
      </c>
      <c r="Z4867" s="6" t="s">
        <v>5978</v>
      </c>
      <c r="AA4867" s="14">
        <f t="shared" si="645"/>
        <v>5.9999999999999995E-4</v>
      </c>
      <c r="AB4867">
        <v>3.3304679999999998</v>
      </c>
      <c r="AC4867">
        <v>3.4636867199999997</v>
      </c>
    </row>
    <row r="4868" spans="1:29" x14ac:dyDescent="0.3">
      <c r="A4868">
        <v>148723</v>
      </c>
      <c r="B4868" s="25" t="s">
        <v>5984</v>
      </c>
      <c r="C4868" t="s">
        <v>20</v>
      </c>
      <c r="D4868" t="s">
        <v>21</v>
      </c>
      <c r="E4868">
        <v>2222222</v>
      </c>
      <c r="F4868" s="8" t="s">
        <v>22</v>
      </c>
      <c r="G4868" s="2">
        <v>98</v>
      </c>
      <c r="H4868" t="s">
        <v>4702</v>
      </c>
      <c r="J4868" s="9" t="s">
        <v>5201</v>
      </c>
      <c r="K4868" t="s">
        <v>5018</v>
      </c>
      <c r="L4868" s="2">
        <v>1</v>
      </c>
      <c r="M4868" s="24" t="s">
        <v>5971</v>
      </c>
      <c r="N4868" s="2" t="s">
        <v>23</v>
      </c>
      <c r="O4868" s="18" t="s">
        <v>3664</v>
      </c>
      <c r="P4868" s="18" t="s">
        <v>0</v>
      </c>
      <c r="Q4868" s="6" t="s">
        <v>4475</v>
      </c>
      <c r="T4868" s="23">
        <v>45975</v>
      </c>
      <c r="U4868" s="23">
        <v>46521</v>
      </c>
      <c r="X4868" s="20">
        <v>1500</v>
      </c>
      <c r="Z4868" s="6" t="s">
        <v>5978</v>
      </c>
      <c r="AA4868" s="14">
        <f t="shared" si="645"/>
        <v>5.9999999999999995E-4</v>
      </c>
      <c r="AB4868">
        <v>0.52787399999999995</v>
      </c>
      <c r="AC4868">
        <v>0.54898895999999997</v>
      </c>
    </row>
    <row r="4869" spans="1:29" x14ac:dyDescent="0.3">
      <c r="A4869">
        <v>150672</v>
      </c>
      <c r="B4869" s="25" t="s">
        <v>5984</v>
      </c>
      <c r="C4869" t="s">
        <v>20</v>
      </c>
      <c r="D4869" t="s">
        <v>21</v>
      </c>
      <c r="E4869">
        <v>2222222</v>
      </c>
      <c r="F4869" s="8" t="s">
        <v>22</v>
      </c>
      <c r="G4869" s="2">
        <v>98</v>
      </c>
      <c r="H4869" t="s">
        <v>4702</v>
      </c>
      <c r="J4869" s="9" t="s">
        <v>5685</v>
      </c>
      <c r="K4869" t="s">
        <v>4926</v>
      </c>
      <c r="L4869" s="2">
        <v>1</v>
      </c>
      <c r="M4869" s="24" t="s">
        <v>5971</v>
      </c>
      <c r="N4869" s="2" t="s">
        <v>23</v>
      </c>
      <c r="O4869" s="18" t="s">
        <v>3665</v>
      </c>
      <c r="P4869" s="18" t="s">
        <v>3781</v>
      </c>
      <c r="Q4869" s="6" t="s">
        <v>4475</v>
      </c>
      <c r="T4869" s="23">
        <v>46168</v>
      </c>
      <c r="U4869" s="23">
        <v>49820</v>
      </c>
      <c r="X4869" s="20">
        <v>60000</v>
      </c>
      <c r="Z4869" s="6" t="s">
        <v>5978</v>
      </c>
      <c r="AA4869" s="14">
        <f t="shared" si="645"/>
        <v>5.9999999999999995E-4</v>
      </c>
      <c r="AB4869">
        <v>35.645339999999997</v>
      </c>
      <c r="AC4869">
        <v>37.071153599999995</v>
      </c>
    </row>
    <row r="4870" spans="1:29" x14ac:dyDescent="0.3">
      <c r="A4870">
        <v>150829</v>
      </c>
      <c r="B4870" s="25" t="s">
        <v>5984</v>
      </c>
      <c r="C4870" t="s">
        <v>20</v>
      </c>
      <c r="D4870" t="s">
        <v>21</v>
      </c>
      <c r="E4870">
        <v>2222222</v>
      </c>
      <c r="F4870" s="8" t="s">
        <v>22</v>
      </c>
      <c r="G4870" s="2">
        <v>98</v>
      </c>
      <c r="H4870" t="s">
        <v>4702</v>
      </c>
      <c r="J4870" s="9" t="s">
        <v>4988</v>
      </c>
      <c r="K4870" t="s">
        <v>4857</v>
      </c>
      <c r="L4870" s="2">
        <v>1</v>
      </c>
      <c r="M4870" s="24" t="s">
        <v>5971</v>
      </c>
      <c r="N4870" s="2" t="s">
        <v>23</v>
      </c>
      <c r="O4870" s="18" t="s">
        <v>3666</v>
      </c>
      <c r="P4870" s="18" t="s">
        <v>0</v>
      </c>
      <c r="Q4870" s="6" t="s">
        <v>4475</v>
      </c>
      <c r="T4870" s="23">
        <v>46119</v>
      </c>
      <c r="U4870" s="23">
        <v>46850</v>
      </c>
      <c r="X4870" s="20">
        <v>3600</v>
      </c>
      <c r="Z4870" s="6" t="s">
        <v>5978</v>
      </c>
      <c r="AA4870" s="14">
        <f t="shared" si="645"/>
        <v>5.9999999999999995E-4</v>
      </c>
      <c r="AB4870">
        <v>1.930542</v>
      </c>
      <c r="AC4870">
        <v>2.0077636800000001</v>
      </c>
    </row>
    <row r="4871" spans="1:29" x14ac:dyDescent="0.3">
      <c r="A4871">
        <v>151054</v>
      </c>
      <c r="B4871" s="25" t="s">
        <v>5984</v>
      </c>
      <c r="C4871" t="s">
        <v>20</v>
      </c>
      <c r="D4871" t="s">
        <v>21</v>
      </c>
      <c r="E4871">
        <v>2222222</v>
      </c>
      <c r="F4871" s="8" t="s">
        <v>22</v>
      </c>
      <c r="G4871" s="2">
        <v>98</v>
      </c>
      <c r="H4871" t="s">
        <v>4702</v>
      </c>
      <c r="J4871" s="9" t="s">
        <v>4901</v>
      </c>
      <c r="K4871" t="s">
        <v>5159</v>
      </c>
      <c r="L4871" s="2">
        <v>1</v>
      </c>
      <c r="M4871" s="24" t="s">
        <v>5971</v>
      </c>
      <c r="N4871" s="2" t="s">
        <v>23</v>
      </c>
      <c r="O4871" s="18" t="s">
        <v>1089</v>
      </c>
      <c r="P4871" s="18" t="s">
        <v>0</v>
      </c>
      <c r="Q4871" s="6" t="s">
        <v>4475</v>
      </c>
      <c r="T4871" s="23">
        <v>46135</v>
      </c>
      <c r="U4871" s="23">
        <v>47961</v>
      </c>
      <c r="X4871" s="20">
        <v>2650</v>
      </c>
      <c r="Z4871" s="6" t="s">
        <v>5978</v>
      </c>
      <c r="AA4871" s="14">
        <f t="shared" si="645"/>
        <v>5.9999999999999995E-4</v>
      </c>
      <c r="AB4871">
        <v>1.5899999999999999</v>
      </c>
      <c r="AC4871">
        <v>1.6536</v>
      </c>
    </row>
    <row r="4872" spans="1:29" x14ac:dyDescent="0.3">
      <c r="A4872">
        <v>151400</v>
      </c>
      <c r="B4872" s="25" t="s">
        <v>5984</v>
      </c>
      <c r="C4872" t="s">
        <v>20</v>
      </c>
      <c r="D4872" t="s">
        <v>21</v>
      </c>
      <c r="E4872">
        <v>2222222</v>
      </c>
      <c r="F4872" s="8" t="s">
        <v>22</v>
      </c>
      <c r="G4872" s="2">
        <v>98</v>
      </c>
      <c r="H4872" t="s">
        <v>4702</v>
      </c>
      <c r="J4872" s="9" t="s">
        <v>4830</v>
      </c>
      <c r="K4872" t="s">
        <v>4836</v>
      </c>
      <c r="L4872" s="2">
        <v>1</v>
      </c>
      <c r="M4872" s="24" t="s">
        <v>5971</v>
      </c>
      <c r="N4872" s="2" t="s">
        <v>23</v>
      </c>
      <c r="O4872" s="18" t="s">
        <v>3667</v>
      </c>
      <c r="P4872" s="18" t="s">
        <v>3781</v>
      </c>
      <c r="Q4872" s="6" t="s">
        <v>4475</v>
      </c>
      <c r="T4872" s="23">
        <v>46163</v>
      </c>
      <c r="U4872" s="23">
        <v>46893</v>
      </c>
      <c r="X4872" s="20">
        <v>5000</v>
      </c>
      <c r="Z4872" s="6" t="s">
        <v>5978</v>
      </c>
      <c r="AA4872" s="14">
        <f t="shared" si="645"/>
        <v>5.9999999999999995E-4</v>
      </c>
      <c r="AB4872">
        <v>2.7881580000000001</v>
      </c>
      <c r="AC4872">
        <v>2.8996843200000004</v>
      </c>
    </row>
    <row r="4873" spans="1:29" x14ac:dyDescent="0.3">
      <c r="A4873">
        <v>151777</v>
      </c>
      <c r="B4873" s="25" t="s">
        <v>5984</v>
      </c>
      <c r="C4873" t="s">
        <v>20</v>
      </c>
      <c r="D4873" t="s">
        <v>21</v>
      </c>
      <c r="E4873">
        <v>2222222</v>
      </c>
      <c r="F4873" s="8" t="s">
        <v>22</v>
      </c>
      <c r="G4873" s="2">
        <v>98</v>
      </c>
      <c r="H4873" t="s">
        <v>4702</v>
      </c>
      <c r="J4873" s="9" t="s">
        <v>4964</v>
      </c>
      <c r="K4873" t="s">
        <v>4844</v>
      </c>
      <c r="L4873" s="2">
        <v>1</v>
      </c>
      <c r="M4873" s="24" t="s">
        <v>5971</v>
      </c>
      <c r="N4873" s="2" t="s">
        <v>23</v>
      </c>
      <c r="O4873" s="18" t="s">
        <v>1294</v>
      </c>
      <c r="P4873" s="18" t="s">
        <v>0</v>
      </c>
      <c r="Q4873" s="6" t="s">
        <v>4475</v>
      </c>
      <c r="T4873" s="23">
        <v>46187</v>
      </c>
      <c r="U4873" s="23">
        <v>47252</v>
      </c>
      <c r="X4873" s="20">
        <v>4660</v>
      </c>
      <c r="Z4873" s="6" t="s">
        <v>5978</v>
      </c>
      <c r="AA4873" s="14">
        <f t="shared" si="645"/>
        <v>5.9999999999999995E-4</v>
      </c>
      <c r="AB4873">
        <v>2.7305999999999999</v>
      </c>
      <c r="AC4873">
        <v>2.8398240000000001</v>
      </c>
    </row>
    <row r="4874" spans="1:29" x14ac:dyDescent="0.3">
      <c r="A4874">
        <v>152228</v>
      </c>
      <c r="B4874" s="25" t="s">
        <v>5984</v>
      </c>
      <c r="C4874" t="s">
        <v>20</v>
      </c>
      <c r="D4874" t="s">
        <v>21</v>
      </c>
      <c r="E4874">
        <v>2222222</v>
      </c>
      <c r="F4874" s="8" t="s">
        <v>22</v>
      </c>
      <c r="G4874" s="2">
        <v>98</v>
      </c>
      <c r="H4874" t="s">
        <v>4702</v>
      </c>
      <c r="J4874" s="9" t="s">
        <v>4826</v>
      </c>
      <c r="K4874" t="s">
        <v>4827</v>
      </c>
      <c r="L4874" s="2">
        <v>1</v>
      </c>
      <c r="M4874" s="24" t="s">
        <v>5971</v>
      </c>
      <c r="N4874" s="2" t="s">
        <v>23</v>
      </c>
      <c r="O4874" s="18" t="s">
        <v>3668</v>
      </c>
      <c r="P4874" s="18" t="s">
        <v>0</v>
      </c>
      <c r="Q4874" s="6" t="s">
        <v>4475</v>
      </c>
      <c r="T4874" s="23">
        <v>46220</v>
      </c>
      <c r="U4874" s="23">
        <v>46310</v>
      </c>
      <c r="X4874" s="20">
        <v>3000</v>
      </c>
      <c r="Z4874" s="6" t="s">
        <v>5978</v>
      </c>
      <c r="AA4874" s="14">
        <f t="shared" si="645"/>
        <v>5.9999999999999995E-4</v>
      </c>
      <c r="AB4874">
        <v>1.7999999999999998</v>
      </c>
      <c r="AC4874">
        <v>1.8719999999999999</v>
      </c>
    </row>
    <row r="4875" spans="1:29" x14ac:dyDescent="0.3">
      <c r="A4875">
        <v>148528</v>
      </c>
      <c r="B4875" s="25" t="s">
        <v>5984</v>
      </c>
      <c r="C4875" t="s">
        <v>20</v>
      </c>
      <c r="D4875" t="s">
        <v>21</v>
      </c>
      <c r="E4875">
        <v>2222222</v>
      </c>
      <c r="F4875" s="8" t="s">
        <v>22</v>
      </c>
      <c r="G4875" s="2">
        <v>98</v>
      </c>
      <c r="H4875" t="s">
        <v>4703</v>
      </c>
      <c r="J4875" s="9" t="s">
        <v>4911</v>
      </c>
      <c r="K4875" t="s">
        <v>5844</v>
      </c>
      <c r="L4875" s="2">
        <v>1</v>
      </c>
      <c r="M4875" s="24" t="s">
        <v>5971</v>
      </c>
      <c r="N4875" s="2" t="s">
        <v>23</v>
      </c>
      <c r="O4875" s="18" t="s">
        <v>3669</v>
      </c>
      <c r="P4875" s="18" t="s">
        <v>3781</v>
      </c>
      <c r="Q4875" s="6" t="s">
        <v>4475</v>
      </c>
      <c r="T4875" s="23">
        <v>44757</v>
      </c>
      <c r="U4875" s="23">
        <v>46599</v>
      </c>
      <c r="X4875" s="20">
        <v>10900</v>
      </c>
      <c r="Z4875" s="6" t="s">
        <v>5978</v>
      </c>
      <c r="AA4875" s="15">
        <f>+(0.42/1000)</f>
        <v>4.1999999999999996E-4</v>
      </c>
      <c r="AB4875">
        <v>1.4259881999999999</v>
      </c>
      <c r="AC4875">
        <v>1.4830277279999999</v>
      </c>
    </row>
    <row r="4876" spans="1:29" x14ac:dyDescent="0.3">
      <c r="A4876">
        <v>148535</v>
      </c>
      <c r="B4876" s="25" t="s">
        <v>5984</v>
      </c>
      <c r="C4876" t="s">
        <v>20</v>
      </c>
      <c r="D4876" t="s">
        <v>21</v>
      </c>
      <c r="E4876">
        <v>2222222</v>
      </c>
      <c r="F4876" s="8" t="s">
        <v>22</v>
      </c>
      <c r="G4876" s="2">
        <v>98</v>
      </c>
      <c r="H4876" t="s">
        <v>4703</v>
      </c>
      <c r="J4876" s="9" t="s">
        <v>4911</v>
      </c>
      <c r="K4876" t="s">
        <v>5844</v>
      </c>
      <c r="L4876" s="2">
        <v>1</v>
      </c>
      <c r="M4876" s="24" t="s">
        <v>5971</v>
      </c>
      <c r="N4876" s="2" t="s">
        <v>23</v>
      </c>
      <c r="O4876" s="18" t="s">
        <v>3669</v>
      </c>
      <c r="P4876" s="18" t="s">
        <v>3781</v>
      </c>
      <c r="Q4876" s="6" t="s">
        <v>4475</v>
      </c>
      <c r="T4876" s="23">
        <v>44924</v>
      </c>
      <c r="U4876" s="23">
        <v>47107</v>
      </c>
      <c r="X4876" s="20">
        <v>5300</v>
      </c>
      <c r="Z4876" s="6" t="s">
        <v>5978</v>
      </c>
      <c r="AA4876" s="13">
        <f>+(0.56/1000)</f>
        <v>5.6000000000000006E-4</v>
      </c>
      <c r="AB4876">
        <v>1.5454824</v>
      </c>
      <c r="AC4876">
        <v>1.6073016960000002</v>
      </c>
    </row>
    <row r="4877" spans="1:29" x14ac:dyDescent="0.3">
      <c r="A4877">
        <v>152020</v>
      </c>
      <c r="B4877" s="25" t="s">
        <v>5984</v>
      </c>
      <c r="C4877" t="s">
        <v>20</v>
      </c>
      <c r="D4877" t="s">
        <v>21</v>
      </c>
      <c r="E4877">
        <v>2222222</v>
      </c>
      <c r="F4877" s="8" t="s">
        <v>22</v>
      </c>
      <c r="G4877" s="2">
        <v>98</v>
      </c>
      <c r="H4877" t="s">
        <v>4704</v>
      </c>
      <c r="J4877" s="9" t="s">
        <v>5164</v>
      </c>
      <c r="K4877" t="s">
        <v>4884</v>
      </c>
      <c r="L4877" s="2">
        <v>1</v>
      </c>
      <c r="M4877" s="24" t="s">
        <v>5971</v>
      </c>
      <c r="N4877" s="2" t="s">
        <v>23</v>
      </c>
      <c r="O4877" s="18" t="s">
        <v>3670</v>
      </c>
      <c r="P4877" s="18" t="s">
        <v>3781</v>
      </c>
      <c r="Q4877" s="6" t="s">
        <v>4475</v>
      </c>
      <c r="T4877" s="23">
        <v>46205</v>
      </c>
      <c r="U4877" s="23">
        <v>47666</v>
      </c>
      <c r="X4877" s="20">
        <v>5000</v>
      </c>
      <c r="Z4877" s="6" t="s">
        <v>5978</v>
      </c>
      <c r="AA4877" s="14">
        <f>+(0.6/1000)</f>
        <v>5.9999999999999995E-4</v>
      </c>
      <c r="AB4877">
        <v>2.9999999999999996</v>
      </c>
      <c r="AC4877">
        <v>3.1199999999999997</v>
      </c>
    </row>
    <row r="4878" spans="1:29" x14ac:dyDescent="0.3">
      <c r="A4878">
        <v>136117</v>
      </c>
      <c r="B4878" s="25" t="s">
        <v>5984</v>
      </c>
      <c r="C4878" t="s">
        <v>20</v>
      </c>
      <c r="D4878" t="s">
        <v>21</v>
      </c>
      <c r="E4878">
        <v>2222222</v>
      </c>
      <c r="F4878" s="8" t="s">
        <v>22</v>
      </c>
      <c r="G4878" s="2">
        <v>98</v>
      </c>
      <c r="H4878" t="s">
        <v>4705</v>
      </c>
      <c r="J4878" s="9" t="s">
        <v>5234</v>
      </c>
      <c r="K4878" t="s">
        <v>5956</v>
      </c>
      <c r="L4878" s="2">
        <v>1</v>
      </c>
      <c r="M4878" s="24" t="s">
        <v>5971</v>
      </c>
      <c r="N4878" s="2" t="s">
        <v>23</v>
      </c>
      <c r="O4878" s="18" t="s">
        <v>3671</v>
      </c>
      <c r="P4878" s="18" t="s">
        <v>0</v>
      </c>
      <c r="Q4878" s="6" t="s">
        <v>4475</v>
      </c>
      <c r="T4878" s="23">
        <v>45163</v>
      </c>
      <c r="U4878" s="23">
        <v>46623</v>
      </c>
      <c r="X4878" s="20">
        <v>5000</v>
      </c>
      <c r="Z4878" s="6" t="s">
        <v>5978</v>
      </c>
      <c r="AA4878" s="13">
        <f>+(0.56/1000)</f>
        <v>5.6000000000000006E-4</v>
      </c>
      <c r="AB4878">
        <v>0.17433360000000003</v>
      </c>
      <c r="AC4878">
        <v>0.18130694400000005</v>
      </c>
    </row>
    <row r="4879" spans="1:29" x14ac:dyDescent="0.3">
      <c r="A4879">
        <v>151543</v>
      </c>
      <c r="B4879" s="25" t="s">
        <v>5984</v>
      </c>
      <c r="C4879" t="s">
        <v>20</v>
      </c>
      <c r="D4879" t="s">
        <v>21</v>
      </c>
      <c r="E4879">
        <v>2222222</v>
      </c>
      <c r="F4879" s="8" t="s">
        <v>22</v>
      </c>
      <c r="G4879" s="2">
        <v>98</v>
      </c>
      <c r="H4879" t="s">
        <v>4706</v>
      </c>
      <c r="J4879" s="9" t="s">
        <v>4874</v>
      </c>
      <c r="K4879" t="s">
        <v>5696</v>
      </c>
      <c r="L4879" s="2">
        <v>1</v>
      </c>
      <c r="M4879" s="24" t="s">
        <v>5971</v>
      </c>
      <c r="N4879" s="2" t="s">
        <v>23</v>
      </c>
      <c r="O4879" s="18" t="s">
        <v>3672</v>
      </c>
      <c r="P4879" s="18" t="s">
        <v>0</v>
      </c>
      <c r="Q4879" s="6" t="s">
        <v>4475</v>
      </c>
      <c r="T4879" s="23">
        <v>46173</v>
      </c>
      <c r="U4879" s="23">
        <v>47998</v>
      </c>
      <c r="X4879" s="20">
        <v>14000</v>
      </c>
      <c r="Z4879" s="6" t="s">
        <v>5978</v>
      </c>
      <c r="AA4879" s="14">
        <f>+(0.6/1000)</f>
        <v>5.9999999999999995E-4</v>
      </c>
      <c r="AB4879">
        <v>8.3016959999999997</v>
      </c>
      <c r="AC4879">
        <v>8.6337638400000003</v>
      </c>
    </row>
    <row r="4880" spans="1:29" x14ac:dyDescent="0.3">
      <c r="A4880">
        <v>133109</v>
      </c>
      <c r="B4880" s="25" t="s">
        <v>5984</v>
      </c>
      <c r="C4880" t="s">
        <v>20</v>
      </c>
      <c r="D4880" t="s">
        <v>21</v>
      </c>
      <c r="E4880">
        <v>2222222</v>
      </c>
      <c r="F4880" s="8" t="s">
        <v>22</v>
      </c>
      <c r="G4880" s="2">
        <v>98</v>
      </c>
      <c r="H4880" t="s">
        <v>4707</v>
      </c>
      <c r="J4880" s="9" t="s">
        <v>5063</v>
      </c>
      <c r="K4880" t="s">
        <v>4953</v>
      </c>
      <c r="L4880" s="2">
        <v>1</v>
      </c>
      <c r="M4880" s="24" t="s">
        <v>5971</v>
      </c>
      <c r="N4880" s="2" t="s">
        <v>23</v>
      </c>
      <c r="O4880" s="18" t="s">
        <v>3673</v>
      </c>
      <c r="P4880" s="18" t="s">
        <v>0</v>
      </c>
      <c r="Q4880" s="6" t="s">
        <v>4475</v>
      </c>
      <c r="T4880" s="23">
        <v>44984</v>
      </c>
      <c r="U4880" s="23">
        <v>46442</v>
      </c>
      <c r="X4880" s="20">
        <v>5800</v>
      </c>
      <c r="Z4880" s="6" t="s">
        <v>5978</v>
      </c>
      <c r="AA4880" s="13">
        <f t="shared" ref="AA4880:AA4881" si="646">+(0.56/1000)</f>
        <v>5.6000000000000006E-4</v>
      </c>
      <c r="AB4880">
        <v>0.68721520000000014</v>
      </c>
      <c r="AC4880">
        <v>0.71470380800000022</v>
      </c>
    </row>
    <row r="4881" spans="1:29" x14ac:dyDescent="0.3">
      <c r="A4881">
        <v>138742</v>
      </c>
      <c r="B4881" s="25" t="s">
        <v>5984</v>
      </c>
      <c r="C4881" t="s">
        <v>20</v>
      </c>
      <c r="D4881" t="s">
        <v>21</v>
      </c>
      <c r="E4881">
        <v>2222222</v>
      </c>
      <c r="F4881" s="8" t="s">
        <v>22</v>
      </c>
      <c r="G4881" s="2">
        <v>98</v>
      </c>
      <c r="H4881" t="s">
        <v>4707</v>
      </c>
      <c r="J4881" s="9" t="s">
        <v>5477</v>
      </c>
      <c r="K4881" t="s">
        <v>4856</v>
      </c>
      <c r="L4881" s="2">
        <v>1</v>
      </c>
      <c r="M4881" s="24" t="s">
        <v>5971</v>
      </c>
      <c r="N4881" s="2" t="s">
        <v>23</v>
      </c>
      <c r="O4881" s="18" t="s">
        <v>3674</v>
      </c>
      <c r="P4881" s="18" t="s">
        <v>0</v>
      </c>
      <c r="Q4881" s="6" t="s">
        <v>4475</v>
      </c>
      <c r="T4881" s="23">
        <v>45299</v>
      </c>
      <c r="U4881" s="23">
        <v>46759</v>
      </c>
      <c r="X4881" s="20">
        <v>5000</v>
      </c>
      <c r="Z4881" s="6" t="s">
        <v>5978</v>
      </c>
      <c r="AA4881" s="13">
        <f t="shared" si="646"/>
        <v>5.6000000000000006E-4</v>
      </c>
      <c r="AB4881">
        <v>1.3033048</v>
      </c>
      <c r="AC4881">
        <v>1.355436992</v>
      </c>
    </row>
    <row r="4882" spans="1:29" x14ac:dyDescent="0.3">
      <c r="A4882">
        <v>141584</v>
      </c>
      <c r="B4882" s="25" t="s">
        <v>5984</v>
      </c>
      <c r="C4882" t="s">
        <v>20</v>
      </c>
      <c r="D4882" t="s">
        <v>21</v>
      </c>
      <c r="E4882">
        <v>2222222</v>
      </c>
      <c r="F4882" s="8" t="s">
        <v>22</v>
      </c>
      <c r="G4882" s="2">
        <v>98</v>
      </c>
      <c r="H4882" t="s">
        <v>4707</v>
      </c>
      <c r="J4882" s="9" t="s">
        <v>5610</v>
      </c>
      <c r="K4882" t="s">
        <v>4863</v>
      </c>
      <c r="L4882" s="2">
        <v>1</v>
      </c>
      <c r="M4882" s="24" t="s">
        <v>5971</v>
      </c>
      <c r="N4882" s="2" t="s">
        <v>23</v>
      </c>
      <c r="O4882" s="18" t="s">
        <v>3675</v>
      </c>
      <c r="P4882" s="18" t="s">
        <v>3781</v>
      </c>
      <c r="Q4882" s="6" t="s">
        <v>4475</v>
      </c>
      <c r="T4882" s="23">
        <v>45469</v>
      </c>
      <c r="U4882" s="23">
        <v>47295</v>
      </c>
      <c r="X4882" s="20">
        <v>5950</v>
      </c>
      <c r="Z4882" s="6" t="s">
        <v>5978</v>
      </c>
      <c r="AA4882" s="14">
        <f t="shared" ref="AA4882:AA4896" si="647">+(0.6/1000)</f>
        <v>5.9999999999999995E-4</v>
      </c>
      <c r="AB4882">
        <v>2.4543719999999998</v>
      </c>
      <c r="AC4882">
        <v>2.55254688</v>
      </c>
    </row>
    <row r="4883" spans="1:29" x14ac:dyDescent="0.3">
      <c r="A4883">
        <v>146573</v>
      </c>
      <c r="B4883" s="25" t="s">
        <v>5984</v>
      </c>
      <c r="C4883" t="s">
        <v>20</v>
      </c>
      <c r="D4883" t="s">
        <v>21</v>
      </c>
      <c r="E4883">
        <v>2222222</v>
      </c>
      <c r="F4883" s="8" t="s">
        <v>22</v>
      </c>
      <c r="G4883" s="2">
        <v>98</v>
      </c>
      <c r="H4883" t="s">
        <v>4707</v>
      </c>
      <c r="J4883" s="9" t="s">
        <v>5165</v>
      </c>
      <c r="K4883" t="s">
        <v>4924</v>
      </c>
      <c r="L4883" s="2">
        <v>1</v>
      </c>
      <c r="M4883" s="24" t="s">
        <v>5971</v>
      </c>
      <c r="N4883" s="2" t="s">
        <v>23</v>
      </c>
      <c r="O4883" s="18" t="s">
        <v>2030</v>
      </c>
      <c r="P4883" s="18" t="s">
        <v>3781</v>
      </c>
      <c r="Q4883" s="6" t="s">
        <v>4475</v>
      </c>
      <c r="T4883" s="23">
        <v>45827</v>
      </c>
      <c r="U4883" s="23">
        <v>46557</v>
      </c>
      <c r="X4883" s="20">
        <v>1000</v>
      </c>
      <c r="Z4883" s="6" t="s">
        <v>5978</v>
      </c>
      <c r="AA4883" s="14">
        <f t="shared" si="647"/>
        <v>5.9999999999999995E-4</v>
      </c>
      <c r="AB4883">
        <v>0.37467</v>
      </c>
      <c r="AC4883">
        <v>0.38965680000000003</v>
      </c>
    </row>
    <row r="4884" spans="1:29" x14ac:dyDescent="0.3">
      <c r="A4884">
        <v>147490</v>
      </c>
      <c r="B4884" s="25" t="s">
        <v>5984</v>
      </c>
      <c r="C4884" t="s">
        <v>20</v>
      </c>
      <c r="D4884" t="s">
        <v>21</v>
      </c>
      <c r="E4884">
        <v>2222222</v>
      </c>
      <c r="F4884" s="8" t="s">
        <v>22</v>
      </c>
      <c r="G4884" s="2">
        <v>98</v>
      </c>
      <c r="H4884" t="s">
        <v>4707</v>
      </c>
      <c r="J4884" s="9" t="s">
        <v>5080</v>
      </c>
      <c r="K4884" t="s">
        <v>4875</v>
      </c>
      <c r="L4884" s="2">
        <v>1</v>
      </c>
      <c r="M4884" s="24" t="s">
        <v>5971</v>
      </c>
      <c r="N4884" s="2" t="s">
        <v>23</v>
      </c>
      <c r="O4884" s="18" t="s">
        <v>3676</v>
      </c>
      <c r="P4884" s="18" t="s">
        <v>0</v>
      </c>
      <c r="Q4884" s="6" t="s">
        <v>4475</v>
      </c>
      <c r="T4884" s="23">
        <v>45898</v>
      </c>
      <c r="U4884" s="23">
        <v>48454</v>
      </c>
      <c r="X4884" s="20">
        <v>30000</v>
      </c>
      <c r="Z4884" s="6" t="s">
        <v>5978</v>
      </c>
      <c r="AA4884" s="14">
        <f t="shared" si="647"/>
        <v>5.9999999999999995E-4</v>
      </c>
      <c r="AB4884">
        <v>16.513709999999996</v>
      </c>
      <c r="AC4884">
        <v>17.174258399999996</v>
      </c>
    </row>
    <row r="4885" spans="1:29" x14ac:dyDescent="0.3">
      <c r="A4885">
        <v>147581</v>
      </c>
      <c r="B4885" s="25" t="s">
        <v>5984</v>
      </c>
      <c r="C4885" t="s">
        <v>20</v>
      </c>
      <c r="D4885" t="s">
        <v>21</v>
      </c>
      <c r="E4885">
        <v>2222222</v>
      </c>
      <c r="F4885" s="8" t="s">
        <v>22</v>
      </c>
      <c r="G4885" s="2">
        <v>98</v>
      </c>
      <c r="H4885" t="s">
        <v>4707</v>
      </c>
      <c r="J4885" s="9" t="s">
        <v>5067</v>
      </c>
      <c r="K4885" t="s">
        <v>4761</v>
      </c>
      <c r="L4885" s="2">
        <v>1</v>
      </c>
      <c r="M4885" s="24" t="s">
        <v>5971</v>
      </c>
      <c r="N4885" s="2" t="s">
        <v>23</v>
      </c>
      <c r="O4885" s="18" t="s">
        <v>3677</v>
      </c>
      <c r="P4885" s="18" t="s">
        <v>3781</v>
      </c>
      <c r="Q4885" s="6" t="s">
        <v>4475</v>
      </c>
      <c r="T4885" s="23">
        <v>45898</v>
      </c>
      <c r="U4885" s="23">
        <v>47723</v>
      </c>
      <c r="X4885" s="20">
        <v>4665</v>
      </c>
      <c r="Z4885" s="6" t="s">
        <v>5978</v>
      </c>
      <c r="AA4885" s="14">
        <f t="shared" si="647"/>
        <v>5.9999999999999995E-4</v>
      </c>
      <c r="AB4885">
        <v>2.4569099999999997</v>
      </c>
      <c r="AC4885">
        <v>2.5551863999999997</v>
      </c>
    </row>
    <row r="4886" spans="1:29" x14ac:dyDescent="0.3">
      <c r="A4886">
        <v>148161</v>
      </c>
      <c r="B4886" s="25" t="s">
        <v>5984</v>
      </c>
      <c r="C4886" t="s">
        <v>20</v>
      </c>
      <c r="D4886" t="s">
        <v>21</v>
      </c>
      <c r="E4886">
        <v>2222222</v>
      </c>
      <c r="F4886" s="8" t="s">
        <v>22</v>
      </c>
      <c r="G4886" s="2">
        <v>98</v>
      </c>
      <c r="H4886" t="s">
        <v>4707</v>
      </c>
      <c r="J4886" s="9" t="s">
        <v>5098</v>
      </c>
      <c r="K4886" t="s">
        <v>5025</v>
      </c>
      <c r="L4886" s="2">
        <v>1</v>
      </c>
      <c r="M4886" s="24" t="s">
        <v>5971</v>
      </c>
      <c r="N4886" s="2" t="s">
        <v>23</v>
      </c>
      <c r="O4886" s="18" t="s">
        <v>3678</v>
      </c>
      <c r="P4886" s="18" t="s">
        <v>3781</v>
      </c>
      <c r="Q4886" s="6" t="s">
        <v>4475</v>
      </c>
      <c r="T4886" s="23">
        <v>45951</v>
      </c>
      <c r="U4886" s="23">
        <v>53255</v>
      </c>
      <c r="X4886" s="20">
        <v>104000</v>
      </c>
      <c r="Z4886" s="6" t="s">
        <v>5978</v>
      </c>
      <c r="AA4886" s="14">
        <f t="shared" si="647"/>
        <v>5.9999999999999995E-4</v>
      </c>
      <c r="AB4886">
        <v>61.702505999999993</v>
      </c>
      <c r="AC4886">
        <v>64.170606239999998</v>
      </c>
    </row>
    <row r="4887" spans="1:29" x14ac:dyDescent="0.3">
      <c r="A4887">
        <v>148164</v>
      </c>
      <c r="B4887" s="25" t="s">
        <v>5984</v>
      </c>
      <c r="C4887" t="s">
        <v>20</v>
      </c>
      <c r="D4887" t="s">
        <v>21</v>
      </c>
      <c r="E4887">
        <v>2222222</v>
      </c>
      <c r="F4887" s="8" t="s">
        <v>22</v>
      </c>
      <c r="G4887" s="2">
        <v>98</v>
      </c>
      <c r="H4887" t="s">
        <v>4707</v>
      </c>
      <c r="J4887" s="9" t="s">
        <v>4950</v>
      </c>
      <c r="K4887" t="s">
        <v>4953</v>
      </c>
      <c r="L4887" s="2">
        <v>1</v>
      </c>
      <c r="M4887" s="24" t="s">
        <v>5971</v>
      </c>
      <c r="N4887" s="2" t="s">
        <v>23</v>
      </c>
      <c r="O4887" s="18" t="s">
        <v>3679</v>
      </c>
      <c r="P4887" s="18" t="s">
        <v>0</v>
      </c>
      <c r="Q4887" s="6" t="s">
        <v>4475</v>
      </c>
      <c r="T4887" s="23">
        <v>45951</v>
      </c>
      <c r="U4887" s="23">
        <v>53255</v>
      </c>
      <c r="X4887" s="20">
        <v>104000</v>
      </c>
      <c r="Z4887" s="6" t="s">
        <v>5978</v>
      </c>
      <c r="AA4887" s="14">
        <f t="shared" si="647"/>
        <v>5.9999999999999995E-4</v>
      </c>
      <c r="AB4887">
        <v>61.702505999999993</v>
      </c>
      <c r="AC4887">
        <v>64.170606239999998</v>
      </c>
    </row>
    <row r="4888" spans="1:29" x14ac:dyDescent="0.3">
      <c r="A4888">
        <v>148498</v>
      </c>
      <c r="B4888" s="25" t="s">
        <v>5984</v>
      </c>
      <c r="C4888" t="s">
        <v>20</v>
      </c>
      <c r="D4888" t="s">
        <v>21</v>
      </c>
      <c r="E4888">
        <v>2222222</v>
      </c>
      <c r="F4888" s="8" t="s">
        <v>22</v>
      </c>
      <c r="G4888" s="2">
        <v>98</v>
      </c>
      <c r="H4888" t="s">
        <v>4707</v>
      </c>
      <c r="J4888" s="9" t="s">
        <v>4852</v>
      </c>
      <c r="K4888" t="s">
        <v>4841</v>
      </c>
      <c r="L4888" s="2">
        <v>1</v>
      </c>
      <c r="M4888" s="24" t="s">
        <v>5971</v>
      </c>
      <c r="N4888" s="2" t="s">
        <v>23</v>
      </c>
      <c r="O4888" s="18" t="s">
        <v>3680</v>
      </c>
      <c r="P4888" s="18" t="s">
        <v>0</v>
      </c>
      <c r="Q4888" s="6" t="s">
        <v>4475</v>
      </c>
      <c r="T4888" s="23">
        <v>45828</v>
      </c>
      <c r="U4888" s="23">
        <v>48370</v>
      </c>
      <c r="X4888" s="20">
        <v>25000</v>
      </c>
      <c r="Z4888" s="6" t="s">
        <v>5978</v>
      </c>
      <c r="AA4888" s="14">
        <f t="shared" si="647"/>
        <v>5.9999999999999995E-4</v>
      </c>
      <c r="AB4888">
        <v>13.481928</v>
      </c>
      <c r="AC4888">
        <v>14.021205120000001</v>
      </c>
    </row>
    <row r="4889" spans="1:29" x14ac:dyDescent="0.3">
      <c r="A4889">
        <v>152110</v>
      </c>
      <c r="B4889" s="25" t="s">
        <v>5984</v>
      </c>
      <c r="C4889" t="s">
        <v>20</v>
      </c>
      <c r="D4889" t="s">
        <v>21</v>
      </c>
      <c r="E4889">
        <v>2222222</v>
      </c>
      <c r="F4889" s="8" t="s">
        <v>22</v>
      </c>
      <c r="G4889" s="2">
        <v>98</v>
      </c>
      <c r="H4889" t="s">
        <v>4707</v>
      </c>
      <c r="J4889" s="9" t="s">
        <v>5477</v>
      </c>
      <c r="K4889" t="s">
        <v>4856</v>
      </c>
      <c r="L4889" s="2">
        <v>1</v>
      </c>
      <c r="M4889" s="24" t="s">
        <v>5971</v>
      </c>
      <c r="N4889" s="2" t="s">
        <v>23</v>
      </c>
      <c r="O4889" s="18" t="s">
        <v>3674</v>
      </c>
      <c r="P4889" s="18" t="s">
        <v>0</v>
      </c>
      <c r="Q4889" s="6" t="s">
        <v>4475</v>
      </c>
      <c r="T4889" s="23">
        <v>46212</v>
      </c>
      <c r="U4889" s="23">
        <v>46942</v>
      </c>
      <c r="X4889" s="20">
        <v>3300</v>
      </c>
      <c r="Z4889" s="6" t="s">
        <v>5978</v>
      </c>
      <c r="AA4889" s="14">
        <f t="shared" si="647"/>
        <v>5.9999999999999995E-4</v>
      </c>
      <c r="AB4889">
        <v>1.9799999999999998</v>
      </c>
      <c r="AC4889">
        <v>2.0591999999999997</v>
      </c>
    </row>
    <row r="4890" spans="1:29" x14ac:dyDescent="0.3">
      <c r="A4890">
        <v>152189</v>
      </c>
      <c r="B4890" s="25" t="s">
        <v>5984</v>
      </c>
      <c r="C4890" t="s">
        <v>20</v>
      </c>
      <c r="D4890" t="s">
        <v>21</v>
      </c>
      <c r="E4890">
        <v>2222222</v>
      </c>
      <c r="F4890" s="8" t="s">
        <v>22</v>
      </c>
      <c r="G4890" s="2">
        <v>98</v>
      </c>
      <c r="H4890" t="s">
        <v>4707</v>
      </c>
      <c r="J4890" s="9" t="s">
        <v>5057</v>
      </c>
      <c r="K4890" t="s">
        <v>4926</v>
      </c>
      <c r="L4890" s="2">
        <v>1</v>
      </c>
      <c r="M4890" s="24" t="s">
        <v>5971</v>
      </c>
      <c r="N4890" s="2" t="s">
        <v>23</v>
      </c>
      <c r="O4890" s="18" t="s">
        <v>3681</v>
      </c>
      <c r="P4890" s="18" t="s">
        <v>3781</v>
      </c>
      <c r="Q4890" s="6" t="s">
        <v>4475</v>
      </c>
      <c r="T4890" s="23">
        <v>46218</v>
      </c>
      <c r="U4890" s="23">
        <v>46401</v>
      </c>
      <c r="X4890" s="20">
        <v>770</v>
      </c>
      <c r="Z4890" s="6" t="s">
        <v>5978</v>
      </c>
      <c r="AA4890" s="14">
        <f t="shared" si="647"/>
        <v>5.9999999999999995E-4</v>
      </c>
      <c r="AB4890">
        <v>0.46199999999999997</v>
      </c>
      <c r="AC4890">
        <v>0.48047999999999996</v>
      </c>
    </row>
    <row r="4891" spans="1:29" x14ac:dyDescent="0.3">
      <c r="A4891">
        <v>152330</v>
      </c>
      <c r="B4891" s="25" t="s">
        <v>5984</v>
      </c>
      <c r="C4891" t="s">
        <v>20</v>
      </c>
      <c r="D4891" t="s">
        <v>21</v>
      </c>
      <c r="E4891">
        <v>2222222</v>
      </c>
      <c r="F4891" s="8" t="s">
        <v>22</v>
      </c>
      <c r="G4891" s="2">
        <v>98</v>
      </c>
      <c r="H4891" t="s">
        <v>4707</v>
      </c>
      <c r="J4891" s="9" t="s">
        <v>4898</v>
      </c>
      <c r="K4891" t="s">
        <v>5957</v>
      </c>
      <c r="L4891" s="2">
        <v>1</v>
      </c>
      <c r="M4891" s="24" t="s">
        <v>5971</v>
      </c>
      <c r="N4891" s="2" t="s">
        <v>23</v>
      </c>
      <c r="O4891" s="18" t="s">
        <v>3682</v>
      </c>
      <c r="P4891" s="18" t="s">
        <v>3781</v>
      </c>
      <c r="Q4891" s="6" t="s">
        <v>4475</v>
      </c>
      <c r="T4891" s="23">
        <v>46230</v>
      </c>
      <c r="U4891" s="23">
        <v>47325</v>
      </c>
      <c r="X4891" s="20">
        <v>3410</v>
      </c>
      <c r="Z4891" s="6" t="s">
        <v>5978</v>
      </c>
      <c r="AA4891" s="14">
        <f t="shared" si="647"/>
        <v>5.9999999999999995E-4</v>
      </c>
      <c r="AB4891">
        <v>2.0459999999999998</v>
      </c>
      <c r="AC4891">
        <v>2.12784</v>
      </c>
    </row>
    <row r="4892" spans="1:29" x14ac:dyDescent="0.3">
      <c r="A4892">
        <v>151501</v>
      </c>
      <c r="B4892" s="25" t="s">
        <v>5984</v>
      </c>
      <c r="C4892" t="s">
        <v>20</v>
      </c>
      <c r="D4892" t="s">
        <v>21</v>
      </c>
      <c r="E4892">
        <v>2222222</v>
      </c>
      <c r="F4892" s="8" t="s">
        <v>22</v>
      </c>
      <c r="G4892" s="2">
        <v>98</v>
      </c>
      <c r="H4892" t="s">
        <v>4708</v>
      </c>
      <c r="J4892" s="9" t="s">
        <v>4852</v>
      </c>
      <c r="K4892" t="s">
        <v>5879</v>
      </c>
      <c r="L4892" s="2">
        <v>1</v>
      </c>
      <c r="M4892" s="24" t="s">
        <v>5971</v>
      </c>
      <c r="N4892" s="2" t="s">
        <v>23</v>
      </c>
      <c r="O4892" s="18" t="s">
        <v>3683</v>
      </c>
      <c r="P4892" s="18" t="s">
        <v>0</v>
      </c>
      <c r="Q4892" s="6" t="s">
        <v>4475</v>
      </c>
      <c r="T4892" s="23">
        <v>46169</v>
      </c>
      <c r="U4892" s="23">
        <v>46899</v>
      </c>
      <c r="X4892" s="20">
        <v>5000</v>
      </c>
      <c r="Z4892" s="6" t="s">
        <v>5978</v>
      </c>
      <c r="AA4892" s="14">
        <f t="shared" si="647"/>
        <v>5.9999999999999995E-4</v>
      </c>
      <c r="AB4892">
        <v>2.7881580000000001</v>
      </c>
      <c r="AC4892">
        <v>2.8996843200000004</v>
      </c>
    </row>
    <row r="4893" spans="1:29" x14ac:dyDescent="0.3">
      <c r="A4893">
        <v>143150</v>
      </c>
      <c r="B4893" s="25" t="s">
        <v>5984</v>
      </c>
      <c r="C4893" t="s">
        <v>20</v>
      </c>
      <c r="D4893" t="s">
        <v>21</v>
      </c>
      <c r="E4893">
        <v>2222222</v>
      </c>
      <c r="F4893" s="8" t="s">
        <v>22</v>
      </c>
      <c r="G4893" s="2">
        <v>98</v>
      </c>
      <c r="H4893" t="s">
        <v>4709</v>
      </c>
      <c r="J4893" s="9" t="s">
        <v>5336</v>
      </c>
      <c r="K4893" t="s">
        <v>5571</v>
      </c>
      <c r="L4893" s="2">
        <v>1</v>
      </c>
      <c r="M4893" s="24" t="s">
        <v>5971</v>
      </c>
      <c r="N4893" s="2" t="s">
        <v>23</v>
      </c>
      <c r="O4893" s="18" t="s">
        <v>3684</v>
      </c>
      <c r="P4893" s="18" t="s">
        <v>0</v>
      </c>
      <c r="Q4893" s="6" t="s">
        <v>4475</v>
      </c>
      <c r="T4893" s="23">
        <v>45569</v>
      </c>
      <c r="U4893" s="23">
        <v>47029</v>
      </c>
      <c r="X4893" s="20">
        <v>3760</v>
      </c>
      <c r="Z4893" s="6" t="s">
        <v>5978</v>
      </c>
      <c r="AA4893" s="14">
        <f t="shared" si="647"/>
        <v>5.9999999999999995E-4</v>
      </c>
      <c r="AB4893">
        <v>1.4731199999999998</v>
      </c>
      <c r="AC4893">
        <v>1.5320447999999998</v>
      </c>
    </row>
    <row r="4894" spans="1:29" x14ac:dyDescent="0.3">
      <c r="A4894">
        <v>150818</v>
      </c>
      <c r="B4894" s="25" t="s">
        <v>5984</v>
      </c>
      <c r="C4894" t="s">
        <v>20</v>
      </c>
      <c r="D4894" t="s">
        <v>21</v>
      </c>
      <c r="E4894">
        <v>2222222</v>
      </c>
      <c r="F4894" s="8" t="s">
        <v>22</v>
      </c>
      <c r="G4894" s="2">
        <v>98</v>
      </c>
      <c r="H4894" t="s">
        <v>4710</v>
      </c>
      <c r="J4894" s="9" t="s">
        <v>5388</v>
      </c>
      <c r="K4894" t="s">
        <v>4884</v>
      </c>
      <c r="L4894" s="2">
        <v>1</v>
      </c>
      <c r="M4894" s="24" t="s">
        <v>5971</v>
      </c>
      <c r="N4894" s="2" t="s">
        <v>23</v>
      </c>
      <c r="O4894" s="18" t="s">
        <v>1324</v>
      </c>
      <c r="P4894" s="18" t="s">
        <v>3781</v>
      </c>
      <c r="Q4894" s="6" t="s">
        <v>4475</v>
      </c>
      <c r="T4894" s="23">
        <v>46119</v>
      </c>
      <c r="U4894" s="23">
        <v>47215</v>
      </c>
      <c r="X4894" s="20">
        <v>3630</v>
      </c>
      <c r="Z4894" s="6" t="s">
        <v>5978</v>
      </c>
      <c r="AA4894" s="14">
        <f t="shared" si="647"/>
        <v>5.9999999999999995E-4</v>
      </c>
      <c r="AB4894">
        <v>2.0293979999999996</v>
      </c>
      <c r="AC4894">
        <v>2.1105739199999998</v>
      </c>
    </row>
    <row r="4895" spans="1:29" x14ac:dyDescent="0.3">
      <c r="A4895">
        <v>151782</v>
      </c>
      <c r="B4895" s="25" t="s">
        <v>5984</v>
      </c>
      <c r="C4895" t="s">
        <v>20</v>
      </c>
      <c r="D4895" t="s">
        <v>21</v>
      </c>
      <c r="E4895">
        <v>2222222</v>
      </c>
      <c r="F4895" s="8" t="s">
        <v>22</v>
      </c>
      <c r="G4895" s="2">
        <v>98</v>
      </c>
      <c r="H4895" t="s">
        <v>4710</v>
      </c>
      <c r="J4895" s="9" t="s">
        <v>5057</v>
      </c>
      <c r="K4895" t="s">
        <v>4999</v>
      </c>
      <c r="L4895" s="2">
        <v>1</v>
      </c>
      <c r="M4895" s="24" t="s">
        <v>5971</v>
      </c>
      <c r="N4895" s="2" t="s">
        <v>23</v>
      </c>
      <c r="O4895" s="18" t="s">
        <v>3685</v>
      </c>
      <c r="P4895" s="18" t="s">
        <v>3781</v>
      </c>
      <c r="Q4895" s="6" t="s">
        <v>4475</v>
      </c>
      <c r="T4895" s="23">
        <v>46197</v>
      </c>
      <c r="U4895" s="23">
        <v>48754</v>
      </c>
      <c r="X4895" s="20">
        <v>9300</v>
      </c>
      <c r="Z4895" s="6" t="s">
        <v>5978</v>
      </c>
      <c r="AA4895" s="14">
        <f t="shared" si="647"/>
        <v>5.9999999999999995E-4</v>
      </c>
      <c r="AB4895">
        <v>5.5428600000000001</v>
      </c>
      <c r="AC4895">
        <v>5.7645744000000008</v>
      </c>
    </row>
    <row r="4896" spans="1:29" x14ac:dyDescent="0.3">
      <c r="A4896">
        <v>151822</v>
      </c>
      <c r="B4896" s="25" t="s">
        <v>5984</v>
      </c>
      <c r="C4896" t="s">
        <v>20</v>
      </c>
      <c r="D4896" t="s">
        <v>21</v>
      </c>
      <c r="E4896">
        <v>2222222</v>
      </c>
      <c r="F4896" s="8" t="s">
        <v>22</v>
      </c>
      <c r="G4896" s="2">
        <v>98</v>
      </c>
      <c r="H4896" t="s">
        <v>4711</v>
      </c>
      <c r="J4896" s="9" t="s">
        <v>5958</v>
      </c>
      <c r="K4896" t="s">
        <v>5164</v>
      </c>
      <c r="L4896" s="2">
        <v>1</v>
      </c>
      <c r="M4896" s="24" t="s">
        <v>5971</v>
      </c>
      <c r="N4896" s="2" t="s">
        <v>23</v>
      </c>
      <c r="O4896" s="18" t="s">
        <v>3686</v>
      </c>
      <c r="P4896" s="18" t="s">
        <v>3781</v>
      </c>
      <c r="Q4896" s="6" t="s">
        <v>4475</v>
      </c>
      <c r="T4896" s="23">
        <v>46190</v>
      </c>
      <c r="U4896" s="23">
        <v>46555</v>
      </c>
      <c r="X4896" s="20">
        <v>5000</v>
      </c>
      <c r="Z4896" s="6" t="s">
        <v>5978</v>
      </c>
      <c r="AA4896" s="14">
        <f t="shared" si="647"/>
        <v>5.9999999999999995E-4</v>
      </c>
      <c r="AB4896">
        <v>2.7695999999999996</v>
      </c>
      <c r="AC4896">
        <v>2.8803839999999998</v>
      </c>
    </row>
    <row r="4897" spans="1:29" x14ac:dyDescent="0.3">
      <c r="A4897">
        <v>135981</v>
      </c>
      <c r="B4897" s="25" t="s">
        <v>5984</v>
      </c>
      <c r="C4897" t="s">
        <v>20</v>
      </c>
      <c r="D4897" t="s">
        <v>21</v>
      </c>
      <c r="E4897">
        <v>2222222</v>
      </c>
      <c r="F4897" s="8" t="s">
        <v>22</v>
      </c>
      <c r="G4897" s="2">
        <v>98</v>
      </c>
      <c r="H4897" t="s">
        <v>4712</v>
      </c>
      <c r="J4897" s="9" t="s">
        <v>4872</v>
      </c>
      <c r="K4897" t="s">
        <v>5048</v>
      </c>
      <c r="L4897" s="2">
        <v>1</v>
      </c>
      <c r="M4897" s="24" t="s">
        <v>5971</v>
      </c>
      <c r="N4897" s="2" t="s">
        <v>23</v>
      </c>
      <c r="O4897" s="18" t="s">
        <v>3687</v>
      </c>
      <c r="P4897" s="18" t="s">
        <v>3781</v>
      </c>
      <c r="Q4897" s="6" t="s">
        <v>4475</v>
      </c>
      <c r="T4897" s="23">
        <v>45153</v>
      </c>
      <c r="U4897" s="23">
        <v>46248</v>
      </c>
      <c r="X4897" s="20">
        <v>6000</v>
      </c>
      <c r="Z4897" s="6" t="s">
        <v>5978</v>
      </c>
      <c r="AA4897" s="13">
        <f t="shared" ref="AA4897:AA4898" si="648">+(0.56/1000)</f>
        <v>5.6000000000000006E-4</v>
      </c>
      <c r="AB4897">
        <v>3.0607192000000003</v>
      </c>
      <c r="AC4897">
        <v>3.1831479680000005</v>
      </c>
    </row>
    <row r="4898" spans="1:29" x14ac:dyDescent="0.3">
      <c r="A4898">
        <v>139515</v>
      </c>
      <c r="B4898" s="25" t="s">
        <v>5984</v>
      </c>
      <c r="C4898" t="s">
        <v>20</v>
      </c>
      <c r="D4898" t="s">
        <v>21</v>
      </c>
      <c r="E4898">
        <v>2222222</v>
      </c>
      <c r="F4898" s="8" t="s">
        <v>22</v>
      </c>
      <c r="G4898" s="2">
        <v>98</v>
      </c>
      <c r="H4898" t="s">
        <v>4712</v>
      </c>
      <c r="J4898" s="9" t="s">
        <v>4962</v>
      </c>
      <c r="K4898" t="s">
        <v>5206</v>
      </c>
      <c r="L4898" s="2">
        <v>1</v>
      </c>
      <c r="M4898" s="24" t="s">
        <v>5971</v>
      </c>
      <c r="N4898" s="2" t="s">
        <v>23</v>
      </c>
      <c r="O4898" s="18" t="s">
        <v>3688</v>
      </c>
      <c r="P4898" s="18" t="s">
        <v>3781</v>
      </c>
      <c r="Q4898" s="6" t="s">
        <v>4475</v>
      </c>
      <c r="T4898" s="23">
        <v>45351</v>
      </c>
      <c r="U4898" s="23">
        <v>49003</v>
      </c>
      <c r="X4898" s="20">
        <v>50000</v>
      </c>
      <c r="Z4898" s="6" t="s">
        <v>5978</v>
      </c>
      <c r="AA4898" s="13">
        <f t="shared" si="648"/>
        <v>5.6000000000000006E-4</v>
      </c>
      <c r="AB4898">
        <v>24.055914400000002</v>
      </c>
      <c r="AC4898">
        <v>25.018150976000005</v>
      </c>
    </row>
    <row r="4899" spans="1:29" x14ac:dyDescent="0.3">
      <c r="A4899">
        <v>144377</v>
      </c>
      <c r="B4899" s="25" t="s">
        <v>5984</v>
      </c>
      <c r="C4899" t="s">
        <v>20</v>
      </c>
      <c r="D4899" t="s">
        <v>21</v>
      </c>
      <c r="E4899">
        <v>2222222</v>
      </c>
      <c r="F4899" s="8" t="s">
        <v>22</v>
      </c>
      <c r="G4899" s="2">
        <v>98</v>
      </c>
      <c r="H4899" t="s">
        <v>4712</v>
      </c>
      <c r="J4899" s="9" t="s">
        <v>4950</v>
      </c>
      <c r="K4899" t="s">
        <v>4894</v>
      </c>
      <c r="L4899" s="2">
        <v>1</v>
      </c>
      <c r="M4899" s="24" t="s">
        <v>5971</v>
      </c>
      <c r="N4899" s="2" t="s">
        <v>23</v>
      </c>
      <c r="O4899" s="18" t="s">
        <v>3689</v>
      </c>
      <c r="P4899" s="18" t="s">
        <v>0</v>
      </c>
      <c r="Q4899" s="6" t="s">
        <v>4475</v>
      </c>
      <c r="T4899" s="23">
        <v>45657</v>
      </c>
      <c r="U4899" s="23">
        <v>46386</v>
      </c>
      <c r="X4899" s="20">
        <v>780</v>
      </c>
      <c r="Z4899" s="6" t="s">
        <v>5978</v>
      </c>
      <c r="AA4899" s="14">
        <f t="shared" ref="AA4899:AA4903" si="649">+(0.6/1000)</f>
        <v>5.9999999999999995E-4</v>
      </c>
      <c r="AB4899">
        <v>0.108348</v>
      </c>
      <c r="AC4899">
        <v>0.11268192</v>
      </c>
    </row>
    <row r="4900" spans="1:29" x14ac:dyDescent="0.3">
      <c r="A4900">
        <v>145044</v>
      </c>
      <c r="B4900" s="25" t="s">
        <v>5984</v>
      </c>
      <c r="C4900" t="s">
        <v>20</v>
      </c>
      <c r="D4900" t="s">
        <v>21</v>
      </c>
      <c r="E4900">
        <v>2222222</v>
      </c>
      <c r="F4900" s="8" t="s">
        <v>22</v>
      </c>
      <c r="G4900" s="2">
        <v>98</v>
      </c>
      <c r="H4900" t="s">
        <v>4712</v>
      </c>
      <c r="J4900" s="9" t="s">
        <v>4929</v>
      </c>
      <c r="K4900" t="s">
        <v>5212</v>
      </c>
      <c r="L4900" s="2">
        <v>1</v>
      </c>
      <c r="M4900" s="24" t="s">
        <v>5971</v>
      </c>
      <c r="N4900" s="2" t="s">
        <v>23</v>
      </c>
      <c r="O4900" s="18" t="s">
        <v>3690</v>
      </c>
      <c r="P4900" s="18" t="s">
        <v>0</v>
      </c>
      <c r="Q4900" s="6" t="s">
        <v>4475</v>
      </c>
      <c r="T4900" s="23">
        <v>45707</v>
      </c>
      <c r="U4900" s="23">
        <v>47535</v>
      </c>
      <c r="X4900" s="20">
        <v>5000</v>
      </c>
      <c r="Z4900" s="6" t="s">
        <v>5978</v>
      </c>
      <c r="AA4900" s="14">
        <f t="shared" si="649"/>
        <v>5.9999999999999995E-4</v>
      </c>
      <c r="AB4900">
        <v>2.3788859999999996</v>
      </c>
      <c r="AC4900">
        <v>2.4740414399999997</v>
      </c>
    </row>
    <row r="4901" spans="1:29" x14ac:dyDescent="0.3">
      <c r="A4901">
        <v>147896</v>
      </c>
      <c r="B4901" s="25" t="s">
        <v>5984</v>
      </c>
      <c r="C4901" t="s">
        <v>20</v>
      </c>
      <c r="D4901" t="s">
        <v>21</v>
      </c>
      <c r="E4901">
        <v>2222222</v>
      </c>
      <c r="F4901" s="8" t="s">
        <v>22</v>
      </c>
      <c r="G4901" s="2">
        <v>98</v>
      </c>
      <c r="H4901" t="s">
        <v>4712</v>
      </c>
      <c r="J4901" s="9" t="s">
        <v>4929</v>
      </c>
      <c r="K4901" t="s">
        <v>4964</v>
      </c>
      <c r="L4901" s="2">
        <v>1</v>
      </c>
      <c r="M4901" s="24" t="s">
        <v>5971</v>
      </c>
      <c r="N4901" s="2" t="s">
        <v>23</v>
      </c>
      <c r="O4901" s="18" t="s">
        <v>3691</v>
      </c>
      <c r="P4901" s="18" t="s">
        <v>0</v>
      </c>
      <c r="Q4901" s="6" t="s">
        <v>4475</v>
      </c>
      <c r="T4901" s="23">
        <v>45923</v>
      </c>
      <c r="U4901" s="23">
        <v>47019</v>
      </c>
      <c r="X4901" s="20">
        <v>3000</v>
      </c>
      <c r="Z4901" s="6" t="s">
        <v>5978</v>
      </c>
      <c r="AA4901" s="14">
        <f t="shared" si="649"/>
        <v>5.9999999999999995E-4</v>
      </c>
      <c r="AB4901">
        <v>1.3878839999999999</v>
      </c>
      <c r="AC4901">
        <v>1.4433993599999999</v>
      </c>
    </row>
    <row r="4902" spans="1:29" x14ac:dyDescent="0.3">
      <c r="A4902">
        <v>151357</v>
      </c>
      <c r="B4902" s="25" t="s">
        <v>5984</v>
      </c>
      <c r="C4902" t="s">
        <v>20</v>
      </c>
      <c r="D4902" t="s">
        <v>21</v>
      </c>
      <c r="E4902">
        <v>2222222</v>
      </c>
      <c r="F4902" s="8" t="s">
        <v>22</v>
      </c>
      <c r="G4902" s="2">
        <v>98</v>
      </c>
      <c r="H4902" t="s">
        <v>4712</v>
      </c>
      <c r="J4902" s="9" t="s">
        <v>4900</v>
      </c>
      <c r="K4902" t="s">
        <v>5182</v>
      </c>
      <c r="L4902" s="2">
        <v>1</v>
      </c>
      <c r="M4902" s="24" t="s">
        <v>5971</v>
      </c>
      <c r="N4902" s="2" t="s">
        <v>23</v>
      </c>
      <c r="O4902" s="18" t="s">
        <v>3692</v>
      </c>
      <c r="P4902" s="18" t="s">
        <v>0</v>
      </c>
      <c r="Q4902" s="6" t="s">
        <v>4475</v>
      </c>
      <c r="T4902" s="23">
        <v>46168</v>
      </c>
      <c r="U4902" s="23">
        <v>47812</v>
      </c>
      <c r="X4902" s="20">
        <v>6000</v>
      </c>
      <c r="Z4902" s="6" t="s">
        <v>5978</v>
      </c>
      <c r="AA4902" s="14">
        <f t="shared" si="649"/>
        <v>5.9999999999999995E-4</v>
      </c>
      <c r="AB4902">
        <v>3.5108820000000001</v>
      </c>
      <c r="AC4902">
        <v>3.6513172800000002</v>
      </c>
    </row>
    <row r="4903" spans="1:29" x14ac:dyDescent="0.3">
      <c r="A4903">
        <v>152204</v>
      </c>
      <c r="B4903" s="25" t="s">
        <v>5984</v>
      </c>
      <c r="C4903" t="s">
        <v>20</v>
      </c>
      <c r="D4903" t="s">
        <v>21</v>
      </c>
      <c r="E4903">
        <v>2222222</v>
      </c>
      <c r="F4903" s="8" t="s">
        <v>22</v>
      </c>
      <c r="G4903" s="2">
        <v>98</v>
      </c>
      <c r="H4903" t="s">
        <v>4712</v>
      </c>
      <c r="J4903" s="9" t="s">
        <v>4826</v>
      </c>
      <c r="K4903" t="s">
        <v>5270</v>
      </c>
      <c r="L4903" s="2">
        <v>1</v>
      </c>
      <c r="M4903" s="24" t="s">
        <v>5971</v>
      </c>
      <c r="N4903" s="2" t="s">
        <v>23</v>
      </c>
      <c r="O4903" s="18" t="s">
        <v>3693</v>
      </c>
      <c r="P4903" s="18" t="s">
        <v>0</v>
      </c>
      <c r="Q4903" s="6" t="s">
        <v>4475</v>
      </c>
      <c r="T4903" s="23">
        <v>46219</v>
      </c>
      <c r="U4903" s="23">
        <v>46249</v>
      </c>
      <c r="X4903" s="20">
        <v>60000</v>
      </c>
      <c r="Z4903" s="6" t="s">
        <v>5978</v>
      </c>
      <c r="AA4903" s="14">
        <f t="shared" si="649"/>
        <v>5.9999999999999995E-4</v>
      </c>
      <c r="AB4903">
        <v>36</v>
      </c>
      <c r="AC4903">
        <v>37.44</v>
      </c>
    </row>
    <row r="4904" spans="1:29" x14ac:dyDescent="0.3">
      <c r="A4904">
        <v>114931</v>
      </c>
      <c r="B4904" s="25" t="s">
        <v>5984</v>
      </c>
      <c r="C4904" t="s">
        <v>20</v>
      </c>
      <c r="D4904" t="s">
        <v>21</v>
      </c>
      <c r="E4904">
        <v>2222222</v>
      </c>
      <c r="F4904" s="8" t="s">
        <v>22</v>
      </c>
      <c r="G4904" s="2">
        <v>98</v>
      </c>
      <c r="H4904" t="s">
        <v>4713</v>
      </c>
      <c r="J4904" s="9" t="s">
        <v>5322</v>
      </c>
      <c r="K4904" t="s">
        <v>5024</v>
      </c>
      <c r="L4904" s="2">
        <v>1</v>
      </c>
      <c r="M4904" s="24" t="s">
        <v>5971</v>
      </c>
      <c r="N4904" s="2" t="s">
        <v>23</v>
      </c>
      <c r="O4904" s="18" t="s">
        <v>2386</v>
      </c>
      <c r="P4904" s="18" t="s">
        <v>0</v>
      </c>
      <c r="Q4904" s="6" t="s">
        <v>4475</v>
      </c>
      <c r="T4904" s="23">
        <v>44074</v>
      </c>
      <c r="U4904" s="23">
        <v>44169</v>
      </c>
      <c r="X4904" s="20">
        <v>2115</v>
      </c>
      <c r="Z4904" s="6" t="s">
        <v>5978</v>
      </c>
      <c r="AA4904" s="15">
        <f>+(0.42/1000)</f>
        <v>4.1999999999999996E-4</v>
      </c>
      <c r="AB4904">
        <v>0.88829999999999987</v>
      </c>
      <c r="AC4904">
        <v>0.92383199999999988</v>
      </c>
    </row>
    <row r="4905" spans="1:29" x14ac:dyDescent="0.3">
      <c r="A4905">
        <v>134731</v>
      </c>
      <c r="B4905" s="25" t="s">
        <v>5984</v>
      </c>
      <c r="C4905" t="s">
        <v>20</v>
      </c>
      <c r="D4905" t="s">
        <v>21</v>
      </c>
      <c r="E4905">
        <v>2222222</v>
      </c>
      <c r="F4905" s="8" t="s">
        <v>22</v>
      </c>
      <c r="G4905" s="2">
        <v>98</v>
      </c>
      <c r="H4905" t="s">
        <v>4713</v>
      </c>
      <c r="J4905" s="9" t="s">
        <v>4864</v>
      </c>
      <c r="K4905" t="s">
        <v>4913</v>
      </c>
      <c r="L4905" s="2">
        <v>1</v>
      </c>
      <c r="M4905" s="24" t="s">
        <v>5971</v>
      </c>
      <c r="N4905" s="2" t="s">
        <v>23</v>
      </c>
      <c r="O4905" s="18" t="s">
        <v>3694</v>
      </c>
      <c r="P4905" s="18" t="s">
        <v>0</v>
      </c>
      <c r="Q4905" s="6" t="s">
        <v>4475</v>
      </c>
      <c r="T4905" s="23">
        <v>45107</v>
      </c>
      <c r="U4905" s="23">
        <v>46919</v>
      </c>
      <c r="X4905" s="20">
        <v>13000</v>
      </c>
      <c r="Z4905" s="6" t="s">
        <v>5978</v>
      </c>
      <c r="AA4905" s="13">
        <f>+(0.56/1000)</f>
        <v>5.6000000000000006E-4</v>
      </c>
      <c r="AB4905">
        <v>3.4225016000000004</v>
      </c>
      <c r="AC4905">
        <v>3.5594016640000006</v>
      </c>
    </row>
    <row r="4906" spans="1:29" x14ac:dyDescent="0.3">
      <c r="A4906">
        <v>143556</v>
      </c>
      <c r="B4906" s="25" t="s">
        <v>5984</v>
      </c>
      <c r="C4906" t="s">
        <v>20</v>
      </c>
      <c r="D4906" t="s">
        <v>21</v>
      </c>
      <c r="E4906">
        <v>2222222</v>
      </c>
      <c r="F4906" s="8" t="s">
        <v>22</v>
      </c>
      <c r="G4906" s="2">
        <v>98</v>
      </c>
      <c r="H4906" t="s">
        <v>4713</v>
      </c>
      <c r="J4906" s="9" t="s">
        <v>5096</v>
      </c>
      <c r="K4906" t="s">
        <v>5019</v>
      </c>
      <c r="L4906" s="2">
        <v>1</v>
      </c>
      <c r="M4906" s="24" t="s">
        <v>5971</v>
      </c>
      <c r="N4906" s="2" t="s">
        <v>23</v>
      </c>
      <c r="O4906" s="18" t="s">
        <v>3695</v>
      </c>
      <c r="P4906" s="18" t="s">
        <v>3781</v>
      </c>
      <c r="Q4906" s="6" t="s">
        <v>4475</v>
      </c>
      <c r="T4906" s="23">
        <v>45618</v>
      </c>
      <c r="U4906" s="23">
        <v>47809</v>
      </c>
      <c r="X4906" s="20">
        <v>8000</v>
      </c>
      <c r="Z4906" s="6" t="s">
        <v>5978</v>
      </c>
      <c r="AA4906" s="14">
        <f t="shared" ref="AA4906:AA4910" si="650">+(0.6/1000)</f>
        <v>5.9999999999999995E-4</v>
      </c>
      <c r="AB4906">
        <v>3.9128279999999998</v>
      </c>
      <c r="AC4906">
        <v>4.0693411199999998</v>
      </c>
    </row>
    <row r="4907" spans="1:29" x14ac:dyDescent="0.3">
      <c r="A4907">
        <v>144003</v>
      </c>
      <c r="B4907" s="25" t="s">
        <v>5984</v>
      </c>
      <c r="C4907" t="s">
        <v>20</v>
      </c>
      <c r="D4907" t="s">
        <v>21</v>
      </c>
      <c r="E4907">
        <v>2222222</v>
      </c>
      <c r="F4907" s="8" t="s">
        <v>22</v>
      </c>
      <c r="G4907" s="2">
        <v>98</v>
      </c>
      <c r="H4907" t="s">
        <v>4713</v>
      </c>
      <c r="J4907" s="9" t="s">
        <v>5097</v>
      </c>
      <c r="K4907" t="s">
        <v>5031</v>
      </c>
      <c r="L4907" s="2">
        <v>1</v>
      </c>
      <c r="M4907" s="24" t="s">
        <v>5971</v>
      </c>
      <c r="N4907" s="2" t="s">
        <v>23</v>
      </c>
      <c r="O4907" s="18" t="s">
        <v>686</v>
      </c>
      <c r="P4907" s="18" t="s">
        <v>3781</v>
      </c>
      <c r="Q4907" s="6" t="s">
        <v>4475</v>
      </c>
      <c r="T4907" s="23">
        <v>45636</v>
      </c>
      <c r="U4907" s="23">
        <v>49377</v>
      </c>
      <c r="X4907" s="20">
        <v>29600</v>
      </c>
      <c r="Z4907" s="6" t="s">
        <v>5978</v>
      </c>
      <c r="AA4907" s="14">
        <f t="shared" si="650"/>
        <v>5.9999999999999995E-4</v>
      </c>
      <c r="AB4907">
        <v>16.481597999999998</v>
      </c>
      <c r="AC4907">
        <v>17.140861919999999</v>
      </c>
    </row>
    <row r="4908" spans="1:29" x14ac:dyDescent="0.3">
      <c r="A4908">
        <v>148482</v>
      </c>
      <c r="B4908" s="25" t="s">
        <v>5984</v>
      </c>
      <c r="C4908" t="s">
        <v>20</v>
      </c>
      <c r="D4908" t="s">
        <v>21</v>
      </c>
      <c r="E4908">
        <v>2222222</v>
      </c>
      <c r="F4908" s="8" t="s">
        <v>22</v>
      </c>
      <c r="G4908" s="2">
        <v>98</v>
      </c>
      <c r="H4908" t="s">
        <v>4713</v>
      </c>
      <c r="J4908" s="9" t="s">
        <v>5048</v>
      </c>
      <c r="K4908" t="s">
        <v>4980</v>
      </c>
      <c r="L4908" s="2">
        <v>1</v>
      </c>
      <c r="M4908" s="24" t="s">
        <v>5971</v>
      </c>
      <c r="N4908" s="2" t="s">
        <v>23</v>
      </c>
      <c r="O4908" s="18" t="s">
        <v>3696</v>
      </c>
      <c r="P4908" s="18" t="s">
        <v>3781</v>
      </c>
      <c r="Q4908" s="6" t="s">
        <v>4475</v>
      </c>
      <c r="T4908" s="23">
        <v>45804</v>
      </c>
      <c r="U4908" s="23">
        <v>47613</v>
      </c>
      <c r="X4908" s="20">
        <v>8466</v>
      </c>
      <c r="Z4908" s="6" t="s">
        <v>5978</v>
      </c>
      <c r="AA4908" s="14">
        <f t="shared" si="650"/>
        <v>5.9999999999999995E-4</v>
      </c>
      <c r="AB4908">
        <v>4.1856899999999992</v>
      </c>
      <c r="AC4908">
        <v>4.3531175999999991</v>
      </c>
    </row>
    <row r="4909" spans="1:29" x14ac:dyDescent="0.3">
      <c r="A4909">
        <v>149696</v>
      </c>
      <c r="B4909" s="25" t="s">
        <v>5984</v>
      </c>
      <c r="C4909" t="s">
        <v>20</v>
      </c>
      <c r="D4909" t="s">
        <v>21</v>
      </c>
      <c r="E4909">
        <v>2222222</v>
      </c>
      <c r="F4909" s="8" t="s">
        <v>22</v>
      </c>
      <c r="G4909" s="2">
        <v>98</v>
      </c>
      <c r="H4909" t="s">
        <v>4713</v>
      </c>
      <c r="J4909" s="9" t="s">
        <v>5090</v>
      </c>
      <c r="K4909" t="s">
        <v>5301</v>
      </c>
      <c r="L4909" s="2">
        <v>1</v>
      </c>
      <c r="M4909" s="24" t="s">
        <v>5971</v>
      </c>
      <c r="N4909" s="2" t="s">
        <v>23</v>
      </c>
      <c r="O4909" s="18" t="s">
        <v>3697</v>
      </c>
      <c r="P4909" s="18" t="s">
        <v>3781</v>
      </c>
      <c r="Q4909" s="6" t="s">
        <v>4475</v>
      </c>
      <c r="T4909" s="23">
        <v>46042</v>
      </c>
      <c r="U4909" s="23">
        <v>47502</v>
      </c>
      <c r="X4909" s="20">
        <v>5000</v>
      </c>
      <c r="Z4909" s="6" t="s">
        <v>5978</v>
      </c>
      <c r="AA4909" s="14">
        <f t="shared" si="650"/>
        <v>5.9999999999999995E-4</v>
      </c>
      <c r="AB4909">
        <v>2.7287159999999995</v>
      </c>
      <c r="AC4909">
        <v>2.8378646399999994</v>
      </c>
    </row>
    <row r="4910" spans="1:29" x14ac:dyDescent="0.3">
      <c r="A4910">
        <v>151736</v>
      </c>
      <c r="B4910" s="25" t="s">
        <v>5984</v>
      </c>
      <c r="C4910" t="s">
        <v>20</v>
      </c>
      <c r="D4910" t="s">
        <v>21</v>
      </c>
      <c r="E4910">
        <v>2222222</v>
      </c>
      <c r="F4910" s="8" t="s">
        <v>22</v>
      </c>
      <c r="G4910" s="2">
        <v>98</v>
      </c>
      <c r="H4910" t="s">
        <v>4713</v>
      </c>
      <c r="J4910" s="9" t="s">
        <v>5486</v>
      </c>
      <c r="K4910" t="s">
        <v>5011</v>
      </c>
      <c r="L4910" s="2">
        <v>1</v>
      </c>
      <c r="M4910" s="24" t="s">
        <v>5971</v>
      </c>
      <c r="N4910" s="2" t="s">
        <v>23</v>
      </c>
      <c r="O4910" s="18" t="s">
        <v>3698</v>
      </c>
      <c r="P4910" s="18" t="s">
        <v>3781</v>
      </c>
      <c r="Q4910" s="6" t="s">
        <v>4475</v>
      </c>
      <c r="T4910" s="23">
        <v>46189</v>
      </c>
      <c r="U4910" s="23">
        <v>48015</v>
      </c>
      <c r="X4910" s="20">
        <v>7500</v>
      </c>
      <c r="Z4910" s="6" t="s">
        <v>5978</v>
      </c>
      <c r="AA4910" s="14">
        <f t="shared" si="650"/>
        <v>5.9999999999999995E-4</v>
      </c>
      <c r="AB4910">
        <v>4.4473379999999993</v>
      </c>
      <c r="AC4910">
        <v>4.6252315199999998</v>
      </c>
    </row>
    <row r="4911" spans="1:29" x14ac:dyDescent="0.3">
      <c r="A4911">
        <v>130258</v>
      </c>
      <c r="B4911" s="25" t="s">
        <v>5984</v>
      </c>
      <c r="C4911" t="s">
        <v>20</v>
      </c>
      <c r="D4911" t="s">
        <v>21</v>
      </c>
      <c r="E4911">
        <v>2222222</v>
      </c>
      <c r="F4911" s="8" t="s">
        <v>22</v>
      </c>
      <c r="G4911" s="2">
        <v>98</v>
      </c>
      <c r="H4911" t="s">
        <v>4714</v>
      </c>
      <c r="J4911" s="9" t="s">
        <v>4852</v>
      </c>
      <c r="K4911" t="s">
        <v>4945</v>
      </c>
      <c r="L4911" s="2">
        <v>1</v>
      </c>
      <c r="M4911" s="24" t="s">
        <v>5971</v>
      </c>
      <c r="N4911" s="2" t="s">
        <v>23</v>
      </c>
      <c r="O4911" s="18" t="s">
        <v>3699</v>
      </c>
      <c r="P4911" s="18" t="s">
        <v>0</v>
      </c>
      <c r="Q4911" s="6" t="s">
        <v>4475</v>
      </c>
      <c r="T4911" s="23">
        <v>44828</v>
      </c>
      <c r="U4911" s="23">
        <v>46745</v>
      </c>
      <c r="X4911" s="20">
        <v>60000</v>
      </c>
      <c r="Z4911" s="6" t="s">
        <v>5978</v>
      </c>
      <c r="AA4911" s="13">
        <f>+(0.56/1000)</f>
        <v>5.6000000000000006E-4</v>
      </c>
      <c r="AB4911">
        <v>21.2262792</v>
      </c>
      <c r="AC4911">
        <v>22.075330367999999</v>
      </c>
    </row>
    <row r="4912" spans="1:29" x14ac:dyDescent="0.3">
      <c r="A4912">
        <v>123020</v>
      </c>
      <c r="B4912" s="25" t="s">
        <v>5984</v>
      </c>
      <c r="C4912" t="s">
        <v>20</v>
      </c>
      <c r="D4912" t="s">
        <v>21</v>
      </c>
      <c r="E4912">
        <v>2222222</v>
      </c>
      <c r="F4912" s="8" t="s">
        <v>22</v>
      </c>
      <c r="G4912" s="2">
        <v>98</v>
      </c>
      <c r="H4912" t="s">
        <v>4715</v>
      </c>
      <c r="J4912" s="9" t="s">
        <v>4969</v>
      </c>
      <c r="K4912" t="s">
        <v>5451</v>
      </c>
      <c r="L4912" s="2">
        <v>1</v>
      </c>
      <c r="M4912" s="24" t="s">
        <v>5971</v>
      </c>
      <c r="N4912" s="2" t="s">
        <v>23</v>
      </c>
      <c r="O4912" s="18" t="s">
        <v>3700</v>
      </c>
      <c r="P4912" s="18" t="s">
        <v>3781</v>
      </c>
      <c r="Q4912" s="6" t="s">
        <v>4475</v>
      </c>
      <c r="T4912" s="23">
        <v>44488</v>
      </c>
      <c r="U4912" s="23">
        <v>46313</v>
      </c>
      <c r="X4912" s="20">
        <v>12000</v>
      </c>
      <c r="Z4912" s="6" t="s">
        <v>5978</v>
      </c>
      <c r="AA4912" s="15">
        <f>+(0.42/1000)</f>
        <v>4.1999999999999996E-4</v>
      </c>
      <c r="AB4912">
        <v>0.35655059999999994</v>
      </c>
      <c r="AC4912">
        <v>0.37081262399999992</v>
      </c>
    </row>
    <row r="4913" spans="1:29" x14ac:dyDescent="0.3">
      <c r="A4913">
        <v>137340</v>
      </c>
      <c r="B4913" s="25" t="s">
        <v>5984</v>
      </c>
      <c r="C4913" t="s">
        <v>20</v>
      </c>
      <c r="D4913" t="s">
        <v>21</v>
      </c>
      <c r="E4913">
        <v>2222222</v>
      </c>
      <c r="F4913" s="8" t="s">
        <v>22</v>
      </c>
      <c r="G4913" s="2">
        <v>98</v>
      </c>
      <c r="H4913" t="s">
        <v>4716</v>
      </c>
      <c r="J4913" s="9" t="s">
        <v>4970</v>
      </c>
      <c r="K4913" t="s">
        <v>5959</v>
      </c>
      <c r="L4913" s="2">
        <v>1</v>
      </c>
      <c r="M4913" s="24" t="s">
        <v>5971</v>
      </c>
      <c r="N4913" s="2" t="s">
        <v>23</v>
      </c>
      <c r="O4913" s="18" t="s">
        <v>3701</v>
      </c>
      <c r="P4913" s="18" t="s">
        <v>0</v>
      </c>
      <c r="Q4913" s="6" t="s">
        <v>4475</v>
      </c>
      <c r="T4913" s="23">
        <v>45218</v>
      </c>
      <c r="U4913" s="23">
        <v>47044</v>
      </c>
      <c r="X4913" s="20">
        <v>10780</v>
      </c>
      <c r="Z4913" s="6" t="s">
        <v>5978</v>
      </c>
      <c r="AA4913" s="13">
        <f>+(0.56/1000)</f>
        <v>5.6000000000000006E-4</v>
      </c>
      <c r="AB4913">
        <v>3.2504136000000003</v>
      </c>
      <c r="AC4913">
        <v>3.3804301440000004</v>
      </c>
    </row>
    <row r="4914" spans="1:29" x14ac:dyDescent="0.3">
      <c r="A4914">
        <v>141583</v>
      </c>
      <c r="B4914" s="25" t="s">
        <v>5984</v>
      </c>
      <c r="C4914" t="s">
        <v>20</v>
      </c>
      <c r="D4914" t="s">
        <v>21</v>
      </c>
      <c r="E4914">
        <v>2222222</v>
      </c>
      <c r="F4914" s="8" t="s">
        <v>22</v>
      </c>
      <c r="G4914" s="2">
        <v>98</v>
      </c>
      <c r="H4914" t="s">
        <v>4716</v>
      </c>
      <c r="J4914" s="9" t="s">
        <v>5204</v>
      </c>
      <c r="K4914" t="s">
        <v>5769</v>
      </c>
      <c r="L4914" s="2">
        <v>1</v>
      </c>
      <c r="M4914" s="24" t="s">
        <v>5971</v>
      </c>
      <c r="N4914" s="2" t="s">
        <v>23</v>
      </c>
      <c r="O4914" s="18" t="s">
        <v>3702</v>
      </c>
      <c r="P4914" s="18" t="s">
        <v>0</v>
      </c>
      <c r="Q4914" s="6" t="s">
        <v>4475</v>
      </c>
      <c r="T4914" s="23">
        <v>45463</v>
      </c>
      <c r="U4914" s="23">
        <v>46558</v>
      </c>
      <c r="X4914" s="20">
        <v>2000</v>
      </c>
      <c r="Z4914" s="6" t="s">
        <v>5978</v>
      </c>
      <c r="AA4914" s="14">
        <f t="shared" ref="AA4914:AA4917" si="651">+(0.6/1000)</f>
        <v>5.9999999999999995E-4</v>
      </c>
      <c r="AB4914">
        <v>0.47857799999999995</v>
      </c>
      <c r="AC4914">
        <v>0.49772111999999996</v>
      </c>
    </row>
    <row r="4915" spans="1:29" x14ac:dyDescent="0.3">
      <c r="A4915">
        <v>143186</v>
      </c>
      <c r="B4915" s="25" t="s">
        <v>5984</v>
      </c>
      <c r="C4915" t="s">
        <v>20</v>
      </c>
      <c r="D4915" t="s">
        <v>21</v>
      </c>
      <c r="E4915">
        <v>2222222</v>
      </c>
      <c r="F4915" s="8" t="s">
        <v>22</v>
      </c>
      <c r="G4915" s="2">
        <v>98</v>
      </c>
      <c r="H4915" t="s">
        <v>4716</v>
      </c>
      <c r="J4915" s="9" t="s">
        <v>5093</v>
      </c>
      <c r="K4915" t="s">
        <v>5110</v>
      </c>
      <c r="L4915" s="2">
        <v>1</v>
      </c>
      <c r="M4915" s="24" t="s">
        <v>5971</v>
      </c>
      <c r="N4915" s="2" t="s">
        <v>23</v>
      </c>
      <c r="O4915" s="18" t="s">
        <v>322</v>
      </c>
      <c r="P4915" s="18" t="s">
        <v>3781</v>
      </c>
      <c r="Q4915" s="6" t="s">
        <v>4475</v>
      </c>
      <c r="T4915" s="23">
        <v>45572</v>
      </c>
      <c r="U4915" s="23">
        <v>46301</v>
      </c>
      <c r="X4915" s="20">
        <v>2600</v>
      </c>
      <c r="Z4915" s="6" t="s">
        <v>5978</v>
      </c>
      <c r="AA4915" s="14">
        <f t="shared" si="651"/>
        <v>5.9999999999999995E-4</v>
      </c>
      <c r="AB4915">
        <v>0.22778399999999996</v>
      </c>
      <c r="AC4915">
        <v>0.23689535999999997</v>
      </c>
    </row>
    <row r="4916" spans="1:29" x14ac:dyDescent="0.3">
      <c r="A4916">
        <v>145299</v>
      </c>
      <c r="B4916" s="25" t="s">
        <v>5984</v>
      </c>
      <c r="C4916" t="s">
        <v>20</v>
      </c>
      <c r="D4916" t="s">
        <v>21</v>
      </c>
      <c r="E4916">
        <v>2222222</v>
      </c>
      <c r="F4916" s="8" t="s">
        <v>22</v>
      </c>
      <c r="G4916" s="2">
        <v>98</v>
      </c>
      <c r="H4916" t="s">
        <v>4716</v>
      </c>
      <c r="J4916" s="9" t="s">
        <v>5059</v>
      </c>
      <c r="K4916" t="s">
        <v>5035</v>
      </c>
      <c r="L4916" s="2">
        <v>1</v>
      </c>
      <c r="M4916" s="24" t="s">
        <v>5971</v>
      </c>
      <c r="N4916" s="2" t="s">
        <v>23</v>
      </c>
      <c r="O4916" s="18" t="s">
        <v>3703</v>
      </c>
      <c r="P4916" s="18" t="s">
        <v>0</v>
      </c>
      <c r="Q4916" s="6" t="s">
        <v>4475</v>
      </c>
      <c r="T4916" s="23">
        <v>45728</v>
      </c>
      <c r="U4916" s="23">
        <v>46457</v>
      </c>
      <c r="X4916" s="20">
        <v>5000</v>
      </c>
      <c r="Z4916" s="6" t="s">
        <v>5978</v>
      </c>
      <c r="AA4916" s="14">
        <f t="shared" si="651"/>
        <v>5.9999999999999995E-4</v>
      </c>
      <c r="AB4916">
        <v>1.1224319999999999</v>
      </c>
      <c r="AC4916">
        <v>1.1673292799999999</v>
      </c>
    </row>
    <row r="4917" spans="1:29" x14ac:dyDescent="0.3">
      <c r="A4917">
        <v>151783</v>
      </c>
      <c r="B4917" s="25" t="s">
        <v>5984</v>
      </c>
      <c r="C4917" t="s">
        <v>20</v>
      </c>
      <c r="D4917" t="s">
        <v>21</v>
      </c>
      <c r="E4917">
        <v>2222222</v>
      </c>
      <c r="F4917" s="8" t="s">
        <v>22</v>
      </c>
      <c r="G4917" s="2">
        <v>98</v>
      </c>
      <c r="H4917" t="s">
        <v>4716</v>
      </c>
      <c r="J4917" s="9" t="s">
        <v>5093</v>
      </c>
      <c r="K4917" t="s">
        <v>5110</v>
      </c>
      <c r="L4917" s="2">
        <v>1</v>
      </c>
      <c r="M4917" s="24" t="s">
        <v>5971</v>
      </c>
      <c r="N4917" s="2" t="s">
        <v>23</v>
      </c>
      <c r="O4917" s="18" t="s">
        <v>322</v>
      </c>
      <c r="P4917" s="18" t="s">
        <v>3781</v>
      </c>
      <c r="Q4917" s="6" t="s">
        <v>4475</v>
      </c>
      <c r="T4917" s="23">
        <v>46188</v>
      </c>
      <c r="U4917" s="23">
        <v>46919</v>
      </c>
      <c r="X4917" s="20">
        <v>5000</v>
      </c>
      <c r="Z4917" s="6" t="s">
        <v>5978</v>
      </c>
      <c r="AA4917" s="14">
        <f t="shared" si="651"/>
        <v>5.9999999999999995E-4</v>
      </c>
      <c r="AB4917">
        <v>2.8948679999999998</v>
      </c>
      <c r="AC4917">
        <v>3.01066272</v>
      </c>
    </row>
    <row r="4918" spans="1:29" x14ac:dyDescent="0.3">
      <c r="A4918">
        <v>148549</v>
      </c>
      <c r="B4918" s="25" t="s">
        <v>5984</v>
      </c>
      <c r="C4918" t="s">
        <v>20</v>
      </c>
      <c r="D4918" t="s">
        <v>21</v>
      </c>
      <c r="E4918">
        <v>2222222</v>
      </c>
      <c r="F4918" s="8" t="s">
        <v>22</v>
      </c>
      <c r="G4918" s="2">
        <v>98</v>
      </c>
      <c r="H4918" t="s">
        <v>4717</v>
      </c>
      <c r="J4918" s="9" t="s">
        <v>4903</v>
      </c>
      <c r="K4918" t="s">
        <v>4893</v>
      </c>
      <c r="L4918" s="2">
        <v>1</v>
      </c>
      <c r="M4918" s="24" t="s">
        <v>5971</v>
      </c>
      <c r="N4918" s="2" t="s">
        <v>23</v>
      </c>
      <c r="O4918" s="18" t="s">
        <v>3704</v>
      </c>
      <c r="P4918" s="18" t="s">
        <v>3781</v>
      </c>
      <c r="Q4918" s="6" t="s">
        <v>4475</v>
      </c>
      <c r="T4918" s="23">
        <v>45369</v>
      </c>
      <c r="U4918" s="23">
        <v>47285</v>
      </c>
      <c r="X4918" s="20">
        <v>10830</v>
      </c>
      <c r="Z4918" s="6" t="s">
        <v>5978</v>
      </c>
      <c r="AA4918" s="13">
        <f t="shared" ref="AA4918:AA4919" si="652">+(0.56/1000)</f>
        <v>5.6000000000000006E-4</v>
      </c>
      <c r="AB4918">
        <v>3.9802840000000002</v>
      </c>
      <c r="AC4918">
        <v>4.1394953600000006</v>
      </c>
    </row>
    <row r="4919" spans="1:29" x14ac:dyDescent="0.3">
      <c r="A4919">
        <v>136819</v>
      </c>
      <c r="B4919" s="25" t="s">
        <v>5984</v>
      </c>
      <c r="C4919" t="s">
        <v>20</v>
      </c>
      <c r="D4919" t="s">
        <v>21</v>
      </c>
      <c r="E4919">
        <v>2222222</v>
      </c>
      <c r="F4919" s="8" t="s">
        <v>22</v>
      </c>
      <c r="G4919" s="2">
        <v>98</v>
      </c>
      <c r="H4919" t="s">
        <v>4718</v>
      </c>
      <c r="J4919" s="9" t="s">
        <v>4948</v>
      </c>
      <c r="K4919" t="s">
        <v>4949</v>
      </c>
      <c r="L4919" s="2">
        <v>1</v>
      </c>
      <c r="M4919" s="24" t="s">
        <v>5971</v>
      </c>
      <c r="N4919" s="2" t="s">
        <v>23</v>
      </c>
      <c r="O4919" s="18" t="s">
        <v>3705</v>
      </c>
      <c r="P4919" s="18" t="s">
        <v>0</v>
      </c>
      <c r="Q4919" s="6" t="s">
        <v>4475</v>
      </c>
      <c r="T4919" s="23">
        <v>45194</v>
      </c>
      <c r="U4919" s="23">
        <v>46655</v>
      </c>
      <c r="X4919" s="20">
        <v>5000</v>
      </c>
      <c r="Z4919" s="6" t="s">
        <v>5978</v>
      </c>
      <c r="AA4919" s="13">
        <f t="shared" si="652"/>
        <v>5.6000000000000006E-4</v>
      </c>
      <c r="AB4919">
        <v>1.0476872000000002</v>
      </c>
      <c r="AC4919">
        <v>1.0895946880000003</v>
      </c>
    </row>
    <row r="4920" spans="1:29" x14ac:dyDescent="0.3">
      <c r="A4920">
        <v>142450</v>
      </c>
      <c r="B4920" s="25" t="s">
        <v>5984</v>
      </c>
      <c r="C4920" t="s">
        <v>20</v>
      </c>
      <c r="D4920" t="s">
        <v>21</v>
      </c>
      <c r="E4920">
        <v>2222222</v>
      </c>
      <c r="F4920" s="8" t="s">
        <v>22</v>
      </c>
      <c r="G4920" s="2">
        <v>98</v>
      </c>
      <c r="H4920" t="s">
        <v>4718</v>
      </c>
      <c r="J4920" s="9" t="s">
        <v>4950</v>
      </c>
      <c r="K4920" t="s">
        <v>4966</v>
      </c>
      <c r="L4920" s="2">
        <v>1</v>
      </c>
      <c r="M4920" s="24" t="s">
        <v>5971</v>
      </c>
      <c r="N4920" s="2" t="s">
        <v>23</v>
      </c>
      <c r="O4920" s="18" t="s">
        <v>2750</v>
      </c>
      <c r="P4920" s="18" t="s">
        <v>0</v>
      </c>
      <c r="Q4920" s="6" t="s">
        <v>4475</v>
      </c>
      <c r="T4920" s="23">
        <v>45611</v>
      </c>
      <c r="U4920" s="23">
        <v>49263</v>
      </c>
      <c r="X4920" s="20">
        <v>99000</v>
      </c>
      <c r="Z4920" s="6" t="s">
        <v>5978</v>
      </c>
      <c r="AA4920" s="14">
        <f t="shared" ref="AA4920:AA4921" si="653">+(0.6/1000)</f>
        <v>5.9999999999999995E-4</v>
      </c>
      <c r="AB4920">
        <v>55.036451999999997</v>
      </c>
      <c r="AC4920">
        <v>57.237910079999999</v>
      </c>
    </row>
    <row r="4921" spans="1:29" x14ac:dyDescent="0.3">
      <c r="A4921">
        <v>148702</v>
      </c>
      <c r="B4921" s="25" t="s">
        <v>5984</v>
      </c>
      <c r="C4921" t="s">
        <v>20</v>
      </c>
      <c r="D4921" t="s">
        <v>21</v>
      </c>
      <c r="E4921">
        <v>2222222</v>
      </c>
      <c r="F4921" s="8" t="s">
        <v>22</v>
      </c>
      <c r="G4921" s="2">
        <v>98</v>
      </c>
      <c r="H4921" t="s">
        <v>4719</v>
      </c>
      <c r="J4921" s="9" t="s">
        <v>5960</v>
      </c>
      <c r="L4921" s="2">
        <v>1</v>
      </c>
      <c r="M4921" s="24" t="s">
        <v>5971</v>
      </c>
      <c r="N4921" s="2" t="s">
        <v>23</v>
      </c>
      <c r="O4921" s="18" t="s">
        <v>3706</v>
      </c>
      <c r="P4921" s="18" t="s">
        <v>0</v>
      </c>
      <c r="Q4921" s="6" t="s">
        <v>4475</v>
      </c>
      <c r="T4921" s="23">
        <v>45973</v>
      </c>
      <c r="U4921" s="23">
        <v>46519</v>
      </c>
      <c r="X4921" s="20">
        <v>5000</v>
      </c>
      <c r="Z4921" s="6" t="s">
        <v>5978</v>
      </c>
      <c r="AA4921" s="14">
        <f t="shared" si="653"/>
        <v>5.9999999999999995E-4</v>
      </c>
      <c r="AB4921">
        <v>1.7648699999999997</v>
      </c>
      <c r="AC4921">
        <v>1.8354647999999998</v>
      </c>
    </row>
    <row r="4922" spans="1:29" x14ac:dyDescent="0.3">
      <c r="A4922">
        <v>77316</v>
      </c>
      <c r="B4922" s="25" t="s">
        <v>5984</v>
      </c>
      <c r="C4922" t="s">
        <v>20</v>
      </c>
      <c r="D4922" t="s">
        <v>21</v>
      </c>
      <c r="E4922">
        <v>2222222</v>
      </c>
      <c r="F4922" s="8" t="s">
        <v>22</v>
      </c>
      <c r="G4922" s="2">
        <v>98</v>
      </c>
      <c r="H4922" t="s">
        <v>4720</v>
      </c>
      <c r="J4922" s="9" t="s">
        <v>5502</v>
      </c>
      <c r="K4922" t="s">
        <v>5097</v>
      </c>
      <c r="L4922" s="2">
        <v>1</v>
      </c>
      <c r="M4922" s="24" t="s">
        <v>5971</v>
      </c>
      <c r="N4922" s="2" t="s">
        <v>23</v>
      </c>
      <c r="O4922" s="18" t="s">
        <v>3707</v>
      </c>
      <c r="P4922" s="18" t="s">
        <v>3781</v>
      </c>
      <c r="Q4922" s="6" t="s">
        <v>4475</v>
      </c>
      <c r="T4922" s="23">
        <v>42689</v>
      </c>
      <c r="U4922" s="23">
        <v>46433</v>
      </c>
      <c r="X4922" s="20">
        <v>9000</v>
      </c>
      <c r="Z4922" s="6" t="s">
        <v>5978</v>
      </c>
      <c r="AA4922" s="15">
        <f>+(0.42/1000)</f>
        <v>4.1999999999999996E-4</v>
      </c>
      <c r="AB4922">
        <v>2.3382239999999999</v>
      </c>
      <c r="AC4922">
        <v>2.4317529599999999</v>
      </c>
    </row>
    <row r="4923" spans="1:29" x14ac:dyDescent="0.3">
      <c r="A4923">
        <v>133408</v>
      </c>
      <c r="B4923" s="25" t="s">
        <v>5984</v>
      </c>
      <c r="C4923" t="s">
        <v>20</v>
      </c>
      <c r="D4923" t="s">
        <v>21</v>
      </c>
      <c r="E4923">
        <v>2222222</v>
      </c>
      <c r="F4923" s="8" t="s">
        <v>22</v>
      </c>
      <c r="G4923" s="2">
        <v>98</v>
      </c>
      <c r="H4923" t="s">
        <v>4720</v>
      </c>
      <c r="J4923" s="9" t="s">
        <v>5137</v>
      </c>
      <c r="K4923" t="s">
        <v>4887</v>
      </c>
      <c r="L4923" s="2">
        <v>1</v>
      </c>
      <c r="M4923" s="24" t="s">
        <v>5971</v>
      </c>
      <c r="N4923" s="2" t="s">
        <v>23</v>
      </c>
      <c r="O4923" s="18" t="s">
        <v>3708</v>
      </c>
      <c r="P4923" s="18" t="s">
        <v>3781</v>
      </c>
      <c r="Q4923" s="6" t="s">
        <v>4475</v>
      </c>
      <c r="T4923" s="23">
        <v>45016</v>
      </c>
      <c r="U4923" s="23">
        <v>48760</v>
      </c>
      <c r="X4923" s="20">
        <v>25200</v>
      </c>
      <c r="Z4923" s="6" t="s">
        <v>5978</v>
      </c>
      <c r="AA4923" s="13">
        <f t="shared" ref="AA4923:AA4925" si="654">+(0.56/1000)</f>
        <v>5.6000000000000006E-4</v>
      </c>
      <c r="AB4923">
        <v>11.431616</v>
      </c>
      <c r="AC4923">
        <v>11.88888064</v>
      </c>
    </row>
    <row r="4924" spans="1:29" x14ac:dyDescent="0.3">
      <c r="A4924">
        <v>136624</v>
      </c>
      <c r="B4924" s="25" t="s">
        <v>5984</v>
      </c>
      <c r="C4924" t="s">
        <v>20</v>
      </c>
      <c r="D4924" t="s">
        <v>21</v>
      </c>
      <c r="E4924">
        <v>2222222</v>
      </c>
      <c r="F4924" s="8" t="s">
        <v>22</v>
      </c>
      <c r="G4924" s="2">
        <v>98</v>
      </c>
      <c r="H4924" t="s">
        <v>4720</v>
      </c>
      <c r="J4924" s="9" t="s">
        <v>5137</v>
      </c>
      <c r="K4924" t="s">
        <v>4887</v>
      </c>
      <c r="L4924" s="2">
        <v>1</v>
      </c>
      <c r="M4924" s="24" t="s">
        <v>5971</v>
      </c>
      <c r="N4924" s="2" t="s">
        <v>23</v>
      </c>
      <c r="O4924" s="18" t="s">
        <v>3708</v>
      </c>
      <c r="P4924" s="18" t="s">
        <v>3781</v>
      </c>
      <c r="Q4924" s="6" t="s">
        <v>4475</v>
      </c>
      <c r="T4924" s="23">
        <v>45183</v>
      </c>
      <c r="U4924" s="23">
        <v>46279</v>
      </c>
      <c r="X4924" s="20">
        <v>12400</v>
      </c>
      <c r="Z4924" s="6" t="s">
        <v>5978</v>
      </c>
      <c r="AA4924" s="13">
        <f t="shared" si="654"/>
        <v>5.6000000000000006E-4</v>
      </c>
      <c r="AB4924">
        <v>0.4816448000000001</v>
      </c>
      <c r="AC4924">
        <v>0.5009105920000001</v>
      </c>
    </row>
    <row r="4925" spans="1:29" x14ac:dyDescent="0.3">
      <c r="A4925">
        <v>136753</v>
      </c>
      <c r="B4925" s="25" t="s">
        <v>5984</v>
      </c>
      <c r="C4925" t="s">
        <v>20</v>
      </c>
      <c r="D4925" t="s">
        <v>21</v>
      </c>
      <c r="E4925">
        <v>2222222</v>
      </c>
      <c r="F4925" s="8" t="s">
        <v>22</v>
      </c>
      <c r="G4925" s="2">
        <v>98</v>
      </c>
      <c r="H4925" t="s">
        <v>4720</v>
      </c>
      <c r="J4925" s="9" t="s">
        <v>4903</v>
      </c>
      <c r="K4925" t="s">
        <v>4836</v>
      </c>
      <c r="L4925" s="2">
        <v>1</v>
      </c>
      <c r="M4925" s="24" t="s">
        <v>5971</v>
      </c>
      <c r="N4925" s="2" t="s">
        <v>23</v>
      </c>
      <c r="O4925" s="18" t="s">
        <v>3709</v>
      </c>
      <c r="P4925" s="18" t="s">
        <v>3781</v>
      </c>
      <c r="Q4925" s="6" t="s">
        <v>4475</v>
      </c>
      <c r="T4925" s="23">
        <v>45190</v>
      </c>
      <c r="U4925" s="23">
        <v>46651</v>
      </c>
      <c r="X4925" s="20">
        <v>5000</v>
      </c>
      <c r="Z4925" s="6" t="s">
        <v>5978</v>
      </c>
      <c r="AA4925" s="13">
        <f t="shared" si="654"/>
        <v>5.6000000000000006E-4</v>
      </c>
      <c r="AB4925">
        <v>1.0476872000000002</v>
      </c>
      <c r="AC4925">
        <v>1.0895946880000003</v>
      </c>
    </row>
    <row r="4926" spans="1:29" x14ac:dyDescent="0.3">
      <c r="A4926">
        <v>143472</v>
      </c>
      <c r="B4926" s="25" t="s">
        <v>5984</v>
      </c>
      <c r="C4926" t="s">
        <v>20</v>
      </c>
      <c r="D4926" t="s">
        <v>21</v>
      </c>
      <c r="E4926">
        <v>2222222</v>
      </c>
      <c r="F4926" s="8" t="s">
        <v>22</v>
      </c>
      <c r="G4926" s="2">
        <v>98</v>
      </c>
      <c r="H4926" t="s">
        <v>4720</v>
      </c>
      <c r="J4926" s="9" t="s">
        <v>4815</v>
      </c>
      <c r="K4926" t="s">
        <v>4950</v>
      </c>
      <c r="L4926" s="2">
        <v>1</v>
      </c>
      <c r="M4926" s="24" t="s">
        <v>5971</v>
      </c>
      <c r="N4926" s="2" t="s">
        <v>23</v>
      </c>
      <c r="O4926" s="18" t="s">
        <v>3710</v>
      </c>
      <c r="P4926" s="18" t="s">
        <v>0</v>
      </c>
      <c r="Q4926" s="6" t="s">
        <v>4475</v>
      </c>
      <c r="T4926" s="23">
        <v>45602</v>
      </c>
      <c r="U4926" s="23">
        <v>47063</v>
      </c>
      <c r="X4926" s="20">
        <v>5000</v>
      </c>
      <c r="Z4926" s="6" t="s">
        <v>5978</v>
      </c>
      <c r="AA4926" s="14">
        <f t="shared" ref="AA4926:AA4941" si="655">+(0.6/1000)</f>
        <v>5.9999999999999995E-4</v>
      </c>
      <c r="AB4926">
        <v>2.3978280000000001</v>
      </c>
      <c r="AC4926">
        <v>2.4937411200000001</v>
      </c>
    </row>
    <row r="4927" spans="1:29" x14ac:dyDescent="0.3">
      <c r="A4927">
        <v>144299</v>
      </c>
      <c r="B4927" s="25" t="s">
        <v>5984</v>
      </c>
      <c r="C4927" t="s">
        <v>20</v>
      </c>
      <c r="D4927" t="s">
        <v>21</v>
      </c>
      <c r="E4927">
        <v>2222222</v>
      </c>
      <c r="F4927" s="8" t="s">
        <v>22</v>
      </c>
      <c r="G4927" s="2">
        <v>98</v>
      </c>
      <c r="H4927" t="s">
        <v>4720</v>
      </c>
      <c r="J4927" s="9" t="s">
        <v>5235</v>
      </c>
      <c r="K4927" t="s">
        <v>4884</v>
      </c>
      <c r="L4927" s="2">
        <v>1</v>
      </c>
      <c r="M4927" s="24" t="s">
        <v>5971</v>
      </c>
      <c r="N4927" s="2" t="s">
        <v>23</v>
      </c>
      <c r="O4927" s="18" t="s">
        <v>3711</v>
      </c>
      <c r="P4927" s="18" t="s">
        <v>3781</v>
      </c>
      <c r="Q4927" s="6" t="s">
        <v>4475</v>
      </c>
      <c r="T4927" s="23">
        <v>45653</v>
      </c>
      <c r="U4927" s="23">
        <v>46838</v>
      </c>
      <c r="X4927" s="20">
        <v>4400</v>
      </c>
      <c r="Z4927" s="6" t="s">
        <v>5978</v>
      </c>
      <c r="AA4927" s="14">
        <f t="shared" si="655"/>
        <v>5.9999999999999995E-4</v>
      </c>
      <c r="AB4927">
        <v>1.6386239999999999</v>
      </c>
      <c r="AC4927">
        <v>1.7041689599999998</v>
      </c>
    </row>
    <row r="4928" spans="1:29" x14ac:dyDescent="0.3">
      <c r="A4928">
        <v>147531</v>
      </c>
      <c r="B4928" s="25" t="s">
        <v>5984</v>
      </c>
      <c r="C4928" t="s">
        <v>20</v>
      </c>
      <c r="D4928" t="s">
        <v>21</v>
      </c>
      <c r="E4928">
        <v>2222222</v>
      </c>
      <c r="F4928" s="8" t="s">
        <v>22</v>
      </c>
      <c r="G4928" s="2">
        <v>98</v>
      </c>
      <c r="H4928" t="s">
        <v>4720</v>
      </c>
      <c r="J4928" s="9" t="s">
        <v>4988</v>
      </c>
      <c r="K4928" t="s">
        <v>5421</v>
      </c>
      <c r="L4928" s="2">
        <v>1</v>
      </c>
      <c r="M4928" s="24" t="s">
        <v>5971</v>
      </c>
      <c r="N4928" s="2" t="s">
        <v>23</v>
      </c>
      <c r="O4928" s="18" t="s">
        <v>3712</v>
      </c>
      <c r="P4928" s="18" t="s">
        <v>0</v>
      </c>
      <c r="Q4928" s="6" t="s">
        <v>4475</v>
      </c>
      <c r="T4928" s="23">
        <v>45896</v>
      </c>
      <c r="U4928" s="23">
        <v>51374</v>
      </c>
      <c r="X4928" s="20">
        <v>61000</v>
      </c>
      <c r="Z4928" s="6" t="s">
        <v>5978</v>
      </c>
      <c r="AA4928" s="14">
        <f t="shared" si="655"/>
        <v>5.9999999999999995E-4</v>
      </c>
      <c r="AB4928">
        <v>35.830055999999999</v>
      </c>
      <c r="AC4928">
        <v>37.263258239999999</v>
      </c>
    </row>
    <row r="4929" spans="1:29" x14ac:dyDescent="0.3">
      <c r="A4929">
        <v>148473</v>
      </c>
      <c r="B4929" s="25" t="s">
        <v>5984</v>
      </c>
      <c r="C4929" t="s">
        <v>20</v>
      </c>
      <c r="D4929" t="s">
        <v>21</v>
      </c>
      <c r="E4929">
        <v>2222222</v>
      </c>
      <c r="F4929" s="8" t="s">
        <v>22</v>
      </c>
      <c r="G4929" s="2">
        <v>98</v>
      </c>
      <c r="H4929" t="s">
        <v>4720</v>
      </c>
      <c r="J4929" s="9" t="s">
        <v>4896</v>
      </c>
      <c r="K4929" t="s">
        <v>4887</v>
      </c>
      <c r="L4929" s="2">
        <v>1</v>
      </c>
      <c r="M4929" s="24" t="s">
        <v>5971</v>
      </c>
      <c r="N4929" s="2" t="s">
        <v>23</v>
      </c>
      <c r="O4929" s="18" t="s">
        <v>3713</v>
      </c>
      <c r="P4929" s="18" t="s">
        <v>3781</v>
      </c>
      <c r="Q4929" s="6" t="s">
        <v>4475</v>
      </c>
      <c r="T4929" s="23">
        <v>45966</v>
      </c>
      <c r="U4929" s="23">
        <v>47427</v>
      </c>
      <c r="X4929" s="20">
        <v>5000</v>
      </c>
      <c r="Z4929" s="6" t="s">
        <v>5978</v>
      </c>
      <c r="AA4929" s="14">
        <f t="shared" si="655"/>
        <v>5.9999999999999995E-4</v>
      </c>
      <c r="AB4929">
        <v>2.6360219999999996</v>
      </c>
      <c r="AC4929">
        <v>2.7414628799999998</v>
      </c>
    </row>
    <row r="4930" spans="1:29" x14ac:dyDescent="0.3">
      <c r="A4930">
        <v>148625</v>
      </c>
      <c r="B4930" s="25" t="s">
        <v>5984</v>
      </c>
      <c r="C4930" t="s">
        <v>20</v>
      </c>
      <c r="D4930" t="s">
        <v>21</v>
      </c>
      <c r="E4930">
        <v>2222222</v>
      </c>
      <c r="F4930" s="8" t="s">
        <v>22</v>
      </c>
      <c r="G4930" s="2">
        <v>98</v>
      </c>
      <c r="H4930" t="s">
        <v>4720</v>
      </c>
      <c r="J4930" s="9" t="s">
        <v>4838</v>
      </c>
      <c r="K4930" t="s">
        <v>4848</v>
      </c>
      <c r="L4930" s="2">
        <v>1</v>
      </c>
      <c r="M4930" s="24" t="s">
        <v>5971</v>
      </c>
      <c r="N4930" s="2" t="s">
        <v>23</v>
      </c>
      <c r="O4930" s="18" t="s">
        <v>3714</v>
      </c>
      <c r="P4930" s="18" t="s">
        <v>0</v>
      </c>
      <c r="Q4930" s="6" t="s">
        <v>4475</v>
      </c>
      <c r="T4930" s="23">
        <v>45968</v>
      </c>
      <c r="U4930" s="23">
        <v>47429</v>
      </c>
      <c r="X4930" s="20">
        <v>5000</v>
      </c>
      <c r="Z4930" s="6" t="s">
        <v>5978</v>
      </c>
      <c r="AA4930" s="14">
        <f t="shared" si="655"/>
        <v>5.9999999999999995E-4</v>
      </c>
      <c r="AB4930">
        <v>2.6360219999999996</v>
      </c>
      <c r="AC4930">
        <v>2.7414628799999998</v>
      </c>
    </row>
    <row r="4931" spans="1:29" x14ac:dyDescent="0.3">
      <c r="A4931">
        <v>150200</v>
      </c>
      <c r="B4931" s="25" t="s">
        <v>5984</v>
      </c>
      <c r="C4931" t="s">
        <v>20</v>
      </c>
      <c r="D4931" t="s">
        <v>21</v>
      </c>
      <c r="E4931">
        <v>2222222</v>
      </c>
      <c r="F4931" s="8" t="s">
        <v>22</v>
      </c>
      <c r="G4931" s="2">
        <v>98</v>
      </c>
      <c r="H4931" t="s">
        <v>4720</v>
      </c>
      <c r="J4931" s="9" t="s">
        <v>4830</v>
      </c>
      <c r="K4931" t="s">
        <v>5961</v>
      </c>
      <c r="L4931" s="2">
        <v>1</v>
      </c>
      <c r="M4931" s="24" t="s">
        <v>5971</v>
      </c>
      <c r="N4931" s="2" t="s">
        <v>23</v>
      </c>
      <c r="O4931" s="18" t="s">
        <v>3715</v>
      </c>
      <c r="P4931" s="18" t="s">
        <v>3781</v>
      </c>
      <c r="Q4931" s="6" t="s">
        <v>4475</v>
      </c>
      <c r="T4931" s="23">
        <v>46080</v>
      </c>
      <c r="U4931" s="23">
        <v>46812</v>
      </c>
      <c r="X4931" s="20">
        <v>6000</v>
      </c>
      <c r="Z4931" s="6" t="s">
        <v>5978</v>
      </c>
      <c r="AA4931" s="14">
        <f t="shared" si="655"/>
        <v>5.9999999999999995E-4</v>
      </c>
      <c r="AB4931">
        <v>2.9534279999999997</v>
      </c>
      <c r="AC4931">
        <v>3.0715651199999998</v>
      </c>
    </row>
    <row r="4932" spans="1:29" x14ac:dyDescent="0.3">
      <c r="A4932">
        <v>150236</v>
      </c>
      <c r="B4932" s="25" t="s">
        <v>5984</v>
      </c>
      <c r="C4932" t="s">
        <v>20</v>
      </c>
      <c r="D4932" t="s">
        <v>21</v>
      </c>
      <c r="E4932">
        <v>2222222</v>
      </c>
      <c r="F4932" s="8" t="s">
        <v>22</v>
      </c>
      <c r="G4932" s="2">
        <v>98</v>
      </c>
      <c r="H4932" t="s">
        <v>4720</v>
      </c>
      <c r="J4932" s="9" t="s">
        <v>4836</v>
      </c>
      <c r="K4932" t="s">
        <v>4031</v>
      </c>
      <c r="L4932" s="2">
        <v>1</v>
      </c>
      <c r="M4932" s="24" t="s">
        <v>5971</v>
      </c>
      <c r="N4932" s="2" t="s">
        <v>23</v>
      </c>
      <c r="O4932" s="18" t="s">
        <v>3716</v>
      </c>
      <c r="P4932" s="18" t="s">
        <v>3781</v>
      </c>
      <c r="Q4932" s="6" t="s">
        <v>4475</v>
      </c>
      <c r="T4932" s="23">
        <v>46080</v>
      </c>
      <c r="U4932" s="23">
        <v>47542</v>
      </c>
      <c r="X4932" s="20">
        <v>5000</v>
      </c>
      <c r="Z4932" s="6" t="s">
        <v>5978</v>
      </c>
      <c r="AA4932" s="14">
        <f t="shared" si="655"/>
        <v>5.9999999999999995E-4</v>
      </c>
      <c r="AB4932">
        <v>2.77983</v>
      </c>
      <c r="AC4932">
        <v>2.8910232000000002</v>
      </c>
    </row>
    <row r="4933" spans="1:29" x14ac:dyDescent="0.3">
      <c r="A4933">
        <v>150470</v>
      </c>
      <c r="B4933" s="25" t="s">
        <v>5984</v>
      </c>
      <c r="C4933" t="s">
        <v>20</v>
      </c>
      <c r="D4933" t="s">
        <v>21</v>
      </c>
      <c r="E4933">
        <v>2222222</v>
      </c>
      <c r="F4933" s="8" t="s">
        <v>22</v>
      </c>
      <c r="G4933" s="2">
        <v>98</v>
      </c>
      <c r="H4933" t="s">
        <v>4720</v>
      </c>
      <c r="J4933" s="9" t="s">
        <v>4836</v>
      </c>
      <c r="K4933" t="s">
        <v>4829</v>
      </c>
      <c r="L4933" s="2">
        <v>1</v>
      </c>
      <c r="M4933" s="24" t="s">
        <v>5971</v>
      </c>
      <c r="N4933" s="2" t="s">
        <v>23</v>
      </c>
      <c r="O4933" s="18" t="s">
        <v>3717</v>
      </c>
      <c r="P4933" s="18" t="s">
        <v>3781</v>
      </c>
      <c r="Q4933" s="6" t="s">
        <v>4475</v>
      </c>
      <c r="T4933" s="23">
        <v>46097</v>
      </c>
      <c r="U4933" s="23">
        <v>46461</v>
      </c>
      <c r="X4933" s="20">
        <v>1000</v>
      </c>
      <c r="Z4933" s="6" t="s">
        <v>5978</v>
      </c>
      <c r="AA4933" s="14">
        <f t="shared" si="655"/>
        <v>5.9999999999999995E-4</v>
      </c>
      <c r="AB4933">
        <v>0.41110199999999991</v>
      </c>
      <c r="AC4933">
        <v>0.42754607999999994</v>
      </c>
    </row>
    <row r="4934" spans="1:29" x14ac:dyDescent="0.3">
      <c r="A4934">
        <v>150625</v>
      </c>
      <c r="B4934" s="25" t="s">
        <v>5984</v>
      </c>
      <c r="C4934" t="s">
        <v>20</v>
      </c>
      <c r="D4934" t="s">
        <v>21</v>
      </c>
      <c r="E4934">
        <v>2222222</v>
      </c>
      <c r="F4934" s="8" t="s">
        <v>22</v>
      </c>
      <c r="G4934" s="2">
        <v>98</v>
      </c>
      <c r="H4934" t="s">
        <v>4720</v>
      </c>
      <c r="J4934" s="9" t="s">
        <v>4836</v>
      </c>
      <c r="K4934" t="s">
        <v>4849</v>
      </c>
      <c r="L4934" s="2">
        <v>1</v>
      </c>
      <c r="M4934" s="24" t="s">
        <v>5971</v>
      </c>
      <c r="N4934" s="2" t="s">
        <v>23</v>
      </c>
      <c r="O4934" s="18" t="s">
        <v>3718</v>
      </c>
      <c r="P4934" s="18" t="s">
        <v>3781</v>
      </c>
      <c r="Q4934" s="6" t="s">
        <v>4475</v>
      </c>
      <c r="T4934" s="23">
        <v>46105</v>
      </c>
      <c r="U4934" s="23">
        <v>47565</v>
      </c>
      <c r="X4934" s="20">
        <v>4000</v>
      </c>
      <c r="Z4934" s="6" t="s">
        <v>5978</v>
      </c>
      <c r="AA4934" s="14">
        <f t="shared" si="655"/>
        <v>5.9999999999999995E-4</v>
      </c>
      <c r="AB4934">
        <v>2.2587719999999996</v>
      </c>
      <c r="AC4934">
        <v>2.3491228799999995</v>
      </c>
    </row>
    <row r="4935" spans="1:29" x14ac:dyDescent="0.3">
      <c r="A4935">
        <v>150757</v>
      </c>
      <c r="B4935" s="25" t="s">
        <v>5984</v>
      </c>
      <c r="C4935" t="s">
        <v>20</v>
      </c>
      <c r="D4935" t="s">
        <v>21</v>
      </c>
      <c r="E4935">
        <v>2222222</v>
      </c>
      <c r="F4935" s="8" t="s">
        <v>22</v>
      </c>
      <c r="G4935" s="2">
        <v>98</v>
      </c>
      <c r="H4935" t="s">
        <v>4720</v>
      </c>
      <c r="J4935" s="9" t="s">
        <v>4836</v>
      </c>
      <c r="K4935" t="s">
        <v>5962</v>
      </c>
      <c r="L4935" s="2">
        <v>1</v>
      </c>
      <c r="M4935" s="24" t="s">
        <v>5971</v>
      </c>
      <c r="N4935" s="2" t="s">
        <v>23</v>
      </c>
      <c r="O4935" s="18" t="s">
        <v>3719</v>
      </c>
      <c r="P4935" s="18" t="s">
        <v>3781</v>
      </c>
      <c r="Q4935" s="6" t="s">
        <v>4475</v>
      </c>
      <c r="T4935" s="23">
        <v>46113</v>
      </c>
      <c r="U4935" s="23">
        <v>47939</v>
      </c>
      <c r="X4935" s="20">
        <v>5000</v>
      </c>
      <c r="Z4935" s="6" t="s">
        <v>5978</v>
      </c>
      <c r="AA4935" s="14">
        <f t="shared" si="655"/>
        <v>5.9999999999999995E-4</v>
      </c>
      <c r="AB4935">
        <v>2.8945979999999998</v>
      </c>
      <c r="AC4935">
        <v>3.0103819199999999</v>
      </c>
    </row>
    <row r="4936" spans="1:29" x14ac:dyDescent="0.3">
      <c r="A4936">
        <v>150948</v>
      </c>
      <c r="B4936" s="25" t="s">
        <v>5984</v>
      </c>
      <c r="C4936" t="s">
        <v>20</v>
      </c>
      <c r="D4936" t="s">
        <v>21</v>
      </c>
      <c r="E4936">
        <v>2222222</v>
      </c>
      <c r="F4936" s="8" t="s">
        <v>22</v>
      </c>
      <c r="G4936" s="2">
        <v>98</v>
      </c>
      <c r="H4936" t="s">
        <v>4720</v>
      </c>
      <c r="J4936" s="9" t="s">
        <v>5714</v>
      </c>
      <c r="K4936" t="s">
        <v>4863</v>
      </c>
      <c r="L4936" s="2">
        <v>1</v>
      </c>
      <c r="M4936" s="24" t="s">
        <v>5971</v>
      </c>
      <c r="N4936" s="2" t="s">
        <v>23</v>
      </c>
      <c r="O4936" s="18" t="s">
        <v>3720</v>
      </c>
      <c r="P4936" s="18" t="s">
        <v>3781</v>
      </c>
      <c r="Q4936" s="6" t="s">
        <v>4475</v>
      </c>
      <c r="T4936" s="23">
        <v>46153</v>
      </c>
      <c r="U4936" s="23">
        <v>49805</v>
      </c>
      <c r="X4936" s="20">
        <v>190000</v>
      </c>
      <c r="Z4936" s="6" t="s">
        <v>5978</v>
      </c>
      <c r="AA4936" s="14">
        <f t="shared" si="655"/>
        <v>5.9999999999999995E-4</v>
      </c>
      <c r="AB4936">
        <v>112.87690799999999</v>
      </c>
      <c r="AC4936">
        <v>117.39198431999999</v>
      </c>
    </row>
    <row r="4937" spans="1:29" x14ac:dyDescent="0.3">
      <c r="A4937">
        <v>151038</v>
      </c>
      <c r="B4937" s="25" t="s">
        <v>5984</v>
      </c>
      <c r="C4937" t="s">
        <v>20</v>
      </c>
      <c r="D4937" t="s">
        <v>21</v>
      </c>
      <c r="E4937">
        <v>2222222</v>
      </c>
      <c r="F4937" s="8" t="s">
        <v>22</v>
      </c>
      <c r="G4937" s="2">
        <v>98</v>
      </c>
      <c r="H4937" t="s">
        <v>4720</v>
      </c>
      <c r="J4937" s="9" t="s">
        <v>5137</v>
      </c>
      <c r="K4937" t="s">
        <v>4887</v>
      </c>
      <c r="L4937" s="2">
        <v>1</v>
      </c>
      <c r="M4937" s="24" t="s">
        <v>5971</v>
      </c>
      <c r="N4937" s="2" t="s">
        <v>23</v>
      </c>
      <c r="O4937" s="18" t="s">
        <v>3708</v>
      </c>
      <c r="P4937" s="18" t="s">
        <v>3781</v>
      </c>
      <c r="Q4937" s="6" t="s">
        <v>4475</v>
      </c>
      <c r="T4937" s="23">
        <v>46134</v>
      </c>
      <c r="U4937" s="23">
        <v>46224</v>
      </c>
      <c r="X4937" s="20">
        <v>770</v>
      </c>
      <c r="Z4937" s="6" t="s">
        <v>5978</v>
      </c>
      <c r="AA4937" s="14">
        <f t="shared" si="655"/>
        <v>5.9999999999999995E-4</v>
      </c>
      <c r="AB4937">
        <v>0.46199999999999997</v>
      </c>
      <c r="AC4937">
        <v>0.48047999999999996</v>
      </c>
    </row>
    <row r="4938" spans="1:29" x14ac:dyDescent="0.3">
      <c r="A4938">
        <v>151533</v>
      </c>
      <c r="B4938" s="25" t="s">
        <v>5984</v>
      </c>
      <c r="C4938" t="s">
        <v>20</v>
      </c>
      <c r="D4938" t="s">
        <v>21</v>
      </c>
      <c r="E4938">
        <v>2222222</v>
      </c>
      <c r="F4938" s="8" t="s">
        <v>22</v>
      </c>
      <c r="G4938" s="2">
        <v>98</v>
      </c>
      <c r="H4938" t="s">
        <v>4720</v>
      </c>
      <c r="J4938" s="9" t="s">
        <v>4836</v>
      </c>
      <c r="K4938" t="s">
        <v>4031</v>
      </c>
      <c r="L4938" s="2">
        <v>1</v>
      </c>
      <c r="M4938" s="24" t="s">
        <v>5971</v>
      </c>
      <c r="N4938" s="2" t="s">
        <v>23</v>
      </c>
      <c r="O4938" s="18" t="s">
        <v>3716</v>
      </c>
      <c r="P4938" s="18" t="s">
        <v>3781</v>
      </c>
      <c r="Q4938" s="6" t="s">
        <v>4475</v>
      </c>
      <c r="T4938" s="23">
        <v>46171</v>
      </c>
      <c r="U4938" s="23">
        <v>46722</v>
      </c>
      <c r="X4938" s="20">
        <v>1500</v>
      </c>
      <c r="Z4938" s="6" t="s">
        <v>5978</v>
      </c>
      <c r="AA4938" s="14">
        <f t="shared" si="655"/>
        <v>5.9999999999999995E-4</v>
      </c>
      <c r="AB4938">
        <v>0.85565399999999991</v>
      </c>
      <c r="AC4938">
        <v>0.88988015999999992</v>
      </c>
    </row>
    <row r="4939" spans="1:29" x14ac:dyDescent="0.3">
      <c r="A4939">
        <v>151994</v>
      </c>
      <c r="B4939" s="25" t="s">
        <v>5984</v>
      </c>
      <c r="C4939" t="s">
        <v>20</v>
      </c>
      <c r="D4939" t="s">
        <v>21</v>
      </c>
      <c r="E4939">
        <v>2222222</v>
      </c>
      <c r="F4939" s="8" t="s">
        <v>22</v>
      </c>
      <c r="G4939" s="2">
        <v>98</v>
      </c>
      <c r="H4939" t="s">
        <v>4720</v>
      </c>
      <c r="J4939" s="9" t="s">
        <v>5432</v>
      </c>
      <c r="K4939" t="s">
        <v>5024</v>
      </c>
      <c r="L4939" s="2">
        <v>1</v>
      </c>
      <c r="M4939" s="24" t="s">
        <v>5971</v>
      </c>
      <c r="N4939" s="2" t="s">
        <v>23</v>
      </c>
      <c r="O4939" s="18" t="s">
        <v>3721</v>
      </c>
      <c r="P4939" s="18" t="s">
        <v>0</v>
      </c>
      <c r="Q4939" s="6" t="s">
        <v>4475</v>
      </c>
      <c r="T4939" s="23">
        <v>46204</v>
      </c>
      <c r="U4939" s="23">
        <v>46757</v>
      </c>
      <c r="X4939" s="20">
        <v>3620</v>
      </c>
      <c r="Z4939" s="6" t="s">
        <v>5978</v>
      </c>
      <c r="AA4939" s="14">
        <f t="shared" si="655"/>
        <v>5.9999999999999995E-4</v>
      </c>
      <c r="AB4939">
        <v>2.1719999999999997</v>
      </c>
      <c r="AC4939">
        <v>2.2588799999999996</v>
      </c>
    </row>
    <row r="4940" spans="1:29" x14ac:dyDescent="0.3">
      <c r="A4940">
        <v>152116</v>
      </c>
      <c r="B4940" s="25" t="s">
        <v>5984</v>
      </c>
      <c r="C4940" t="s">
        <v>20</v>
      </c>
      <c r="D4940" t="s">
        <v>21</v>
      </c>
      <c r="E4940">
        <v>2222222</v>
      </c>
      <c r="F4940" s="8" t="s">
        <v>22</v>
      </c>
      <c r="G4940" s="2">
        <v>98</v>
      </c>
      <c r="H4940" t="s">
        <v>4720</v>
      </c>
      <c r="J4940" s="9" t="s">
        <v>4988</v>
      </c>
      <c r="K4940" t="s">
        <v>5421</v>
      </c>
      <c r="L4940" s="2">
        <v>1</v>
      </c>
      <c r="M4940" s="24" t="s">
        <v>5971</v>
      </c>
      <c r="N4940" s="2" t="s">
        <v>23</v>
      </c>
      <c r="O4940" s="18" t="s">
        <v>3712</v>
      </c>
      <c r="P4940" s="18" t="s">
        <v>0</v>
      </c>
      <c r="Q4940" s="6" t="s">
        <v>4475</v>
      </c>
      <c r="T4940" s="23">
        <v>46212</v>
      </c>
      <c r="U4940" s="23">
        <v>46302</v>
      </c>
      <c r="X4940" s="20">
        <v>4000</v>
      </c>
      <c r="Z4940" s="6" t="s">
        <v>5978</v>
      </c>
      <c r="AA4940" s="14">
        <f t="shared" si="655"/>
        <v>5.9999999999999995E-4</v>
      </c>
      <c r="AB4940">
        <v>2.4</v>
      </c>
      <c r="AC4940">
        <v>2.496</v>
      </c>
    </row>
    <row r="4941" spans="1:29" x14ac:dyDescent="0.3">
      <c r="A4941">
        <v>152117</v>
      </c>
      <c r="B4941" s="25" t="s">
        <v>5984</v>
      </c>
      <c r="C4941" t="s">
        <v>20</v>
      </c>
      <c r="D4941" t="s">
        <v>21</v>
      </c>
      <c r="E4941">
        <v>2222222</v>
      </c>
      <c r="F4941" s="8" t="s">
        <v>22</v>
      </c>
      <c r="G4941" s="2">
        <v>98</v>
      </c>
      <c r="H4941" t="s">
        <v>4720</v>
      </c>
      <c r="J4941" s="9" t="s">
        <v>4988</v>
      </c>
      <c r="K4941" t="s">
        <v>5421</v>
      </c>
      <c r="L4941" s="2">
        <v>1</v>
      </c>
      <c r="M4941" s="24" t="s">
        <v>5971</v>
      </c>
      <c r="N4941" s="2" t="s">
        <v>23</v>
      </c>
      <c r="O4941" s="18" t="s">
        <v>3712</v>
      </c>
      <c r="P4941" s="18" t="s">
        <v>0</v>
      </c>
      <c r="Q4941" s="6" t="s">
        <v>4475</v>
      </c>
      <c r="T4941" s="23">
        <v>46212</v>
      </c>
      <c r="U4941" s="23">
        <v>46302</v>
      </c>
      <c r="X4941" s="20">
        <v>2100</v>
      </c>
      <c r="Z4941" s="6" t="s">
        <v>5978</v>
      </c>
      <c r="AA4941" s="14">
        <f t="shared" si="655"/>
        <v>5.9999999999999995E-4</v>
      </c>
      <c r="AB4941">
        <v>1.2599999999999998</v>
      </c>
      <c r="AC4941">
        <v>1.3103999999999998</v>
      </c>
    </row>
    <row r="4942" spans="1:29" x14ac:dyDescent="0.3">
      <c r="A4942">
        <v>133580</v>
      </c>
      <c r="B4942" s="25" t="s">
        <v>5984</v>
      </c>
      <c r="C4942" t="s">
        <v>20</v>
      </c>
      <c r="D4942" t="s">
        <v>21</v>
      </c>
      <c r="E4942">
        <v>2222222</v>
      </c>
      <c r="F4942" s="8" t="s">
        <v>22</v>
      </c>
      <c r="G4942" s="2">
        <v>98</v>
      </c>
      <c r="H4942" t="s">
        <v>4721</v>
      </c>
      <c r="J4942" s="9" t="s">
        <v>5828</v>
      </c>
      <c r="K4942" t="s">
        <v>5207</v>
      </c>
      <c r="L4942" s="2">
        <v>1</v>
      </c>
      <c r="M4942" s="24" t="s">
        <v>5971</v>
      </c>
      <c r="N4942" s="2" t="s">
        <v>23</v>
      </c>
      <c r="O4942" s="18" t="s">
        <v>3722</v>
      </c>
      <c r="P4942" s="18" t="s">
        <v>0</v>
      </c>
      <c r="Q4942" s="6" t="s">
        <v>4475</v>
      </c>
      <c r="T4942" s="23">
        <v>45008</v>
      </c>
      <c r="U4942" s="23">
        <v>46103</v>
      </c>
      <c r="X4942" s="20">
        <v>5000</v>
      </c>
      <c r="Z4942" s="6" t="s">
        <v>5978</v>
      </c>
      <c r="AA4942" s="13">
        <f>+(0.56/1000)</f>
        <v>5.6000000000000006E-4</v>
      </c>
      <c r="AB4942">
        <v>1.2826072000000002</v>
      </c>
      <c r="AC4942">
        <v>1.3339114880000003</v>
      </c>
    </row>
    <row r="4943" spans="1:29" x14ac:dyDescent="0.3">
      <c r="A4943">
        <v>143814</v>
      </c>
      <c r="B4943" s="25" t="s">
        <v>5984</v>
      </c>
      <c r="C4943" t="s">
        <v>20</v>
      </c>
      <c r="D4943" t="s">
        <v>21</v>
      </c>
      <c r="E4943">
        <v>2222222</v>
      </c>
      <c r="F4943" s="8" t="s">
        <v>22</v>
      </c>
      <c r="G4943" s="2">
        <v>98</v>
      </c>
      <c r="H4943" t="s">
        <v>4721</v>
      </c>
      <c r="J4943" s="9" t="s">
        <v>4929</v>
      </c>
      <c r="K4943" t="s">
        <v>4870</v>
      </c>
      <c r="L4943" s="2">
        <v>1</v>
      </c>
      <c r="M4943" s="24" t="s">
        <v>5971</v>
      </c>
      <c r="N4943" s="2" t="s">
        <v>23</v>
      </c>
      <c r="O4943" s="18" t="s">
        <v>3723</v>
      </c>
      <c r="P4943" s="18" t="s">
        <v>0</v>
      </c>
      <c r="Q4943" s="6" t="s">
        <v>4475</v>
      </c>
      <c r="T4943" s="23">
        <v>45617</v>
      </c>
      <c r="U4943" s="23">
        <v>46712</v>
      </c>
      <c r="X4943" s="20">
        <v>4920</v>
      </c>
      <c r="Z4943" s="6" t="s">
        <v>5978</v>
      </c>
      <c r="AA4943" s="14">
        <f t="shared" ref="AA4943:AA4953" si="656">+(0.6/1000)</f>
        <v>5.9999999999999995E-4</v>
      </c>
      <c r="AB4943">
        <v>0.9786419999999999</v>
      </c>
      <c r="AC4943">
        <v>1.0177876799999999</v>
      </c>
    </row>
    <row r="4944" spans="1:29" x14ac:dyDescent="0.3">
      <c r="A4944">
        <v>145097</v>
      </c>
      <c r="B4944" s="25" t="s">
        <v>5984</v>
      </c>
      <c r="C4944" t="s">
        <v>20</v>
      </c>
      <c r="D4944" t="s">
        <v>21</v>
      </c>
      <c r="E4944">
        <v>2222222</v>
      </c>
      <c r="F4944" s="8" t="s">
        <v>22</v>
      </c>
      <c r="G4944" s="2">
        <v>98</v>
      </c>
      <c r="H4944" t="s">
        <v>4721</v>
      </c>
      <c r="J4944" s="9" t="s">
        <v>4852</v>
      </c>
      <c r="K4944" t="s">
        <v>5270</v>
      </c>
      <c r="L4944" s="2">
        <v>1</v>
      </c>
      <c r="M4944" s="24" t="s">
        <v>5971</v>
      </c>
      <c r="N4944" s="2" t="s">
        <v>23</v>
      </c>
      <c r="O4944" s="18" t="s">
        <v>3724</v>
      </c>
      <c r="P4944" s="18" t="s">
        <v>0</v>
      </c>
      <c r="Q4944" s="6" t="s">
        <v>4475</v>
      </c>
      <c r="T4944" s="23">
        <v>45712</v>
      </c>
      <c r="U4944" s="23">
        <v>46444</v>
      </c>
      <c r="X4944" s="20">
        <v>4000</v>
      </c>
      <c r="Z4944" s="6" t="s">
        <v>5978</v>
      </c>
      <c r="AA4944" s="14">
        <f t="shared" si="656"/>
        <v>5.9999999999999995E-4</v>
      </c>
      <c r="AB4944">
        <v>0.787134</v>
      </c>
      <c r="AC4944">
        <v>0.81861936000000002</v>
      </c>
    </row>
    <row r="4945" spans="1:29" x14ac:dyDescent="0.3">
      <c r="A4945">
        <v>150627</v>
      </c>
      <c r="B4945" s="25" t="s">
        <v>5984</v>
      </c>
      <c r="C4945" t="s">
        <v>20</v>
      </c>
      <c r="D4945" t="s">
        <v>21</v>
      </c>
      <c r="E4945">
        <v>2222222</v>
      </c>
      <c r="F4945" s="8" t="s">
        <v>22</v>
      </c>
      <c r="G4945" s="2">
        <v>98</v>
      </c>
      <c r="H4945" t="s">
        <v>4721</v>
      </c>
      <c r="J4945" s="9" t="s">
        <v>4852</v>
      </c>
      <c r="K4945" t="s">
        <v>5270</v>
      </c>
      <c r="L4945" s="2">
        <v>1</v>
      </c>
      <c r="M4945" s="24" t="s">
        <v>5971</v>
      </c>
      <c r="N4945" s="2" t="s">
        <v>23</v>
      </c>
      <c r="O4945" s="18" t="s">
        <v>3724</v>
      </c>
      <c r="P4945" s="18" t="s">
        <v>0</v>
      </c>
      <c r="Q4945" s="6" t="s">
        <v>4475</v>
      </c>
      <c r="T4945" s="23">
        <v>46105</v>
      </c>
      <c r="U4945" s="23">
        <v>46653</v>
      </c>
      <c r="X4945" s="20">
        <v>3100</v>
      </c>
      <c r="Z4945" s="6" t="s">
        <v>5978</v>
      </c>
      <c r="AA4945" s="14">
        <f t="shared" si="656"/>
        <v>5.9999999999999995E-4</v>
      </c>
      <c r="AB4945">
        <v>1.488564</v>
      </c>
      <c r="AC4945">
        <v>1.5481065600000001</v>
      </c>
    </row>
    <row r="4946" spans="1:29" x14ac:dyDescent="0.3">
      <c r="A4946">
        <v>140857</v>
      </c>
      <c r="B4946" s="25" t="s">
        <v>5984</v>
      </c>
      <c r="C4946" t="s">
        <v>20</v>
      </c>
      <c r="D4946" t="s">
        <v>21</v>
      </c>
      <c r="E4946">
        <v>2222222</v>
      </c>
      <c r="F4946" s="8" t="s">
        <v>22</v>
      </c>
      <c r="G4946" s="2">
        <v>98</v>
      </c>
      <c r="H4946" t="s">
        <v>4722</v>
      </c>
      <c r="J4946" s="9" t="s">
        <v>5277</v>
      </c>
      <c r="K4946" t="s">
        <v>4884</v>
      </c>
      <c r="L4946" s="2">
        <v>1</v>
      </c>
      <c r="M4946" s="24" t="s">
        <v>5971</v>
      </c>
      <c r="N4946" s="2" t="s">
        <v>23</v>
      </c>
      <c r="O4946" s="18" t="s">
        <v>3725</v>
      </c>
      <c r="P4946" s="18" t="s">
        <v>3781</v>
      </c>
      <c r="Q4946" s="6" t="s">
        <v>4475</v>
      </c>
      <c r="T4946" s="23">
        <v>45414</v>
      </c>
      <c r="U4946" s="23">
        <v>46874</v>
      </c>
      <c r="X4946" s="20">
        <v>2435</v>
      </c>
      <c r="Z4946" s="6" t="s">
        <v>5978</v>
      </c>
      <c r="AA4946" s="14">
        <f t="shared" si="656"/>
        <v>5.9999999999999995E-4</v>
      </c>
      <c r="AB4946">
        <v>1.298862</v>
      </c>
      <c r="AC4946">
        <v>1.35081648</v>
      </c>
    </row>
    <row r="4947" spans="1:29" x14ac:dyDescent="0.3">
      <c r="A4947">
        <v>148036</v>
      </c>
      <c r="B4947" s="25" t="s">
        <v>5984</v>
      </c>
      <c r="C4947" t="s">
        <v>20</v>
      </c>
      <c r="D4947" t="s">
        <v>21</v>
      </c>
      <c r="E4947">
        <v>2222222</v>
      </c>
      <c r="F4947" s="8" t="s">
        <v>22</v>
      </c>
      <c r="G4947" s="2">
        <v>98</v>
      </c>
      <c r="H4947" t="s">
        <v>4723</v>
      </c>
      <c r="J4947" s="9" t="s">
        <v>4967</v>
      </c>
      <c r="K4947" t="s">
        <v>5081</v>
      </c>
      <c r="L4947" s="2">
        <v>1</v>
      </c>
      <c r="M4947" s="24" t="s">
        <v>5971</v>
      </c>
      <c r="N4947" s="2" t="s">
        <v>23</v>
      </c>
      <c r="O4947" s="18" t="s">
        <v>3726</v>
      </c>
      <c r="P4947" s="18" t="s">
        <v>3781</v>
      </c>
      <c r="Q4947" s="6" t="s">
        <v>4475</v>
      </c>
      <c r="T4947" s="23">
        <v>45953</v>
      </c>
      <c r="U4947" s="23">
        <v>47778</v>
      </c>
      <c r="X4947" s="20">
        <v>26000</v>
      </c>
      <c r="Z4947" s="6" t="s">
        <v>5978</v>
      </c>
      <c r="AA4947" s="14">
        <f t="shared" si="656"/>
        <v>5.9999999999999995E-4</v>
      </c>
      <c r="AB4947">
        <v>13.271801999999997</v>
      </c>
      <c r="AC4947">
        <v>13.802674079999997</v>
      </c>
    </row>
    <row r="4948" spans="1:29" x14ac:dyDescent="0.3">
      <c r="A4948">
        <v>144496</v>
      </c>
      <c r="B4948" s="25" t="s">
        <v>5984</v>
      </c>
      <c r="C4948" t="s">
        <v>20</v>
      </c>
      <c r="D4948" t="s">
        <v>21</v>
      </c>
      <c r="E4948">
        <v>2222222</v>
      </c>
      <c r="F4948" s="8" t="s">
        <v>22</v>
      </c>
      <c r="G4948" s="2">
        <v>98</v>
      </c>
      <c r="H4948" t="s">
        <v>4724</v>
      </c>
      <c r="J4948" s="9" t="s">
        <v>5940</v>
      </c>
      <c r="K4948" t="s">
        <v>5963</v>
      </c>
      <c r="L4948" s="2">
        <v>1</v>
      </c>
      <c r="M4948" s="24" t="s">
        <v>5971</v>
      </c>
      <c r="N4948" s="2" t="s">
        <v>23</v>
      </c>
      <c r="O4948" s="18" t="s">
        <v>3727</v>
      </c>
      <c r="P4948" s="18" t="s">
        <v>3781</v>
      </c>
      <c r="Q4948" s="6" t="s">
        <v>4475</v>
      </c>
      <c r="T4948" s="23">
        <v>45667</v>
      </c>
      <c r="U4948" s="23">
        <v>47127</v>
      </c>
      <c r="X4948" s="20">
        <v>3000</v>
      </c>
      <c r="Z4948" s="6" t="s">
        <v>5978</v>
      </c>
      <c r="AA4948" s="14">
        <f t="shared" si="656"/>
        <v>5.9999999999999995E-4</v>
      </c>
      <c r="AB4948">
        <v>1.269102</v>
      </c>
      <c r="AC4948">
        <v>1.3198660799999999</v>
      </c>
    </row>
    <row r="4949" spans="1:29" x14ac:dyDescent="0.3">
      <c r="A4949">
        <v>146949</v>
      </c>
      <c r="B4949" s="25" t="s">
        <v>5984</v>
      </c>
      <c r="C4949" t="s">
        <v>20</v>
      </c>
      <c r="D4949" t="s">
        <v>21</v>
      </c>
      <c r="E4949">
        <v>2222222</v>
      </c>
      <c r="F4949" s="8" t="s">
        <v>22</v>
      </c>
      <c r="G4949" s="2">
        <v>98</v>
      </c>
      <c r="H4949" t="s">
        <v>4724</v>
      </c>
      <c r="J4949" s="9" t="s">
        <v>4901</v>
      </c>
      <c r="K4949" t="s">
        <v>4964</v>
      </c>
      <c r="L4949" s="2">
        <v>1</v>
      </c>
      <c r="M4949" s="24" t="s">
        <v>5971</v>
      </c>
      <c r="N4949" s="2" t="s">
        <v>23</v>
      </c>
      <c r="O4949" s="18" t="s">
        <v>3728</v>
      </c>
      <c r="P4949" s="18" t="s">
        <v>0</v>
      </c>
      <c r="Q4949" s="6" t="s">
        <v>4475</v>
      </c>
      <c r="T4949" s="23">
        <v>45854</v>
      </c>
      <c r="U4949" s="23">
        <v>46402</v>
      </c>
      <c r="X4949" s="20">
        <v>4980</v>
      </c>
      <c r="Z4949" s="6" t="s">
        <v>5978</v>
      </c>
      <c r="AA4949" s="14">
        <f t="shared" si="656"/>
        <v>5.9999999999999995E-4</v>
      </c>
      <c r="AB4949">
        <v>1.086546</v>
      </c>
      <c r="AC4949">
        <v>1.13000784</v>
      </c>
    </row>
    <row r="4950" spans="1:29" x14ac:dyDescent="0.3">
      <c r="A4950">
        <v>147496</v>
      </c>
      <c r="B4950" s="25" t="s">
        <v>5984</v>
      </c>
      <c r="C4950" t="s">
        <v>20</v>
      </c>
      <c r="D4950" t="s">
        <v>21</v>
      </c>
      <c r="E4950">
        <v>2222222</v>
      </c>
      <c r="F4950" s="8" t="s">
        <v>22</v>
      </c>
      <c r="G4950" s="2">
        <v>98</v>
      </c>
      <c r="H4950" t="s">
        <v>4724</v>
      </c>
      <c r="J4950" s="9" t="s">
        <v>5940</v>
      </c>
      <c r="K4950" t="s">
        <v>5963</v>
      </c>
      <c r="L4950" s="2">
        <v>1</v>
      </c>
      <c r="M4950" s="24" t="s">
        <v>5971</v>
      </c>
      <c r="N4950" s="2" t="s">
        <v>23</v>
      </c>
      <c r="O4950" s="18" t="s">
        <v>3727</v>
      </c>
      <c r="P4950" s="18" t="s">
        <v>3781</v>
      </c>
      <c r="Q4950" s="6" t="s">
        <v>4475</v>
      </c>
      <c r="T4950" s="23">
        <v>45893</v>
      </c>
      <c r="U4950" s="23">
        <v>46989</v>
      </c>
      <c r="X4950" s="20">
        <v>4000</v>
      </c>
      <c r="Z4950" s="6" t="s">
        <v>5978</v>
      </c>
      <c r="AA4950" s="14">
        <f t="shared" si="656"/>
        <v>5.9999999999999995E-4</v>
      </c>
      <c r="AB4950">
        <v>1.7907659999999999</v>
      </c>
      <c r="AC4950">
        <v>1.8623966399999998</v>
      </c>
    </row>
    <row r="4951" spans="1:29" x14ac:dyDescent="0.3">
      <c r="A4951">
        <v>148044</v>
      </c>
      <c r="B4951" s="25" t="s">
        <v>5984</v>
      </c>
      <c r="C4951" t="s">
        <v>20</v>
      </c>
      <c r="D4951" t="s">
        <v>21</v>
      </c>
      <c r="E4951">
        <v>2222222</v>
      </c>
      <c r="F4951" s="8" t="s">
        <v>22</v>
      </c>
      <c r="G4951" s="2">
        <v>98</v>
      </c>
      <c r="H4951" t="s">
        <v>4724</v>
      </c>
      <c r="J4951" s="9" t="s">
        <v>4836</v>
      </c>
      <c r="K4951" t="s">
        <v>4880</v>
      </c>
      <c r="L4951" s="2">
        <v>1</v>
      </c>
      <c r="M4951" s="24" t="s">
        <v>5971</v>
      </c>
      <c r="N4951" s="2" t="s">
        <v>23</v>
      </c>
      <c r="O4951" s="18" t="s">
        <v>830</v>
      </c>
      <c r="P4951" s="18" t="s">
        <v>3781</v>
      </c>
      <c r="Q4951" s="6" t="s">
        <v>4475</v>
      </c>
      <c r="T4951" s="23">
        <v>45959</v>
      </c>
      <c r="U4951" s="23">
        <v>49610</v>
      </c>
      <c r="X4951" s="20">
        <v>50000</v>
      </c>
      <c r="Z4951" s="6" t="s">
        <v>5978</v>
      </c>
      <c r="AA4951" s="14">
        <f t="shared" si="656"/>
        <v>5.9999999999999995E-4</v>
      </c>
      <c r="AB4951">
        <v>28.771391999999999</v>
      </c>
      <c r="AC4951">
        <v>29.922247679999998</v>
      </c>
    </row>
    <row r="4952" spans="1:29" x14ac:dyDescent="0.3">
      <c r="A4952">
        <v>151482</v>
      </c>
      <c r="B4952" s="25" t="s">
        <v>5984</v>
      </c>
      <c r="C4952" t="s">
        <v>20</v>
      </c>
      <c r="D4952" t="s">
        <v>21</v>
      </c>
      <c r="E4952">
        <v>2222222</v>
      </c>
      <c r="F4952" s="8" t="s">
        <v>22</v>
      </c>
      <c r="G4952" s="2">
        <v>98</v>
      </c>
      <c r="H4952" t="s">
        <v>4724</v>
      </c>
      <c r="J4952" s="9" t="s">
        <v>4836</v>
      </c>
      <c r="K4952" t="s">
        <v>5310</v>
      </c>
      <c r="L4952" s="2">
        <v>1</v>
      </c>
      <c r="M4952" s="24" t="s">
        <v>5971</v>
      </c>
      <c r="N4952" s="2" t="s">
        <v>23</v>
      </c>
      <c r="O4952" s="18" t="s">
        <v>3729</v>
      </c>
      <c r="P4952" s="18" t="s">
        <v>3781</v>
      </c>
      <c r="Q4952" s="6" t="s">
        <v>4475</v>
      </c>
      <c r="T4952" s="23">
        <v>46175</v>
      </c>
      <c r="U4952" s="23">
        <v>48001</v>
      </c>
      <c r="X4952" s="20">
        <v>10000</v>
      </c>
      <c r="Z4952" s="6" t="s">
        <v>5978</v>
      </c>
      <c r="AA4952" s="14">
        <f t="shared" si="656"/>
        <v>5.9999999999999995E-4</v>
      </c>
      <c r="AB4952">
        <v>5.933381999999999</v>
      </c>
      <c r="AC4952">
        <v>6.170717279999999</v>
      </c>
    </row>
    <row r="4953" spans="1:29" x14ac:dyDescent="0.3">
      <c r="A4953">
        <v>151416</v>
      </c>
      <c r="B4953" s="25" t="s">
        <v>5984</v>
      </c>
      <c r="C4953" t="s">
        <v>20</v>
      </c>
      <c r="D4953" t="s">
        <v>21</v>
      </c>
      <c r="E4953">
        <v>2222222</v>
      </c>
      <c r="F4953" s="8" t="s">
        <v>22</v>
      </c>
      <c r="G4953" s="2">
        <v>98</v>
      </c>
      <c r="H4953" t="s">
        <v>4725</v>
      </c>
      <c r="J4953" s="9" t="s">
        <v>4911</v>
      </c>
      <c r="K4953" t="s">
        <v>5964</v>
      </c>
      <c r="L4953" s="2">
        <v>1</v>
      </c>
      <c r="M4953" s="24" t="s">
        <v>5971</v>
      </c>
      <c r="N4953" s="2" t="s">
        <v>23</v>
      </c>
      <c r="O4953" s="18" t="s">
        <v>3150</v>
      </c>
      <c r="P4953" s="18" t="s">
        <v>3781</v>
      </c>
      <c r="Q4953" s="6" t="s">
        <v>4475</v>
      </c>
      <c r="T4953" s="23">
        <v>46164</v>
      </c>
      <c r="U4953" s="23">
        <v>49816</v>
      </c>
      <c r="X4953" s="20">
        <v>20000</v>
      </c>
      <c r="Z4953" s="6" t="s">
        <v>5978</v>
      </c>
      <c r="AA4953" s="14">
        <f t="shared" si="656"/>
        <v>5.9999999999999995E-4</v>
      </c>
      <c r="AB4953">
        <v>11.914073999999999</v>
      </c>
      <c r="AC4953">
        <v>12.39063696</v>
      </c>
    </row>
    <row r="4954" spans="1:29" x14ac:dyDescent="0.3">
      <c r="A4954">
        <v>128603</v>
      </c>
      <c r="B4954" s="25" t="s">
        <v>5984</v>
      </c>
      <c r="C4954" t="s">
        <v>20</v>
      </c>
      <c r="D4954" t="s">
        <v>21</v>
      </c>
      <c r="E4954">
        <v>2222222</v>
      </c>
      <c r="F4954" s="8" t="s">
        <v>22</v>
      </c>
      <c r="G4954" s="2">
        <v>98</v>
      </c>
      <c r="H4954" t="s">
        <v>4726</v>
      </c>
      <c r="J4954" s="9" t="s">
        <v>4826</v>
      </c>
      <c r="K4954" t="s">
        <v>4950</v>
      </c>
      <c r="L4954" s="2">
        <v>1</v>
      </c>
      <c r="M4954" s="24" t="s">
        <v>5971</v>
      </c>
      <c r="N4954" s="2" t="s">
        <v>23</v>
      </c>
      <c r="O4954" s="18" t="s">
        <v>703</v>
      </c>
      <c r="P4954" s="18" t="s">
        <v>0</v>
      </c>
      <c r="Q4954" s="6" t="s">
        <v>4475</v>
      </c>
      <c r="T4954" s="23">
        <v>44732</v>
      </c>
      <c r="U4954" s="23">
        <v>45219</v>
      </c>
      <c r="X4954" s="20">
        <v>1350</v>
      </c>
      <c r="Z4954" s="6" t="s">
        <v>5978</v>
      </c>
      <c r="AA4954" s="15">
        <f>+(0.42/1000)</f>
        <v>4.1999999999999996E-4</v>
      </c>
      <c r="AB4954">
        <v>0.37123799999999996</v>
      </c>
      <c r="AC4954">
        <v>0.38608751999999996</v>
      </c>
    </row>
    <row r="4955" spans="1:29" x14ac:dyDescent="0.3">
      <c r="A4955">
        <v>140995</v>
      </c>
      <c r="B4955" s="25" t="s">
        <v>5984</v>
      </c>
      <c r="C4955" t="s">
        <v>20</v>
      </c>
      <c r="D4955" t="s">
        <v>21</v>
      </c>
      <c r="E4955">
        <v>2222222</v>
      </c>
      <c r="F4955" s="8" t="s">
        <v>22</v>
      </c>
      <c r="G4955" s="2">
        <v>98</v>
      </c>
      <c r="H4955" t="s">
        <v>4726</v>
      </c>
      <c r="J4955" s="9" t="s">
        <v>4836</v>
      </c>
      <c r="K4955" t="s">
        <v>4873</v>
      </c>
      <c r="L4955" s="2">
        <v>1</v>
      </c>
      <c r="M4955" s="24" t="s">
        <v>5971</v>
      </c>
      <c r="N4955" s="2" t="s">
        <v>23</v>
      </c>
      <c r="O4955" s="18" t="s">
        <v>3730</v>
      </c>
      <c r="P4955" s="18" t="s">
        <v>3781</v>
      </c>
      <c r="Q4955" s="6" t="s">
        <v>4475</v>
      </c>
      <c r="T4955" s="23">
        <v>45423</v>
      </c>
      <c r="U4955" s="23">
        <v>47248</v>
      </c>
      <c r="X4955" s="20">
        <v>4000</v>
      </c>
      <c r="Z4955" s="6" t="s">
        <v>5978</v>
      </c>
      <c r="AA4955" s="14">
        <f t="shared" ref="AA4955:AA4963" si="657">+(0.6/1000)</f>
        <v>5.9999999999999995E-4</v>
      </c>
      <c r="AB4955">
        <v>1.575726</v>
      </c>
      <c r="AC4955">
        <v>1.6387550399999999</v>
      </c>
    </row>
    <row r="4956" spans="1:29" x14ac:dyDescent="0.3">
      <c r="A4956">
        <v>146502</v>
      </c>
      <c r="B4956" s="25" t="s">
        <v>5984</v>
      </c>
      <c r="C4956" t="s">
        <v>20</v>
      </c>
      <c r="D4956" t="s">
        <v>21</v>
      </c>
      <c r="E4956">
        <v>2222222</v>
      </c>
      <c r="F4956" s="8" t="s">
        <v>22</v>
      </c>
      <c r="G4956" s="2">
        <v>98</v>
      </c>
      <c r="H4956" t="s">
        <v>4726</v>
      </c>
      <c r="J4956" s="9" t="s">
        <v>4836</v>
      </c>
      <c r="K4956" t="s">
        <v>5855</v>
      </c>
      <c r="L4956" s="2">
        <v>1</v>
      </c>
      <c r="M4956" s="24" t="s">
        <v>5971</v>
      </c>
      <c r="N4956" s="2" t="s">
        <v>23</v>
      </c>
      <c r="O4956" s="18" t="s">
        <v>3731</v>
      </c>
      <c r="P4956" s="18" t="s">
        <v>3781</v>
      </c>
      <c r="Q4956" s="6" t="s">
        <v>4475</v>
      </c>
      <c r="T4956" s="23">
        <v>45821</v>
      </c>
      <c r="U4956" s="23">
        <v>47647</v>
      </c>
      <c r="X4956" s="20">
        <v>5000</v>
      </c>
      <c r="Z4956" s="6" t="s">
        <v>5978</v>
      </c>
      <c r="AA4956" s="14">
        <f t="shared" si="657"/>
        <v>5.9999999999999995E-4</v>
      </c>
      <c r="AB4956">
        <v>1.8156719999999997</v>
      </c>
      <c r="AC4956">
        <v>1.8882988799999998</v>
      </c>
    </row>
    <row r="4957" spans="1:29" x14ac:dyDescent="0.3">
      <c r="A4957">
        <v>147627</v>
      </c>
      <c r="B4957" s="25" t="s">
        <v>5984</v>
      </c>
      <c r="C4957" t="s">
        <v>20</v>
      </c>
      <c r="D4957" t="s">
        <v>21</v>
      </c>
      <c r="E4957">
        <v>2222222</v>
      </c>
      <c r="F4957" s="8" t="s">
        <v>22</v>
      </c>
      <c r="G4957" s="2">
        <v>98</v>
      </c>
      <c r="H4957" t="s">
        <v>4726</v>
      </c>
      <c r="J4957" s="9" t="s">
        <v>4836</v>
      </c>
      <c r="K4957" t="s">
        <v>4829</v>
      </c>
      <c r="L4957" s="2">
        <v>1</v>
      </c>
      <c r="M4957" s="24" t="s">
        <v>5971</v>
      </c>
      <c r="N4957" s="2" t="s">
        <v>23</v>
      </c>
      <c r="O4957" s="18" t="s">
        <v>3732</v>
      </c>
      <c r="P4957" s="18" t="s">
        <v>3781</v>
      </c>
      <c r="Q4957" s="6" t="s">
        <v>4475</v>
      </c>
      <c r="T4957" s="23">
        <v>45901</v>
      </c>
      <c r="U4957" s="23">
        <v>46997</v>
      </c>
      <c r="X4957" s="20">
        <v>2460</v>
      </c>
      <c r="Z4957" s="6" t="s">
        <v>5978</v>
      </c>
      <c r="AA4957" s="14">
        <f t="shared" si="657"/>
        <v>5.9999999999999995E-4</v>
      </c>
      <c r="AB4957">
        <v>1.138026</v>
      </c>
      <c r="AC4957">
        <v>1.1835470400000001</v>
      </c>
    </row>
    <row r="4958" spans="1:29" x14ac:dyDescent="0.3">
      <c r="A4958">
        <v>151971</v>
      </c>
      <c r="B4958" s="25" t="s">
        <v>5984</v>
      </c>
      <c r="C4958" t="s">
        <v>20</v>
      </c>
      <c r="D4958" t="s">
        <v>21</v>
      </c>
      <c r="E4958">
        <v>2222222</v>
      </c>
      <c r="F4958" s="8" t="s">
        <v>22</v>
      </c>
      <c r="G4958" s="2">
        <v>98</v>
      </c>
      <c r="H4958" t="s">
        <v>4726</v>
      </c>
      <c r="J4958" s="9" t="s">
        <v>4950</v>
      </c>
      <c r="K4958" t="s">
        <v>4870</v>
      </c>
      <c r="L4958" s="2">
        <v>1</v>
      </c>
      <c r="M4958" s="24" t="s">
        <v>5971</v>
      </c>
      <c r="N4958" s="2" t="s">
        <v>23</v>
      </c>
      <c r="O4958" s="18" t="s">
        <v>1832</v>
      </c>
      <c r="P4958" s="18" t="s">
        <v>0</v>
      </c>
      <c r="Q4958" s="6" t="s">
        <v>4475</v>
      </c>
      <c r="T4958" s="23">
        <v>46202</v>
      </c>
      <c r="U4958" s="23">
        <v>47663</v>
      </c>
      <c r="X4958" s="20">
        <v>2200</v>
      </c>
      <c r="Z4958" s="6" t="s">
        <v>5978</v>
      </c>
      <c r="AA4958" s="14">
        <f t="shared" si="657"/>
        <v>5.9999999999999995E-4</v>
      </c>
      <c r="AB4958">
        <v>1.300854</v>
      </c>
      <c r="AC4958">
        <v>1.35288816</v>
      </c>
    </row>
    <row r="4959" spans="1:29" x14ac:dyDescent="0.3">
      <c r="A4959">
        <v>152037</v>
      </c>
      <c r="B4959" s="25" t="s">
        <v>5984</v>
      </c>
      <c r="C4959" t="s">
        <v>20</v>
      </c>
      <c r="D4959" t="s">
        <v>21</v>
      </c>
      <c r="E4959">
        <v>2222222</v>
      </c>
      <c r="F4959" s="8" t="s">
        <v>22</v>
      </c>
      <c r="G4959" s="2">
        <v>98</v>
      </c>
      <c r="H4959" t="s">
        <v>4726</v>
      </c>
      <c r="J4959" s="9" t="s">
        <v>4990</v>
      </c>
      <c r="K4959" t="s">
        <v>4863</v>
      </c>
      <c r="L4959" s="2">
        <v>1</v>
      </c>
      <c r="M4959" s="24" t="s">
        <v>5971</v>
      </c>
      <c r="N4959" s="2" t="s">
        <v>23</v>
      </c>
      <c r="O4959" s="18" t="s">
        <v>182</v>
      </c>
      <c r="P4959" s="18" t="s">
        <v>3781</v>
      </c>
      <c r="Q4959" s="6" t="s">
        <v>4475</v>
      </c>
      <c r="T4959" s="23">
        <v>46209</v>
      </c>
      <c r="U4959" s="23">
        <v>46762</v>
      </c>
      <c r="X4959" s="20">
        <v>5000</v>
      </c>
      <c r="Z4959" s="6" t="s">
        <v>5978</v>
      </c>
      <c r="AA4959" s="14">
        <f t="shared" si="657"/>
        <v>5.9999999999999995E-4</v>
      </c>
      <c r="AB4959">
        <v>2.9999999999999996</v>
      </c>
      <c r="AC4959">
        <v>3.1199999999999997</v>
      </c>
    </row>
    <row r="4960" spans="1:29" x14ac:dyDescent="0.3">
      <c r="A4960">
        <v>149048</v>
      </c>
      <c r="B4960" s="25" t="s">
        <v>5984</v>
      </c>
      <c r="C4960" t="s">
        <v>20</v>
      </c>
      <c r="D4960" t="s">
        <v>21</v>
      </c>
      <c r="E4960">
        <v>2222222</v>
      </c>
      <c r="F4960" s="8" t="s">
        <v>22</v>
      </c>
      <c r="G4960" s="2">
        <v>98</v>
      </c>
      <c r="H4960" t="s">
        <v>4727</v>
      </c>
      <c r="J4960" s="9" t="s">
        <v>5204</v>
      </c>
      <c r="K4960" t="s">
        <v>5220</v>
      </c>
      <c r="L4960" s="2">
        <v>1</v>
      </c>
      <c r="M4960" s="24" t="s">
        <v>5971</v>
      </c>
      <c r="N4960" s="2" t="s">
        <v>23</v>
      </c>
      <c r="O4960" s="18" t="s">
        <v>3733</v>
      </c>
      <c r="P4960" s="18" t="s">
        <v>0</v>
      </c>
      <c r="Q4960" s="6" t="s">
        <v>4475</v>
      </c>
      <c r="T4960" s="23">
        <v>45994</v>
      </c>
      <c r="U4960" s="23">
        <v>47089</v>
      </c>
      <c r="X4960" s="20">
        <v>2500</v>
      </c>
      <c r="Z4960" s="6" t="s">
        <v>5978</v>
      </c>
      <c r="AA4960" s="14">
        <f t="shared" si="657"/>
        <v>5.9999999999999995E-4</v>
      </c>
      <c r="AB4960">
        <v>1.2639119999999999</v>
      </c>
      <c r="AC4960">
        <v>1.3144684799999999</v>
      </c>
    </row>
    <row r="4961" spans="1:29" x14ac:dyDescent="0.3">
      <c r="A4961">
        <v>151264</v>
      </c>
      <c r="B4961" s="25" t="s">
        <v>5984</v>
      </c>
      <c r="C4961" t="s">
        <v>20</v>
      </c>
      <c r="D4961" t="s">
        <v>21</v>
      </c>
      <c r="E4961">
        <v>2222222</v>
      </c>
      <c r="F4961" s="8" t="s">
        <v>22</v>
      </c>
      <c r="G4961" s="2">
        <v>98</v>
      </c>
      <c r="H4961" t="s">
        <v>4727</v>
      </c>
      <c r="J4961" s="9" t="s">
        <v>4908</v>
      </c>
      <c r="K4961" t="s">
        <v>5024</v>
      </c>
      <c r="L4961" s="2">
        <v>1</v>
      </c>
      <c r="M4961" s="24" t="s">
        <v>5971</v>
      </c>
      <c r="N4961" s="2" t="s">
        <v>23</v>
      </c>
      <c r="O4961" s="18" t="s">
        <v>3734</v>
      </c>
      <c r="P4961" s="18" t="s">
        <v>0</v>
      </c>
      <c r="Q4961" s="6" t="s">
        <v>4475</v>
      </c>
      <c r="T4961" s="23">
        <v>46150</v>
      </c>
      <c r="U4961" s="23">
        <v>46698</v>
      </c>
      <c r="X4961" s="20">
        <v>600</v>
      </c>
      <c r="Z4961" s="6" t="s">
        <v>5978</v>
      </c>
      <c r="AA4961" s="14">
        <f t="shared" si="657"/>
        <v>5.9999999999999995E-4</v>
      </c>
      <c r="AB4961">
        <v>0.32354999999999995</v>
      </c>
      <c r="AC4961">
        <v>0.33649199999999996</v>
      </c>
    </row>
    <row r="4962" spans="1:29" x14ac:dyDescent="0.3">
      <c r="A4962">
        <v>151876</v>
      </c>
      <c r="B4962" s="25" t="s">
        <v>5984</v>
      </c>
      <c r="C4962" t="s">
        <v>20</v>
      </c>
      <c r="D4962" t="s">
        <v>21</v>
      </c>
      <c r="E4962">
        <v>2222222</v>
      </c>
      <c r="F4962" s="8" t="s">
        <v>22</v>
      </c>
      <c r="G4962" s="2">
        <v>98</v>
      </c>
      <c r="H4962" t="s">
        <v>4727</v>
      </c>
      <c r="J4962" s="9" t="s">
        <v>5204</v>
      </c>
      <c r="K4962" t="s">
        <v>5220</v>
      </c>
      <c r="L4962" s="2">
        <v>1</v>
      </c>
      <c r="M4962" s="24" t="s">
        <v>5971</v>
      </c>
      <c r="N4962" s="2" t="s">
        <v>23</v>
      </c>
      <c r="O4962" s="18" t="s">
        <v>3733</v>
      </c>
      <c r="P4962" s="18" t="s">
        <v>0</v>
      </c>
      <c r="Q4962" s="6" t="s">
        <v>4475</v>
      </c>
      <c r="T4962" s="23">
        <v>46192</v>
      </c>
      <c r="U4962" s="23">
        <v>47653</v>
      </c>
      <c r="X4962" s="20">
        <v>5000</v>
      </c>
      <c r="Z4962" s="6" t="s">
        <v>5978</v>
      </c>
      <c r="AA4962" s="14">
        <f t="shared" si="657"/>
        <v>5.9999999999999995E-4</v>
      </c>
      <c r="AB4962">
        <v>2.9564819999999998</v>
      </c>
      <c r="AC4962">
        <v>3.07474128</v>
      </c>
    </row>
    <row r="4963" spans="1:29" x14ac:dyDescent="0.3">
      <c r="A4963">
        <v>145202</v>
      </c>
      <c r="B4963" s="25" t="s">
        <v>5984</v>
      </c>
      <c r="C4963" t="s">
        <v>20</v>
      </c>
      <c r="D4963" t="s">
        <v>21</v>
      </c>
      <c r="E4963">
        <v>2222222</v>
      </c>
      <c r="F4963" s="8" t="s">
        <v>22</v>
      </c>
      <c r="G4963" s="2">
        <v>98</v>
      </c>
      <c r="H4963" t="s">
        <v>4728</v>
      </c>
      <c r="J4963" s="9" t="s">
        <v>5017</v>
      </c>
      <c r="K4963" t="s">
        <v>5310</v>
      </c>
      <c r="L4963" s="2">
        <v>1</v>
      </c>
      <c r="M4963" s="24" t="s">
        <v>5971</v>
      </c>
      <c r="N4963" s="2" t="s">
        <v>23</v>
      </c>
      <c r="O4963" s="18" t="s">
        <v>3735</v>
      </c>
      <c r="P4963" s="18" t="s">
        <v>3781</v>
      </c>
      <c r="Q4963" s="6" t="s">
        <v>4475</v>
      </c>
      <c r="T4963" s="23">
        <v>45722</v>
      </c>
      <c r="U4963" s="23">
        <v>46451</v>
      </c>
      <c r="X4963" s="20">
        <v>3000</v>
      </c>
      <c r="Z4963" s="6" t="s">
        <v>5978</v>
      </c>
      <c r="AA4963" s="14">
        <f t="shared" si="657"/>
        <v>5.9999999999999995E-4</v>
      </c>
      <c r="AB4963">
        <v>0.66928799999999999</v>
      </c>
      <c r="AC4963">
        <v>0.69605952000000004</v>
      </c>
    </row>
    <row r="4964" spans="1:29" x14ac:dyDescent="0.3">
      <c r="A4964">
        <v>139489</v>
      </c>
      <c r="B4964" s="25" t="s">
        <v>5984</v>
      </c>
      <c r="C4964" t="s">
        <v>20</v>
      </c>
      <c r="D4964" t="s">
        <v>21</v>
      </c>
      <c r="E4964">
        <v>2222222</v>
      </c>
      <c r="F4964" s="8" t="s">
        <v>22</v>
      </c>
      <c r="G4964" s="2">
        <v>98</v>
      </c>
      <c r="H4964" t="s">
        <v>4729</v>
      </c>
      <c r="J4964" s="9" t="s">
        <v>4815</v>
      </c>
      <c r="K4964" t="s">
        <v>5604</v>
      </c>
      <c r="L4964" s="2">
        <v>1</v>
      </c>
      <c r="M4964" s="24" t="s">
        <v>5971</v>
      </c>
      <c r="N4964" s="2" t="s">
        <v>23</v>
      </c>
      <c r="O4964" s="18" t="s">
        <v>3733</v>
      </c>
      <c r="P4964" s="18" t="s">
        <v>0</v>
      </c>
      <c r="Q4964" s="6" t="s">
        <v>4475</v>
      </c>
      <c r="T4964" s="23">
        <v>45331</v>
      </c>
      <c r="U4964" s="23">
        <v>46793</v>
      </c>
      <c r="X4964" s="20">
        <v>4000</v>
      </c>
      <c r="Z4964" s="6" t="s">
        <v>5978</v>
      </c>
      <c r="AA4964" s="13">
        <f>+(0.56/1000)</f>
        <v>5.6000000000000006E-4</v>
      </c>
      <c r="AB4964">
        <v>1.0949512000000001</v>
      </c>
      <c r="AC4964">
        <v>1.1387492480000001</v>
      </c>
    </row>
    <row r="4965" spans="1:29" x14ac:dyDescent="0.3">
      <c r="A4965">
        <v>148137</v>
      </c>
      <c r="B4965" s="25" t="s">
        <v>5984</v>
      </c>
      <c r="C4965" t="s">
        <v>20</v>
      </c>
      <c r="D4965" t="s">
        <v>21</v>
      </c>
      <c r="E4965">
        <v>2222222</v>
      </c>
      <c r="F4965" s="8" t="s">
        <v>22</v>
      </c>
      <c r="G4965" s="2">
        <v>98</v>
      </c>
      <c r="H4965" t="s">
        <v>4729</v>
      </c>
      <c r="J4965" s="9" t="s">
        <v>5965</v>
      </c>
      <c r="K4965" t="s">
        <v>4918</v>
      </c>
      <c r="L4965" s="2">
        <v>1</v>
      </c>
      <c r="M4965" s="24" t="s">
        <v>5971</v>
      </c>
      <c r="N4965" s="2" t="s">
        <v>23</v>
      </c>
      <c r="O4965" s="18" t="s">
        <v>3265</v>
      </c>
      <c r="P4965" s="18" t="s">
        <v>3781</v>
      </c>
      <c r="Q4965" s="6" t="s">
        <v>4475</v>
      </c>
      <c r="T4965" s="23">
        <v>45938</v>
      </c>
      <c r="U4965" s="23">
        <v>46667</v>
      </c>
      <c r="X4965" s="20">
        <v>1500</v>
      </c>
      <c r="Z4965" s="6" t="s">
        <v>5978</v>
      </c>
      <c r="AA4965" s="14">
        <f t="shared" ref="AA4965:AA4966" si="658">+(0.6/1000)</f>
        <v>5.9999999999999995E-4</v>
      </c>
      <c r="AB4965">
        <v>0.59927399999999997</v>
      </c>
      <c r="AC4965">
        <v>0.62324495999999996</v>
      </c>
    </row>
    <row r="4966" spans="1:29" x14ac:dyDescent="0.3">
      <c r="A4966">
        <v>151750</v>
      </c>
      <c r="B4966" s="25" t="s">
        <v>5984</v>
      </c>
      <c r="C4966" t="s">
        <v>20</v>
      </c>
      <c r="D4966" t="s">
        <v>21</v>
      </c>
      <c r="E4966">
        <v>2222222</v>
      </c>
      <c r="F4966" s="8" t="s">
        <v>22</v>
      </c>
      <c r="G4966" s="2">
        <v>98</v>
      </c>
      <c r="H4966" t="s">
        <v>4730</v>
      </c>
      <c r="J4966" s="9" t="s">
        <v>4981</v>
      </c>
      <c r="K4966" t="s">
        <v>4863</v>
      </c>
      <c r="L4966" s="2">
        <v>1</v>
      </c>
      <c r="M4966" s="24" t="s">
        <v>5971</v>
      </c>
      <c r="N4966" s="2" t="s">
        <v>23</v>
      </c>
      <c r="O4966" s="18" t="s">
        <v>3736</v>
      </c>
      <c r="P4966" s="18" t="s">
        <v>3781</v>
      </c>
      <c r="Q4966" s="6" t="s">
        <v>4475</v>
      </c>
      <c r="T4966" s="23">
        <v>46184</v>
      </c>
      <c r="U4966" s="23">
        <v>46274</v>
      </c>
      <c r="X4966" s="20">
        <v>1550</v>
      </c>
      <c r="Z4966" s="6" t="s">
        <v>5978</v>
      </c>
      <c r="AA4966" s="14">
        <f t="shared" si="658"/>
        <v>5.9999999999999995E-4</v>
      </c>
      <c r="AB4966">
        <v>0.92999999999999994</v>
      </c>
      <c r="AC4966">
        <v>0.96719999999999995</v>
      </c>
    </row>
    <row r="4967" spans="1:29" x14ac:dyDescent="0.3">
      <c r="A4967">
        <v>128529</v>
      </c>
      <c r="B4967" s="25" t="s">
        <v>5984</v>
      </c>
      <c r="C4967" t="s">
        <v>20</v>
      </c>
      <c r="D4967" t="s">
        <v>21</v>
      </c>
      <c r="E4967">
        <v>2222222</v>
      </c>
      <c r="F4967" s="8" t="s">
        <v>22</v>
      </c>
      <c r="G4967" s="2">
        <v>98</v>
      </c>
      <c r="H4967" t="s">
        <v>4731</v>
      </c>
      <c r="J4967" s="9" t="s">
        <v>5316</v>
      </c>
      <c r="K4967" t="s">
        <v>4815</v>
      </c>
      <c r="L4967" s="2">
        <v>1</v>
      </c>
      <c r="M4967" s="24" t="s">
        <v>5971</v>
      </c>
      <c r="N4967" s="2" t="s">
        <v>23</v>
      </c>
      <c r="O4967" s="18" t="s">
        <v>3737</v>
      </c>
      <c r="P4967" s="18" t="s">
        <v>0</v>
      </c>
      <c r="Q4967" s="6" t="s">
        <v>4475</v>
      </c>
      <c r="T4967" s="23">
        <v>44742</v>
      </c>
      <c r="U4967" s="23">
        <v>46660</v>
      </c>
      <c r="X4967" s="20">
        <v>9500</v>
      </c>
      <c r="Z4967" s="6" t="s">
        <v>5978</v>
      </c>
      <c r="AA4967" s="15">
        <f t="shared" ref="AA4967:AA4968" si="659">+(0.42/1000)</f>
        <v>4.1999999999999996E-4</v>
      </c>
      <c r="AB4967">
        <v>1.2082601999999998</v>
      </c>
      <c r="AC4967">
        <v>1.2565906079999998</v>
      </c>
    </row>
    <row r="4968" spans="1:29" x14ac:dyDescent="0.3">
      <c r="A4968">
        <v>129007</v>
      </c>
      <c r="B4968" s="25" t="s">
        <v>5984</v>
      </c>
      <c r="C4968" t="s">
        <v>20</v>
      </c>
      <c r="D4968" t="s">
        <v>21</v>
      </c>
      <c r="E4968">
        <v>2222222</v>
      </c>
      <c r="F4968" s="8" t="s">
        <v>22</v>
      </c>
      <c r="G4968" s="2">
        <v>98</v>
      </c>
      <c r="H4968" t="s">
        <v>4731</v>
      </c>
      <c r="J4968" s="9" t="s">
        <v>5047</v>
      </c>
      <c r="K4968" t="s">
        <v>4863</v>
      </c>
      <c r="L4968" s="2">
        <v>1</v>
      </c>
      <c r="M4968" s="24" t="s">
        <v>5971</v>
      </c>
      <c r="N4968" s="2" t="s">
        <v>23</v>
      </c>
      <c r="O4968" s="18" t="s">
        <v>3738</v>
      </c>
      <c r="P4968" s="18" t="s">
        <v>0</v>
      </c>
      <c r="Q4968" s="6" t="s">
        <v>4475</v>
      </c>
      <c r="T4968" s="23">
        <v>44755</v>
      </c>
      <c r="U4968" s="23">
        <v>46215</v>
      </c>
      <c r="X4968" s="20">
        <v>5000</v>
      </c>
      <c r="Z4968" s="6" t="s">
        <v>5978</v>
      </c>
      <c r="AA4968" s="15">
        <f t="shared" si="659"/>
        <v>4.1999999999999996E-4</v>
      </c>
      <c r="AB4968">
        <v>0.68374740000000001</v>
      </c>
      <c r="AC4968">
        <v>0.71109729600000005</v>
      </c>
    </row>
    <row r="4969" spans="1:29" x14ac:dyDescent="0.3">
      <c r="A4969">
        <v>130641</v>
      </c>
      <c r="B4969" s="25" t="s">
        <v>5984</v>
      </c>
      <c r="C4969" t="s">
        <v>20</v>
      </c>
      <c r="D4969" t="s">
        <v>21</v>
      </c>
      <c r="E4969">
        <v>2222222</v>
      </c>
      <c r="F4969" s="8" t="s">
        <v>22</v>
      </c>
      <c r="G4969" s="2">
        <v>98</v>
      </c>
      <c r="H4969" t="s">
        <v>4731</v>
      </c>
      <c r="J4969" s="9" t="s">
        <v>5399</v>
      </c>
      <c r="K4969" t="s">
        <v>5250</v>
      </c>
      <c r="L4969" s="2">
        <v>1</v>
      </c>
      <c r="M4969" s="24" t="s">
        <v>5971</v>
      </c>
      <c r="N4969" s="2" t="s">
        <v>23</v>
      </c>
      <c r="O4969" s="18" t="s">
        <v>3739</v>
      </c>
      <c r="P4969" s="18" t="s">
        <v>0</v>
      </c>
      <c r="Q4969" s="6" t="s">
        <v>4475</v>
      </c>
      <c r="T4969" s="23">
        <v>44846</v>
      </c>
      <c r="U4969" s="23">
        <v>46306</v>
      </c>
      <c r="X4969" s="20">
        <v>4500</v>
      </c>
      <c r="Z4969" s="6" t="s">
        <v>5978</v>
      </c>
      <c r="AA4969" s="13">
        <f t="shared" ref="AA4969:AA4974" si="660">+(0.56/1000)</f>
        <v>5.6000000000000006E-4</v>
      </c>
      <c r="AB4969">
        <v>0.21860720000000003</v>
      </c>
      <c r="AC4969">
        <v>0.22735148800000005</v>
      </c>
    </row>
    <row r="4970" spans="1:29" x14ac:dyDescent="0.3">
      <c r="A4970">
        <v>134445</v>
      </c>
      <c r="B4970" s="25" t="s">
        <v>5984</v>
      </c>
      <c r="C4970" t="s">
        <v>20</v>
      </c>
      <c r="D4970" t="s">
        <v>21</v>
      </c>
      <c r="E4970">
        <v>2222222</v>
      </c>
      <c r="F4970" s="8" t="s">
        <v>22</v>
      </c>
      <c r="G4970" s="2">
        <v>98</v>
      </c>
      <c r="H4970" t="s">
        <v>4731</v>
      </c>
      <c r="J4970" s="9" t="s">
        <v>5139</v>
      </c>
      <c r="K4970" t="s">
        <v>5169</v>
      </c>
      <c r="L4970" s="2">
        <v>1</v>
      </c>
      <c r="M4970" s="24" t="s">
        <v>5971</v>
      </c>
      <c r="N4970" s="2" t="s">
        <v>23</v>
      </c>
      <c r="O4970" s="18" t="s">
        <v>3740</v>
      </c>
      <c r="P4970" s="18" t="s">
        <v>3781</v>
      </c>
      <c r="Q4970" s="6" t="s">
        <v>4475</v>
      </c>
      <c r="T4970" s="23">
        <v>45056</v>
      </c>
      <c r="U4970" s="23">
        <v>46516</v>
      </c>
      <c r="X4970" s="20">
        <v>5000</v>
      </c>
      <c r="Z4970" s="6" t="s">
        <v>5978</v>
      </c>
      <c r="AA4970" s="13">
        <f t="shared" si="660"/>
        <v>5.6000000000000006E-4</v>
      </c>
      <c r="AB4970">
        <v>0.77264320000000009</v>
      </c>
      <c r="AC4970">
        <v>0.80354892800000011</v>
      </c>
    </row>
    <row r="4971" spans="1:29" x14ac:dyDescent="0.3">
      <c r="A4971">
        <v>134617</v>
      </c>
      <c r="B4971" s="25" t="s">
        <v>5984</v>
      </c>
      <c r="C4971" t="s">
        <v>20</v>
      </c>
      <c r="D4971" t="s">
        <v>21</v>
      </c>
      <c r="E4971">
        <v>2222222</v>
      </c>
      <c r="F4971" s="8" t="s">
        <v>22</v>
      </c>
      <c r="G4971" s="2">
        <v>98</v>
      </c>
      <c r="H4971" t="s">
        <v>4731</v>
      </c>
      <c r="J4971" s="9" t="s">
        <v>5061</v>
      </c>
      <c r="K4971" t="s">
        <v>5175</v>
      </c>
      <c r="L4971" s="2">
        <v>1</v>
      </c>
      <c r="M4971" s="24" t="s">
        <v>5971</v>
      </c>
      <c r="N4971" s="2" t="s">
        <v>23</v>
      </c>
      <c r="O4971" s="18" t="s">
        <v>3741</v>
      </c>
      <c r="P4971" s="18" t="s">
        <v>0</v>
      </c>
      <c r="Q4971" s="6" t="s">
        <v>4475</v>
      </c>
      <c r="T4971" s="23">
        <v>45077</v>
      </c>
      <c r="U4971" s="23">
        <v>47268</v>
      </c>
      <c r="X4971" s="20">
        <v>20000</v>
      </c>
      <c r="Z4971" s="6" t="s">
        <v>5978</v>
      </c>
      <c r="AA4971" s="13">
        <f t="shared" si="660"/>
        <v>5.6000000000000006E-4</v>
      </c>
      <c r="AB4971">
        <v>10.318240800000002</v>
      </c>
      <c r="AC4971">
        <v>10.730970432000001</v>
      </c>
    </row>
    <row r="4972" spans="1:29" x14ac:dyDescent="0.3">
      <c r="A4972">
        <v>135107</v>
      </c>
      <c r="B4972" s="25" t="s">
        <v>5984</v>
      </c>
      <c r="C4972" t="s">
        <v>20</v>
      </c>
      <c r="D4972" t="s">
        <v>21</v>
      </c>
      <c r="E4972">
        <v>2222222</v>
      </c>
      <c r="F4972" s="8" t="s">
        <v>22</v>
      </c>
      <c r="G4972" s="2">
        <v>98</v>
      </c>
      <c r="H4972" t="s">
        <v>4731</v>
      </c>
      <c r="J4972" s="9" t="s">
        <v>5373</v>
      </c>
      <c r="K4972" t="s">
        <v>5682</v>
      </c>
      <c r="L4972" s="2">
        <v>1</v>
      </c>
      <c r="M4972" s="24" t="s">
        <v>5971</v>
      </c>
      <c r="N4972" s="2" t="s">
        <v>23</v>
      </c>
      <c r="O4972" s="18" t="s">
        <v>3742</v>
      </c>
      <c r="P4972" s="18" t="s">
        <v>3781</v>
      </c>
      <c r="Q4972" s="6" t="s">
        <v>4475</v>
      </c>
      <c r="T4972" s="23">
        <v>45093</v>
      </c>
      <c r="U4972" s="23">
        <v>46554</v>
      </c>
      <c r="X4972" s="20">
        <v>5000</v>
      </c>
      <c r="Z4972" s="6" t="s">
        <v>5978</v>
      </c>
      <c r="AA4972" s="13">
        <f t="shared" si="660"/>
        <v>5.6000000000000006E-4</v>
      </c>
      <c r="AB4972">
        <v>0.84437360000000006</v>
      </c>
      <c r="AC4972">
        <v>0.87814854400000009</v>
      </c>
    </row>
    <row r="4973" spans="1:29" x14ac:dyDescent="0.3">
      <c r="A4973">
        <v>135991</v>
      </c>
      <c r="B4973" s="25" t="s">
        <v>5984</v>
      </c>
      <c r="C4973" t="s">
        <v>20</v>
      </c>
      <c r="D4973" t="s">
        <v>21</v>
      </c>
      <c r="E4973">
        <v>2222222</v>
      </c>
      <c r="F4973" s="8" t="s">
        <v>22</v>
      </c>
      <c r="G4973" s="2">
        <v>98</v>
      </c>
      <c r="H4973" t="s">
        <v>4731</v>
      </c>
      <c r="J4973" s="9" t="s">
        <v>5575</v>
      </c>
      <c r="K4973" t="s">
        <v>5010</v>
      </c>
      <c r="L4973" s="2">
        <v>1</v>
      </c>
      <c r="M4973" s="24" t="s">
        <v>5971</v>
      </c>
      <c r="N4973" s="2" t="s">
        <v>23</v>
      </c>
      <c r="O4973" s="18" t="s">
        <v>3743</v>
      </c>
      <c r="P4973" s="18" t="s">
        <v>0</v>
      </c>
      <c r="Q4973" s="6" t="s">
        <v>4475</v>
      </c>
      <c r="T4973" s="23">
        <v>45195</v>
      </c>
      <c r="U4973" s="23">
        <v>47022</v>
      </c>
      <c r="X4973" s="20">
        <v>100000</v>
      </c>
      <c r="Z4973" s="6" t="s">
        <v>5978</v>
      </c>
      <c r="AA4973" s="13">
        <f t="shared" si="660"/>
        <v>5.6000000000000006E-4</v>
      </c>
      <c r="AB4973">
        <v>28.283600800000002</v>
      </c>
      <c r="AC4973">
        <v>29.414944832000003</v>
      </c>
    </row>
    <row r="4974" spans="1:29" x14ac:dyDescent="0.3">
      <c r="A4974">
        <v>138993</v>
      </c>
      <c r="B4974" s="25" t="s">
        <v>5984</v>
      </c>
      <c r="C4974" t="s">
        <v>20</v>
      </c>
      <c r="D4974" t="s">
        <v>21</v>
      </c>
      <c r="E4974">
        <v>2222222</v>
      </c>
      <c r="F4974" s="8" t="s">
        <v>22</v>
      </c>
      <c r="G4974" s="2">
        <v>98</v>
      </c>
      <c r="H4974" t="s">
        <v>4731</v>
      </c>
      <c r="J4974" s="9" t="s">
        <v>5047</v>
      </c>
      <c r="K4974" t="s">
        <v>4863</v>
      </c>
      <c r="L4974" s="2">
        <v>1</v>
      </c>
      <c r="M4974" s="24" t="s">
        <v>5971</v>
      </c>
      <c r="N4974" s="2" t="s">
        <v>23</v>
      </c>
      <c r="O4974" s="18" t="s">
        <v>3738</v>
      </c>
      <c r="P4974" s="18" t="s">
        <v>0</v>
      </c>
      <c r="Q4974" s="6" t="s">
        <v>4475</v>
      </c>
      <c r="T4974" s="23">
        <v>45309</v>
      </c>
      <c r="U4974" s="23">
        <v>46769</v>
      </c>
      <c r="X4974" s="20">
        <v>5000</v>
      </c>
      <c r="Z4974" s="6" t="s">
        <v>5978</v>
      </c>
      <c r="AA4974" s="13">
        <f t="shared" si="660"/>
        <v>5.6000000000000006E-4</v>
      </c>
      <c r="AB4974">
        <v>1.9402264000000002</v>
      </c>
      <c r="AC4974">
        <v>2.0178354560000002</v>
      </c>
    </row>
    <row r="4975" spans="1:29" x14ac:dyDescent="0.3">
      <c r="A4975">
        <v>140823</v>
      </c>
      <c r="B4975" s="25" t="s">
        <v>5984</v>
      </c>
      <c r="C4975" t="s">
        <v>20</v>
      </c>
      <c r="D4975" t="s">
        <v>21</v>
      </c>
      <c r="E4975">
        <v>2222222</v>
      </c>
      <c r="F4975" s="8" t="s">
        <v>22</v>
      </c>
      <c r="G4975" s="2">
        <v>98</v>
      </c>
      <c r="H4975" t="s">
        <v>4731</v>
      </c>
      <c r="J4975" s="9" t="s">
        <v>5399</v>
      </c>
      <c r="K4975" t="s">
        <v>4848</v>
      </c>
      <c r="L4975" s="2">
        <v>1</v>
      </c>
      <c r="M4975" s="24" t="s">
        <v>5971</v>
      </c>
      <c r="N4975" s="2" t="s">
        <v>23</v>
      </c>
      <c r="O4975" s="18" t="s">
        <v>3744</v>
      </c>
      <c r="P4975" s="18" t="s">
        <v>0</v>
      </c>
      <c r="Q4975" s="6" t="s">
        <v>4475</v>
      </c>
      <c r="T4975" s="23">
        <v>45413</v>
      </c>
      <c r="U4975" s="23">
        <v>46507</v>
      </c>
      <c r="X4975" s="20">
        <v>2000</v>
      </c>
      <c r="Z4975" s="6" t="s">
        <v>5978</v>
      </c>
      <c r="AA4975" s="14">
        <f t="shared" ref="AA4975:AA5016" si="661">+(0.6/1000)</f>
        <v>5.9999999999999995E-4</v>
      </c>
      <c r="AB4975">
        <v>0.40067999999999993</v>
      </c>
      <c r="AC4975">
        <v>0.41670719999999994</v>
      </c>
    </row>
    <row r="4976" spans="1:29" x14ac:dyDescent="0.3">
      <c r="A4976">
        <v>141125</v>
      </c>
      <c r="B4976" s="25" t="s">
        <v>5984</v>
      </c>
      <c r="C4976" t="s">
        <v>20</v>
      </c>
      <c r="D4976" t="s">
        <v>21</v>
      </c>
      <c r="E4976">
        <v>2222222</v>
      </c>
      <c r="F4976" s="8" t="s">
        <v>22</v>
      </c>
      <c r="G4976" s="2">
        <v>98</v>
      </c>
      <c r="H4976" t="s">
        <v>4731</v>
      </c>
      <c r="J4976" s="9" t="s">
        <v>5351</v>
      </c>
      <c r="K4976" t="s">
        <v>5430</v>
      </c>
      <c r="L4976" s="2">
        <v>1</v>
      </c>
      <c r="M4976" s="24" t="s">
        <v>5971</v>
      </c>
      <c r="N4976" s="2" t="s">
        <v>23</v>
      </c>
      <c r="O4976" s="18" t="s">
        <v>3745</v>
      </c>
      <c r="P4976" s="18" t="s">
        <v>0</v>
      </c>
      <c r="Q4976" s="6" t="s">
        <v>4475</v>
      </c>
      <c r="T4976" s="23">
        <v>45441</v>
      </c>
      <c r="U4976" s="23">
        <v>47996</v>
      </c>
      <c r="X4976" s="20">
        <v>45000</v>
      </c>
      <c r="Z4976" s="6" t="s">
        <v>5978</v>
      </c>
      <c r="AA4976" s="14">
        <f t="shared" si="661"/>
        <v>5.9999999999999995E-4</v>
      </c>
      <c r="AB4976">
        <v>21.591311999999995</v>
      </c>
      <c r="AC4976">
        <v>22.454964479999994</v>
      </c>
    </row>
    <row r="4977" spans="1:29" x14ac:dyDescent="0.3">
      <c r="A4977">
        <v>141848</v>
      </c>
      <c r="B4977" s="25" t="s">
        <v>5984</v>
      </c>
      <c r="C4977" t="s">
        <v>20</v>
      </c>
      <c r="D4977" t="s">
        <v>21</v>
      </c>
      <c r="E4977">
        <v>2222222</v>
      </c>
      <c r="F4977" s="8" t="s">
        <v>22</v>
      </c>
      <c r="G4977" s="2">
        <v>98</v>
      </c>
      <c r="H4977" t="s">
        <v>4731</v>
      </c>
      <c r="J4977" s="9" t="s">
        <v>5240</v>
      </c>
      <c r="K4977" t="s">
        <v>5085</v>
      </c>
      <c r="L4977" s="2">
        <v>1</v>
      </c>
      <c r="M4977" s="24" t="s">
        <v>5971</v>
      </c>
      <c r="N4977" s="2" t="s">
        <v>23</v>
      </c>
      <c r="O4977" s="18" t="s">
        <v>3746</v>
      </c>
      <c r="P4977" s="18" t="s">
        <v>0</v>
      </c>
      <c r="Q4977" s="6" t="s">
        <v>4475</v>
      </c>
      <c r="T4977" s="23">
        <v>45495</v>
      </c>
      <c r="U4977" s="23">
        <v>47685</v>
      </c>
      <c r="X4977" s="20">
        <v>18000</v>
      </c>
      <c r="Z4977" s="6" t="s">
        <v>5978</v>
      </c>
      <c r="AA4977" s="14">
        <f t="shared" si="661"/>
        <v>5.9999999999999995E-4</v>
      </c>
      <c r="AB4977">
        <v>8.3355540000000001</v>
      </c>
      <c r="AC4977">
        <v>8.6689761599999997</v>
      </c>
    </row>
    <row r="4978" spans="1:29" x14ac:dyDescent="0.3">
      <c r="A4978">
        <v>142181</v>
      </c>
      <c r="B4978" s="25" t="s">
        <v>5984</v>
      </c>
      <c r="C4978" t="s">
        <v>20</v>
      </c>
      <c r="D4978" t="s">
        <v>21</v>
      </c>
      <c r="E4978">
        <v>2222222</v>
      </c>
      <c r="F4978" s="8" t="s">
        <v>22</v>
      </c>
      <c r="G4978" s="2">
        <v>98</v>
      </c>
      <c r="H4978" t="s">
        <v>4731</v>
      </c>
      <c r="J4978" s="9" t="s">
        <v>4982</v>
      </c>
      <c r="K4978" t="s">
        <v>5197</v>
      </c>
      <c r="L4978" s="2">
        <v>1</v>
      </c>
      <c r="M4978" s="24" t="s">
        <v>5971</v>
      </c>
      <c r="N4978" s="2" t="s">
        <v>23</v>
      </c>
      <c r="O4978" s="18" t="s">
        <v>3747</v>
      </c>
      <c r="P4978" s="18" t="s">
        <v>0</v>
      </c>
      <c r="Q4978" s="6" t="s">
        <v>4475</v>
      </c>
      <c r="T4978" s="23">
        <v>45506</v>
      </c>
      <c r="U4978" s="23">
        <v>47331</v>
      </c>
      <c r="X4978" s="20">
        <v>7500</v>
      </c>
      <c r="Z4978" s="6" t="s">
        <v>5978</v>
      </c>
      <c r="AA4978" s="14">
        <f t="shared" si="661"/>
        <v>5.9999999999999995E-4</v>
      </c>
      <c r="AB4978">
        <v>3.157686</v>
      </c>
      <c r="AC4978">
        <v>3.2839934400000002</v>
      </c>
    </row>
    <row r="4979" spans="1:29" x14ac:dyDescent="0.3">
      <c r="A4979">
        <v>142703</v>
      </c>
      <c r="B4979" s="25" t="s">
        <v>5984</v>
      </c>
      <c r="C4979" t="s">
        <v>20</v>
      </c>
      <c r="D4979" t="s">
        <v>21</v>
      </c>
      <c r="E4979">
        <v>2222222</v>
      </c>
      <c r="F4979" s="8" t="s">
        <v>22</v>
      </c>
      <c r="G4979" s="2">
        <v>98</v>
      </c>
      <c r="H4979" t="s">
        <v>4731</v>
      </c>
      <c r="J4979" s="9" t="s">
        <v>4970</v>
      </c>
      <c r="K4979" t="s">
        <v>5090</v>
      </c>
      <c r="L4979" s="2">
        <v>1</v>
      </c>
      <c r="M4979" s="24" t="s">
        <v>5971</v>
      </c>
      <c r="N4979" s="2" t="s">
        <v>23</v>
      </c>
      <c r="O4979" s="18" t="s">
        <v>3748</v>
      </c>
      <c r="P4979" s="18" t="s">
        <v>3781</v>
      </c>
      <c r="Q4979" s="6" t="s">
        <v>4475</v>
      </c>
      <c r="T4979" s="23">
        <v>45538</v>
      </c>
      <c r="U4979" s="23">
        <v>47364</v>
      </c>
      <c r="X4979" s="20">
        <v>10000</v>
      </c>
      <c r="Z4979" s="6" t="s">
        <v>5978</v>
      </c>
      <c r="AA4979" s="14">
        <f t="shared" si="661"/>
        <v>5.9999999999999995E-4</v>
      </c>
      <c r="AB4979">
        <v>4.3005839999999997</v>
      </c>
      <c r="AC4979">
        <v>4.4726073599999996</v>
      </c>
    </row>
    <row r="4980" spans="1:29" x14ac:dyDescent="0.3">
      <c r="A4980">
        <v>142835</v>
      </c>
      <c r="B4980" s="25" t="s">
        <v>5984</v>
      </c>
      <c r="C4980" t="s">
        <v>20</v>
      </c>
      <c r="D4980" t="s">
        <v>21</v>
      </c>
      <c r="E4980">
        <v>2222222</v>
      </c>
      <c r="F4980" s="8" t="s">
        <v>22</v>
      </c>
      <c r="G4980" s="2">
        <v>98</v>
      </c>
      <c r="H4980" t="s">
        <v>4731</v>
      </c>
      <c r="J4980" s="9" t="s">
        <v>5008</v>
      </c>
      <c r="K4980" t="s">
        <v>4827</v>
      </c>
      <c r="L4980" s="2">
        <v>1</v>
      </c>
      <c r="M4980" s="24" t="s">
        <v>5971</v>
      </c>
      <c r="N4980" s="2" t="s">
        <v>23</v>
      </c>
      <c r="O4980" s="18" t="s">
        <v>1921</v>
      </c>
      <c r="P4980" s="18" t="s">
        <v>0</v>
      </c>
      <c r="Q4980" s="6" t="s">
        <v>4475</v>
      </c>
      <c r="T4980" s="23">
        <v>45548</v>
      </c>
      <c r="U4980" s="23">
        <v>46278</v>
      </c>
      <c r="X4980" s="20">
        <v>2460</v>
      </c>
      <c r="Z4980" s="6" t="s">
        <v>5978</v>
      </c>
      <c r="AA4980" s="14">
        <f t="shared" si="661"/>
        <v>5.9999999999999995E-4</v>
      </c>
      <c r="AB4980">
        <v>0.145122</v>
      </c>
      <c r="AC4980">
        <v>0.15092688000000001</v>
      </c>
    </row>
    <row r="4981" spans="1:29" x14ac:dyDescent="0.3">
      <c r="A4981">
        <v>144224</v>
      </c>
      <c r="B4981" s="25" t="s">
        <v>5984</v>
      </c>
      <c r="C4981" t="s">
        <v>20</v>
      </c>
      <c r="D4981" t="s">
        <v>21</v>
      </c>
      <c r="E4981">
        <v>2222222</v>
      </c>
      <c r="F4981" s="8" t="s">
        <v>22</v>
      </c>
      <c r="G4981" s="2">
        <v>98</v>
      </c>
      <c r="H4981" t="s">
        <v>4731</v>
      </c>
      <c r="J4981" s="9" t="s">
        <v>5575</v>
      </c>
      <c r="K4981" t="s">
        <v>5010</v>
      </c>
      <c r="L4981" s="2">
        <v>1</v>
      </c>
      <c r="M4981" s="24" t="s">
        <v>5971</v>
      </c>
      <c r="N4981" s="2" t="s">
        <v>23</v>
      </c>
      <c r="O4981" s="18" t="s">
        <v>3743</v>
      </c>
      <c r="P4981" s="18" t="s">
        <v>0</v>
      </c>
      <c r="Q4981" s="6" t="s">
        <v>4475</v>
      </c>
      <c r="T4981" s="23">
        <v>45650</v>
      </c>
      <c r="U4981" s="23">
        <v>46379</v>
      </c>
      <c r="X4981" s="20">
        <v>19000</v>
      </c>
      <c r="Z4981" s="6" t="s">
        <v>5978</v>
      </c>
      <c r="AA4981" s="14">
        <f t="shared" si="661"/>
        <v>5.9999999999999995E-4</v>
      </c>
      <c r="AB4981">
        <v>2.6014019999999998</v>
      </c>
      <c r="AC4981">
        <v>2.7054580799999997</v>
      </c>
    </row>
    <row r="4982" spans="1:29" x14ac:dyDescent="0.3">
      <c r="A4982">
        <v>144349</v>
      </c>
      <c r="B4982" s="25" t="s">
        <v>5984</v>
      </c>
      <c r="C4982" t="s">
        <v>20</v>
      </c>
      <c r="D4982" t="s">
        <v>21</v>
      </c>
      <c r="E4982">
        <v>2222222</v>
      </c>
      <c r="F4982" s="8" t="s">
        <v>22</v>
      </c>
      <c r="G4982" s="2">
        <v>98</v>
      </c>
      <c r="H4982" t="s">
        <v>4731</v>
      </c>
      <c r="J4982" s="9" t="s">
        <v>4891</v>
      </c>
      <c r="K4982" t="s">
        <v>4969</v>
      </c>
      <c r="L4982" s="2">
        <v>1</v>
      </c>
      <c r="M4982" s="24" t="s">
        <v>5971</v>
      </c>
      <c r="N4982" s="2" t="s">
        <v>23</v>
      </c>
      <c r="O4982" s="18" t="s">
        <v>121</v>
      </c>
      <c r="P4982" s="18" t="s">
        <v>3781</v>
      </c>
      <c r="Q4982" s="6" t="s">
        <v>4475</v>
      </c>
      <c r="T4982" s="23">
        <v>45670</v>
      </c>
      <c r="U4982" s="23">
        <v>46764</v>
      </c>
      <c r="X4982" s="20">
        <v>20000</v>
      </c>
      <c r="Z4982" s="6" t="s">
        <v>5978</v>
      </c>
      <c r="AA4982" s="14">
        <f t="shared" si="661"/>
        <v>5.9999999999999995E-4</v>
      </c>
      <c r="AB4982">
        <v>6.707058</v>
      </c>
      <c r="AC4982">
        <v>6.9753403199999999</v>
      </c>
    </row>
    <row r="4983" spans="1:29" x14ac:dyDescent="0.3">
      <c r="A4983">
        <v>144422</v>
      </c>
      <c r="B4983" s="25" t="s">
        <v>5984</v>
      </c>
      <c r="C4983" t="s">
        <v>20</v>
      </c>
      <c r="D4983" t="s">
        <v>21</v>
      </c>
      <c r="E4983">
        <v>2222222</v>
      </c>
      <c r="F4983" s="8" t="s">
        <v>22</v>
      </c>
      <c r="G4983" s="2">
        <v>98</v>
      </c>
      <c r="H4983" t="s">
        <v>4731</v>
      </c>
      <c r="J4983" s="9" t="s">
        <v>5055</v>
      </c>
      <c r="K4983" t="s">
        <v>5682</v>
      </c>
      <c r="L4983" s="2">
        <v>1</v>
      </c>
      <c r="M4983" s="24" t="s">
        <v>5971</v>
      </c>
      <c r="N4983" s="2" t="s">
        <v>23</v>
      </c>
      <c r="O4983" s="18" t="s">
        <v>3749</v>
      </c>
      <c r="P4983" s="18" t="s">
        <v>3781</v>
      </c>
      <c r="Q4983" s="6" t="s">
        <v>4475</v>
      </c>
      <c r="T4983" s="23">
        <v>45663</v>
      </c>
      <c r="U4983" s="23">
        <v>47123</v>
      </c>
      <c r="X4983" s="20">
        <v>5000</v>
      </c>
      <c r="Z4983" s="6" t="s">
        <v>5978</v>
      </c>
      <c r="AA4983" s="14">
        <f t="shared" si="661"/>
        <v>5.9999999999999995E-4</v>
      </c>
      <c r="AB4983">
        <v>2.1152279999999997</v>
      </c>
      <c r="AC4983">
        <v>2.1998371199999998</v>
      </c>
    </row>
    <row r="4984" spans="1:29" x14ac:dyDescent="0.3">
      <c r="A4984">
        <v>144454</v>
      </c>
      <c r="B4984" s="25" t="s">
        <v>5984</v>
      </c>
      <c r="C4984" t="s">
        <v>20</v>
      </c>
      <c r="D4984" t="s">
        <v>21</v>
      </c>
      <c r="E4984">
        <v>2222222</v>
      </c>
      <c r="F4984" s="8" t="s">
        <v>22</v>
      </c>
      <c r="G4984" s="2">
        <v>98</v>
      </c>
      <c r="H4984" t="s">
        <v>4731</v>
      </c>
      <c r="J4984" s="9" t="s">
        <v>5220</v>
      </c>
      <c r="K4984" t="s">
        <v>4878</v>
      </c>
      <c r="L4984" s="2">
        <v>1</v>
      </c>
      <c r="M4984" s="24" t="s">
        <v>5971</v>
      </c>
      <c r="N4984" s="2" t="s">
        <v>23</v>
      </c>
      <c r="O4984" s="18" t="s">
        <v>3750</v>
      </c>
      <c r="P4984" s="18" t="s">
        <v>0</v>
      </c>
      <c r="Q4984" s="6" t="s">
        <v>4475</v>
      </c>
      <c r="T4984" s="23">
        <v>45678</v>
      </c>
      <c r="U4984" s="23">
        <v>47503</v>
      </c>
      <c r="X4984" s="20">
        <v>25000</v>
      </c>
      <c r="Z4984" s="6" t="s">
        <v>5978</v>
      </c>
      <c r="AA4984" s="14">
        <f t="shared" si="661"/>
        <v>5.9999999999999995E-4</v>
      </c>
      <c r="AB4984">
        <v>11.66874</v>
      </c>
      <c r="AC4984">
        <v>12.1354896</v>
      </c>
    </row>
    <row r="4985" spans="1:29" x14ac:dyDescent="0.3">
      <c r="A4985">
        <v>144460</v>
      </c>
      <c r="B4985" s="25" t="s">
        <v>5984</v>
      </c>
      <c r="C4985" t="s">
        <v>20</v>
      </c>
      <c r="D4985" t="s">
        <v>21</v>
      </c>
      <c r="E4985">
        <v>2222222</v>
      </c>
      <c r="F4985" s="8" t="s">
        <v>22</v>
      </c>
      <c r="G4985" s="2">
        <v>98</v>
      </c>
      <c r="H4985" t="s">
        <v>4731</v>
      </c>
      <c r="J4985" s="9" t="s">
        <v>4900</v>
      </c>
      <c r="K4985" t="s">
        <v>4901</v>
      </c>
      <c r="L4985" s="2">
        <v>1</v>
      </c>
      <c r="M4985" s="24" t="s">
        <v>5971</v>
      </c>
      <c r="N4985" s="2" t="s">
        <v>23</v>
      </c>
      <c r="O4985" s="18" t="s">
        <v>3751</v>
      </c>
      <c r="P4985" s="18" t="s">
        <v>0</v>
      </c>
      <c r="Q4985" s="6" t="s">
        <v>4475</v>
      </c>
      <c r="T4985" s="23">
        <v>45674</v>
      </c>
      <c r="U4985" s="23">
        <v>47499</v>
      </c>
      <c r="X4985" s="20">
        <v>50000</v>
      </c>
      <c r="Z4985" s="6" t="s">
        <v>5978</v>
      </c>
      <c r="AA4985" s="14">
        <f t="shared" si="661"/>
        <v>5.9999999999999995E-4</v>
      </c>
      <c r="AB4985">
        <v>23.067791999999997</v>
      </c>
      <c r="AC4985">
        <v>23.990503679999996</v>
      </c>
    </row>
    <row r="4986" spans="1:29" x14ac:dyDescent="0.3">
      <c r="A4986">
        <v>146126</v>
      </c>
      <c r="B4986" s="25" t="s">
        <v>5984</v>
      </c>
      <c r="C4986" t="s">
        <v>20</v>
      </c>
      <c r="D4986" t="s">
        <v>21</v>
      </c>
      <c r="E4986">
        <v>2222222</v>
      </c>
      <c r="F4986" s="8" t="s">
        <v>22</v>
      </c>
      <c r="G4986" s="2">
        <v>98</v>
      </c>
      <c r="H4986" t="s">
        <v>4731</v>
      </c>
      <c r="J4986" s="9" t="s">
        <v>4911</v>
      </c>
      <c r="K4986" t="s">
        <v>5169</v>
      </c>
      <c r="L4986" s="2">
        <v>1</v>
      </c>
      <c r="M4986" s="24" t="s">
        <v>5971</v>
      </c>
      <c r="N4986" s="2" t="s">
        <v>23</v>
      </c>
      <c r="O4986" s="18" t="s">
        <v>3752</v>
      </c>
      <c r="P4986" s="18" t="s">
        <v>3781</v>
      </c>
      <c r="Q4986" s="6" t="s">
        <v>4475</v>
      </c>
      <c r="T4986" s="23">
        <v>45797</v>
      </c>
      <c r="U4986" s="23">
        <v>47257</v>
      </c>
      <c r="X4986" s="20">
        <v>5000</v>
      </c>
      <c r="Z4986" s="6" t="s">
        <v>5978</v>
      </c>
      <c r="AA4986" s="14">
        <f t="shared" si="661"/>
        <v>5.9999999999999995E-4</v>
      </c>
      <c r="AB4986">
        <v>2.3352659999999998</v>
      </c>
      <c r="AC4986">
        <v>2.4286766399999999</v>
      </c>
    </row>
    <row r="4987" spans="1:29" x14ac:dyDescent="0.3">
      <c r="A4987">
        <v>147133</v>
      </c>
      <c r="B4987" s="25" t="s">
        <v>5984</v>
      </c>
      <c r="C4987" t="s">
        <v>20</v>
      </c>
      <c r="D4987" t="s">
        <v>21</v>
      </c>
      <c r="E4987">
        <v>2222222</v>
      </c>
      <c r="F4987" s="8" t="s">
        <v>22</v>
      </c>
      <c r="G4987" s="2">
        <v>98</v>
      </c>
      <c r="H4987" t="s">
        <v>4731</v>
      </c>
      <c r="J4987" s="9" t="s">
        <v>5098</v>
      </c>
      <c r="K4987" t="s">
        <v>4832</v>
      </c>
      <c r="L4987" s="2">
        <v>1</v>
      </c>
      <c r="M4987" s="24" t="s">
        <v>5971</v>
      </c>
      <c r="N4987" s="2" t="s">
        <v>23</v>
      </c>
      <c r="O4987" s="18" t="s">
        <v>73</v>
      </c>
      <c r="P4987" s="18" t="s">
        <v>3781</v>
      </c>
      <c r="Q4987" s="6" t="s">
        <v>4475</v>
      </c>
      <c r="T4987" s="23">
        <v>45867</v>
      </c>
      <c r="U4987" s="23">
        <v>47327</v>
      </c>
      <c r="X4987" s="20">
        <v>5000</v>
      </c>
      <c r="Z4987" s="6" t="s">
        <v>5978</v>
      </c>
      <c r="AA4987" s="14">
        <f t="shared" si="661"/>
        <v>5.9999999999999995E-4</v>
      </c>
      <c r="AB4987">
        <v>2.4386099999999997</v>
      </c>
      <c r="AC4987">
        <v>2.5361543999999996</v>
      </c>
    </row>
    <row r="4988" spans="1:29" x14ac:dyDescent="0.3">
      <c r="A4988">
        <v>148207</v>
      </c>
      <c r="B4988" s="25" t="s">
        <v>5984</v>
      </c>
      <c r="C4988" t="s">
        <v>20</v>
      </c>
      <c r="D4988" t="s">
        <v>21</v>
      </c>
      <c r="E4988">
        <v>2222222</v>
      </c>
      <c r="F4988" s="8" t="s">
        <v>22</v>
      </c>
      <c r="G4988" s="2">
        <v>98</v>
      </c>
      <c r="H4988" t="s">
        <v>4731</v>
      </c>
      <c r="J4988" s="9" t="s">
        <v>5277</v>
      </c>
      <c r="K4988" t="s">
        <v>4972</v>
      </c>
      <c r="L4988" s="2">
        <v>1</v>
      </c>
      <c r="M4988" s="24" t="s">
        <v>5971</v>
      </c>
      <c r="N4988" s="2" t="s">
        <v>23</v>
      </c>
      <c r="O4988" s="18" t="s">
        <v>3753</v>
      </c>
      <c r="P4988" s="18" t="s">
        <v>3781</v>
      </c>
      <c r="Q4988" s="6" t="s">
        <v>4475</v>
      </c>
      <c r="T4988" s="23">
        <v>45947</v>
      </c>
      <c r="U4988" s="23">
        <v>47407</v>
      </c>
      <c r="X4988" s="20">
        <v>5000</v>
      </c>
      <c r="Z4988" s="6" t="s">
        <v>5978</v>
      </c>
      <c r="AA4988" s="14">
        <f t="shared" si="661"/>
        <v>5.9999999999999995E-4</v>
      </c>
      <c r="AB4988">
        <v>2.5869419999999996</v>
      </c>
      <c r="AC4988">
        <v>2.6904196799999998</v>
      </c>
    </row>
    <row r="4989" spans="1:29" x14ac:dyDescent="0.3">
      <c r="A4989">
        <v>148258</v>
      </c>
      <c r="B4989" s="25" t="s">
        <v>5984</v>
      </c>
      <c r="C4989" t="s">
        <v>20</v>
      </c>
      <c r="D4989" t="s">
        <v>21</v>
      </c>
      <c r="E4989">
        <v>2222222</v>
      </c>
      <c r="F4989" s="8" t="s">
        <v>22</v>
      </c>
      <c r="G4989" s="2">
        <v>98</v>
      </c>
      <c r="H4989" t="s">
        <v>4731</v>
      </c>
      <c r="J4989" s="9" t="s">
        <v>5575</v>
      </c>
      <c r="K4989" t="s">
        <v>5010</v>
      </c>
      <c r="L4989" s="2">
        <v>1</v>
      </c>
      <c r="M4989" s="24" t="s">
        <v>5971</v>
      </c>
      <c r="N4989" s="2" t="s">
        <v>23</v>
      </c>
      <c r="O4989" s="18" t="s">
        <v>3743</v>
      </c>
      <c r="P4989" s="18" t="s">
        <v>0</v>
      </c>
      <c r="Q4989" s="6" t="s">
        <v>4475</v>
      </c>
      <c r="T4989" s="23">
        <v>45953</v>
      </c>
      <c r="U4989" s="23">
        <v>46682</v>
      </c>
      <c r="X4989" s="20">
        <v>15000</v>
      </c>
      <c r="Z4989" s="6" t="s">
        <v>5978</v>
      </c>
      <c r="AA4989" s="14">
        <f t="shared" si="661"/>
        <v>5.9999999999999995E-4</v>
      </c>
      <c r="AB4989">
        <v>5.872685999999999</v>
      </c>
      <c r="AC4989">
        <v>6.1075934399999987</v>
      </c>
    </row>
    <row r="4990" spans="1:29" x14ac:dyDescent="0.3">
      <c r="A4990">
        <v>148652</v>
      </c>
      <c r="B4990" s="25" t="s">
        <v>5984</v>
      </c>
      <c r="C4990" t="s">
        <v>20</v>
      </c>
      <c r="D4990" t="s">
        <v>21</v>
      </c>
      <c r="E4990">
        <v>2222222</v>
      </c>
      <c r="F4990" s="8" t="s">
        <v>22</v>
      </c>
      <c r="G4990" s="2">
        <v>98</v>
      </c>
      <c r="H4990" t="s">
        <v>4731</v>
      </c>
      <c r="J4990" s="9" t="s">
        <v>4911</v>
      </c>
      <c r="K4990" t="s">
        <v>4956</v>
      </c>
      <c r="L4990" s="2">
        <v>1</v>
      </c>
      <c r="M4990" s="24" t="s">
        <v>5971</v>
      </c>
      <c r="N4990" s="2" t="s">
        <v>23</v>
      </c>
      <c r="O4990" s="18" t="s">
        <v>3754</v>
      </c>
      <c r="P4990" s="18" t="s">
        <v>3781</v>
      </c>
      <c r="Q4990" s="6" t="s">
        <v>4475</v>
      </c>
      <c r="T4990" s="23">
        <v>45971</v>
      </c>
      <c r="U4990" s="23">
        <v>46701</v>
      </c>
      <c r="X4990" s="20">
        <v>600</v>
      </c>
      <c r="Z4990" s="6" t="s">
        <v>5978</v>
      </c>
      <c r="AA4990" s="14">
        <f t="shared" si="661"/>
        <v>5.9999999999999995E-4</v>
      </c>
      <c r="AB4990">
        <v>0.25392599999999999</v>
      </c>
      <c r="AC4990">
        <v>0.26408303999999999</v>
      </c>
    </row>
    <row r="4991" spans="1:29" x14ac:dyDescent="0.3">
      <c r="A4991">
        <v>149109</v>
      </c>
      <c r="B4991" s="25" t="s">
        <v>5984</v>
      </c>
      <c r="C4991" t="s">
        <v>20</v>
      </c>
      <c r="D4991" t="s">
        <v>21</v>
      </c>
      <c r="E4991">
        <v>2222222</v>
      </c>
      <c r="F4991" s="8" t="s">
        <v>22</v>
      </c>
      <c r="G4991" s="2">
        <v>98</v>
      </c>
      <c r="H4991" t="s">
        <v>4731</v>
      </c>
      <c r="J4991" s="9" t="s">
        <v>4836</v>
      </c>
      <c r="K4991" t="s">
        <v>4979</v>
      </c>
      <c r="L4991" s="2">
        <v>1</v>
      </c>
      <c r="M4991" s="24" t="s">
        <v>5971</v>
      </c>
      <c r="N4991" s="2" t="s">
        <v>23</v>
      </c>
      <c r="O4991" s="18" t="s">
        <v>3755</v>
      </c>
      <c r="P4991" s="18" t="s">
        <v>3781</v>
      </c>
      <c r="Q4991" s="6" t="s">
        <v>4475</v>
      </c>
      <c r="T4991" s="23">
        <v>45999</v>
      </c>
      <c r="U4991" s="23">
        <v>47459</v>
      </c>
      <c r="X4991" s="20">
        <v>4200</v>
      </c>
      <c r="Z4991" s="6" t="s">
        <v>5978</v>
      </c>
      <c r="AA4991" s="14">
        <f t="shared" si="661"/>
        <v>5.9999999999999995E-4</v>
      </c>
      <c r="AB4991">
        <v>2.2535099999999999</v>
      </c>
      <c r="AC4991">
        <v>2.3436504</v>
      </c>
    </row>
    <row r="4992" spans="1:29" x14ac:dyDescent="0.3">
      <c r="A4992">
        <v>149250</v>
      </c>
      <c r="B4992" s="25" t="s">
        <v>5984</v>
      </c>
      <c r="C4992" t="s">
        <v>20</v>
      </c>
      <c r="D4992" t="s">
        <v>21</v>
      </c>
      <c r="E4992">
        <v>2222222</v>
      </c>
      <c r="F4992" s="8" t="s">
        <v>22</v>
      </c>
      <c r="G4992" s="2">
        <v>98</v>
      </c>
      <c r="H4992" t="s">
        <v>4731</v>
      </c>
      <c r="J4992" s="9" t="s">
        <v>4838</v>
      </c>
      <c r="K4992" t="s">
        <v>4826</v>
      </c>
      <c r="L4992" s="2">
        <v>1</v>
      </c>
      <c r="M4992" s="24" t="s">
        <v>5971</v>
      </c>
      <c r="N4992" s="2" t="s">
        <v>23</v>
      </c>
      <c r="O4992" s="18" t="s">
        <v>3756</v>
      </c>
      <c r="P4992" s="18" t="s">
        <v>0</v>
      </c>
      <c r="Q4992" s="6" t="s">
        <v>4475</v>
      </c>
      <c r="T4992" s="23">
        <v>46014</v>
      </c>
      <c r="U4992" s="23">
        <v>47109</v>
      </c>
      <c r="X4992" s="20">
        <v>3000</v>
      </c>
      <c r="Z4992" s="6" t="s">
        <v>5978</v>
      </c>
      <c r="AA4992" s="14">
        <f t="shared" si="661"/>
        <v>5.9999999999999995E-4</v>
      </c>
      <c r="AB4992">
        <v>1.5167219999999999</v>
      </c>
      <c r="AC4992">
        <v>1.5773908800000001</v>
      </c>
    </row>
    <row r="4993" spans="1:29" x14ac:dyDescent="0.3">
      <c r="A4993">
        <v>149252</v>
      </c>
      <c r="B4993" s="25" t="s">
        <v>5984</v>
      </c>
      <c r="C4993" t="s">
        <v>20</v>
      </c>
      <c r="D4993" t="s">
        <v>21</v>
      </c>
      <c r="E4993">
        <v>2222222</v>
      </c>
      <c r="F4993" s="8" t="s">
        <v>22</v>
      </c>
      <c r="G4993" s="2">
        <v>98</v>
      </c>
      <c r="H4993" t="s">
        <v>4731</v>
      </c>
      <c r="J4993" s="9" t="s">
        <v>5486</v>
      </c>
      <c r="K4993" t="s">
        <v>4861</v>
      </c>
      <c r="L4993" s="2">
        <v>1</v>
      </c>
      <c r="M4993" s="24" t="s">
        <v>5971</v>
      </c>
      <c r="N4993" s="2" t="s">
        <v>23</v>
      </c>
      <c r="O4993" s="18" t="s">
        <v>1867</v>
      </c>
      <c r="P4993" s="18" t="s">
        <v>3781</v>
      </c>
      <c r="Q4993" s="6" t="s">
        <v>4475</v>
      </c>
      <c r="T4993" s="23">
        <v>46008</v>
      </c>
      <c r="U4993" s="23">
        <v>47103</v>
      </c>
      <c r="X4993" s="20">
        <v>3580</v>
      </c>
      <c r="Z4993" s="6" t="s">
        <v>5978</v>
      </c>
      <c r="AA4993" s="14">
        <f t="shared" si="661"/>
        <v>5.9999999999999995E-4</v>
      </c>
      <c r="AB4993">
        <v>1.8099419999999999</v>
      </c>
      <c r="AC4993">
        <v>1.8823396800000001</v>
      </c>
    </row>
    <row r="4994" spans="1:29" x14ac:dyDescent="0.3">
      <c r="A4994">
        <v>149273</v>
      </c>
      <c r="B4994" s="25" t="s">
        <v>5984</v>
      </c>
      <c r="C4994" t="s">
        <v>20</v>
      </c>
      <c r="D4994" t="s">
        <v>21</v>
      </c>
      <c r="E4994">
        <v>2222222</v>
      </c>
      <c r="F4994" s="8" t="s">
        <v>22</v>
      </c>
      <c r="G4994" s="2">
        <v>98</v>
      </c>
      <c r="H4994" t="s">
        <v>4731</v>
      </c>
      <c r="J4994" s="9" t="s">
        <v>4970</v>
      </c>
      <c r="K4994" t="s">
        <v>5090</v>
      </c>
      <c r="L4994" s="2">
        <v>1</v>
      </c>
      <c r="M4994" s="24" t="s">
        <v>5971</v>
      </c>
      <c r="N4994" s="2" t="s">
        <v>23</v>
      </c>
      <c r="O4994" s="18" t="s">
        <v>3748</v>
      </c>
      <c r="P4994" s="18" t="s">
        <v>3781</v>
      </c>
      <c r="Q4994" s="6" t="s">
        <v>4475</v>
      </c>
      <c r="T4994" s="23">
        <v>46009</v>
      </c>
      <c r="U4994" s="23">
        <v>46555</v>
      </c>
      <c r="X4994" s="20">
        <v>2000</v>
      </c>
      <c r="Z4994" s="6" t="s">
        <v>5978</v>
      </c>
      <c r="AA4994" s="14">
        <f t="shared" si="661"/>
        <v>5.9999999999999995E-4</v>
      </c>
      <c r="AB4994">
        <v>0.76852199999999982</v>
      </c>
      <c r="AC4994">
        <v>0.79926287999999979</v>
      </c>
    </row>
    <row r="4995" spans="1:29" x14ac:dyDescent="0.3">
      <c r="A4995">
        <v>149396</v>
      </c>
      <c r="B4995" s="25" t="s">
        <v>5984</v>
      </c>
      <c r="C4995" t="s">
        <v>20</v>
      </c>
      <c r="D4995" t="s">
        <v>21</v>
      </c>
      <c r="E4995">
        <v>2222222</v>
      </c>
      <c r="F4995" s="8" t="s">
        <v>22</v>
      </c>
      <c r="G4995" s="2">
        <v>98</v>
      </c>
      <c r="H4995" t="s">
        <v>4731</v>
      </c>
      <c r="J4995" s="9" t="s">
        <v>4955</v>
      </c>
      <c r="K4995" t="s">
        <v>4832</v>
      </c>
      <c r="L4995" s="2">
        <v>1</v>
      </c>
      <c r="M4995" s="24" t="s">
        <v>5971</v>
      </c>
      <c r="N4995" s="2" t="s">
        <v>23</v>
      </c>
      <c r="O4995" s="18" t="s">
        <v>3757</v>
      </c>
      <c r="P4995" s="18" t="s">
        <v>3781</v>
      </c>
      <c r="Q4995" s="6" t="s">
        <v>4475</v>
      </c>
      <c r="T4995" s="23">
        <v>46020</v>
      </c>
      <c r="U4995" s="23">
        <v>46749</v>
      </c>
      <c r="X4995" s="20">
        <v>2750</v>
      </c>
      <c r="Z4995" s="6" t="s">
        <v>5978</v>
      </c>
      <c r="AA4995" s="14">
        <f t="shared" si="661"/>
        <v>5.9999999999999995E-4</v>
      </c>
      <c r="AB4995">
        <v>1.2241139999999999</v>
      </c>
      <c r="AC4995">
        <v>1.2730785599999999</v>
      </c>
    </row>
    <row r="4996" spans="1:29" x14ac:dyDescent="0.3">
      <c r="A4996">
        <v>150007</v>
      </c>
      <c r="B4996" s="25" t="s">
        <v>5984</v>
      </c>
      <c r="C4996" t="s">
        <v>20</v>
      </c>
      <c r="D4996" t="s">
        <v>21</v>
      </c>
      <c r="E4996">
        <v>2222222</v>
      </c>
      <c r="F4996" s="8" t="s">
        <v>22</v>
      </c>
      <c r="G4996" s="2">
        <v>98</v>
      </c>
      <c r="H4996" t="s">
        <v>4731</v>
      </c>
      <c r="J4996" s="9" t="s">
        <v>5256</v>
      </c>
      <c r="K4996" t="s">
        <v>5029</v>
      </c>
      <c r="L4996" s="2">
        <v>1</v>
      </c>
      <c r="M4996" s="24" t="s">
        <v>5971</v>
      </c>
      <c r="N4996" s="2" t="s">
        <v>23</v>
      </c>
      <c r="O4996" s="18" t="s">
        <v>1402</v>
      </c>
      <c r="P4996" s="18" t="s">
        <v>0</v>
      </c>
      <c r="Q4996" s="6" t="s">
        <v>4475</v>
      </c>
      <c r="T4996" s="23">
        <v>46064</v>
      </c>
      <c r="U4996" s="23">
        <v>46431</v>
      </c>
      <c r="X4996" s="20">
        <v>970</v>
      </c>
      <c r="Z4996" s="6" t="s">
        <v>5978</v>
      </c>
      <c r="AA4996" s="14">
        <f t="shared" si="661"/>
        <v>5.9999999999999995E-4</v>
      </c>
      <c r="AB4996">
        <v>0.35150399999999998</v>
      </c>
      <c r="AC4996">
        <v>0.36556415999999997</v>
      </c>
    </row>
    <row r="4997" spans="1:29" x14ac:dyDescent="0.3">
      <c r="A4997">
        <v>150437</v>
      </c>
      <c r="B4997" s="25" t="s">
        <v>5984</v>
      </c>
      <c r="C4997" t="s">
        <v>20</v>
      </c>
      <c r="D4997" t="s">
        <v>21</v>
      </c>
      <c r="E4997">
        <v>2222222</v>
      </c>
      <c r="F4997" s="8" t="s">
        <v>22</v>
      </c>
      <c r="G4997" s="2">
        <v>98</v>
      </c>
      <c r="H4997" t="s">
        <v>4731</v>
      </c>
      <c r="J4997" s="9" t="s">
        <v>4916</v>
      </c>
      <c r="K4997" t="s">
        <v>4832</v>
      </c>
      <c r="L4997" s="2">
        <v>1</v>
      </c>
      <c r="M4997" s="24" t="s">
        <v>5971</v>
      </c>
      <c r="N4997" s="2" t="s">
        <v>23</v>
      </c>
      <c r="O4997" s="18" t="s">
        <v>3758</v>
      </c>
      <c r="P4997" s="18" t="s">
        <v>3781</v>
      </c>
      <c r="Q4997" s="6" t="s">
        <v>4475</v>
      </c>
      <c r="T4997" s="23">
        <v>46097</v>
      </c>
      <c r="U4997" s="23">
        <v>47557</v>
      </c>
      <c r="X4997" s="20">
        <v>5000</v>
      </c>
      <c r="Z4997" s="6" t="s">
        <v>5978</v>
      </c>
      <c r="AA4997" s="14">
        <f t="shared" si="661"/>
        <v>5.9999999999999995E-4</v>
      </c>
      <c r="AB4997">
        <v>2.8234439999999998</v>
      </c>
      <c r="AC4997">
        <v>2.9363817599999997</v>
      </c>
    </row>
    <row r="4998" spans="1:29" x14ac:dyDescent="0.3">
      <c r="A4998">
        <v>150450</v>
      </c>
      <c r="B4998" s="25" t="s">
        <v>5984</v>
      </c>
      <c r="C4998" t="s">
        <v>20</v>
      </c>
      <c r="D4998" t="s">
        <v>21</v>
      </c>
      <c r="E4998">
        <v>2222222</v>
      </c>
      <c r="F4998" s="8" t="s">
        <v>22</v>
      </c>
      <c r="G4998" s="2">
        <v>98</v>
      </c>
      <c r="H4998" t="s">
        <v>4731</v>
      </c>
      <c r="J4998" s="9" t="s">
        <v>5486</v>
      </c>
      <c r="K4998" t="s">
        <v>4926</v>
      </c>
      <c r="L4998" s="2">
        <v>1</v>
      </c>
      <c r="M4998" s="24" t="s">
        <v>5971</v>
      </c>
      <c r="N4998" s="2" t="s">
        <v>23</v>
      </c>
      <c r="O4998" s="18" t="s">
        <v>3413</v>
      </c>
      <c r="P4998" s="18" t="s">
        <v>3781</v>
      </c>
      <c r="Q4998" s="6" t="s">
        <v>4475</v>
      </c>
      <c r="T4998" s="23">
        <v>46099</v>
      </c>
      <c r="U4998" s="23">
        <v>47469</v>
      </c>
      <c r="X4998" s="20">
        <v>11000</v>
      </c>
      <c r="Z4998" s="6" t="s">
        <v>5978</v>
      </c>
      <c r="AA4998" s="14">
        <f t="shared" si="661"/>
        <v>5.9999999999999995E-4</v>
      </c>
      <c r="AB4998">
        <v>6.1079639999999999</v>
      </c>
      <c r="AC4998">
        <v>6.3522825599999999</v>
      </c>
    </row>
    <row r="4999" spans="1:29" x14ac:dyDescent="0.3">
      <c r="A4999">
        <v>150581</v>
      </c>
      <c r="B4999" s="25" t="s">
        <v>5984</v>
      </c>
      <c r="C4999" t="s">
        <v>20</v>
      </c>
      <c r="D4999" t="s">
        <v>21</v>
      </c>
      <c r="E4999">
        <v>2222222</v>
      </c>
      <c r="F4999" s="8" t="s">
        <v>22</v>
      </c>
      <c r="G4999" s="2">
        <v>98</v>
      </c>
      <c r="H4999" t="s">
        <v>4731</v>
      </c>
      <c r="J4999" s="9" t="s">
        <v>4969</v>
      </c>
      <c r="K4999" t="s">
        <v>5151</v>
      </c>
      <c r="L4999" s="2">
        <v>1</v>
      </c>
      <c r="M4999" s="24" t="s">
        <v>5971</v>
      </c>
      <c r="N4999" s="2" t="s">
        <v>23</v>
      </c>
      <c r="O4999" s="18" t="s">
        <v>3759</v>
      </c>
      <c r="P4999" s="18" t="s">
        <v>3781</v>
      </c>
      <c r="Q4999" s="6" t="s">
        <v>4475</v>
      </c>
      <c r="T4999" s="23">
        <v>46106</v>
      </c>
      <c r="U4999" s="23">
        <v>46289</v>
      </c>
      <c r="X4999" s="20">
        <v>500</v>
      </c>
      <c r="Z4999" s="6" t="s">
        <v>5978</v>
      </c>
      <c r="AA4999" s="14">
        <f t="shared" si="661"/>
        <v>5.9999999999999995E-4</v>
      </c>
      <c r="AB4999">
        <v>0.10278599999999999</v>
      </c>
      <c r="AC4999">
        <v>0.10689744</v>
      </c>
    </row>
    <row r="5000" spans="1:29" x14ac:dyDescent="0.3">
      <c r="A5000">
        <v>151278</v>
      </c>
      <c r="B5000" s="25" t="s">
        <v>5984</v>
      </c>
      <c r="C5000" t="s">
        <v>20</v>
      </c>
      <c r="D5000" t="s">
        <v>21</v>
      </c>
      <c r="E5000">
        <v>2222222</v>
      </c>
      <c r="F5000" s="8" t="s">
        <v>22</v>
      </c>
      <c r="G5000" s="2">
        <v>98</v>
      </c>
      <c r="H5000" t="s">
        <v>4731</v>
      </c>
      <c r="J5000" s="9" t="s">
        <v>4911</v>
      </c>
      <c r="K5000" t="s">
        <v>4956</v>
      </c>
      <c r="L5000" s="2">
        <v>1</v>
      </c>
      <c r="M5000" s="24" t="s">
        <v>5971</v>
      </c>
      <c r="N5000" s="2" t="s">
        <v>23</v>
      </c>
      <c r="O5000" s="18" t="s">
        <v>3754</v>
      </c>
      <c r="P5000" s="18" t="s">
        <v>3781</v>
      </c>
      <c r="Q5000" s="6" t="s">
        <v>4475</v>
      </c>
      <c r="T5000" s="23">
        <v>46153</v>
      </c>
      <c r="U5000" s="23">
        <v>46243</v>
      </c>
      <c r="X5000" s="20">
        <v>2000</v>
      </c>
      <c r="Z5000" s="6" t="s">
        <v>5978</v>
      </c>
      <c r="AA5000" s="14">
        <f t="shared" si="661"/>
        <v>5.9999999999999995E-4</v>
      </c>
      <c r="AB5000">
        <v>1.2</v>
      </c>
      <c r="AC5000">
        <v>1.248</v>
      </c>
    </row>
    <row r="5001" spans="1:29" x14ac:dyDescent="0.3">
      <c r="A5001">
        <v>151413</v>
      </c>
      <c r="B5001" s="25" t="s">
        <v>5984</v>
      </c>
      <c r="C5001" t="s">
        <v>20</v>
      </c>
      <c r="D5001" t="s">
        <v>21</v>
      </c>
      <c r="E5001">
        <v>2222222</v>
      </c>
      <c r="F5001" s="8" t="s">
        <v>22</v>
      </c>
      <c r="G5001" s="2">
        <v>98</v>
      </c>
      <c r="H5001" t="s">
        <v>4731</v>
      </c>
      <c r="J5001" s="9" t="s">
        <v>4911</v>
      </c>
      <c r="K5001" t="s">
        <v>5169</v>
      </c>
      <c r="L5001" s="2">
        <v>1</v>
      </c>
      <c r="M5001" s="24" t="s">
        <v>5971</v>
      </c>
      <c r="N5001" s="2" t="s">
        <v>23</v>
      </c>
      <c r="O5001" s="18" t="s">
        <v>3752</v>
      </c>
      <c r="P5001" s="18" t="s">
        <v>3781</v>
      </c>
      <c r="Q5001" s="6" t="s">
        <v>4475</v>
      </c>
      <c r="T5001" s="23">
        <v>46168</v>
      </c>
      <c r="U5001" s="23">
        <v>48359</v>
      </c>
      <c r="X5001" s="20">
        <v>10000</v>
      </c>
      <c r="Z5001" s="6" t="s">
        <v>5978</v>
      </c>
      <c r="AA5001" s="14">
        <f t="shared" si="661"/>
        <v>5.9999999999999995E-4</v>
      </c>
      <c r="AB5001">
        <v>5.8975499999999998</v>
      </c>
      <c r="AC5001">
        <v>6.1334520000000001</v>
      </c>
    </row>
    <row r="5002" spans="1:29" x14ac:dyDescent="0.3">
      <c r="A5002">
        <v>151717</v>
      </c>
      <c r="B5002" s="25" t="s">
        <v>5984</v>
      </c>
      <c r="C5002" t="s">
        <v>20</v>
      </c>
      <c r="D5002" t="s">
        <v>21</v>
      </c>
      <c r="E5002">
        <v>2222222</v>
      </c>
      <c r="F5002" s="8" t="s">
        <v>22</v>
      </c>
      <c r="G5002" s="2">
        <v>98</v>
      </c>
      <c r="H5002" t="s">
        <v>4731</v>
      </c>
      <c r="J5002" s="9" t="s">
        <v>4981</v>
      </c>
      <c r="K5002" t="s">
        <v>5556</v>
      </c>
      <c r="L5002" s="2">
        <v>1</v>
      </c>
      <c r="M5002" s="24" t="s">
        <v>5971</v>
      </c>
      <c r="N5002" s="2" t="s">
        <v>23</v>
      </c>
      <c r="O5002" s="18" t="s">
        <v>3760</v>
      </c>
      <c r="P5002" s="18" t="s">
        <v>3781</v>
      </c>
      <c r="Q5002" s="6" t="s">
        <v>4475</v>
      </c>
      <c r="T5002" s="23">
        <v>46182</v>
      </c>
      <c r="U5002" s="23">
        <v>46272</v>
      </c>
      <c r="X5002" s="20">
        <v>5000</v>
      </c>
      <c r="Z5002" s="6" t="s">
        <v>5978</v>
      </c>
      <c r="AA5002" s="14">
        <f t="shared" si="661"/>
        <v>5.9999999999999995E-4</v>
      </c>
      <c r="AB5002">
        <v>2.9999999999999996</v>
      </c>
      <c r="AC5002">
        <v>3.1199999999999997</v>
      </c>
    </row>
    <row r="5003" spans="1:29" x14ac:dyDescent="0.3">
      <c r="A5003">
        <v>151963</v>
      </c>
      <c r="B5003" s="25" t="s">
        <v>5984</v>
      </c>
      <c r="C5003" t="s">
        <v>20</v>
      </c>
      <c r="D5003" t="s">
        <v>21</v>
      </c>
      <c r="E5003">
        <v>2222222</v>
      </c>
      <c r="F5003" s="8" t="s">
        <v>22</v>
      </c>
      <c r="G5003" s="2">
        <v>98</v>
      </c>
      <c r="H5003" t="s">
        <v>4731</v>
      </c>
      <c r="J5003" s="9" t="s">
        <v>5966</v>
      </c>
      <c r="K5003" t="s">
        <v>4833</v>
      </c>
      <c r="L5003" s="2">
        <v>1</v>
      </c>
      <c r="M5003" s="24" t="s">
        <v>5971</v>
      </c>
      <c r="N5003" s="2" t="s">
        <v>23</v>
      </c>
      <c r="O5003" s="18" t="s">
        <v>3761</v>
      </c>
      <c r="P5003" s="18" t="s">
        <v>0</v>
      </c>
      <c r="Q5003" s="6" t="s">
        <v>4475</v>
      </c>
      <c r="T5003" s="23">
        <v>46202</v>
      </c>
      <c r="U5003" s="23">
        <v>46567</v>
      </c>
      <c r="X5003" s="20">
        <v>1500</v>
      </c>
      <c r="Z5003" s="6" t="s">
        <v>5978</v>
      </c>
      <c r="AA5003" s="14">
        <f t="shared" si="661"/>
        <v>5.9999999999999995E-4</v>
      </c>
      <c r="AB5003">
        <v>0.83056199999999991</v>
      </c>
      <c r="AC5003">
        <v>0.86378447999999997</v>
      </c>
    </row>
    <row r="5004" spans="1:29" x14ac:dyDescent="0.3">
      <c r="A5004">
        <v>152120</v>
      </c>
      <c r="B5004" s="25" t="s">
        <v>5984</v>
      </c>
      <c r="C5004" t="s">
        <v>20</v>
      </c>
      <c r="D5004" t="s">
        <v>21</v>
      </c>
      <c r="E5004">
        <v>2222222</v>
      </c>
      <c r="F5004" s="8" t="s">
        <v>22</v>
      </c>
      <c r="G5004" s="2">
        <v>98</v>
      </c>
      <c r="H5004" t="s">
        <v>4731</v>
      </c>
      <c r="J5004" s="9" t="s">
        <v>4960</v>
      </c>
      <c r="K5004" t="s">
        <v>4926</v>
      </c>
      <c r="L5004" s="2">
        <v>1</v>
      </c>
      <c r="M5004" s="24" t="s">
        <v>5971</v>
      </c>
      <c r="N5004" s="2" t="s">
        <v>23</v>
      </c>
      <c r="O5004" s="18" t="s">
        <v>3762</v>
      </c>
      <c r="P5004" s="18" t="s">
        <v>3781</v>
      </c>
      <c r="Q5004" s="6" t="s">
        <v>4475</v>
      </c>
      <c r="T5004" s="23">
        <v>46212</v>
      </c>
      <c r="U5004" s="23">
        <v>46577</v>
      </c>
      <c r="X5004" s="20">
        <v>1600</v>
      </c>
      <c r="Z5004" s="6" t="s">
        <v>5978</v>
      </c>
      <c r="AA5004" s="14">
        <f t="shared" si="661"/>
        <v>5.9999999999999995E-4</v>
      </c>
      <c r="AB5004">
        <v>0.96</v>
      </c>
      <c r="AC5004">
        <v>0.99839999999999995</v>
      </c>
    </row>
    <row r="5005" spans="1:29" x14ac:dyDescent="0.3">
      <c r="A5005">
        <v>152209</v>
      </c>
      <c r="B5005" s="25" t="s">
        <v>5984</v>
      </c>
      <c r="C5005" t="s">
        <v>20</v>
      </c>
      <c r="D5005" t="s">
        <v>21</v>
      </c>
      <c r="E5005">
        <v>2222222</v>
      </c>
      <c r="F5005" s="8" t="s">
        <v>22</v>
      </c>
      <c r="G5005" s="2">
        <v>98</v>
      </c>
      <c r="H5005" t="s">
        <v>4731</v>
      </c>
      <c r="J5005" s="9" t="s">
        <v>4838</v>
      </c>
      <c r="K5005" t="s">
        <v>4826</v>
      </c>
      <c r="L5005" s="2">
        <v>1</v>
      </c>
      <c r="M5005" s="24" t="s">
        <v>5971</v>
      </c>
      <c r="N5005" s="2" t="s">
        <v>23</v>
      </c>
      <c r="O5005" s="18" t="s">
        <v>3756</v>
      </c>
      <c r="P5005" s="18" t="s">
        <v>0</v>
      </c>
      <c r="Q5005" s="6" t="s">
        <v>4475</v>
      </c>
      <c r="T5005" s="23">
        <v>46219</v>
      </c>
      <c r="U5005" s="23">
        <v>47319</v>
      </c>
      <c r="X5005" s="20">
        <v>3750</v>
      </c>
      <c r="Z5005" s="6" t="s">
        <v>5978</v>
      </c>
      <c r="AA5005" s="14">
        <f t="shared" si="661"/>
        <v>5.9999999999999995E-4</v>
      </c>
      <c r="AB5005">
        <v>2.25</v>
      </c>
      <c r="AC5005">
        <v>2.34</v>
      </c>
    </row>
    <row r="5006" spans="1:29" x14ac:dyDescent="0.3">
      <c r="A5006">
        <v>152376</v>
      </c>
      <c r="B5006" s="25" t="s">
        <v>5984</v>
      </c>
      <c r="C5006" t="s">
        <v>20</v>
      </c>
      <c r="D5006" t="s">
        <v>21</v>
      </c>
      <c r="E5006">
        <v>2222222</v>
      </c>
      <c r="F5006" s="8" t="s">
        <v>22</v>
      </c>
      <c r="G5006" s="2">
        <v>98</v>
      </c>
      <c r="H5006" t="s">
        <v>4731</v>
      </c>
      <c r="J5006" s="9" t="s">
        <v>4891</v>
      </c>
      <c r="K5006" t="s">
        <v>4969</v>
      </c>
      <c r="L5006" s="2">
        <v>1</v>
      </c>
      <c r="M5006" s="24" t="s">
        <v>5971</v>
      </c>
      <c r="N5006" s="2" t="s">
        <v>23</v>
      </c>
      <c r="O5006" s="18" t="s">
        <v>121</v>
      </c>
      <c r="P5006" s="18" t="s">
        <v>3781</v>
      </c>
      <c r="Q5006" s="6" t="s">
        <v>4475</v>
      </c>
      <c r="T5006" s="23">
        <v>46233</v>
      </c>
      <c r="U5006" s="23">
        <v>46263</v>
      </c>
      <c r="X5006" s="20">
        <v>3810</v>
      </c>
      <c r="Z5006" s="6" t="s">
        <v>5978</v>
      </c>
      <c r="AA5006" s="14">
        <f t="shared" si="661"/>
        <v>5.9999999999999995E-4</v>
      </c>
      <c r="AB5006">
        <v>2.2859999999999996</v>
      </c>
      <c r="AC5006">
        <v>2.3774399999999996</v>
      </c>
    </row>
    <row r="5007" spans="1:29" x14ac:dyDescent="0.3">
      <c r="A5007">
        <v>152380</v>
      </c>
      <c r="B5007" s="25" t="s">
        <v>5984</v>
      </c>
      <c r="C5007" t="s">
        <v>20</v>
      </c>
      <c r="D5007" t="s">
        <v>21</v>
      </c>
      <c r="E5007">
        <v>2222222</v>
      </c>
      <c r="F5007" s="8" t="s">
        <v>22</v>
      </c>
      <c r="G5007" s="2">
        <v>98</v>
      </c>
      <c r="H5007" t="s">
        <v>4731</v>
      </c>
      <c r="J5007" s="9" t="s">
        <v>4897</v>
      </c>
      <c r="K5007" t="s">
        <v>5967</v>
      </c>
      <c r="L5007" s="2">
        <v>1</v>
      </c>
      <c r="M5007" s="24" t="s">
        <v>5971</v>
      </c>
      <c r="N5007" s="2" t="s">
        <v>23</v>
      </c>
      <c r="O5007" s="18" t="s">
        <v>3763</v>
      </c>
      <c r="P5007" s="18" t="s">
        <v>3781</v>
      </c>
      <c r="Q5007" s="6" t="s">
        <v>4475</v>
      </c>
      <c r="T5007" s="23">
        <v>46234</v>
      </c>
      <c r="U5007" s="23">
        <v>46294</v>
      </c>
      <c r="X5007" s="20">
        <v>2500</v>
      </c>
      <c r="Z5007" s="6" t="s">
        <v>5978</v>
      </c>
      <c r="AA5007" s="14">
        <f t="shared" si="661"/>
        <v>5.9999999999999995E-4</v>
      </c>
      <c r="AB5007">
        <v>1.4999999999999998</v>
      </c>
      <c r="AC5007">
        <v>1.5599999999999998</v>
      </c>
    </row>
    <row r="5008" spans="1:29" x14ac:dyDescent="0.3">
      <c r="A5008">
        <v>152381</v>
      </c>
      <c r="B5008" s="25" t="s">
        <v>5984</v>
      </c>
      <c r="C5008" t="s">
        <v>20</v>
      </c>
      <c r="D5008" t="s">
        <v>21</v>
      </c>
      <c r="E5008">
        <v>2222222</v>
      </c>
      <c r="F5008" s="8" t="s">
        <v>22</v>
      </c>
      <c r="G5008" s="2">
        <v>98</v>
      </c>
      <c r="H5008" t="s">
        <v>4731</v>
      </c>
      <c r="J5008" s="9" t="s">
        <v>5112</v>
      </c>
      <c r="K5008" t="s">
        <v>5385</v>
      </c>
      <c r="L5008" s="2">
        <v>1</v>
      </c>
      <c r="M5008" s="24" t="s">
        <v>5971</v>
      </c>
      <c r="N5008" s="2" t="s">
        <v>23</v>
      </c>
      <c r="O5008" s="18" t="s">
        <v>3764</v>
      </c>
      <c r="P5008" s="18" t="s">
        <v>0</v>
      </c>
      <c r="Q5008" s="6" t="s">
        <v>4475</v>
      </c>
      <c r="T5008" s="23">
        <v>46234</v>
      </c>
      <c r="U5008" s="23">
        <v>46324</v>
      </c>
      <c r="X5008" s="20">
        <v>5000</v>
      </c>
      <c r="Z5008" s="6" t="s">
        <v>5978</v>
      </c>
      <c r="AA5008" s="14">
        <f t="shared" si="661"/>
        <v>5.9999999999999995E-4</v>
      </c>
      <c r="AB5008">
        <v>2.9999999999999996</v>
      </c>
      <c r="AC5008">
        <v>3.1199999999999997</v>
      </c>
    </row>
    <row r="5009" spans="1:29" x14ac:dyDescent="0.3">
      <c r="A5009">
        <v>142791</v>
      </c>
      <c r="B5009" s="25" t="s">
        <v>5984</v>
      </c>
      <c r="C5009" t="s">
        <v>20</v>
      </c>
      <c r="D5009" t="s">
        <v>21</v>
      </c>
      <c r="E5009">
        <v>2222222</v>
      </c>
      <c r="F5009" s="8" t="s">
        <v>22</v>
      </c>
      <c r="G5009" s="2">
        <v>98</v>
      </c>
      <c r="H5009" t="s">
        <v>4732</v>
      </c>
      <c r="J5009" s="9" t="s">
        <v>4998</v>
      </c>
      <c r="K5009" t="s">
        <v>5217</v>
      </c>
      <c r="L5009" s="2">
        <v>1</v>
      </c>
      <c r="M5009" s="24" t="s">
        <v>5971</v>
      </c>
      <c r="N5009" s="2" t="s">
        <v>23</v>
      </c>
      <c r="O5009" s="18" t="s">
        <v>3765</v>
      </c>
      <c r="P5009" s="18" t="s">
        <v>3781</v>
      </c>
      <c r="Q5009" s="6" t="s">
        <v>4475</v>
      </c>
      <c r="T5009" s="23">
        <v>45545</v>
      </c>
      <c r="U5009" s="23">
        <v>46640</v>
      </c>
      <c r="X5009" s="20">
        <v>3500</v>
      </c>
      <c r="Z5009" s="6" t="s">
        <v>5978</v>
      </c>
      <c r="AA5009" s="14">
        <f t="shared" si="661"/>
        <v>5.9999999999999995E-4</v>
      </c>
      <c r="AB5009">
        <v>1.0123679999999999</v>
      </c>
      <c r="AC5009">
        <v>1.05286272</v>
      </c>
    </row>
    <row r="5010" spans="1:29" x14ac:dyDescent="0.3">
      <c r="A5010">
        <v>149744</v>
      </c>
      <c r="B5010" s="25" t="s">
        <v>5984</v>
      </c>
      <c r="C5010" t="s">
        <v>20</v>
      </c>
      <c r="D5010" t="s">
        <v>21</v>
      </c>
      <c r="E5010">
        <v>2222222</v>
      </c>
      <c r="F5010" s="8" t="s">
        <v>22</v>
      </c>
      <c r="G5010" s="2">
        <v>98</v>
      </c>
      <c r="H5010" t="s">
        <v>4732</v>
      </c>
      <c r="J5010" s="9" t="s">
        <v>4998</v>
      </c>
      <c r="K5010" t="s">
        <v>5217</v>
      </c>
      <c r="L5010" s="2">
        <v>1</v>
      </c>
      <c r="M5010" s="24" t="s">
        <v>5971</v>
      </c>
      <c r="N5010" s="2" t="s">
        <v>23</v>
      </c>
      <c r="O5010" s="18" t="s">
        <v>3765</v>
      </c>
      <c r="P5010" s="18" t="s">
        <v>3781</v>
      </c>
      <c r="Q5010" s="6" t="s">
        <v>4475</v>
      </c>
      <c r="T5010" s="23">
        <v>46045</v>
      </c>
      <c r="U5010" s="23">
        <v>47870</v>
      </c>
      <c r="X5010" s="20">
        <v>3300</v>
      </c>
      <c r="Z5010" s="6" t="s">
        <v>5978</v>
      </c>
      <c r="AA5010" s="14">
        <f t="shared" si="661"/>
        <v>5.9999999999999995E-4</v>
      </c>
      <c r="AB5010">
        <v>1.8613319999999998</v>
      </c>
      <c r="AC5010">
        <v>1.9357852799999997</v>
      </c>
    </row>
    <row r="5011" spans="1:29" x14ac:dyDescent="0.3">
      <c r="A5011">
        <v>151829</v>
      </c>
      <c r="B5011" s="25" t="s">
        <v>5984</v>
      </c>
      <c r="C5011" t="s">
        <v>20</v>
      </c>
      <c r="D5011" t="s">
        <v>21</v>
      </c>
      <c r="E5011">
        <v>2222222</v>
      </c>
      <c r="F5011" s="8" t="s">
        <v>22</v>
      </c>
      <c r="G5011" s="2">
        <v>98</v>
      </c>
      <c r="H5011" t="s">
        <v>4733</v>
      </c>
      <c r="J5011" s="9" t="s">
        <v>5190</v>
      </c>
      <c r="K5011" t="s">
        <v>5450</v>
      </c>
      <c r="L5011" s="2">
        <v>1</v>
      </c>
      <c r="M5011" s="24" t="s">
        <v>5971</v>
      </c>
      <c r="N5011" s="2" t="s">
        <v>23</v>
      </c>
      <c r="O5011" s="18" t="s">
        <v>855</v>
      </c>
      <c r="P5011" s="18" t="s">
        <v>0</v>
      </c>
      <c r="Q5011" s="6" t="s">
        <v>4475</v>
      </c>
      <c r="T5011" s="23">
        <v>46196</v>
      </c>
      <c r="U5011" s="23">
        <v>46530</v>
      </c>
      <c r="X5011" s="20">
        <v>1960</v>
      </c>
      <c r="Z5011" s="6" t="s">
        <v>5978</v>
      </c>
      <c r="AA5011" s="14">
        <f t="shared" si="661"/>
        <v>5.9999999999999995E-4</v>
      </c>
      <c r="AB5011">
        <v>1.1759999999999999</v>
      </c>
      <c r="AC5011">
        <v>1.2230399999999999</v>
      </c>
    </row>
    <row r="5012" spans="1:29" x14ac:dyDescent="0.3">
      <c r="A5012">
        <v>147267</v>
      </c>
      <c r="B5012" s="25" t="s">
        <v>5984</v>
      </c>
      <c r="C5012" t="s">
        <v>20</v>
      </c>
      <c r="D5012" t="s">
        <v>21</v>
      </c>
      <c r="E5012">
        <v>2222222</v>
      </c>
      <c r="F5012" s="8" t="s">
        <v>22</v>
      </c>
      <c r="G5012" s="2">
        <v>98</v>
      </c>
      <c r="H5012" t="s">
        <v>4734</v>
      </c>
      <c r="J5012" s="9" t="s">
        <v>4950</v>
      </c>
      <c r="K5012" t="s">
        <v>4841</v>
      </c>
      <c r="L5012" s="2">
        <v>1</v>
      </c>
      <c r="M5012" s="24" t="s">
        <v>5971</v>
      </c>
      <c r="N5012" s="2" t="s">
        <v>23</v>
      </c>
      <c r="O5012" s="18" t="s">
        <v>3766</v>
      </c>
      <c r="P5012" s="18" t="s">
        <v>0</v>
      </c>
      <c r="Q5012" s="6" t="s">
        <v>4475</v>
      </c>
      <c r="T5012" s="23">
        <v>45876</v>
      </c>
      <c r="U5012" s="23">
        <v>46245</v>
      </c>
      <c r="X5012" s="20">
        <v>2100</v>
      </c>
      <c r="Z5012" s="6" t="s">
        <v>5978</v>
      </c>
      <c r="AA5012" s="14">
        <f t="shared" si="661"/>
        <v>5.9999999999999995E-4</v>
      </c>
      <c r="AB5012">
        <v>0.11276399999999999</v>
      </c>
      <c r="AC5012">
        <v>0.11727455999999999</v>
      </c>
    </row>
    <row r="5013" spans="1:29" x14ac:dyDescent="0.3">
      <c r="A5013">
        <v>150104</v>
      </c>
      <c r="B5013" s="25" t="s">
        <v>5984</v>
      </c>
      <c r="C5013" t="s">
        <v>20</v>
      </c>
      <c r="D5013" t="s">
        <v>21</v>
      </c>
      <c r="E5013">
        <v>2222222</v>
      </c>
      <c r="F5013" s="8" t="s">
        <v>22</v>
      </c>
      <c r="G5013" s="2">
        <v>98</v>
      </c>
      <c r="H5013" t="s">
        <v>4734</v>
      </c>
      <c r="J5013" s="9" t="s">
        <v>5032</v>
      </c>
      <c r="K5013" t="s">
        <v>4863</v>
      </c>
      <c r="L5013" s="2">
        <v>1</v>
      </c>
      <c r="M5013" s="24" t="s">
        <v>5971</v>
      </c>
      <c r="N5013" s="2" t="s">
        <v>23</v>
      </c>
      <c r="O5013" s="18" t="s">
        <v>3767</v>
      </c>
      <c r="P5013" s="18" t="s">
        <v>3781</v>
      </c>
      <c r="Q5013" s="6" t="s">
        <v>4475</v>
      </c>
      <c r="T5013" s="23">
        <v>46072</v>
      </c>
      <c r="U5013" s="23">
        <v>46316</v>
      </c>
      <c r="X5013" s="20">
        <v>500</v>
      </c>
      <c r="Z5013" s="6" t="s">
        <v>5978</v>
      </c>
      <c r="AA5013" s="14">
        <f t="shared" si="661"/>
        <v>5.9999999999999995E-4</v>
      </c>
      <c r="AB5013">
        <v>0.116508</v>
      </c>
      <c r="AC5013">
        <v>0.12116832000000001</v>
      </c>
    </row>
    <row r="5014" spans="1:29" x14ac:dyDescent="0.3">
      <c r="A5014">
        <v>151468</v>
      </c>
      <c r="B5014" s="25" t="s">
        <v>5984</v>
      </c>
      <c r="C5014" t="s">
        <v>20</v>
      </c>
      <c r="D5014" t="s">
        <v>21</v>
      </c>
      <c r="E5014">
        <v>2222222</v>
      </c>
      <c r="F5014" s="8" t="s">
        <v>22</v>
      </c>
      <c r="G5014" s="2">
        <v>98</v>
      </c>
      <c r="H5014" t="s">
        <v>4734</v>
      </c>
      <c r="J5014" s="9" t="s">
        <v>4836</v>
      </c>
      <c r="K5014" t="s">
        <v>4516</v>
      </c>
      <c r="L5014" s="2">
        <v>1</v>
      </c>
      <c r="M5014" s="24" t="s">
        <v>5971</v>
      </c>
      <c r="N5014" s="2" t="s">
        <v>23</v>
      </c>
      <c r="O5014" s="18" t="s">
        <v>3768</v>
      </c>
      <c r="P5014" s="18" t="s">
        <v>3781</v>
      </c>
      <c r="Q5014" s="6" t="s">
        <v>4475</v>
      </c>
      <c r="T5014" s="23">
        <v>46168</v>
      </c>
      <c r="U5014" s="23">
        <v>46258</v>
      </c>
      <c r="X5014" s="20">
        <v>2960</v>
      </c>
      <c r="Z5014" s="6" t="s">
        <v>5978</v>
      </c>
      <c r="AA5014" s="14">
        <f t="shared" si="661"/>
        <v>5.9999999999999995E-4</v>
      </c>
      <c r="AB5014">
        <v>1.7759999999999998</v>
      </c>
      <c r="AC5014">
        <v>1.8470399999999998</v>
      </c>
    </row>
    <row r="5015" spans="1:29" x14ac:dyDescent="0.3">
      <c r="A5015">
        <v>151514</v>
      </c>
      <c r="B5015" s="25" t="s">
        <v>5984</v>
      </c>
      <c r="C5015" t="s">
        <v>20</v>
      </c>
      <c r="D5015" t="s">
        <v>21</v>
      </c>
      <c r="E5015">
        <v>2222222</v>
      </c>
      <c r="F5015" s="8" t="s">
        <v>22</v>
      </c>
      <c r="G5015" s="2">
        <v>98</v>
      </c>
      <c r="H5015" t="s">
        <v>4734</v>
      </c>
      <c r="J5015" s="9" t="s">
        <v>4936</v>
      </c>
      <c r="K5015" t="s">
        <v>4966</v>
      </c>
      <c r="L5015" s="2">
        <v>1</v>
      </c>
      <c r="M5015" s="24" t="s">
        <v>5971</v>
      </c>
      <c r="N5015" s="2" t="s">
        <v>23</v>
      </c>
      <c r="O5015" s="18" t="s">
        <v>3769</v>
      </c>
      <c r="P5015" s="18" t="s">
        <v>0</v>
      </c>
      <c r="Q5015" s="6" t="s">
        <v>4475</v>
      </c>
      <c r="T5015" s="23">
        <v>46170</v>
      </c>
      <c r="U5015" s="23">
        <v>47176</v>
      </c>
      <c r="X5015" s="20">
        <v>5000</v>
      </c>
      <c r="Z5015" s="6" t="s">
        <v>5978</v>
      </c>
      <c r="AA5015" s="14">
        <f t="shared" si="661"/>
        <v>5.9999999999999995E-4</v>
      </c>
      <c r="AB5015">
        <v>2.9287019999999999</v>
      </c>
      <c r="AC5015">
        <v>3.0458500800000001</v>
      </c>
    </row>
    <row r="5016" spans="1:29" x14ac:dyDescent="0.3">
      <c r="A5016">
        <v>151617</v>
      </c>
      <c r="B5016" s="25" t="s">
        <v>5984</v>
      </c>
      <c r="C5016" t="s">
        <v>20</v>
      </c>
      <c r="D5016" t="s">
        <v>21</v>
      </c>
      <c r="E5016">
        <v>2222222</v>
      </c>
      <c r="F5016" s="8" t="s">
        <v>22</v>
      </c>
      <c r="G5016" s="2">
        <v>98</v>
      </c>
      <c r="H5016" t="s">
        <v>4734</v>
      </c>
      <c r="J5016" s="9" t="s">
        <v>4182</v>
      </c>
      <c r="K5016" t="s">
        <v>5298</v>
      </c>
      <c r="L5016" s="2">
        <v>1</v>
      </c>
      <c r="M5016" s="24" t="s">
        <v>5971</v>
      </c>
      <c r="N5016" s="2" t="s">
        <v>23</v>
      </c>
      <c r="O5016" s="18" t="s">
        <v>3770</v>
      </c>
      <c r="P5016" s="18" t="s">
        <v>0</v>
      </c>
      <c r="Q5016" s="6" t="s">
        <v>4475</v>
      </c>
      <c r="T5016" s="23">
        <v>46178</v>
      </c>
      <c r="U5016" s="23">
        <v>47274</v>
      </c>
      <c r="X5016" s="20">
        <v>11500</v>
      </c>
      <c r="Z5016" s="6" t="s">
        <v>5978</v>
      </c>
      <c r="AA5016" s="14">
        <f t="shared" si="661"/>
        <v>5.9999999999999995E-4</v>
      </c>
      <c r="AB5016">
        <v>6.7440239999999996</v>
      </c>
      <c r="AC5016">
        <v>7.0137849599999997</v>
      </c>
    </row>
    <row r="5017" spans="1:29" x14ac:dyDescent="0.3">
      <c r="A5017">
        <v>113580</v>
      </c>
      <c r="B5017" s="25" t="s">
        <v>5984</v>
      </c>
      <c r="C5017" t="s">
        <v>20</v>
      </c>
      <c r="D5017" t="s">
        <v>21</v>
      </c>
      <c r="E5017">
        <v>2222222</v>
      </c>
      <c r="F5017" s="8" t="s">
        <v>22</v>
      </c>
      <c r="G5017" s="2">
        <v>98</v>
      </c>
      <c r="H5017" t="s">
        <v>4735</v>
      </c>
      <c r="J5017" s="9" t="s">
        <v>5585</v>
      </c>
      <c r="K5017" t="s">
        <v>5199</v>
      </c>
      <c r="L5017" s="2">
        <v>1</v>
      </c>
      <c r="M5017" s="24" t="s">
        <v>5971</v>
      </c>
      <c r="N5017" s="2" t="s">
        <v>23</v>
      </c>
      <c r="O5017" s="18" t="s">
        <v>3771</v>
      </c>
      <c r="P5017" s="18" t="s">
        <v>0</v>
      </c>
      <c r="Q5017" s="6" t="s">
        <v>4475</v>
      </c>
      <c r="T5017" s="23">
        <v>44014</v>
      </c>
      <c r="U5017" s="23">
        <v>46297</v>
      </c>
      <c r="X5017" s="20">
        <v>16945</v>
      </c>
      <c r="Z5017" s="6" t="s">
        <v>5978</v>
      </c>
      <c r="AA5017" s="15">
        <f>+(0.42/1000)</f>
        <v>4.1999999999999996E-4</v>
      </c>
      <c r="AB5017">
        <v>0.45378479999999999</v>
      </c>
      <c r="AC5017">
        <v>0.47193619199999998</v>
      </c>
    </row>
    <row r="5018" spans="1:29" x14ac:dyDescent="0.3">
      <c r="A5018">
        <v>141405</v>
      </c>
      <c r="B5018" s="25" t="s">
        <v>5984</v>
      </c>
      <c r="C5018" t="s">
        <v>20</v>
      </c>
      <c r="D5018" t="s">
        <v>21</v>
      </c>
      <c r="E5018">
        <v>2222222</v>
      </c>
      <c r="F5018" s="8" t="s">
        <v>22</v>
      </c>
      <c r="G5018" s="2">
        <v>98</v>
      </c>
      <c r="H5018" t="s">
        <v>4735</v>
      </c>
      <c r="J5018" s="9" t="s">
        <v>5373</v>
      </c>
      <c r="K5018" t="s">
        <v>5021</v>
      </c>
      <c r="L5018" s="2">
        <v>1</v>
      </c>
      <c r="M5018" s="24" t="s">
        <v>5971</v>
      </c>
      <c r="N5018" s="2" t="s">
        <v>23</v>
      </c>
      <c r="O5018" s="18" t="s">
        <v>3772</v>
      </c>
      <c r="P5018" s="18" t="s">
        <v>3781</v>
      </c>
      <c r="Q5018" s="6" t="s">
        <v>4475</v>
      </c>
      <c r="T5018" s="23">
        <v>45450</v>
      </c>
      <c r="U5018" s="23">
        <v>46545</v>
      </c>
      <c r="X5018" s="20">
        <v>2425</v>
      </c>
      <c r="Z5018" s="6" t="s">
        <v>5978</v>
      </c>
      <c r="AA5018" s="14">
        <f t="shared" ref="AA5018:AA5029" si="662">+(0.6/1000)</f>
        <v>5.9999999999999995E-4</v>
      </c>
      <c r="AB5018">
        <v>0.53113199999999994</v>
      </c>
      <c r="AC5018">
        <v>0.55237727999999997</v>
      </c>
    </row>
    <row r="5019" spans="1:29" x14ac:dyDescent="0.3">
      <c r="A5019">
        <v>143107</v>
      </c>
      <c r="B5019" s="25" t="s">
        <v>5984</v>
      </c>
      <c r="C5019" t="s">
        <v>20</v>
      </c>
      <c r="D5019" t="s">
        <v>21</v>
      </c>
      <c r="E5019">
        <v>2222222</v>
      </c>
      <c r="F5019" s="8" t="s">
        <v>22</v>
      </c>
      <c r="G5019" s="2">
        <v>98</v>
      </c>
      <c r="H5019" t="s">
        <v>4735</v>
      </c>
      <c r="J5019" s="9" t="s">
        <v>5067</v>
      </c>
      <c r="K5019" t="s">
        <v>5075</v>
      </c>
      <c r="L5019" s="2">
        <v>1</v>
      </c>
      <c r="M5019" s="24" t="s">
        <v>5971</v>
      </c>
      <c r="N5019" s="2" t="s">
        <v>23</v>
      </c>
      <c r="O5019" s="18" t="s">
        <v>2944</v>
      </c>
      <c r="P5019" s="18" t="s">
        <v>3781</v>
      </c>
      <c r="Q5019" s="6" t="s">
        <v>4475</v>
      </c>
      <c r="T5019" s="23">
        <v>45566</v>
      </c>
      <c r="U5019" s="23">
        <v>46265</v>
      </c>
      <c r="X5019" s="20">
        <v>4170</v>
      </c>
      <c r="Z5019" s="6" t="s">
        <v>5978</v>
      </c>
      <c r="AA5019" s="14">
        <f t="shared" si="662"/>
        <v>5.9999999999999995E-4</v>
      </c>
      <c r="AB5019">
        <v>0.110262</v>
      </c>
      <c r="AC5019">
        <v>0.11467248000000001</v>
      </c>
    </row>
    <row r="5020" spans="1:29" x14ac:dyDescent="0.3">
      <c r="A5020">
        <v>144560</v>
      </c>
      <c r="B5020" s="25" t="s">
        <v>5984</v>
      </c>
      <c r="C5020" t="s">
        <v>20</v>
      </c>
      <c r="D5020" t="s">
        <v>21</v>
      </c>
      <c r="E5020">
        <v>2222222</v>
      </c>
      <c r="F5020" s="8" t="s">
        <v>22</v>
      </c>
      <c r="G5020" s="2">
        <v>98</v>
      </c>
      <c r="H5020" t="s">
        <v>4735</v>
      </c>
      <c r="J5020" s="9" t="s">
        <v>4836</v>
      </c>
      <c r="K5020" t="s">
        <v>5968</v>
      </c>
      <c r="L5020" s="2">
        <v>1</v>
      </c>
      <c r="M5020" s="24" t="s">
        <v>5971</v>
      </c>
      <c r="N5020" s="2" t="s">
        <v>23</v>
      </c>
      <c r="O5020" s="18" t="s">
        <v>3773</v>
      </c>
      <c r="P5020" s="18" t="s">
        <v>3781</v>
      </c>
      <c r="Q5020" s="6" t="s">
        <v>4475</v>
      </c>
      <c r="T5020" s="23">
        <v>45672</v>
      </c>
      <c r="U5020" s="23">
        <v>46766</v>
      </c>
      <c r="X5020" s="20">
        <v>3235</v>
      </c>
      <c r="Z5020" s="6" t="s">
        <v>5978</v>
      </c>
      <c r="AA5020" s="14">
        <f t="shared" si="662"/>
        <v>5.9999999999999995E-4</v>
      </c>
      <c r="AB5020">
        <v>1.0918079999999999</v>
      </c>
      <c r="AC5020">
        <v>1.1354803199999999</v>
      </c>
    </row>
    <row r="5021" spans="1:29" x14ac:dyDescent="0.3">
      <c r="A5021">
        <v>146950</v>
      </c>
      <c r="B5021" s="25" t="s">
        <v>5984</v>
      </c>
      <c r="C5021" t="s">
        <v>20</v>
      </c>
      <c r="D5021" t="s">
        <v>21</v>
      </c>
      <c r="E5021">
        <v>2222222</v>
      </c>
      <c r="F5021" s="8" t="s">
        <v>22</v>
      </c>
      <c r="G5021" s="2">
        <v>98</v>
      </c>
      <c r="H5021" t="s">
        <v>4735</v>
      </c>
      <c r="J5021" s="9" t="s">
        <v>4898</v>
      </c>
      <c r="K5021" t="s">
        <v>5610</v>
      </c>
      <c r="L5021" s="2">
        <v>1</v>
      </c>
      <c r="M5021" s="24" t="s">
        <v>5971</v>
      </c>
      <c r="N5021" s="2" t="s">
        <v>23</v>
      </c>
      <c r="O5021" s="18" t="s">
        <v>2778</v>
      </c>
      <c r="P5021" s="18" t="s">
        <v>3781</v>
      </c>
      <c r="Q5021" s="6" t="s">
        <v>4475</v>
      </c>
      <c r="T5021" s="23">
        <v>45854</v>
      </c>
      <c r="U5021" s="23">
        <v>46583</v>
      </c>
      <c r="X5021" s="20">
        <v>1500</v>
      </c>
      <c r="Z5021" s="6" t="s">
        <v>5978</v>
      </c>
      <c r="AA5021" s="14">
        <f t="shared" si="662"/>
        <v>5.9999999999999995E-4</v>
      </c>
      <c r="AB5021">
        <v>0.4881359999999999</v>
      </c>
      <c r="AC5021">
        <v>0.50766143999999991</v>
      </c>
    </row>
    <row r="5022" spans="1:29" x14ac:dyDescent="0.3">
      <c r="A5022">
        <v>147562</v>
      </c>
      <c r="B5022" s="25" t="s">
        <v>5984</v>
      </c>
      <c r="C5022" t="s">
        <v>20</v>
      </c>
      <c r="D5022" t="s">
        <v>21</v>
      </c>
      <c r="E5022">
        <v>2222222</v>
      </c>
      <c r="F5022" s="8" t="s">
        <v>22</v>
      </c>
      <c r="G5022" s="2">
        <v>98</v>
      </c>
      <c r="H5022" t="s">
        <v>4735</v>
      </c>
      <c r="J5022" s="9" t="s">
        <v>5373</v>
      </c>
      <c r="K5022" t="s">
        <v>5021</v>
      </c>
      <c r="L5022" s="2">
        <v>1</v>
      </c>
      <c r="M5022" s="24" t="s">
        <v>5971</v>
      </c>
      <c r="N5022" s="2" t="s">
        <v>23</v>
      </c>
      <c r="O5022" s="18" t="s">
        <v>3772</v>
      </c>
      <c r="P5022" s="18" t="s">
        <v>3781</v>
      </c>
      <c r="Q5022" s="6" t="s">
        <v>4475</v>
      </c>
      <c r="T5022" s="23">
        <v>45897</v>
      </c>
      <c r="U5022" s="23">
        <v>46445</v>
      </c>
      <c r="X5022" s="20">
        <v>1500</v>
      </c>
      <c r="Z5022" s="6" t="s">
        <v>5978</v>
      </c>
      <c r="AA5022" s="14">
        <f t="shared" si="662"/>
        <v>5.9999999999999995E-4</v>
      </c>
      <c r="AB5022">
        <v>0.37872</v>
      </c>
      <c r="AC5022">
        <v>0.39386880000000002</v>
      </c>
    </row>
    <row r="5023" spans="1:29" x14ac:dyDescent="0.3">
      <c r="A5023">
        <v>148870</v>
      </c>
      <c r="B5023" s="25" t="s">
        <v>5984</v>
      </c>
      <c r="C5023" t="s">
        <v>20</v>
      </c>
      <c r="D5023" t="s">
        <v>21</v>
      </c>
      <c r="E5023">
        <v>2222222</v>
      </c>
      <c r="F5023" s="8" t="s">
        <v>22</v>
      </c>
      <c r="G5023" s="2">
        <v>98</v>
      </c>
      <c r="H5023" t="s">
        <v>4735</v>
      </c>
      <c r="J5023" s="9" t="s">
        <v>4957</v>
      </c>
      <c r="K5023" t="s">
        <v>5217</v>
      </c>
      <c r="L5023" s="2">
        <v>1</v>
      </c>
      <c r="M5023" s="24" t="s">
        <v>5971</v>
      </c>
      <c r="N5023" s="2" t="s">
        <v>23</v>
      </c>
      <c r="O5023" s="18" t="s">
        <v>3774</v>
      </c>
      <c r="P5023" s="18" t="s">
        <v>3781</v>
      </c>
      <c r="Q5023" s="6" t="s">
        <v>4475</v>
      </c>
      <c r="T5023" s="23">
        <v>45984</v>
      </c>
      <c r="U5023" s="23">
        <v>47445</v>
      </c>
      <c r="X5023" s="20">
        <v>5000</v>
      </c>
      <c r="Z5023" s="6" t="s">
        <v>5978</v>
      </c>
      <c r="AA5023" s="14">
        <f t="shared" si="662"/>
        <v>5.9999999999999995E-4</v>
      </c>
      <c r="AB5023">
        <v>2.6360219999999996</v>
      </c>
      <c r="AC5023">
        <v>2.7414628799999998</v>
      </c>
    </row>
    <row r="5024" spans="1:29" x14ac:dyDescent="0.3">
      <c r="A5024">
        <v>148873</v>
      </c>
      <c r="B5024" s="25" t="s">
        <v>5984</v>
      </c>
      <c r="C5024" t="s">
        <v>20</v>
      </c>
      <c r="D5024" t="s">
        <v>21</v>
      </c>
      <c r="E5024">
        <v>2222222</v>
      </c>
      <c r="F5024" s="8" t="s">
        <v>22</v>
      </c>
      <c r="G5024" s="2">
        <v>98</v>
      </c>
      <c r="H5024" t="s">
        <v>4735</v>
      </c>
      <c r="J5024" s="9" t="s">
        <v>5164</v>
      </c>
      <c r="K5024" t="s">
        <v>4890</v>
      </c>
      <c r="L5024" s="2">
        <v>1</v>
      </c>
      <c r="M5024" s="24" t="s">
        <v>5971</v>
      </c>
      <c r="N5024" s="2" t="s">
        <v>23</v>
      </c>
      <c r="O5024" s="18" t="s">
        <v>3775</v>
      </c>
      <c r="P5024" s="18" t="s">
        <v>3781</v>
      </c>
      <c r="Q5024" s="6" t="s">
        <v>4475</v>
      </c>
      <c r="T5024" s="23">
        <v>45995</v>
      </c>
      <c r="U5024" s="23">
        <v>46908</v>
      </c>
      <c r="X5024" s="20">
        <v>11500</v>
      </c>
      <c r="Z5024" s="6" t="s">
        <v>5978</v>
      </c>
      <c r="AA5024" s="14">
        <f t="shared" si="662"/>
        <v>5.9999999999999995E-4</v>
      </c>
      <c r="AB5024">
        <v>5.523293999999999</v>
      </c>
      <c r="AC5024">
        <v>5.7442257599999991</v>
      </c>
    </row>
    <row r="5025" spans="1:29" x14ac:dyDescent="0.3">
      <c r="A5025">
        <v>149221</v>
      </c>
      <c r="B5025" s="25" t="s">
        <v>5984</v>
      </c>
      <c r="C5025" t="s">
        <v>20</v>
      </c>
      <c r="D5025" t="s">
        <v>21</v>
      </c>
      <c r="E5025">
        <v>2222222</v>
      </c>
      <c r="F5025" s="8" t="s">
        <v>22</v>
      </c>
      <c r="G5025" s="2">
        <v>98</v>
      </c>
      <c r="H5025" t="s">
        <v>4735</v>
      </c>
      <c r="J5025" s="9" t="s">
        <v>4182</v>
      </c>
      <c r="K5025" t="s">
        <v>5374</v>
      </c>
      <c r="L5025" s="2">
        <v>1</v>
      </c>
      <c r="M5025" s="24" t="s">
        <v>5971</v>
      </c>
      <c r="N5025" s="2" t="s">
        <v>23</v>
      </c>
      <c r="O5025" s="18" t="s">
        <v>3776</v>
      </c>
      <c r="P5025" s="18" t="s">
        <v>0</v>
      </c>
      <c r="Q5025" s="6" t="s">
        <v>4475</v>
      </c>
      <c r="T5025" s="23">
        <v>46006</v>
      </c>
      <c r="U5025" s="23">
        <v>46371</v>
      </c>
      <c r="X5025" s="20">
        <v>1700</v>
      </c>
      <c r="Z5025" s="6" t="s">
        <v>5978</v>
      </c>
      <c r="AA5025" s="14">
        <f t="shared" si="662"/>
        <v>5.9999999999999995E-4</v>
      </c>
      <c r="AB5025">
        <v>0.44546399999999997</v>
      </c>
      <c r="AC5025">
        <v>0.46328256000000001</v>
      </c>
    </row>
    <row r="5026" spans="1:29" x14ac:dyDescent="0.3">
      <c r="A5026">
        <v>149375</v>
      </c>
      <c r="B5026" s="25" t="s">
        <v>5984</v>
      </c>
      <c r="C5026" t="s">
        <v>20</v>
      </c>
      <c r="D5026" t="s">
        <v>21</v>
      </c>
      <c r="E5026">
        <v>2222222</v>
      </c>
      <c r="F5026" s="8" t="s">
        <v>22</v>
      </c>
      <c r="G5026" s="2">
        <v>98</v>
      </c>
      <c r="H5026" t="s">
        <v>4735</v>
      </c>
      <c r="J5026" s="9" t="s">
        <v>5371</v>
      </c>
      <c r="K5026" t="s">
        <v>4935</v>
      </c>
      <c r="L5026" s="2">
        <v>1</v>
      </c>
      <c r="M5026" s="24" t="s">
        <v>5971</v>
      </c>
      <c r="N5026" s="2" t="s">
        <v>23</v>
      </c>
      <c r="O5026" s="18" t="s">
        <v>3777</v>
      </c>
      <c r="P5026" s="18" t="s">
        <v>0</v>
      </c>
      <c r="Q5026" s="6" t="s">
        <v>4475</v>
      </c>
      <c r="T5026" s="23">
        <v>46019</v>
      </c>
      <c r="U5026" s="23">
        <v>47114</v>
      </c>
      <c r="X5026" s="20">
        <v>3910</v>
      </c>
      <c r="Z5026" s="6" t="s">
        <v>5978</v>
      </c>
      <c r="AA5026" s="14">
        <f t="shared" si="662"/>
        <v>5.9999999999999995E-4</v>
      </c>
      <c r="AB5026">
        <v>1.9767899999999998</v>
      </c>
      <c r="AC5026">
        <v>2.0558616000000001</v>
      </c>
    </row>
    <row r="5027" spans="1:29" x14ac:dyDescent="0.3">
      <c r="A5027">
        <v>150177</v>
      </c>
      <c r="B5027" s="25" t="s">
        <v>5984</v>
      </c>
      <c r="C5027" t="s">
        <v>20</v>
      </c>
      <c r="D5027" t="s">
        <v>21</v>
      </c>
      <c r="E5027">
        <v>2222222</v>
      </c>
      <c r="F5027" s="8" t="s">
        <v>22</v>
      </c>
      <c r="G5027" s="2">
        <v>98</v>
      </c>
      <c r="H5027" t="s">
        <v>4735</v>
      </c>
      <c r="J5027" s="9" t="s">
        <v>4901</v>
      </c>
      <c r="K5027" t="s">
        <v>5001</v>
      </c>
      <c r="L5027" s="2">
        <v>1</v>
      </c>
      <c r="M5027" s="24" t="s">
        <v>5971</v>
      </c>
      <c r="N5027" s="2" t="s">
        <v>23</v>
      </c>
      <c r="O5027" s="18" t="s">
        <v>3778</v>
      </c>
      <c r="P5027" s="18" t="s">
        <v>0</v>
      </c>
      <c r="Q5027" s="6" t="s">
        <v>4475</v>
      </c>
      <c r="T5027" s="23">
        <v>46077</v>
      </c>
      <c r="U5027" s="23">
        <v>47175</v>
      </c>
      <c r="X5027" s="20">
        <v>1600</v>
      </c>
      <c r="Z5027" s="6" t="s">
        <v>5978</v>
      </c>
      <c r="AA5027" s="14">
        <f t="shared" si="662"/>
        <v>5.9999999999999995E-4</v>
      </c>
      <c r="AB5027">
        <v>0.85571399999999997</v>
      </c>
      <c r="AC5027">
        <v>0.88994256000000005</v>
      </c>
    </row>
    <row r="5028" spans="1:29" x14ac:dyDescent="0.3">
      <c r="A5028">
        <v>150505</v>
      </c>
      <c r="B5028" s="25" t="s">
        <v>5984</v>
      </c>
      <c r="C5028" t="s">
        <v>20</v>
      </c>
      <c r="D5028" t="s">
        <v>21</v>
      </c>
      <c r="E5028">
        <v>2222222</v>
      </c>
      <c r="F5028" s="8" t="s">
        <v>22</v>
      </c>
      <c r="G5028" s="2">
        <v>98</v>
      </c>
      <c r="H5028" t="s">
        <v>4735</v>
      </c>
      <c r="J5028" s="9" t="s">
        <v>4993</v>
      </c>
      <c r="K5028" t="s">
        <v>4924</v>
      </c>
      <c r="L5028" s="2">
        <v>1</v>
      </c>
      <c r="M5028" s="24" t="s">
        <v>5971</v>
      </c>
      <c r="N5028" s="2" t="s">
        <v>23</v>
      </c>
      <c r="O5028" s="18" t="s">
        <v>3779</v>
      </c>
      <c r="P5028" s="18" t="s">
        <v>3781</v>
      </c>
      <c r="Q5028" s="6" t="s">
        <v>4475</v>
      </c>
      <c r="T5028" s="23">
        <v>46098</v>
      </c>
      <c r="U5028" s="23">
        <v>47558</v>
      </c>
      <c r="X5028" s="20">
        <v>5000</v>
      </c>
      <c r="Z5028" s="6" t="s">
        <v>5978</v>
      </c>
      <c r="AA5028" s="14">
        <f t="shared" si="662"/>
        <v>5.9999999999999995E-4</v>
      </c>
      <c r="AB5028">
        <v>2.8234439999999998</v>
      </c>
      <c r="AC5028">
        <v>2.9363817599999997</v>
      </c>
    </row>
    <row r="5029" spans="1:29" x14ac:dyDescent="0.3">
      <c r="A5029">
        <v>151515</v>
      </c>
      <c r="B5029" s="25" t="s">
        <v>5984</v>
      </c>
      <c r="C5029" t="s">
        <v>20</v>
      </c>
      <c r="D5029" t="s">
        <v>21</v>
      </c>
      <c r="E5029">
        <v>2222222</v>
      </c>
      <c r="F5029" s="8" t="s">
        <v>22</v>
      </c>
      <c r="G5029" s="2">
        <v>98</v>
      </c>
      <c r="H5029" t="s">
        <v>4735</v>
      </c>
      <c r="J5029" s="9" t="s">
        <v>5585</v>
      </c>
      <c r="K5029" t="s">
        <v>5199</v>
      </c>
      <c r="L5029" s="2">
        <v>1</v>
      </c>
      <c r="M5029" s="24" t="s">
        <v>5971</v>
      </c>
      <c r="N5029" s="2" t="s">
        <v>23</v>
      </c>
      <c r="O5029" s="18" t="s">
        <v>3771</v>
      </c>
      <c r="P5029" s="18" t="s">
        <v>0</v>
      </c>
      <c r="Q5029" s="6" t="s">
        <v>4475</v>
      </c>
      <c r="T5029" s="23">
        <v>46170</v>
      </c>
      <c r="U5029" s="23">
        <v>46260</v>
      </c>
      <c r="X5029" s="20">
        <v>2000</v>
      </c>
      <c r="Z5029" s="6" t="s">
        <v>5978</v>
      </c>
      <c r="AA5029" s="14">
        <f t="shared" si="662"/>
        <v>5.9999999999999995E-4</v>
      </c>
      <c r="AB5029">
        <v>1.2</v>
      </c>
      <c r="AC5029">
        <v>1.248</v>
      </c>
    </row>
    <row r="5030" spans="1:29" x14ac:dyDescent="0.3">
      <c r="A5030">
        <v>138934</v>
      </c>
      <c r="B5030" s="25" t="s">
        <v>5984</v>
      </c>
      <c r="C5030" t="s">
        <v>20</v>
      </c>
      <c r="D5030" t="s">
        <v>21</v>
      </c>
      <c r="E5030">
        <v>2222222</v>
      </c>
      <c r="F5030" s="8" t="s">
        <v>22</v>
      </c>
      <c r="G5030" s="2">
        <v>98</v>
      </c>
      <c r="H5030" t="s">
        <v>4736</v>
      </c>
      <c r="J5030" s="9" t="s">
        <v>5969</v>
      </c>
      <c r="K5030" t="s">
        <v>5970</v>
      </c>
      <c r="L5030" s="2">
        <v>1</v>
      </c>
      <c r="M5030" s="24" t="s">
        <v>5971</v>
      </c>
      <c r="N5030" s="2" t="s">
        <v>23</v>
      </c>
      <c r="O5030" s="18" t="s">
        <v>3780</v>
      </c>
      <c r="P5030" s="18" t="s">
        <v>3781</v>
      </c>
      <c r="Q5030" s="6" t="s">
        <v>4475</v>
      </c>
      <c r="T5030" s="23">
        <v>45307</v>
      </c>
      <c r="U5030" s="23">
        <v>45488</v>
      </c>
      <c r="X5030" s="20">
        <v>210</v>
      </c>
      <c r="Z5030" s="6" t="s">
        <v>5978</v>
      </c>
      <c r="AA5030" s="13">
        <f>+(0.56/1000)</f>
        <v>5.6000000000000006E-4</v>
      </c>
      <c r="AB5030">
        <v>3.9351200000000003E-2</v>
      </c>
      <c r="AC5030">
        <v>4.0925248000000004E-2</v>
      </c>
    </row>
    <row r="5031" spans="1:29" x14ac:dyDescent="0.3">
      <c r="Z5031" s="6"/>
      <c r="AA5031" s="15"/>
    </row>
  </sheetData>
  <protectedRanges>
    <protectedRange algorithmName="SHA-512" hashValue="DjZ80tYYPmQAJ4MlQbjCDNnQZJUF+VWcRxZUnqC7NcJBPZ7Q03HKvpHCVQPkZFlsX8TUXB1wZUghW3Dlt6M6eg==" saltValue="Ydsbn6FHlOiUaMXasf3Yng==" spinCount="100000" sqref="AA460:AA465 AA756 AA1104 AA1189:AA1190 AA1237 AA1260 AA1333 AA1350 AA1386 AA1676 AA2211 AA2242 AA2637 AA2815 AA3073 AA3109 AA3151 AA3185 AA3525 AA3639 AA3895:AA3896 AA4284 AA4324 AA4584 AA4636:AA4637" name="Rango1_1"/>
    <protectedRange algorithmName="SHA-512" hashValue="DjZ80tYYPmQAJ4MlQbjCDNnQZJUF+VWcRxZUnqC7NcJBPZ7Q03HKvpHCVQPkZFlsX8TUXB1wZUghW3Dlt6M6eg==" saltValue="Ydsbn6FHlOiUaMXasf3Yng==" spinCount="100000" sqref="AA3876" name="Rango1_30_1_1"/>
    <protectedRange algorithmName="SHA-512" hashValue="DjZ80tYYPmQAJ4MlQbjCDNnQZJUF+VWcRxZUnqC7NcJBPZ7Q03HKvpHCVQPkZFlsX8TUXB1wZUghW3Dlt6M6eg==" saltValue="Ydsbn6FHlOiUaMXasf3Yng==" spinCount="100000" sqref="AA3860" name="Rango1_30_2_1"/>
  </protectedRanges>
  <autoFilter ref="A1:AC5030" xr:uid="{7E3A6484-2F4A-465D-B68F-B1DE0E36FD88}"/>
  <phoneticPr fontId="5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13b80ffb-0416-4d58-9a3d-bf06b0c5e130}" enabled="0" method="" siteId="{13b80ffb-0416-4d58-9a3d-bf06b0c5e1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CREDITOS DESGRAVAMEN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Ibujes, Silvana (Ecuador)</dc:creator>
  <cp:lastModifiedBy>Juan Cordero</cp:lastModifiedBy>
  <dcterms:created xsi:type="dcterms:W3CDTF">2026-05-07T19:44:55Z</dcterms:created>
  <dcterms:modified xsi:type="dcterms:W3CDTF">2026-09-14T20:44:27Z</dcterms:modified>
</cp:coreProperties>
</file>