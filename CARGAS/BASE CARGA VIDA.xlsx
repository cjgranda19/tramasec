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ttps://tramas-my.sharepoint.com/personal/jcordero_tramas_onmicrosoft_com/Documents/TRAMASEC/ATLANTIDA/"/>
    </mc:Choice>
  </mc:AlternateContent>
  <xr:revisionPtr revIDLastSave="0" documentId="8_{3D281695-48B2-43BD-8CB3-4B98A89F8F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2" l="1"/>
</calcChain>
</file>

<file path=xl/sharedStrings.xml><?xml version="1.0" encoding="utf-8"?>
<sst xmlns="http://schemas.openxmlformats.org/spreadsheetml/2006/main" count="132" uniqueCount="90">
  <si>
    <t>APELLIDO</t>
  </si>
  <si>
    <t>APELLIDO_2</t>
  </si>
  <si>
    <t>NOMBRES</t>
  </si>
  <si>
    <t>FECHA_NAC</t>
  </si>
  <si>
    <t>SEXO</t>
  </si>
  <si>
    <t>TIPODEDOCUMENTO</t>
  </si>
  <si>
    <t>NUMERODOCUMENTO</t>
  </si>
  <si>
    <t>FECHAINGRESO</t>
  </si>
  <si>
    <t>FECHAPAGOPRIMERACUOTA</t>
  </si>
  <si>
    <t>MESES</t>
  </si>
  <si>
    <t>NUMEROCERTIFICADO</t>
  </si>
  <si>
    <t>CATEGORIA</t>
  </si>
  <si>
    <t>FECHAALTA</t>
  </si>
  <si>
    <t>FECHAVIGENCIAHASTA</t>
  </si>
  <si>
    <t>PRIMA_TOTAL_COBRADA</t>
  </si>
  <si>
    <t>DIRECCION</t>
  </si>
  <si>
    <t>TELEFONOS</t>
  </si>
  <si>
    <t>NUMCREDITO</t>
  </si>
  <si>
    <t>OPERACION</t>
  </si>
  <si>
    <t>NUMCUOTAS</t>
  </si>
  <si>
    <t>PLANES</t>
  </si>
  <si>
    <t>MONTO_OR</t>
  </si>
  <si>
    <t>AGENCIA</t>
  </si>
  <si>
    <t>TIPO_CREDITO</t>
  </si>
  <si>
    <t>CORREO_ELECTRONICO</t>
  </si>
  <si>
    <t>BENEF_1_TIPOIDEN</t>
  </si>
  <si>
    <t>IDENTIFICACION_1</t>
  </si>
  <si>
    <t>NOMBRE_BENEF_1</t>
  </si>
  <si>
    <t>PORC_BENEFICIO_1</t>
  </si>
  <si>
    <t>BENEF_2_TIPOIDEN</t>
  </si>
  <si>
    <t>IDENTIFICACION_2</t>
  </si>
  <si>
    <t>NOMBRE_BENEF_2</t>
  </si>
  <si>
    <t>PORC_BENEFICIO_2</t>
  </si>
  <si>
    <t>BENEF_3_TIPOIDEN</t>
  </si>
  <si>
    <t>IDENTIFICACION_3</t>
  </si>
  <si>
    <t>NOMBRE_BENEF_3</t>
  </si>
  <si>
    <t>PORC_BENEFICIO_3</t>
  </si>
  <si>
    <t>BENEF_4_TIPOIDEN</t>
  </si>
  <si>
    <t>IDENTIFICACION_4</t>
  </si>
  <si>
    <t>NOMBRE_BENEF_4</t>
  </si>
  <si>
    <t>PORC_BENEFICIO_4</t>
  </si>
  <si>
    <t>BENEF_5_TIPOIDEN</t>
  </si>
  <si>
    <t>IDENTIFICACION_5</t>
  </si>
  <si>
    <t>NOMBRE_BENEF_5</t>
  </si>
  <si>
    <t>PORC_BENEFICIO_5</t>
  </si>
  <si>
    <t>BENEF_6_TIPOIDEN</t>
  </si>
  <si>
    <t>IDENTIFICACION_6</t>
  </si>
  <si>
    <t>NOMBRE_BENEF_6</t>
  </si>
  <si>
    <t>PORC_BENEFICIO_6</t>
  </si>
  <si>
    <t>BENEF_7_TIPOIDEN</t>
  </si>
  <si>
    <t>IDENTIFICACION_7</t>
  </si>
  <si>
    <t>NOMBRE_BENEF_7</t>
  </si>
  <si>
    <t>PORC_BENEFICIO_7</t>
  </si>
  <si>
    <t>1</t>
  </si>
  <si>
    <t>NORMAL</t>
  </si>
  <si>
    <t>C</t>
  </si>
  <si>
    <t>M</t>
  </si>
  <si>
    <t>ok al 22</t>
  </si>
  <si>
    <t>BAIDAL</t>
  </si>
  <si>
    <t>LINDAO</t>
  </si>
  <si>
    <t>ESTEBAN RAUL</t>
  </si>
  <si>
    <t>06/10/1955</t>
  </si>
  <si>
    <t>0907437735</t>
  </si>
  <si>
    <t>31/07/2024</t>
  </si>
  <si>
    <t>05/09/2024</t>
  </si>
  <si>
    <t>05/08/2028</t>
  </si>
  <si>
    <t>RECINTO DATA DE POSORJA MZ#0661 -19 RECINTO DATA DE POSORJA MZ#0661 -19</t>
  </si>
  <si>
    <t>0994669389-0994669389</t>
  </si>
  <si>
    <t>107004270201019</t>
  </si>
  <si>
    <t>AGENCIA LA LIBERTAD</t>
  </si>
  <si>
    <t>ESTEBANBAIDAL@HOTMAIL.COM</t>
  </si>
  <si>
    <t>0913222089</t>
  </si>
  <si>
    <t>MEDINA RIVERA ANA MARIA</t>
  </si>
  <si>
    <t>LETRAS</t>
  </si>
  <si>
    <t>FECHA DD/MM/AAA</t>
  </si>
  <si>
    <t>M/F</t>
  </si>
  <si>
    <t>1: CEDULA / 2: PASAPORTE</t>
  </si>
  <si>
    <t>IDENTIFICACION</t>
  </si>
  <si>
    <t>REQUERDIDO</t>
  </si>
  <si>
    <t>REQUERIDO</t>
  </si>
  <si>
    <t>EDAD MIN: / EDAD MAX</t>
  </si>
  <si>
    <t>NUMERO</t>
  </si>
  <si>
    <t>NO REQUERIDO</t>
  </si>
  <si>
    <t>LETRAS Y  NUMERO</t>
  </si>
  <si>
    <t>DUPLICIDAD</t>
  </si>
  <si>
    <t>PLAN 1: 4,37/ PLAN2: 8,74 / PLAN3: 13,11 /</t>
  </si>
  <si>
    <t>EMAIL (@ Y .)</t>
  </si>
  <si>
    <t>VALIDACION CALCULO. VALOR PLAN / PLAZO</t>
  </si>
  <si>
    <t>C: CEDULA / P: PASAPORTE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</si>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</sst>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1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1"/>
    <xf numFmtId="0" fontId="5" fillId="0" borderId="0" xfId="1" applyFont="1"/>
    <xf numFmtId="0" fontId="4" fillId="0" borderId="0" xfId="0" applyFont="1"/>
    <xf numFmtId="4" fontId="0" fillId="2" borderId="0" xfId="0" applyNumberFormat="1" applyFill="1"/>
  </cellXfs>
  <cellStyles count="9">
    <cellStyle name="Normal" xfId="0" builtinId="0"/>
    <cellStyle name="Normal 2" xfId="1" xr:uid="{00000000-0005-0000-0000-000001000000}"/>
    <cellStyle name="Normal 2 2" xfId="4" xr:uid="{00000000-0005-0000-0000-000002000000}"/>
    <cellStyle name="Normal 2 2 2" xfId="7" xr:uid="{00000000-0005-0000-0000-000003000000}"/>
    <cellStyle name="Normal 2 2 3" xfId="5" xr:uid="{00000000-0005-0000-0000-000004000000}"/>
    <cellStyle name="Normal 2 3" xfId="8" xr:uid="{00000000-0005-0000-0000-000005000000}"/>
    <cellStyle name="Normal 2 4" xfId="2" xr:uid="{00000000-0005-0000-0000-000006000000}"/>
    <cellStyle name="Normal 6" xfId="3" xr:uid="{00000000-0005-0000-0000-000007000000}"/>
    <cellStyle name="Normal 6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A8"/>
  <sheetViews>
    <sheetView tabSelected="1" topLeftCell="M1" workbookViewId="0">
      <selection activeCell="O12" sqref="O12"/>
    </sheetView>
  </sheetViews>
  <sheetFormatPr baseColWidth="10" defaultRowHeight="15" x14ac:dyDescent="0.25"/>
  <cols>
    <col min="1" max="1" width="14.42578125" bestFit="1" customWidth="1"/>
    <col min="2" max="2" width="13.42578125" bestFit="1" customWidth="1"/>
    <col min="3" max="3" width="22.7109375" bestFit="1" customWidth="1"/>
    <col min="4" max="4" width="22" bestFit="1" customWidth="1"/>
    <col min="5" max="5" width="11.28515625" bestFit="1" customWidth="1"/>
    <col min="6" max="6" width="24.28515625" bestFit="1" customWidth="1"/>
    <col min="7" max="7" width="20.85546875" bestFit="1" customWidth="1"/>
    <col min="8" max="8" width="14.5703125" bestFit="1" customWidth="1"/>
    <col min="9" max="9" width="26.42578125" bestFit="1" customWidth="1"/>
    <col min="10" max="10" width="11.28515625" bestFit="1" customWidth="1"/>
    <col min="11" max="11" width="20.7109375" bestFit="1" customWidth="1"/>
    <col min="12" max="12" width="14.5703125" bestFit="1" customWidth="1"/>
    <col min="13" max="13" width="18.85546875" bestFit="1" customWidth="1"/>
    <col min="14" max="14" width="21.42578125" bestFit="1" customWidth="1"/>
    <col min="15" max="15" width="40.85546875" style="1" bestFit="1" customWidth="1"/>
    <col min="16" max="16" width="58" customWidth="1"/>
    <col min="17" max="17" width="20.85546875" bestFit="1" customWidth="1"/>
    <col min="18" max="18" width="29.140625" bestFit="1" customWidth="1"/>
    <col min="19" max="20" width="14.5703125" bestFit="1" customWidth="1"/>
    <col min="21" max="21" width="38.28515625" bestFit="1" customWidth="1"/>
    <col min="22" max="22" width="40.85546875" bestFit="1" customWidth="1"/>
    <col min="23" max="23" width="23.7109375" bestFit="1" customWidth="1"/>
    <col min="24" max="24" width="13.7109375" bestFit="1" customWidth="1"/>
    <col min="25" max="25" width="37.140625" bestFit="1" customWidth="1"/>
    <col min="26" max="26" width="24.5703125" bestFit="1" customWidth="1"/>
    <col min="27" max="27" width="17.5703125" bestFit="1" customWidth="1"/>
    <col min="28" max="28" width="42.28515625" bestFit="1" customWidth="1"/>
    <col min="29" max="29" width="18.28515625" bestFit="1" customWidth="1"/>
    <col min="30" max="30" width="18.140625" bestFit="1" customWidth="1"/>
    <col min="31" max="31" width="17.5703125" bestFit="1" customWidth="1"/>
    <col min="32" max="32" width="41.42578125" bestFit="1" customWidth="1"/>
    <col min="33" max="33" width="18.28515625" bestFit="1" customWidth="1"/>
    <col min="34" max="34" width="18.140625" bestFit="1" customWidth="1"/>
    <col min="35" max="35" width="17.5703125" bestFit="1" customWidth="1"/>
    <col min="36" max="36" width="36.85546875" bestFit="1" customWidth="1"/>
    <col min="37" max="37" width="18.28515625" bestFit="1" customWidth="1"/>
    <col min="38" max="38" width="18.140625" bestFit="1" customWidth="1"/>
    <col min="39" max="39" width="17.5703125" bestFit="1" customWidth="1"/>
    <col min="40" max="40" width="42.28515625" bestFit="1" customWidth="1"/>
    <col min="41" max="41" width="18.28515625" bestFit="1" customWidth="1"/>
    <col min="42" max="42" width="18.140625" bestFit="1" customWidth="1"/>
    <col min="43" max="44" width="17.5703125" bestFit="1" customWidth="1"/>
    <col min="45" max="45" width="18.28515625" bestFit="1" customWidth="1"/>
    <col min="46" max="46" width="18.140625" bestFit="1" customWidth="1"/>
    <col min="47" max="48" width="17.5703125" bestFit="1" customWidth="1"/>
    <col min="49" max="49" width="18.28515625" bestFit="1" customWidth="1"/>
    <col min="50" max="50" width="18.140625" bestFit="1" customWidth="1"/>
    <col min="51" max="52" width="17.5703125" bestFit="1" customWidth="1"/>
    <col min="53" max="53" width="18.28515625" bestFit="1" customWidth="1"/>
  </cols>
  <sheetData>
    <row r="2" spans="1:53" x14ac:dyDescent="0.25">
      <c r="A2" t="s">
        <v>73</v>
      </c>
      <c r="B2" t="s">
        <v>73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74</v>
      </c>
      <c r="I2" t="s">
        <v>74</v>
      </c>
      <c r="J2" t="s">
        <v>81</v>
      </c>
      <c r="K2" t="s">
        <v>81</v>
      </c>
      <c r="M2" t="s">
        <v>74</v>
      </c>
      <c r="N2" t="s">
        <v>74</v>
      </c>
      <c r="O2" s="5" t="s">
        <v>87</v>
      </c>
      <c r="P2" t="s">
        <v>83</v>
      </c>
      <c r="Q2" t="s">
        <v>81</v>
      </c>
      <c r="R2" t="s">
        <v>84</v>
      </c>
      <c r="S2" t="s">
        <v>81</v>
      </c>
      <c r="T2" t="s">
        <v>81</v>
      </c>
      <c r="U2" t="s">
        <v>85</v>
      </c>
      <c r="V2" s="5" t="s">
        <v>87</v>
      </c>
      <c r="W2" t="s">
        <v>73</v>
      </c>
      <c r="X2" t="s">
        <v>73</v>
      </c>
      <c r="Y2" t="s">
        <v>86</v>
      </c>
      <c r="Z2" t="s">
        <v>88</v>
      </c>
      <c r="AA2" t="s">
        <v>77</v>
      </c>
      <c r="AB2" t="s">
        <v>73</v>
      </c>
      <c r="AC2" t="s">
        <v>89</v>
      </c>
    </row>
    <row r="3" spans="1:53" x14ac:dyDescent="0.25">
      <c r="A3" t="s">
        <v>78</v>
      </c>
      <c r="B3" t="s">
        <v>79</v>
      </c>
      <c r="C3" t="s">
        <v>79</v>
      </c>
      <c r="D3" t="s">
        <v>79</v>
      </c>
      <c r="E3" t="s">
        <v>79</v>
      </c>
      <c r="F3" t="s">
        <v>79</v>
      </c>
      <c r="G3" t="s">
        <v>79</v>
      </c>
      <c r="H3" t="s">
        <v>79</v>
      </c>
      <c r="I3" t="s">
        <v>79</v>
      </c>
      <c r="J3" t="s">
        <v>79</v>
      </c>
      <c r="K3" t="s">
        <v>79</v>
      </c>
      <c r="L3" t="s">
        <v>82</v>
      </c>
      <c r="M3" t="s">
        <v>79</v>
      </c>
      <c r="N3" t="s">
        <v>79</v>
      </c>
      <c r="O3" t="s">
        <v>79</v>
      </c>
      <c r="P3" t="s">
        <v>82</v>
      </c>
      <c r="Q3" t="s">
        <v>82</v>
      </c>
      <c r="R3" t="s">
        <v>79</v>
      </c>
      <c r="S3" t="s">
        <v>82</v>
      </c>
      <c r="T3" t="s">
        <v>82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82</v>
      </c>
      <c r="AA3" t="s">
        <v>82</v>
      </c>
      <c r="AB3" t="s">
        <v>82</v>
      </c>
      <c r="AC3" t="s">
        <v>82</v>
      </c>
    </row>
    <row r="4" spans="1:53" x14ac:dyDescent="0.25">
      <c r="D4" t="s">
        <v>80</v>
      </c>
    </row>
    <row r="6" spans="1:53" s="4" customFormat="1" x14ac:dyDescent="0.2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20</v>
      </c>
      <c r="V6" s="3" t="s">
        <v>21</v>
      </c>
      <c r="W6" s="3" t="s">
        <v>22</v>
      </c>
      <c r="X6" s="3" t="s">
        <v>23</v>
      </c>
      <c r="Y6" s="3" t="s">
        <v>24</v>
      </c>
      <c r="Z6" s="3" t="s">
        <v>25</v>
      </c>
      <c r="AA6" s="3" t="s">
        <v>26</v>
      </c>
      <c r="AB6" s="3" t="s">
        <v>27</v>
      </c>
      <c r="AC6" s="3" t="s">
        <v>28</v>
      </c>
      <c r="AD6" s="3" t="s">
        <v>29</v>
      </c>
      <c r="AE6" s="3" t="s">
        <v>30</v>
      </c>
      <c r="AF6" s="3" t="s">
        <v>31</v>
      </c>
      <c r="AG6" s="3" t="s">
        <v>32</v>
      </c>
      <c r="AH6" s="3" t="s">
        <v>33</v>
      </c>
      <c r="AI6" s="3" t="s">
        <v>34</v>
      </c>
      <c r="AJ6" s="3" t="s">
        <v>35</v>
      </c>
      <c r="AK6" s="3" t="s">
        <v>36</v>
      </c>
      <c r="AL6" s="3" t="s">
        <v>37</v>
      </c>
      <c r="AM6" s="3" t="s">
        <v>38</v>
      </c>
      <c r="AN6" s="3" t="s">
        <v>39</v>
      </c>
      <c r="AO6" s="3" t="s">
        <v>40</v>
      </c>
      <c r="AP6" s="3" t="s">
        <v>41</v>
      </c>
      <c r="AQ6" s="3" t="s">
        <v>42</v>
      </c>
      <c r="AR6" s="3" t="s">
        <v>43</v>
      </c>
      <c r="AS6" s="3" t="s">
        <v>44</v>
      </c>
      <c r="AT6" s="3" t="s">
        <v>45</v>
      </c>
      <c r="AU6" s="3" t="s">
        <v>46</v>
      </c>
      <c r="AV6" s="3" t="s">
        <v>47</v>
      </c>
      <c r="AW6" s="3" t="s">
        <v>48</v>
      </c>
      <c r="AX6" s="3" t="s">
        <v>49</v>
      </c>
      <c r="AY6" s="3" t="s">
        <v>50</v>
      </c>
      <c r="AZ6" s="3" t="s">
        <v>51</v>
      </c>
      <c r="BA6" s="3" t="s">
        <v>52</v>
      </c>
    </row>
    <row r="7" spans="1:53" x14ac:dyDescent="0.25">
      <c r="A7" s="2" t="s">
        <v>58</v>
      </c>
      <c r="B7" s="2" t="s">
        <v>59</v>
      </c>
      <c r="C7" s="2" t="s">
        <v>60</v>
      </c>
      <c r="D7" s="2" t="s">
        <v>61</v>
      </c>
      <c r="E7" s="2" t="s">
        <v>56</v>
      </c>
      <c r="F7" s="2" t="s">
        <v>53</v>
      </c>
      <c r="G7" s="2" t="s">
        <v>62</v>
      </c>
      <c r="H7" s="2" t="s">
        <v>63</v>
      </c>
      <c r="I7" s="2" t="s">
        <v>64</v>
      </c>
      <c r="J7" s="2">
        <v>48</v>
      </c>
      <c r="K7" s="2">
        <v>382024</v>
      </c>
      <c r="L7" s="2">
        <v>1</v>
      </c>
      <c r="M7" s="2" t="s">
        <v>63</v>
      </c>
      <c r="N7" s="2" t="s">
        <v>65</v>
      </c>
      <c r="O7" s="2">
        <v>209.76</v>
      </c>
      <c r="P7" s="2" t="s">
        <v>66</v>
      </c>
      <c r="Q7" s="2" t="s">
        <v>67</v>
      </c>
      <c r="R7" s="2" t="s">
        <v>68</v>
      </c>
      <c r="S7" s="2">
        <v>9</v>
      </c>
      <c r="T7" s="2">
        <v>48</v>
      </c>
      <c r="U7" s="2">
        <v>1</v>
      </c>
      <c r="V7" s="2">
        <v>209.76</v>
      </c>
      <c r="W7" s="2" t="s">
        <v>69</v>
      </c>
      <c r="X7" s="2" t="s">
        <v>54</v>
      </c>
      <c r="Y7" s="2" t="s">
        <v>70</v>
      </c>
      <c r="Z7" s="2" t="s">
        <v>55</v>
      </c>
      <c r="AA7" s="2" t="s">
        <v>71</v>
      </c>
      <c r="AB7" s="2" t="s">
        <v>72</v>
      </c>
      <c r="AC7" s="2">
        <v>100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x14ac:dyDescent="0.25">
      <c r="N8" t="s">
        <v>57</v>
      </c>
      <c r="O8" s="1">
        <f>SUM(O7:O7)</f>
        <v>209.76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Caballero Alejandro, Evelin</dc:creator>
  <cp:lastModifiedBy>Juan Cordero</cp:lastModifiedBy>
  <dcterms:created xsi:type="dcterms:W3CDTF">2019-04-22T20:11:13Z</dcterms:created>
  <dcterms:modified xsi:type="dcterms:W3CDTF">2024-10-16T22:30:17Z</dcterms:modified>
</cp:coreProperties>
</file>