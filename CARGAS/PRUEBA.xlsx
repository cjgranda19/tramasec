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Sebastian\Downloads\"/>
    </mc:Choice>
  </mc:AlternateContent>
  <xr:revisionPtr revIDLastSave="0" documentId="13_ncr:1_{9D43579F-DAFA-4B7A-BD85-22417CEAEDA7}" xr6:coauthVersionLast="47" xr6:coauthVersionMax="47" xr10:uidLastSave="{00000000-0000-0000-0000-000000000000}"/>
  <bookViews>
    <workbookView xWindow="-108" yWindow="-108" windowWidth="23256" windowHeight="12456" xr2:uid="{38342953-26CC-44E7-89DA-8E6A605DC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tc={66ECF67F-3091-4986-B9E1-3DA34C14232E}</author>
    <author>tc={2735F0F2-F7EE-440F-9241-DBBAF30BF569}</author>
    <author>tc={EDEEC8F4-D415-4E0B-8363-E248D1843DF4}</author>
    <author>tc={B6A58F0E-ACB0-4368-8F8D-613E9752BD01}</author>
    <author>tc={D3663ED4-B623-4C0F-920D-612BC8223C05}</author>
    <author>tc={C27D6343-1EFC-4BF9-A03C-01D06034AFEF}</author>
    <author>tc={26602F39-F44F-4C41-95B1-EF496C808CA1}</author>
  </authors>
  <commentList>
    <comment ref="M1" authorId="0" shapeId="0" xr:uid="{66ECF67F-3091-4986-B9E1-3DA34C1423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INCLUIR CEROS SI EXISTEN AL INICIO DEL REGISTRO FORMATO TEXTO
NO PUEDE SER PERSONA JURIDICA</t>
      </text>
    </comment>
    <comment ref="O1" authorId="1" shapeId="0" xr:uid="{2735F0F2-F7EE-440F-9241-DBBAF30BF5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DD/MM/AA</t>
      </text>
    </comment>
    <comment ref="T1" authorId="2" shapeId="0" xr:uid="{EDEEC8F4-D415-4E0B-8363-E248D1843D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DD/MM/AA
</t>
      </text>
    </comment>
    <comment ref="U1" authorId="3" shapeId="0" xr:uid="{B6A58F0E-ACB0-4368-8F8D-613E9752BD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DD/MM/AA
</t>
      </text>
    </comment>
    <comment ref="V1" authorId="4" shapeId="0" xr:uid="{D3663ED4-B623-4C0F-920D-612BC8223C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DEPENDE DEL NEGOCIO MENSUAL O ANUAL</t>
      </text>
    </comment>
    <comment ref="X1" authorId="5" shapeId="0" xr:uid="{C27D6343-1EFC-4BF9-A03C-01D06034AF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DEPENDE DE LA NEGOCIACION
</t>
      </text>
    </comment>
    <comment ref="Y1" authorId="6" shapeId="0" xr:uid="{26602F39-F44F-4C41-95B1-EF496C808C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DEPENDE DEL NEGOCIO</t>
      </text>
    </comment>
  </commentList>
</comments>
</file>

<file path=xl/sharedStrings.xml><?xml version="1.0" encoding="utf-8"?>
<sst xmlns="http://schemas.openxmlformats.org/spreadsheetml/2006/main" count="309" uniqueCount="100">
  <si>
    <t>NUMERO DE CRÉDITO / OPERACIÓN / CERTIFICADO</t>
  </si>
  <si>
    <t>RUC CANAL / COOPERATIVA</t>
  </si>
  <si>
    <t>NOMBRE CANAL / COOPERATIVA</t>
  </si>
  <si>
    <t>DIRECCIÓN CANAL / COOPERATIVA</t>
  </si>
  <si>
    <t>TELÉFONO CANAL / COOPERATIVA</t>
  </si>
  <si>
    <t>CORREO CANAL / COOPERATIVA</t>
  </si>
  <si>
    <t>N° Póliza</t>
  </si>
  <si>
    <t>Primer Apellido</t>
  </si>
  <si>
    <t>Segundo Apellido</t>
  </si>
  <si>
    <t>Primer Nombre</t>
  </si>
  <si>
    <t>Segundo Nombre</t>
  </si>
  <si>
    <t>Número de Documento</t>
  </si>
  <si>
    <t>Nacionalidad</t>
  </si>
  <si>
    <t>Fecha Nacimiento</t>
  </si>
  <si>
    <t>Dirección</t>
  </si>
  <si>
    <t>Número de Teléfono</t>
  </si>
  <si>
    <t>Email</t>
  </si>
  <si>
    <t>Fecha de inicio / Conceción crédito</t>
  </si>
  <si>
    <t>Fecha fin crédito</t>
  </si>
  <si>
    <t>Saldo Insoluto / Monto Original / Valor asegurado</t>
  </si>
  <si>
    <t>Plan</t>
  </si>
  <si>
    <t>Tasa</t>
  </si>
  <si>
    <t>Prima Neta</t>
  </si>
  <si>
    <t>Prima Total</t>
  </si>
  <si>
    <t>1725094070001</t>
  </si>
  <si>
    <t>SEGUROS ATLANTIDA SA</t>
  </si>
  <si>
    <t>EKOPARK</t>
  </si>
  <si>
    <t>jcalala@segurosatlantida.ec</t>
  </si>
  <si>
    <t>ABAD</t>
  </si>
  <si>
    <t>CALLE</t>
  </si>
  <si>
    <t>MELINA</t>
  </si>
  <si>
    <t>ANTHONELLA</t>
  </si>
  <si>
    <t>0107210346</t>
  </si>
  <si>
    <t>Ecuatoriana</t>
  </si>
  <si>
    <t>26/12/1996</t>
  </si>
  <si>
    <t>F</t>
  </si>
  <si>
    <t>QUITO</t>
  </si>
  <si>
    <t>TC</t>
  </si>
  <si>
    <t>MEJIA</t>
  </si>
  <si>
    <t>MARIA</t>
  </si>
  <si>
    <t>EUGENIA</t>
  </si>
  <si>
    <t>16/04/1982</t>
  </si>
  <si>
    <t>ABARCA</t>
  </si>
  <si>
    <t>REYES</t>
  </si>
  <si>
    <t>JUAN</t>
  </si>
  <si>
    <t>FRANCISCO</t>
  </si>
  <si>
    <t>26/09/1996</t>
  </si>
  <si>
    <t>M</t>
  </si>
  <si>
    <t>Tipo de Documento</t>
  </si>
  <si>
    <t>CATEGORIA</t>
  </si>
  <si>
    <t>Fecha inicio vigencia facturación</t>
  </si>
  <si>
    <t>Fecha fin vigencia facturación</t>
  </si>
  <si>
    <t>Sexo</t>
  </si>
  <si>
    <t>ACEVEDO</t>
  </si>
  <si>
    <t>CAMPOVERDE</t>
  </si>
  <si>
    <t>EDDY</t>
  </si>
  <si>
    <t>ALFREDO</t>
  </si>
  <si>
    <t>18/05/1991</t>
  </si>
  <si>
    <t>AGUILAR</t>
  </si>
  <si>
    <t>BONILLA</t>
  </si>
  <si>
    <t>CARLOS</t>
  </si>
  <si>
    <t>JACINTO</t>
  </si>
  <si>
    <t>17/07/1997</t>
  </si>
  <si>
    <t>QUESADA</t>
  </si>
  <si>
    <t>JHONNY</t>
  </si>
  <si>
    <t>XAVIER</t>
  </si>
  <si>
    <t>08/07/1998</t>
  </si>
  <si>
    <t>YOLANDA</t>
  </si>
  <si>
    <t>08/04/1963</t>
  </si>
  <si>
    <t>HERNAN</t>
  </si>
  <si>
    <t>GABRIEL</t>
  </si>
  <si>
    <t>09/01/1997</t>
  </si>
  <si>
    <t>SISALIMA</t>
  </si>
  <si>
    <t>DAVID</t>
  </si>
  <si>
    <t>05/08/1991</t>
  </si>
  <si>
    <t>ENCARNACION</t>
  </si>
  <si>
    <t>29/05/1968</t>
  </si>
  <si>
    <t>LEON</t>
  </si>
  <si>
    <t>CANDIDA</t>
  </si>
  <si>
    <t>23/11/1972</t>
  </si>
  <si>
    <t>LARRIVA</t>
  </si>
  <si>
    <t>BLANCA</t>
  </si>
  <si>
    <t>JANETH</t>
  </si>
  <si>
    <t>24/08/1968</t>
  </si>
  <si>
    <t>AGUIRRE</t>
  </si>
  <si>
    <t>CANDO</t>
  </si>
  <si>
    <t>LUIS</t>
  </si>
  <si>
    <t>ANDRES</t>
  </si>
  <si>
    <t>06/05/1984</t>
  </si>
  <si>
    <t>ORDOÑEZ</t>
  </si>
  <si>
    <t>ANGELICA</t>
  </si>
  <si>
    <t>DAYANNA</t>
  </si>
  <si>
    <t>15/04/1992</t>
  </si>
  <si>
    <t>MOROCHO</t>
  </si>
  <si>
    <t>JOSE</t>
  </si>
  <si>
    <t>06/11/1994</t>
  </si>
  <si>
    <t>VERA</t>
  </si>
  <si>
    <t>ISMAEL</t>
  </si>
  <si>
    <t>ALEJANDRO</t>
  </si>
  <si>
    <t>21/12/2002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</si>
</sst>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00"/>
    <numFmt numFmtId="165" formatCode="dd/mm/yy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44" fontId="2" fillId="2" borderId="0" xfId="1" applyFont="1" applyFill="1" applyAlignment="1">
      <alignment horizontal="center" vertical="center" wrapText="1"/>
    </xf>
    <xf numFmtId="1" fontId="0" fillId="0" borderId="0" xfId="0" quotePrefix="1" applyNumberFormat="1"/>
    <xf numFmtId="0" fontId="3" fillId="0" borderId="0" xfId="2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2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GUINAGA, DENNIS (Ecuador)" id="{13D527E6-E3FB-4562-8DE8-4F7AA4C65ED7}" userId="S::daguinaga@segurosatlantida.ec::ce56a449-7911-476e-af21-13439262be3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6-08-12T15:31:26.47" personId="{13D527E6-E3FB-4562-8DE8-4F7AA4C65ED7}" id="{66ECF67F-3091-4986-B9E1-3DA34C14232E}">
    <text>INCLUIR CEROS SI EXISTEN AL INICIO DEL REGISTRO FORMATO TEXTO
NO PUEDE SER PERSONA JURIDICA</text>
  </threadedComment>
  <threadedComment ref="O1" dT="2026-08-12T15:39:04.19" personId="{13D527E6-E3FB-4562-8DE8-4F7AA4C65ED7}" id="{2735F0F2-F7EE-440F-9241-DBBAF30BF569}">
    <text>FORMATO DD/MM/AA</text>
  </threadedComment>
  <threadedComment ref="T1" dT="2026-08-12T15:40:06.05" personId="{13D527E6-E3FB-4562-8DE8-4F7AA4C65ED7}" id="{EDEEC8F4-D415-4E0B-8363-E248D1843DF4}">
    <text xml:space="preserve">FORMATO DD/MM/AA
</text>
  </threadedComment>
  <threadedComment ref="U1" dT="2026-08-12T15:40:06.05" personId="{13D527E6-E3FB-4562-8DE8-4F7AA4C65ED7}" id="{B6A58F0E-ACB0-4368-8F8D-613E9752BD01}">
    <text xml:space="preserve">FORMATO DD/MM/AA
</text>
  </threadedComment>
  <threadedComment ref="V1" dT="2026-08-12T15:42:11.10" personId="{13D527E6-E3FB-4562-8DE8-4F7AA4C65ED7}" id="{D3663ED4-B623-4C0F-920D-612BC8223C05}">
    <text>DEPENDE DEL NEGOCIO MENSUAL O ANUAL</text>
  </threadedComment>
  <threadedComment ref="X1" dT="2026-08-12T15:44:00.20" personId="{13D527E6-E3FB-4562-8DE8-4F7AA4C65ED7}" id="{C27D6343-1EFC-4BF9-A03C-01D06034AFEF}">
    <text xml:space="preserve">DEPENDE DE LA NEGOCIACION
</text>
  </threadedComment>
  <threadedComment ref="Y1" dT="2026-08-12T15:56:06.39" personId="{13D527E6-E3FB-4562-8DE8-4F7AA4C65ED7}" id="{26602F39-F44F-4C41-95B1-EF496C808CA1}">
    <text>DEPENDE DEL NEGOCIO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547E-E4CE-4BDB-8D0F-7181F0E51663}">
  <dimension ref="A1:AC21"/>
  <sheetViews>
    <sheetView tabSelected="1" topLeftCell="N1" workbookViewId="0">
      <selection activeCell="AD19" sqref="AD19"/>
    </sheetView>
  </sheetViews>
  <sheetFormatPr baseColWidth="10" defaultRowHeight="14.4" x14ac:dyDescent="0.3"/>
  <cols>
    <col min="2" max="2" width="14" bestFit="1" customWidth="1"/>
    <col min="6" max="6" width="24.109375" bestFit="1" customWidth="1"/>
    <col min="16" max="16" width="11.5546875" style="6"/>
    <col min="20" max="21" width="11.5546875" style="16"/>
    <col min="24" max="24" width="12.77734375" style="18" bestFit="1" customWidth="1"/>
    <col min="28" max="29" width="11.5546875" style="18"/>
  </cols>
  <sheetData>
    <row r="1" spans="1:29" ht="8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48</v>
      </c>
      <c r="M1" s="1" t="s">
        <v>11</v>
      </c>
      <c r="N1" s="1" t="s">
        <v>12</v>
      </c>
      <c r="O1" s="2" t="s">
        <v>13</v>
      </c>
      <c r="P1" s="2" t="s">
        <v>52</v>
      </c>
      <c r="Q1" s="1" t="s">
        <v>14</v>
      </c>
      <c r="R1" s="1" t="s">
        <v>15</v>
      </c>
      <c r="S1" s="1" t="s">
        <v>16</v>
      </c>
      <c r="T1" s="14" t="s">
        <v>17</v>
      </c>
      <c r="U1" s="14" t="s">
        <v>18</v>
      </c>
      <c r="V1" s="1" t="s">
        <v>50</v>
      </c>
      <c r="W1" s="1" t="s">
        <v>51</v>
      </c>
      <c r="X1" s="3" t="s">
        <v>19</v>
      </c>
      <c r="Y1" s="1" t="s">
        <v>20</v>
      </c>
      <c r="Z1" s="1" t="s">
        <v>49</v>
      </c>
      <c r="AA1" s="1" t="s">
        <v>21</v>
      </c>
      <c r="AB1" s="19" t="s">
        <v>22</v>
      </c>
      <c r="AC1" s="19" t="s">
        <v>23</v>
      </c>
    </row>
    <row r="2" spans="1:29" x14ac:dyDescent="0.3">
      <c r="A2">
        <v>139020</v>
      </c>
      <c r="B2" s="4" t="s">
        <v>24</v>
      </c>
      <c r="C2" t="s">
        <v>25</v>
      </c>
      <c r="D2" t="s">
        <v>26</v>
      </c>
      <c r="E2">
        <v>999068087</v>
      </c>
      <c r="F2" s="5" t="s">
        <v>27</v>
      </c>
      <c r="G2" s="6">
        <v>98</v>
      </c>
      <c r="H2" s="6" t="s">
        <v>28</v>
      </c>
      <c r="I2" s="6" t="s">
        <v>29</v>
      </c>
      <c r="J2" s="7" t="s">
        <v>30</v>
      </c>
      <c r="K2" s="6" t="s">
        <v>31</v>
      </c>
      <c r="L2" s="6">
        <v>1</v>
      </c>
      <c r="M2" s="8" t="s">
        <v>32</v>
      </c>
      <c r="N2" s="6" t="s">
        <v>33</v>
      </c>
      <c r="O2" s="9" t="s">
        <v>34</v>
      </c>
      <c r="P2" s="9" t="s">
        <v>35</v>
      </c>
      <c r="Q2" s="10" t="s">
        <v>36</v>
      </c>
      <c r="R2" s="10"/>
      <c r="S2" s="11"/>
      <c r="T2" s="15">
        <v>45311</v>
      </c>
      <c r="U2" s="15">
        <v>46406</v>
      </c>
      <c r="V2" s="9"/>
      <c r="W2" s="9"/>
      <c r="X2" s="17">
        <v>3000</v>
      </c>
      <c r="Y2" s="10"/>
      <c r="Z2" s="10" t="s">
        <v>37</v>
      </c>
      <c r="AA2" s="12">
        <f>+(0.56/1000)</f>
        <v>5.6000000000000006E-4</v>
      </c>
      <c r="AB2" s="18">
        <f>AA2*X2</f>
        <v>1.6800000000000002</v>
      </c>
      <c r="AC2" s="18">
        <f>(AB2+(AB2*3.5%)+(AB2*0.5%)+0.5)*(1+0%)</f>
        <v>2.2472000000000003</v>
      </c>
    </row>
    <row r="3" spans="1:29" x14ac:dyDescent="0.3">
      <c r="A3">
        <v>143378</v>
      </c>
      <c r="B3" s="4" t="s">
        <v>24</v>
      </c>
      <c r="C3" t="s">
        <v>25</v>
      </c>
      <c r="D3" t="s">
        <v>26</v>
      </c>
      <c r="E3">
        <v>999068087</v>
      </c>
      <c r="F3" s="5" t="s">
        <v>27</v>
      </c>
      <c r="G3" s="6">
        <v>98</v>
      </c>
      <c r="H3" s="6" t="s">
        <v>28</v>
      </c>
      <c r="I3" s="6" t="s">
        <v>38</v>
      </c>
      <c r="J3" s="7" t="s">
        <v>39</v>
      </c>
      <c r="K3" s="6" t="s">
        <v>40</v>
      </c>
      <c r="L3" s="6">
        <v>1</v>
      </c>
      <c r="M3" s="8" t="s">
        <v>32</v>
      </c>
      <c r="N3" s="6" t="s">
        <v>33</v>
      </c>
      <c r="O3" s="9" t="s">
        <v>41</v>
      </c>
      <c r="P3" s="9" t="s">
        <v>35</v>
      </c>
      <c r="Q3" s="10" t="s">
        <v>36</v>
      </c>
      <c r="T3" s="16">
        <v>45586</v>
      </c>
      <c r="U3" s="16">
        <v>47046</v>
      </c>
      <c r="X3" s="17">
        <v>4000</v>
      </c>
      <c r="Z3" s="10" t="s">
        <v>37</v>
      </c>
      <c r="AA3" s="13">
        <f>+(0.6/1000)</f>
        <v>5.9999999999999995E-4</v>
      </c>
      <c r="AB3" s="18">
        <f t="shared" ref="AB3:AB21" si="0">AA3*X3</f>
        <v>2.4</v>
      </c>
      <c r="AC3" s="18">
        <f t="shared" ref="AC3:AC21" si="1">(AB3+(AB3*3.5%)+(AB3*0.5%)+0.5)*(1+0%)</f>
        <v>2.996</v>
      </c>
    </row>
    <row r="4" spans="1:29" x14ac:dyDescent="0.3">
      <c r="A4">
        <v>131576</v>
      </c>
      <c r="B4" s="4" t="s">
        <v>24</v>
      </c>
      <c r="C4" t="s">
        <v>25</v>
      </c>
      <c r="D4" t="s">
        <v>26</v>
      </c>
      <c r="E4">
        <v>999068087</v>
      </c>
      <c r="F4" s="5" t="s">
        <v>27</v>
      </c>
      <c r="G4" s="6">
        <v>98</v>
      </c>
      <c r="H4" s="6" t="s">
        <v>42</v>
      </c>
      <c r="I4" s="6" t="s">
        <v>43</v>
      </c>
      <c r="J4" s="7" t="s">
        <v>44</v>
      </c>
      <c r="K4" s="6" t="s">
        <v>45</v>
      </c>
      <c r="L4" s="6">
        <v>1</v>
      </c>
      <c r="M4" s="8" t="s">
        <v>32</v>
      </c>
      <c r="N4" s="6" t="s">
        <v>33</v>
      </c>
      <c r="O4" s="9" t="s">
        <v>46</v>
      </c>
      <c r="P4" s="9" t="s">
        <v>47</v>
      </c>
      <c r="Q4" s="10" t="s">
        <v>36</v>
      </c>
      <c r="T4" s="16">
        <v>44896</v>
      </c>
      <c r="U4" s="16">
        <v>45999</v>
      </c>
      <c r="X4" s="17">
        <v>5000</v>
      </c>
      <c r="Z4" s="10" t="s">
        <v>37</v>
      </c>
      <c r="AA4" s="12">
        <f>+(0.56/1000)</f>
        <v>5.6000000000000006E-4</v>
      </c>
      <c r="AB4" s="18">
        <f t="shared" si="0"/>
        <v>2.8000000000000003</v>
      </c>
      <c r="AC4" s="18">
        <f t="shared" si="1"/>
        <v>3.4119999999999999</v>
      </c>
    </row>
    <row r="5" spans="1:29" x14ac:dyDescent="0.3">
      <c r="A5">
        <v>143470</v>
      </c>
      <c r="B5" s="4" t="s">
        <v>24</v>
      </c>
      <c r="C5" t="s">
        <v>25</v>
      </c>
      <c r="D5" t="s">
        <v>26</v>
      </c>
      <c r="E5">
        <v>999068087</v>
      </c>
      <c r="F5" s="5" t="s">
        <v>27</v>
      </c>
      <c r="G5" s="6">
        <v>98</v>
      </c>
      <c r="H5" s="6" t="s">
        <v>42</v>
      </c>
      <c r="I5" s="6" t="s">
        <v>43</v>
      </c>
      <c r="J5" s="7" t="s">
        <v>44</v>
      </c>
      <c r="K5" s="6" t="s">
        <v>45</v>
      </c>
      <c r="L5" s="6">
        <v>1</v>
      </c>
      <c r="M5" s="8" t="s">
        <v>32</v>
      </c>
      <c r="N5" s="6" t="s">
        <v>33</v>
      </c>
      <c r="O5" s="9" t="s">
        <v>46</v>
      </c>
      <c r="P5" s="9" t="s">
        <v>47</v>
      </c>
      <c r="Q5" s="10" t="s">
        <v>36</v>
      </c>
      <c r="T5" s="16">
        <v>45595</v>
      </c>
      <c r="U5" s="16">
        <v>47147</v>
      </c>
      <c r="X5" s="17">
        <v>3050</v>
      </c>
      <c r="Z5" s="10" t="s">
        <v>37</v>
      </c>
      <c r="AA5" s="13">
        <f t="shared" ref="AA5:AA6" si="2">+(0.6/1000)</f>
        <v>5.9999999999999995E-4</v>
      </c>
      <c r="AB5" s="18">
        <f t="shared" si="0"/>
        <v>1.8299999999999998</v>
      </c>
      <c r="AC5" s="18">
        <f t="shared" si="1"/>
        <v>2.4032</v>
      </c>
    </row>
    <row r="6" spans="1:29" x14ac:dyDescent="0.3">
      <c r="A6">
        <v>148712</v>
      </c>
      <c r="B6" s="4" t="s">
        <v>24</v>
      </c>
      <c r="C6" t="s">
        <v>25</v>
      </c>
      <c r="D6" t="s">
        <v>26</v>
      </c>
      <c r="E6">
        <v>999068087</v>
      </c>
      <c r="F6" s="5" t="s">
        <v>27</v>
      </c>
      <c r="G6" s="6">
        <v>98</v>
      </c>
      <c r="H6" s="6" t="s">
        <v>53</v>
      </c>
      <c r="I6" s="6" t="s">
        <v>54</v>
      </c>
      <c r="J6" s="7" t="s">
        <v>55</v>
      </c>
      <c r="K6" s="6" t="s">
        <v>56</v>
      </c>
      <c r="L6" s="6">
        <v>1</v>
      </c>
      <c r="M6" s="8" t="s">
        <v>32</v>
      </c>
      <c r="N6" s="6" t="s">
        <v>33</v>
      </c>
      <c r="O6" s="9" t="s">
        <v>57</v>
      </c>
      <c r="P6" s="9" t="s">
        <v>47</v>
      </c>
      <c r="Q6" s="10" t="s">
        <v>36</v>
      </c>
      <c r="T6" s="16">
        <v>45974</v>
      </c>
      <c r="U6" s="16">
        <v>47435</v>
      </c>
      <c r="X6" s="17">
        <v>5000</v>
      </c>
      <c r="Z6" s="10" t="s">
        <v>37</v>
      </c>
      <c r="AA6" s="13">
        <f t="shared" si="2"/>
        <v>5.9999999999999995E-4</v>
      </c>
      <c r="AB6" s="18">
        <f t="shared" si="0"/>
        <v>2.9999999999999996</v>
      </c>
      <c r="AC6" s="18">
        <f t="shared" si="1"/>
        <v>3.6199999999999997</v>
      </c>
    </row>
    <row r="7" spans="1:29" x14ac:dyDescent="0.3">
      <c r="A7">
        <v>136089</v>
      </c>
      <c r="B7" s="4" t="s">
        <v>24</v>
      </c>
      <c r="C7" t="s">
        <v>25</v>
      </c>
      <c r="D7" t="s">
        <v>26</v>
      </c>
      <c r="E7">
        <v>999068087</v>
      </c>
      <c r="F7" s="5" t="s">
        <v>27</v>
      </c>
      <c r="G7" s="6">
        <v>98</v>
      </c>
      <c r="H7" s="6" t="s">
        <v>58</v>
      </c>
      <c r="I7" s="6" t="s">
        <v>59</v>
      </c>
      <c r="J7" s="7" t="s">
        <v>60</v>
      </c>
      <c r="K7" s="6" t="s">
        <v>61</v>
      </c>
      <c r="L7" s="6">
        <v>1</v>
      </c>
      <c r="M7" s="8" t="s">
        <v>32</v>
      </c>
      <c r="N7" s="6" t="s">
        <v>33</v>
      </c>
      <c r="O7" s="9" t="s">
        <v>62</v>
      </c>
      <c r="P7" s="9" t="s">
        <v>47</v>
      </c>
      <c r="Q7" s="10" t="s">
        <v>36</v>
      </c>
      <c r="T7" s="16">
        <v>45158</v>
      </c>
      <c r="U7" s="16">
        <v>47714</v>
      </c>
      <c r="X7" s="17">
        <v>16500</v>
      </c>
      <c r="Z7" s="10" t="s">
        <v>37</v>
      </c>
      <c r="AA7" s="12">
        <f t="shared" ref="AA7:AA8" si="3">+(0.56/1000)</f>
        <v>5.6000000000000006E-4</v>
      </c>
      <c r="AB7" s="18">
        <f t="shared" si="0"/>
        <v>9.24</v>
      </c>
      <c r="AC7" s="18">
        <f t="shared" si="1"/>
        <v>10.1096</v>
      </c>
    </row>
    <row r="8" spans="1:29" x14ac:dyDescent="0.3">
      <c r="A8">
        <v>137931</v>
      </c>
      <c r="B8" s="4" t="s">
        <v>24</v>
      </c>
      <c r="C8" t="s">
        <v>25</v>
      </c>
      <c r="D8" t="s">
        <v>26</v>
      </c>
      <c r="E8">
        <v>999068087</v>
      </c>
      <c r="F8" s="5" t="s">
        <v>27</v>
      </c>
      <c r="G8" s="6">
        <v>98</v>
      </c>
      <c r="H8" s="6" t="s">
        <v>58</v>
      </c>
      <c r="I8" s="6" t="s">
        <v>63</v>
      </c>
      <c r="J8" s="7" t="s">
        <v>64</v>
      </c>
      <c r="K8" s="6" t="s">
        <v>65</v>
      </c>
      <c r="L8" s="6">
        <v>1</v>
      </c>
      <c r="M8" s="8" t="s">
        <v>32</v>
      </c>
      <c r="N8" s="6" t="s">
        <v>33</v>
      </c>
      <c r="O8" s="9" t="s">
        <v>66</v>
      </c>
      <c r="P8" s="9" t="s">
        <v>47</v>
      </c>
      <c r="Q8" s="10" t="s">
        <v>36</v>
      </c>
      <c r="T8" s="16">
        <v>45257</v>
      </c>
      <c r="U8" s="16">
        <v>46357</v>
      </c>
      <c r="X8" s="17">
        <v>8000</v>
      </c>
      <c r="Z8" s="10" t="s">
        <v>37</v>
      </c>
      <c r="AA8" s="12">
        <f t="shared" si="3"/>
        <v>5.6000000000000006E-4</v>
      </c>
      <c r="AB8" s="18">
        <f t="shared" si="0"/>
        <v>4.4800000000000004</v>
      </c>
      <c r="AC8" s="18">
        <f t="shared" si="1"/>
        <v>5.1592000000000002</v>
      </c>
    </row>
    <row r="9" spans="1:29" x14ac:dyDescent="0.3">
      <c r="A9">
        <v>144526</v>
      </c>
      <c r="B9" s="4" t="s">
        <v>24</v>
      </c>
      <c r="C9" t="s">
        <v>25</v>
      </c>
      <c r="D9" t="s">
        <v>26</v>
      </c>
      <c r="E9">
        <v>999068087</v>
      </c>
      <c r="F9" s="5" t="s">
        <v>27</v>
      </c>
      <c r="G9" s="6">
        <v>98</v>
      </c>
      <c r="H9" s="6" t="s">
        <v>58</v>
      </c>
      <c r="I9" s="6" t="s">
        <v>59</v>
      </c>
      <c r="J9" s="7" t="s">
        <v>39</v>
      </c>
      <c r="K9" s="6" t="s">
        <v>67</v>
      </c>
      <c r="L9" s="6">
        <v>1</v>
      </c>
      <c r="M9" s="8" t="s">
        <v>32</v>
      </c>
      <c r="N9" s="6" t="s">
        <v>33</v>
      </c>
      <c r="O9" s="9" t="s">
        <v>68</v>
      </c>
      <c r="P9" s="9" t="s">
        <v>35</v>
      </c>
      <c r="Q9" s="10" t="s">
        <v>36</v>
      </c>
      <c r="T9" s="16">
        <v>45670</v>
      </c>
      <c r="U9" s="16">
        <v>47495</v>
      </c>
      <c r="X9" s="17">
        <v>2000</v>
      </c>
      <c r="Z9" s="10" t="s">
        <v>37</v>
      </c>
      <c r="AA9" s="13">
        <f t="shared" ref="AA9:AA16" si="4">+(0.6/1000)</f>
        <v>5.9999999999999995E-4</v>
      </c>
      <c r="AB9" s="18">
        <f t="shared" si="0"/>
        <v>1.2</v>
      </c>
      <c r="AC9" s="18">
        <f t="shared" si="1"/>
        <v>1.748</v>
      </c>
    </row>
    <row r="10" spans="1:29" x14ac:dyDescent="0.3">
      <c r="A10">
        <v>144622</v>
      </c>
      <c r="B10" s="4" t="s">
        <v>24</v>
      </c>
      <c r="C10" t="s">
        <v>25</v>
      </c>
      <c r="D10" t="s">
        <v>26</v>
      </c>
      <c r="E10">
        <v>999068087</v>
      </c>
      <c r="F10" s="5" t="s">
        <v>27</v>
      </c>
      <c r="G10" s="6">
        <v>98</v>
      </c>
      <c r="H10" s="6" t="s">
        <v>58</v>
      </c>
      <c r="I10" s="6" t="s">
        <v>43</v>
      </c>
      <c r="J10" s="7" t="s">
        <v>69</v>
      </c>
      <c r="K10" s="6" t="s">
        <v>70</v>
      </c>
      <c r="L10" s="6">
        <v>1</v>
      </c>
      <c r="M10" s="8" t="s">
        <v>32</v>
      </c>
      <c r="N10" s="6" t="s">
        <v>33</v>
      </c>
      <c r="O10" s="9" t="s">
        <v>71</v>
      </c>
      <c r="P10" s="9" t="s">
        <v>47</v>
      </c>
      <c r="Q10" s="10" t="s">
        <v>36</v>
      </c>
      <c r="T10" s="16">
        <v>45684</v>
      </c>
      <c r="U10" s="16">
        <v>47509</v>
      </c>
      <c r="X10" s="17">
        <v>9800</v>
      </c>
      <c r="Z10" s="10" t="s">
        <v>37</v>
      </c>
      <c r="AA10" s="13">
        <f t="shared" si="4"/>
        <v>5.9999999999999995E-4</v>
      </c>
      <c r="AB10" s="18">
        <f t="shared" si="0"/>
        <v>5.88</v>
      </c>
      <c r="AC10" s="18">
        <f t="shared" si="1"/>
        <v>6.6151999999999997</v>
      </c>
    </row>
    <row r="11" spans="1:29" x14ac:dyDescent="0.3">
      <c r="A11">
        <v>145223</v>
      </c>
      <c r="B11" s="4" t="s">
        <v>24</v>
      </c>
      <c r="C11" t="s">
        <v>25</v>
      </c>
      <c r="D11" t="s">
        <v>26</v>
      </c>
      <c r="E11">
        <v>999068087</v>
      </c>
      <c r="F11" s="5" t="s">
        <v>27</v>
      </c>
      <c r="G11" s="6">
        <v>98</v>
      </c>
      <c r="H11" s="6" t="s">
        <v>58</v>
      </c>
      <c r="I11" s="6" t="s">
        <v>72</v>
      </c>
      <c r="J11" s="7" t="s">
        <v>60</v>
      </c>
      <c r="K11" s="6" t="s">
        <v>73</v>
      </c>
      <c r="L11" s="6">
        <v>1</v>
      </c>
      <c r="M11" s="8" t="s">
        <v>32</v>
      </c>
      <c r="N11" s="6" t="s">
        <v>33</v>
      </c>
      <c r="O11" s="9" t="s">
        <v>74</v>
      </c>
      <c r="P11" s="9" t="s">
        <v>47</v>
      </c>
      <c r="Q11" s="10" t="s">
        <v>36</v>
      </c>
      <c r="T11" s="16">
        <v>45723</v>
      </c>
      <c r="U11" s="16">
        <v>46271</v>
      </c>
      <c r="X11" s="17">
        <v>1200</v>
      </c>
      <c r="Z11" s="10" t="s">
        <v>37</v>
      </c>
      <c r="AA11" s="13">
        <f t="shared" si="4"/>
        <v>5.9999999999999995E-4</v>
      </c>
      <c r="AB11" s="18">
        <f t="shared" si="0"/>
        <v>0.72</v>
      </c>
      <c r="AC11" s="18">
        <f t="shared" si="1"/>
        <v>1.2488000000000001</v>
      </c>
    </row>
    <row r="12" spans="1:29" x14ac:dyDescent="0.3">
      <c r="A12">
        <v>145505</v>
      </c>
      <c r="B12" s="4" t="s">
        <v>24</v>
      </c>
      <c r="C12" t="s">
        <v>25</v>
      </c>
      <c r="D12" t="s">
        <v>26</v>
      </c>
      <c r="E12">
        <v>999068087</v>
      </c>
      <c r="F12" s="5" t="s">
        <v>27</v>
      </c>
      <c r="G12" s="6">
        <v>98</v>
      </c>
      <c r="H12" s="6" t="s">
        <v>58</v>
      </c>
      <c r="I12" s="6" t="s">
        <v>59</v>
      </c>
      <c r="J12" s="7" t="s">
        <v>60</v>
      </c>
      <c r="K12" s="6" t="s">
        <v>61</v>
      </c>
      <c r="L12" s="6">
        <v>1</v>
      </c>
      <c r="M12" s="8" t="s">
        <v>32</v>
      </c>
      <c r="N12" s="6" t="s">
        <v>33</v>
      </c>
      <c r="O12" s="9" t="s">
        <v>62</v>
      </c>
      <c r="P12" s="9" t="s">
        <v>47</v>
      </c>
      <c r="Q12" s="10" t="s">
        <v>36</v>
      </c>
      <c r="T12" s="16">
        <v>45743</v>
      </c>
      <c r="U12" s="16">
        <v>46472</v>
      </c>
      <c r="X12" s="17">
        <v>1500</v>
      </c>
      <c r="Z12" s="10" t="s">
        <v>37</v>
      </c>
      <c r="AA12" s="13">
        <f t="shared" si="4"/>
        <v>5.9999999999999995E-4</v>
      </c>
      <c r="AB12" s="18">
        <f t="shared" si="0"/>
        <v>0.89999999999999991</v>
      </c>
      <c r="AC12" s="18">
        <f t="shared" si="1"/>
        <v>1.4359999999999999</v>
      </c>
    </row>
    <row r="13" spans="1:29" x14ac:dyDescent="0.3">
      <c r="A13">
        <v>146645</v>
      </c>
      <c r="B13" s="4" t="s">
        <v>24</v>
      </c>
      <c r="C13" t="s">
        <v>25</v>
      </c>
      <c r="D13" t="s">
        <v>26</v>
      </c>
      <c r="E13">
        <v>999068087</v>
      </c>
      <c r="F13" s="5" t="s">
        <v>27</v>
      </c>
      <c r="G13" s="6">
        <v>98</v>
      </c>
      <c r="H13" s="6" t="s">
        <v>58</v>
      </c>
      <c r="I13" s="6" t="s">
        <v>59</v>
      </c>
      <c r="J13" s="7" t="s">
        <v>39</v>
      </c>
      <c r="K13" s="6" t="s">
        <v>75</v>
      </c>
      <c r="L13" s="6">
        <v>1</v>
      </c>
      <c r="M13" s="8" t="s">
        <v>32</v>
      </c>
      <c r="N13" s="6" t="s">
        <v>33</v>
      </c>
      <c r="O13" s="9" t="s">
        <v>76</v>
      </c>
      <c r="P13" s="9" t="s">
        <v>35</v>
      </c>
      <c r="Q13" s="10" t="s">
        <v>36</v>
      </c>
      <c r="T13" s="16">
        <v>45832</v>
      </c>
      <c r="U13" s="16">
        <v>47658</v>
      </c>
      <c r="X13" s="17">
        <v>4950</v>
      </c>
      <c r="Z13" s="10" t="s">
        <v>37</v>
      </c>
      <c r="AA13" s="13">
        <f t="shared" si="4"/>
        <v>5.9999999999999995E-4</v>
      </c>
      <c r="AB13" s="18">
        <f t="shared" si="0"/>
        <v>2.9699999999999998</v>
      </c>
      <c r="AC13" s="18">
        <f t="shared" si="1"/>
        <v>3.5888</v>
      </c>
    </row>
    <row r="14" spans="1:29" x14ac:dyDescent="0.3">
      <c r="A14">
        <v>148416</v>
      </c>
      <c r="B14" s="4" t="s">
        <v>24</v>
      </c>
      <c r="C14" t="s">
        <v>25</v>
      </c>
      <c r="D14" t="s">
        <v>26</v>
      </c>
      <c r="E14">
        <v>999068087</v>
      </c>
      <c r="F14" s="5" t="s">
        <v>27</v>
      </c>
      <c r="G14" s="6">
        <v>98</v>
      </c>
      <c r="H14" s="6" t="s">
        <v>58</v>
      </c>
      <c r="I14" s="6" t="s">
        <v>59</v>
      </c>
      <c r="J14" s="7" t="s">
        <v>60</v>
      </c>
      <c r="K14" s="6" t="s">
        <v>61</v>
      </c>
      <c r="L14" s="6">
        <v>1</v>
      </c>
      <c r="M14" s="8" t="s">
        <v>32</v>
      </c>
      <c r="N14" s="6" t="s">
        <v>33</v>
      </c>
      <c r="O14" s="9" t="s">
        <v>62</v>
      </c>
      <c r="P14" s="9" t="s">
        <v>47</v>
      </c>
      <c r="Q14" s="10" t="s">
        <v>36</v>
      </c>
      <c r="T14" s="16">
        <v>45959</v>
      </c>
      <c r="U14" s="16">
        <v>46275</v>
      </c>
      <c r="X14" s="17">
        <v>400</v>
      </c>
      <c r="Z14" s="10" t="s">
        <v>37</v>
      </c>
      <c r="AA14" s="13">
        <f t="shared" si="4"/>
        <v>5.9999999999999995E-4</v>
      </c>
      <c r="AB14" s="18">
        <f t="shared" si="0"/>
        <v>0.24</v>
      </c>
      <c r="AC14" s="18">
        <f t="shared" si="1"/>
        <v>0.74960000000000004</v>
      </c>
    </row>
    <row r="15" spans="1:29" x14ac:dyDescent="0.3">
      <c r="A15">
        <v>149787</v>
      </c>
      <c r="B15" s="4" t="s">
        <v>24</v>
      </c>
      <c r="C15" t="s">
        <v>25</v>
      </c>
      <c r="D15" t="s">
        <v>26</v>
      </c>
      <c r="E15">
        <v>999068087</v>
      </c>
      <c r="F15" s="5" t="s">
        <v>27</v>
      </c>
      <c r="G15" s="6">
        <v>98</v>
      </c>
      <c r="H15" s="6" t="s">
        <v>58</v>
      </c>
      <c r="I15" s="6" t="s">
        <v>77</v>
      </c>
      <c r="J15" s="7" t="s">
        <v>78</v>
      </c>
      <c r="K15" s="6" t="s">
        <v>67</v>
      </c>
      <c r="L15" s="6">
        <v>1</v>
      </c>
      <c r="M15" s="8" t="s">
        <v>32</v>
      </c>
      <c r="N15" s="6" t="s">
        <v>33</v>
      </c>
      <c r="O15" s="9" t="s">
        <v>79</v>
      </c>
      <c r="P15" s="9" t="s">
        <v>35</v>
      </c>
      <c r="Q15" s="10" t="s">
        <v>36</v>
      </c>
      <c r="T15" s="16">
        <v>46052</v>
      </c>
      <c r="U15" s="16">
        <v>47880</v>
      </c>
      <c r="X15" s="17">
        <v>20000</v>
      </c>
      <c r="Z15" s="10" t="s">
        <v>37</v>
      </c>
      <c r="AA15" s="13">
        <f t="shared" si="4"/>
        <v>5.9999999999999995E-4</v>
      </c>
      <c r="AB15" s="18">
        <f t="shared" si="0"/>
        <v>11.999999999999998</v>
      </c>
      <c r="AC15" s="18">
        <f t="shared" si="1"/>
        <v>12.979999999999999</v>
      </c>
    </row>
    <row r="16" spans="1:29" x14ac:dyDescent="0.3">
      <c r="A16">
        <v>150666</v>
      </c>
      <c r="B16" s="4" t="s">
        <v>24</v>
      </c>
      <c r="C16" t="s">
        <v>25</v>
      </c>
      <c r="D16" t="s">
        <v>26</v>
      </c>
      <c r="E16">
        <v>999068087</v>
      </c>
      <c r="F16" s="5" t="s">
        <v>27</v>
      </c>
      <c r="G16" s="6">
        <v>98</v>
      </c>
      <c r="H16" s="6" t="s">
        <v>58</v>
      </c>
      <c r="I16" s="6" t="s">
        <v>80</v>
      </c>
      <c r="J16" s="7" t="s">
        <v>81</v>
      </c>
      <c r="K16" s="6" t="s">
        <v>82</v>
      </c>
      <c r="L16" s="6">
        <v>1</v>
      </c>
      <c r="M16" s="8" t="s">
        <v>32</v>
      </c>
      <c r="N16" s="6" t="s">
        <v>33</v>
      </c>
      <c r="O16" s="9" t="s">
        <v>83</v>
      </c>
      <c r="P16" s="9" t="s">
        <v>35</v>
      </c>
      <c r="Q16" s="10" t="s">
        <v>36</v>
      </c>
      <c r="T16" s="16">
        <v>46107</v>
      </c>
      <c r="U16" s="16">
        <v>46837</v>
      </c>
      <c r="X16" s="17">
        <v>5000</v>
      </c>
      <c r="Z16" s="10" t="s">
        <v>37</v>
      </c>
      <c r="AA16" s="13">
        <f t="shared" si="4"/>
        <v>5.9999999999999995E-4</v>
      </c>
      <c r="AB16" s="18">
        <f t="shared" si="0"/>
        <v>2.9999999999999996</v>
      </c>
      <c r="AC16" s="18">
        <f t="shared" si="1"/>
        <v>3.6199999999999997</v>
      </c>
    </row>
    <row r="17" spans="1:29" x14ac:dyDescent="0.3">
      <c r="A17">
        <v>139471</v>
      </c>
      <c r="B17" s="4" t="s">
        <v>24</v>
      </c>
      <c r="C17" t="s">
        <v>25</v>
      </c>
      <c r="D17" t="s">
        <v>26</v>
      </c>
      <c r="E17">
        <v>999068087</v>
      </c>
      <c r="F17" s="5" t="s">
        <v>27</v>
      </c>
      <c r="G17" s="6">
        <v>98</v>
      </c>
      <c r="H17" s="6" t="s">
        <v>84</v>
      </c>
      <c r="I17" s="6" t="s">
        <v>85</v>
      </c>
      <c r="J17" s="7" t="s">
        <v>86</v>
      </c>
      <c r="K17" s="6" t="s">
        <v>87</v>
      </c>
      <c r="L17" s="6">
        <v>1</v>
      </c>
      <c r="M17" s="8" t="s">
        <v>32</v>
      </c>
      <c r="N17" s="6" t="s">
        <v>33</v>
      </c>
      <c r="O17" s="9" t="s">
        <v>88</v>
      </c>
      <c r="P17" s="9" t="s">
        <v>47</v>
      </c>
      <c r="Q17" s="10" t="s">
        <v>36</v>
      </c>
      <c r="T17" s="16">
        <v>45371</v>
      </c>
      <c r="U17" s="16">
        <v>49114</v>
      </c>
      <c r="X17" s="17">
        <v>100000</v>
      </c>
      <c r="Z17" s="10" t="s">
        <v>37</v>
      </c>
      <c r="AA17" s="12">
        <f>+(0.56/1000)</f>
        <v>5.6000000000000006E-4</v>
      </c>
      <c r="AB17" s="18">
        <f t="shared" si="0"/>
        <v>56.000000000000007</v>
      </c>
      <c r="AC17" s="18">
        <f t="shared" si="1"/>
        <v>58.740000000000009</v>
      </c>
    </row>
    <row r="18" spans="1:29" x14ac:dyDescent="0.3">
      <c r="A18">
        <v>144483</v>
      </c>
      <c r="B18" s="4" t="s">
        <v>24</v>
      </c>
      <c r="C18" t="s">
        <v>25</v>
      </c>
      <c r="D18" t="s">
        <v>26</v>
      </c>
      <c r="E18">
        <v>999068087</v>
      </c>
      <c r="F18" s="5" t="s">
        <v>27</v>
      </c>
      <c r="G18" s="6">
        <v>98</v>
      </c>
      <c r="H18" s="6" t="s">
        <v>84</v>
      </c>
      <c r="I18" s="6" t="s">
        <v>89</v>
      </c>
      <c r="J18" s="7" t="s">
        <v>90</v>
      </c>
      <c r="K18" s="6" t="s">
        <v>91</v>
      </c>
      <c r="L18" s="6">
        <v>1</v>
      </c>
      <c r="M18" s="8" t="s">
        <v>32</v>
      </c>
      <c r="N18" s="6" t="s">
        <v>33</v>
      </c>
      <c r="O18" s="9" t="s">
        <v>92</v>
      </c>
      <c r="P18" s="9" t="s">
        <v>35</v>
      </c>
      <c r="Q18" s="10" t="s">
        <v>36</v>
      </c>
      <c r="T18" s="16">
        <v>45673</v>
      </c>
      <c r="U18" s="16">
        <v>47133</v>
      </c>
      <c r="X18" s="17">
        <v>20000</v>
      </c>
      <c r="Z18" s="10" t="s">
        <v>37</v>
      </c>
      <c r="AA18" s="13">
        <f t="shared" ref="AA18:AA21" si="5">+(0.6/1000)</f>
        <v>5.9999999999999995E-4</v>
      </c>
      <c r="AB18" s="18">
        <f t="shared" si="0"/>
        <v>11.999999999999998</v>
      </c>
      <c r="AC18" s="18">
        <f t="shared" si="1"/>
        <v>12.979999999999999</v>
      </c>
    </row>
    <row r="19" spans="1:29" x14ac:dyDescent="0.3">
      <c r="A19">
        <v>147699</v>
      </c>
      <c r="B19" s="4" t="s">
        <v>24</v>
      </c>
      <c r="C19" t="s">
        <v>25</v>
      </c>
      <c r="D19" t="s">
        <v>26</v>
      </c>
      <c r="E19">
        <v>999068087</v>
      </c>
      <c r="F19" s="5" t="s">
        <v>27</v>
      </c>
      <c r="G19" s="6">
        <v>98</v>
      </c>
      <c r="H19" s="6" t="s">
        <v>84</v>
      </c>
      <c r="I19" s="6" t="s">
        <v>93</v>
      </c>
      <c r="J19" s="7" t="s">
        <v>94</v>
      </c>
      <c r="K19" s="6" t="s">
        <v>87</v>
      </c>
      <c r="L19" s="6">
        <v>1</v>
      </c>
      <c r="M19" s="8" t="s">
        <v>32</v>
      </c>
      <c r="N19" s="6" t="s">
        <v>33</v>
      </c>
      <c r="O19" s="9" t="s">
        <v>95</v>
      </c>
      <c r="P19" s="9" t="s">
        <v>47</v>
      </c>
      <c r="Q19" s="10" t="s">
        <v>36</v>
      </c>
      <c r="T19" s="16">
        <v>45906</v>
      </c>
      <c r="U19" s="16">
        <v>47548</v>
      </c>
      <c r="X19" s="17">
        <v>16700</v>
      </c>
      <c r="Z19" s="10" t="s">
        <v>37</v>
      </c>
      <c r="AA19" s="13">
        <f t="shared" si="5"/>
        <v>5.9999999999999995E-4</v>
      </c>
      <c r="AB19" s="18">
        <f t="shared" si="0"/>
        <v>10.02</v>
      </c>
      <c r="AC19" s="18">
        <f t="shared" si="1"/>
        <v>10.9208</v>
      </c>
    </row>
    <row r="20" spans="1:29" x14ac:dyDescent="0.3">
      <c r="A20">
        <v>150090</v>
      </c>
      <c r="B20" s="4" t="s">
        <v>24</v>
      </c>
      <c r="C20" t="s">
        <v>25</v>
      </c>
      <c r="D20" t="s">
        <v>26</v>
      </c>
      <c r="E20">
        <v>999068087</v>
      </c>
      <c r="F20" s="5" t="s">
        <v>27</v>
      </c>
      <c r="G20" s="6">
        <v>98</v>
      </c>
      <c r="H20" s="6" t="s">
        <v>84</v>
      </c>
      <c r="I20" s="6" t="s">
        <v>96</v>
      </c>
      <c r="J20" s="7" t="s">
        <v>97</v>
      </c>
      <c r="K20" s="6" t="s">
        <v>98</v>
      </c>
      <c r="L20" s="6">
        <v>1</v>
      </c>
      <c r="M20" s="8" t="s">
        <v>32</v>
      </c>
      <c r="N20" s="6" t="s">
        <v>33</v>
      </c>
      <c r="O20" s="9" t="s">
        <v>99</v>
      </c>
      <c r="P20" s="9" t="s">
        <v>47</v>
      </c>
      <c r="Q20" s="10" t="s">
        <v>36</v>
      </c>
      <c r="T20" s="16">
        <v>46072</v>
      </c>
      <c r="U20" s="16">
        <v>47170</v>
      </c>
      <c r="X20" s="17">
        <v>2070</v>
      </c>
      <c r="Z20" s="10" t="s">
        <v>37</v>
      </c>
      <c r="AA20" s="13">
        <f t="shared" si="5"/>
        <v>5.9999999999999995E-4</v>
      </c>
      <c r="AB20" s="18">
        <f t="shared" si="0"/>
        <v>1.242</v>
      </c>
      <c r="AC20" s="18">
        <f t="shared" si="1"/>
        <v>1.7916799999999999</v>
      </c>
    </row>
    <row r="21" spans="1:29" x14ac:dyDescent="0.3">
      <c r="A21">
        <v>152350</v>
      </c>
      <c r="B21" s="4" t="s">
        <v>24</v>
      </c>
      <c r="C21" t="s">
        <v>25</v>
      </c>
      <c r="D21" t="s">
        <v>26</v>
      </c>
      <c r="E21">
        <v>999068087</v>
      </c>
      <c r="F21" s="5" t="s">
        <v>27</v>
      </c>
      <c r="G21" s="6">
        <v>98</v>
      </c>
      <c r="H21" s="6" t="s">
        <v>84</v>
      </c>
      <c r="I21" s="6" t="s">
        <v>85</v>
      </c>
      <c r="J21" s="7" t="s">
        <v>86</v>
      </c>
      <c r="K21" s="6" t="s">
        <v>87</v>
      </c>
      <c r="L21" s="6">
        <v>1</v>
      </c>
      <c r="M21" s="8" t="s">
        <v>32</v>
      </c>
      <c r="N21" s="6" t="s">
        <v>33</v>
      </c>
      <c r="O21" s="9" t="s">
        <v>88</v>
      </c>
      <c r="P21" s="9" t="s">
        <v>47</v>
      </c>
      <c r="Q21" s="10" t="s">
        <v>36</v>
      </c>
      <c r="T21" s="16">
        <v>46231</v>
      </c>
      <c r="U21" s="16">
        <v>46321</v>
      </c>
      <c r="X21" s="17">
        <v>1550</v>
      </c>
      <c r="Z21" s="10" t="s">
        <v>37</v>
      </c>
      <c r="AA21" s="13">
        <f t="shared" si="5"/>
        <v>5.9999999999999995E-4</v>
      </c>
      <c r="AB21" s="18">
        <f t="shared" si="0"/>
        <v>0.92999999999999994</v>
      </c>
      <c r="AC21" s="18">
        <f t="shared" si="1"/>
        <v>1.4672000000000001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sebastian calvopina</dc:creator>
  <cp:lastModifiedBy>daniel sebastian calvopina</cp:lastModifiedBy>
  <cp:lastPrinted>2026-09-10T14:43:09Z</cp:lastPrinted>
  <dcterms:created xsi:type="dcterms:W3CDTF">2026-09-10T14:43:04Z</dcterms:created>
  <dcterms:modified xsi:type="dcterms:W3CDTF">2026-09-15T18:01:44Z</dcterms:modified>
</cp:coreProperties>
</file>